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inbkr\output\"/>
    </mc:Choice>
  </mc:AlternateContent>
  <xr:revisionPtr documentId="13_ncr:1_{98D372B1-621A-4E27-A1AC-8315991DCF20}" revIDLastSave="0" xr10:uidLastSave="{00000000-0000-0000-0000-000000000000}" xr6:coauthVersionLast="41" xr6:coauthVersionMax="41"/>
  <bookViews>
    <workbookView activeTab="6" firstSheet="3" windowHeight="11265" windowWidth="21600" xWindow="12405" xr2:uid="{00000000-000D-0000-FFFF-FFFF00000000}" yWindow="2640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County_Flow!$M$7:$S$13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County_Flow!$B$7:$H$13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M54" s="1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M31" s="1"/>
  <c i="6" r="P30"/>
  <c i="6" r="O30"/>
  <c i="6" r="N30"/>
  <c i="6" r="M30" s="1"/>
  <c i="6" r="P29"/>
  <c i="6" r="O29"/>
  <c i="6" r="N29"/>
  <c i="6" r="M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Q79"/>
  <c i="6" r="Q4"/>
  <c i="6" r="Q12"/>
  <c i="6" r="Q80"/>
  <c i="6" r="Q77"/>
  <c i="6" r="Q78"/>
  <c i="6" r="Q84"/>
  <c i="6" r="Q11"/>
  <c i="6" r="D25"/>
  <c i="6" r="M4"/>
  <c i="6" r="Q58"/>
  <c i="6" r="Q82"/>
  <c i="6" r="Q28"/>
  <c i="6" r="M12"/>
  <c i="6" r="Q13"/>
  <c i="6" r="Q14"/>
  <c i="6" r="Q15"/>
  <c i="6" r="Q22"/>
  <c i="6" r="Q17"/>
  <c i="6" r="Q16"/>
  <c i="6" r="Q18"/>
  <c i="6" r="Q10"/>
  <c i="6" r="Q47"/>
  <c i="6" r="Q48"/>
  <c i="6" r="Q49"/>
  <c i="6" r="Q50"/>
  <c i="6" r="Q98"/>
  <c i="6" r="Q53"/>
  <c i="6" r="Q54"/>
  <c i="6" r="Q75"/>
  <c i="6" r="Q70"/>
  <c i="6" r="Q38"/>
  <c i="6" r="Q43"/>
  <c i="6" r="Q103"/>
  <c i="6" r="Q99"/>
  <c i="6" r="Q41"/>
  <c i="6" r="Q37"/>
  <c i="6" r="Q6"/>
  <c i="6" r="Q71"/>
  <c i="6" r="Q72"/>
  <c i="6" r="Q8"/>
  <c i="6" r="Q44"/>
  <c i="6" r="Q73"/>
  <c i="6" r="Q104"/>
  <c i="6" r="Q45"/>
  <c i="6" r="Q51"/>
  <c i="6" r="Q57"/>
  <c i="6" r="Q81"/>
  <c i="6" r="Q93"/>
  <c i="6" r="Q101"/>
  <c i="6" r="Q102"/>
  <c i="6" r="Q7"/>
  <c i="6" r="Q9"/>
  <c i="6" r="Q46"/>
  <c i="6" r="Q74"/>
  <c i="6" r="Q85"/>
  <c i="6" r="Q59"/>
  <c i="6" r="Q29"/>
  <c i="6" r="Q21"/>
  <c i="6" r="Q60"/>
  <c i="6" r="Q88"/>
  <c i="6" r="Q26"/>
  <c i="6" r="Q61"/>
  <c i="6" r="Q89"/>
  <c i="6" r="Q83"/>
  <c i="6" r="Q86"/>
  <c i="6" r="Q87"/>
  <c i="6" r="Q27"/>
  <c i="6" r="Q90"/>
  <c i="6" r="Q55"/>
  <c i="6" r="Q20"/>
  <c i="6" r="Q23"/>
  <c i="6" r="Q62"/>
  <c i="6" r="Q30"/>
  <c i="6" r="Q63"/>
  <c i="6" r="Q91"/>
  <c i="6" r="Q31"/>
  <c i="6" r="Q64"/>
  <c i="6" r="Q92"/>
  <c i="6" r="Q94"/>
  <c i="6" r="Q19"/>
  <c i="6" r="Q33"/>
  <c i="6" r="Q95"/>
  <c i="6" r="Q67"/>
  <c i="6" r="Q25"/>
  <c i="6" r="Q35"/>
  <c i="6" r="Q68"/>
  <c i="6" r="Q97"/>
  <c i="6" r="Q56"/>
  <c i="6" r="Q32"/>
  <c i="6" r="Q65"/>
  <c i="6" r="Q66"/>
  <c i="6" r="Q34"/>
  <c i="6" r="Q96"/>
  <c i="6" r="Q3"/>
  <c i="6" r="Q36"/>
  <c i="6" r="Q69"/>
  <c i="6" r="M40"/>
  <c i="6" r="M42"/>
  <c i="6" r="Q24"/>
  <c i="6" r="Q52"/>
  <c i="6" r="Q76"/>
  <c i="6" r="Q100"/>
  <c i="6" r="D24"/>
  <c i="6" r="D26"/>
  <c i="6" r="Q5"/>
  <c i="6" r="D23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1" l="1" r="H15"/>
  <c i="1" r="J13"/>
  <c i="1" l="1" r="U13"/>
  <c i="1" r="S15"/>
  <c i="1" r="S28" s="1"/>
  <c i="1" r="W39"/>
  <c i="1" r="L39"/>
  <c i="1" r="L26"/>
  <c i="1" r="A39"/>
  <c i="1" r="A26"/>
  <c i="1" r="L13"/>
  <c i="1" r="AD32"/>
  <c i="1" r="S32"/>
  <c i="1" r="H32"/>
  <c i="1" r="S19"/>
  <c i="1" r="H19"/>
  <c i="1" r="S6"/>
  <c i="1" r="H6"/>
  <c i="1" l="1" r="U26"/>
  <c i="1" r="G26"/>
  <c i="1" r="C26"/>
  <c i="1" r="F26"/>
  <c i="1" r="B26"/>
  <c i="1" r="H26"/>
  <c i="1" r="D26"/>
  <c i="1" r="E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J2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1"/>
  <c i="1" r="H20"/>
  <c i="1" r="H22"/>
  <c i="1" r="J24"/>
  <c i="1" r="J23"/>
  <c i="1" r="U22"/>
  <c i="1" r="U20"/>
  <c i="1" r="E21"/>
  <c i="1" r="J25"/>
  <c i="1" r="D21"/>
  <c i="1" r="B21"/>
  <c i="1" r="E20"/>
  <c i="1" r="D20"/>
  <c i="1" r="F21"/>
  <c i="1" r="G21"/>
  <c i="1" r="G20"/>
  <c i="1" r="C21"/>
  <c i="1" r="J15"/>
  <c i="1" r="U21"/>
  <c i="1" r="B22"/>
  <c i="1" r="C22"/>
  <c i="1" r="D22"/>
  <c i="1" r="U15"/>
  <c i="1" r="U28" s="1"/>
  <c i="1" r="E22"/>
  <c i="1" r="B20"/>
  <c i="1" r="F22"/>
  <c i="1" r="C20"/>
  <c i="1" r="G22"/>
  <c i="1" r="F20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6" l="1" r="G6"/>
  <c i="6" r="G5"/>
  <c i="1" r="E28"/>
  <c i="1" r="S36"/>
  <c i="1" r="S38"/>
  <c i="1" r="S35"/>
  <c i="1" r="M39"/>
  <c i="1" r="O39"/>
  <c i="1" r="S37"/>
  <c i="1" r="N39"/>
  <c i="1" r="P39"/>
  <c i="1" r="S34"/>
  <c i="1" r="R39"/>
  <c i="1" r="S33"/>
  <c i="1" r="S39"/>
  <c i="1" r="Q39"/>
  <c i="6" r="D7"/>
  <c i="6" r="D5"/>
  <c i="6" r="G7"/>
  <c i="6" r="D6"/>
  <c i="1" r="H28"/>
  <c i="1" r="S41"/>
  <c i="1" r="AD41" s="1"/>
  <c i="1" r="U39"/>
  <c i="1" r="J21"/>
  <c i="1" r="F28"/>
  <c i="1" r="G28"/>
  <c i="1" r="N36"/>
  <c i="1" r="Q41"/>
  <c i="1" r="R41"/>
  <c i="1" r="D28"/>
  <c i="1" r="M33"/>
  <c i="1" r="R38"/>
  <c i="1" r="M36"/>
  <c i="1" r="P38"/>
  <c i="1" r="P41"/>
  <c i="1" r="O41"/>
  <c i="1" r="N41"/>
  <c i="1" r="U35"/>
  <c i="1" r="Q37"/>
  <c i="1" r="R34"/>
  <c i="1" r="M41"/>
  <c i="1" r="U37"/>
  <c i="1" r="U34"/>
  <c i="1" r="P37"/>
  <c i="1" r="O34"/>
  <c i="1" r="N34"/>
  <c i="1" r="M34"/>
  <c i="1" r="U33"/>
  <c i="1" r="U36"/>
  <c i="1" r="R36"/>
  <c i="1" r="Q36"/>
  <c i="1" r="R37"/>
  <c i="1" r="Q34"/>
  <c i="1" r="P34"/>
  <c i="1" r="P36"/>
  <c i="1" r="R33"/>
  <c i="1" r="O33"/>
  <c i="1" r="Q33"/>
  <c i="1" r="O36"/>
  <c i="1" r="N33"/>
  <c i="1" r="U38"/>
  <c i="1" r="J22"/>
  <c i="1" r="C28"/>
  <c i="1" r="J20"/>
  <c i="1" r="B28"/>
  <c i="1" r="O35"/>
  <c i="1" r="P35"/>
  <c i="1" r="U41"/>
  <c i="1" r="T41"/>
  <c i="1" r="O37"/>
  <c i="1" r="M37"/>
  <c i="1" r="M38"/>
  <c i="1" r="Q38"/>
  <c i="1" r="N37"/>
  <c i="1" r="O38"/>
  <c i="1" r="R35"/>
  <c i="1" r="Q35"/>
  <c i="1" r="N35"/>
  <c i="1" r="N38"/>
  <c i="1" r="M35"/>
  <c i="1" r="P33"/>
  <c i="3" r="L102"/>
  <c i="3" r="M102" s="1"/>
  <c i="4" r="E102"/>
  <c i="4" r="F102" s="1"/>
  <c i="4" r="L102"/>
  <c i="4" r="M102" s="1"/>
  <c i="3" r="E102"/>
  <c i="3" r="F102" s="1"/>
  <c i="6" l="1" r="G8"/>
  <c i="6" r="G14" s="1"/>
  <c i="6" r="D8"/>
  <c i="6" r="D16" s="1"/>
  <c i="6" r="G13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3" r="F72"/>
  <c i="4" r="M62"/>
  <c i="4" r="F42"/>
  <c i="3" r="M84"/>
  <c i="3" r="F83"/>
  <c i="3" r="F31"/>
  <c i="3" r="M37"/>
  <c i="3" r="F95"/>
  <c i="3" r="F35"/>
  <c i="4" r="M58"/>
  <c i="3" r="M18"/>
  <c i="3" r="M20"/>
  <c i="3" r="F55"/>
  <c i="3" r="F36"/>
  <c i="3" r="F99"/>
  <c i="3" r="F71"/>
  <c i="3" r="F39"/>
  <c i="3" r="F15"/>
  <c i="3" r="F37"/>
  <c i="4" r="M22"/>
  <c i="4" r="M46"/>
  <c i="4" r="M78"/>
  <c i="3" r="F79"/>
  <c i="3" r="F51"/>
  <c i="3" r="F19"/>
  <c i="3" r="F20"/>
  <c i="4" r="M14"/>
  <c i="4" r="M42"/>
  <c i="4" r="M70"/>
  <c i="4" r="M25"/>
  <c i="4" r="M41"/>
  <c i="4" r="M30"/>
  <c i="4" r="M54"/>
  <c i="4" r="M74"/>
  <c i="4" r="M94"/>
  <c i="4" r="F39"/>
  <c i="4" r="F71"/>
  <c i="3" r="M101"/>
  <c i="4" r="M11"/>
  <c i="4" r="M89"/>
  <c i="4" r="F50"/>
  <c i="3" r="M82"/>
  <c i="3" r="M75"/>
  <c i="4" r="M57"/>
  <c i="3" r="M68"/>
  <c i="4" r="F19"/>
  <c i="4" r="F35"/>
  <c i="4" r="F51"/>
  <c i="4" r="F67"/>
  <c i="4" r="F83"/>
  <c i="4" r="F99"/>
  <c i="3" r="M53"/>
  <c i="4" r="M37"/>
  <c i="4" r="M73"/>
  <c i="4" r="F26"/>
  <c i="4" r="F46"/>
  <c i="4" r="F74"/>
  <c i="3" r="M98"/>
  <c i="3" r="M34"/>
  <c i="3" r="M99"/>
  <c i="3" r="M69"/>
  <c i="3" r="M50"/>
  <c i="3" r="M35"/>
  <c i="4" r="F24"/>
  <c i="4" r="F40"/>
  <c i="4" r="F56"/>
  <c i="4" r="F72"/>
  <c i="4" r="F88"/>
  <c i="3" r="M100"/>
  <c i="3" r="M36"/>
  <c i="3" r="F87"/>
  <c i="3" r="F67"/>
  <c i="3" r="F47"/>
  <c i="3" r="F23"/>
  <c i="3" r="F52"/>
  <c i="3" r="F22"/>
  <c i="4" r="M18"/>
  <c i="4" r="M34"/>
  <c i="4" r="M50"/>
  <c i="4" r="M66"/>
  <c i="4" r="M82"/>
  <c i="4" r="M98"/>
  <c i="4" r="F27"/>
  <c i="4" r="F43"/>
  <c i="4" r="F59"/>
  <c i="4" r="F75"/>
  <c i="4" r="F91"/>
  <c i="3" r="M85"/>
  <c i="3" r="M21"/>
  <c i="4" r="M21"/>
  <c i="4" r="M53"/>
  <c i="4" r="F14"/>
  <c i="4" r="F34"/>
  <c i="4" r="F58"/>
  <c i="4" r="F90"/>
  <c i="3" r="M66"/>
  <c i="3" r="M55"/>
  <c i="3" r="M88"/>
  <c i="3" r="M72"/>
  <c i="3" r="M56"/>
  <c i="3" r="M40"/>
  <c i="3" r="M24"/>
  <c i="3" r="M89"/>
  <c i="3" r="M73"/>
  <c i="3" r="M57"/>
  <c i="3" r="M41"/>
  <c i="3" r="M25"/>
  <c i="3" r="M86"/>
  <c i="3" r="M70"/>
  <c i="3" r="M54"/>
  <c i="3" r="M38"/>
  <c i="3" r="M22"/>
  <c i="3" r="M83"/>
  <c i="3" r="M59"/>
  <c i="3" r="M39"/>
  <c i="3" r="M92"/>
  <c i="3" r="M76"/>
  <c i="3" r="M60"/>
  <c i="3" r="M44"/>
  <c i="3" r="M28"/>
  <c i="3" r="M12"/>
  <c i="3" r="M93"/>
  <c i="3" r="M77"/>
  <c i="3" r="M61"/>
  <c i="3" r="M45"/>
  <c i="3" r="M29"/>
  <c i="3" r="M13"/>
  <c i="3" r="M90"/>
  <c i="3" r="M74"/>
  <c i="3" r="M58"/>
  <c i="3" r="M42"/>
  <c i="3" r="M26"/>
  <c i="3" r="M87"/>
  <c i="3" r="M67"/>
  <c i="3" r="M43"/>
  <c i="3" r="M23"/>
  <c i="3" r="M96"/>
  <c i="3" r="M80"/>
  <c i="3" r="M64"/>
  <c i="3" r="M48"/>
  <c i="3" r="M32"/>
  <c i="3" r="M16"/>
  <c i="3" r="M97"/>
  <c i="3" r="M81"/>
  <c i="3" r="M65"/>
  <c i="3" r="M49"/>
  <c i="3" r="M33"/>
  <c i="3" r="M17"/>
  <c i="3" r="M94"/>
  <c i="3" r="M78"/>
  <c i="3" r="M62"/>
  <c i="3" r="M46"/>
  <c i="3" r="M30"/>
  <c i="3" r="M14"/>
  <c i="3" r="M91"/>
  <c i="3" r="M71"/>
  <c i="3" r="M51"/>
  <c i="3" r="M27"/>
  <c i="3" r="F91"/>
  <c i="3" r="F75"/>
  <c i="3" r="F59"/>
  <c i="3" r="F43"/>
  <c i="3" r="F27"/>
  <c i="3" r="F84"/>
  <c i="3" r="F44"/>
  <c i="3" r="F12"/>
  <c i="3" r="F96"/>
  <c i="3" r="F76"/>
  <c i="3" r="F48"/>
  <c i="3" r="F16"/>
  <c i="4" r="M13"/>
  <c i="4" r="M29"/>
  <c i="4" r="M45"/>
  <c i="4" r="M61"/>
  <c i="4" r="M77"/>
  <c i="4" r="M93"/>
  <c i="4" r="F66"/>
  <c i="4" r="F82"/>
  <c i="4" r="F98"/>
  <c i="3" r="F97"/>
  <c i="3" r="F81"/>
  <c i="3" r="F65"/>
  <c i="3" r="F49"/>
  <c i="3" r="F17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3" r="F90"/>
  <c i="3" r="F74"/>
  <c i="3" r="F58"/>
  <c i="3" r="F42"/>
  <c i="3" r="F26"/>
  <c i="3" r="M11"/>
  <c i="3" r="F100"/>
  <c i="3" r="F80"/>
  <c i="3" r="F56"/>
  <c i="3" r="F24"/>
  <c i="3" r="F13"/>
  <c i="3" r="F101"/>
  <c i="3" r="F85"/>
  <c i="3" r="F69"/>
  <c i="3" r="F53"/>
  <c i="3" r="F29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3" r="F78"/>
  <c i="3" r="F62"/>
  <c i="3" r="F46"/>
  <c i="3" r="F30"/>
  <c i="3" r="F60"/>
  <c i="3" r="F28"/>
  <c i="3" r="F21"/>
  <c i="3" r="F11"/>
  <c i="3" r="F88"/>
  <c i="3" r="F64"/>
  <c i="3" r="F32"/>
  <c i="3" r="F25"/>
  <c i="4" r="M69"/>
  <c i="4" r="M85"/>
  <c i="4" r="M101"/>
  <c i="3" r="F89"/>
  <c i="3" r="F73"/>
  <c i="3" r="F57"/>
  <c i="3" r="F4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3" r="F82"/>
  <c i="3" r="F66"/>
  <c i="3" r="F50"/>
  <c i="3" r="F34"/>
  <c i="3" r="F92"/>
  <c i="3" r="F68"/>
  <c i="3" r="F40"/>
  <c i="3" r="F33"/>
  <c i="4" r="M17"/>
  <c i="4" r="M33"/>
  <c i="4" r="M49"/>
  <c i="4" r="M65"/>
  <c i="4" r="M81"/>
  <c i="4" r="M97"/>
  <c i="4" r="F22"/>
  <c i="4" r="F38"/>
  <c i="4" r="F54"/>
  <c i="4" r="F70"/>
  <c i="4" r="F86"/>
  <c i="3" r="F93"/>
  <c i="3" r="F77"/>
  <c i="3" r="F61"/>
  <c i="3" r="F45"/>
  <c i="3" r="F18"/>
  <c i="4" r="M24"/>
  <c i="4" r="M40"/>
  <c i="4" r="M56"/>
  <c i="4" r="M72"/>
  <c i="4" r="M88"/>
  <c i="4" r="F13"/>
  <c i="4" r="F29"/>
  <c i="4" r="F45"/>
  <c i="4" r="F61"/>
  <c i="4" r="F77"/>
  <c i="4" r="F93"/>
  <c i="3" r="M95"/>
  <c i="3" r="M79"/>
  <c i="3" r="M63"/>
  <c i="3" r="M47"/>
  <c i="3" r="M31"/>
  <c i="3" r="M15"/>
  <c i="3" r="F86"/>
  <c i="3" r="F70"/>
  <c i="3" r="F54"/>
  <c i="3" r="F38"/>
  <c i="3" r="F14"/>
  <c i="6" l="1" r="G12"/>
  <c i="6" r="D14"/>
  <c i="6" r="I14" s="1"/>
  <c i="6" r="J14" s="1"/>
  <c i="6" r="D12"/>
  <c i="6" r="D13"/>
  <c i="6" r="I13" s="1"/>
  <c i="6" r="J13" s="1"/>
  <c i="6" r="D15"/>
  <c i="6" r="I15" s="1"/>
  <c i="6" r="J15" s="1"/>
  <c i="1" r="E39"/>
  <c i="1" r="AA39" s="1"/>
  <c i="1" r="H39"/>
  <c i="1" r="AD39" s="1"/>
  <c i="1" r="B39"/>
  <c i="1" r="X39" s="1"/>
  <c i="1" r="C39"/>
  <c i="1" r="Y39" s="1"/>
  <c i="1" r="D39"/>
  <c i="1" r="Z39" s="1"/>
  <c i="1" r="F39"/>
  <c i="1" r="AB39" s="1"/>
  <c i="1" r="G39"/>
  <c i="1" r="AC39" s="1"/>
  <c i="1" r="H37"/>
  <c i="1" r="AD37" s="1"/>
  <c i="1" r="H38"/>
  <c i="1" r="AD38" s="1"/>
  <c i="1" r="H36"/>
  <c i="1" r="AD36" s="1"/>
  <c i="1" r="H35"/>
  <c i="1" r="AD35" s="1"/>
  <c i="1" r="H33"/>
  <c i="1" r="AD33" s="1"/>
  <c i="1" r="H34"/>
  <c i="1" r="AD34" s="1"/>
  <c i="1" r="J39"/>
  <c i="1" r="AF39" s="1"/>
  <c i="1" r="J33"/>
  <c i="1" r="AF33" s="1"/>
  <c i="1" r="F41"/>
  <c i="1" r="AB41" s="1"/>
  <c i="1" r="G41"/>
  <c i="1" r="AC41" s="1"/>
  <c i="1" r="C41"/>
  <c i="1" r="Y41" s="1"/>
  <c i="1" r="B41"/>
  <c i="1" r="X41" s="1"/>
  <c i="1" r="C38"/>
  <c i="1" r="Y38" s="1"/>
  <c i="1" r="B38"/>
  <c i="1" r="X38" s="1"/>
  <c i="1" r="B37"/>
  <c i="1" r="X37" s="1"/>
  <c i="1" r="G36"/>
  <c i="1" r="AC36" s="1"/>
  <c i="1" r="E36"/>
  <c i="1" r="AA36" s="1"/>
  <c i="1" r="J41"/>
  <c i="1" r="AF41" s="1"/>
  <c i="1" r="F36"/>
  <c i="1" r="AB36" s="1"/>
  <c i="1" r="D36"/>
  <c i="1" r="Z36" s="1"/>
  <c i="1" r="J37"/>
  <c i="1" r="AF37" s="1"/>
  <c i="1" r="D37"/>
  <c i="1" r="Z37" s="1"/>
  <c i="1" r="C37"/>
  <c i="1" r="Y37" s="1"/>
  <c i="1" r="E37"/>
  <c i="1" r="AA37" s="1"/>
  <c i="1" r="F34"/>
  <c i="1" r="AB34" s="1"/>
  <c i="1" r="G34"/>
  <c i="1" r="AC34" s="1"/>
  <c i="1" r="E33"/>
  <c i="1" r="AA33" s="1"/>
  <c i="1" r="G37"/>
  <c i="1" r="AC37" s="1"/>
  <c i="1" r="G33"/>
  <c i="1" r="AC33" s="1"/>
  <c i="1" r="C34"/>
  <c i="1" r="Y34" s="1"/>
  <c i="1" r="C36"/>
  <c i="1" r="Y36" s="1"/>
  <c i="1" r="D38"/>
  <c i="1" r="Z38" s="1"/>
  <c i="1" r="D34"/>
  <c i="1" r="Z34" s="1"/>
  <c i="1" r="E34"/>
  <c i="1" r="AA34" s="1"/>
  <c i="1" r="F37"/>
  <c i="1" r="AB37" s="1"/>
  <c i="1" r="J36"/>
  <c i="1" r="AF36" s="1"/>
  <c i="1" r="B34"/>
  <c i="1" r="X34" s="1"/>
  <c i="1" r="G38"/>
  <c i="1" r="AC38" s="1"/>
  <c i="1" r="D33"/>
  <c i="1" r="Z33" s="1"/>
  <c i="1" r="E38"/>
  <c i="1" r="AA38" s="1"/>
  <c i="1" r="F38"/>
  <c i="1" r="AB38" s="1"/>
  <c i="1" r="B36"/>
  <c i="1" r="X36" s="1"/>
  <c i="1" r="I41"/>
  <c i="1" r="AE41" s="1"/>
  <c i="1" r="J38"/>
  <c i="1" r="AF38" s="1"/>
  <c i="1" r="D35"/>
  <c i="1" r="Z35" s="1"/>
  <c i="1" r="F33"/>
  <c i="1" r="AB33" s="1"/>
  <c i="1" r="C35"/>
  <c i="1" r="Y35" s="1"/>
  <c i="1" r="E41"/>
  <c i="1" r="AA41" s="1"/>
  <c i="1" r="G35"/>
  <c i="1" r="AC35" s="1"/>
  <c i="1" r="C33"/>
  <c i="1" r="Y33" s="1"/>
  <c i="1" r="D41"/>
  <c i="1" r="Z41" s="1"/>
  <c i="1" r="J34"/>
  <c i="1" r="AF34" s="1"/>
  <c i="1" r="F35"/>
  <c i="1" r="AB35" s="1"/>
  <c i="1" r="B33"/>
  <c i="1" r="X33" s="1"/>
  <c i="1" r="B35"/>
  <c i="1" r="X35" s="1"/>
  <c i="1" r="E35"/>
  <c i="1" r="AA35" s="1"/>
  <c i="1" r="J35"/>
  <c i="1" r="AF35" s="1"/>
  <c i="6" l="1" r="I12"/>
  <c i="6" r="J12" s="1"/>
  <c i="6" r="K12" s="1"/>
  <c i="6" r="D33" s="1"/>
  <c i="6" r="D43" s="1"/>
  <c i="6" r="Q39" s="1"/>
  <c i="6" l="1" r="K13"/>
  <c i="6" r="D34" s="1"/>
  <c i="6" r="D44" s="1"/>
  <c i="6" r="Q40" s="1"/>
  <c i="6" r="K14"/>
  <c i="6" r="D35" s="1"/>
  <c i="6" r="D45" s="1"/>
  <c i="6" r="K15"/>
  <c i="6" r="D36" s="1"/>
  <c i="6" r="D46" s="1"/>
  <c i="6" r="Q42" s="1"/>
</calcChain>
</file>

<file path=xl/sharedStrings.xml><?xml version="1.0" encoding="utf-8"?>
<sst xmlns="http://schemas.openxmlformats.org/spreadsheetml/2006/main" count="736" uniqueCount="288">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</sst>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56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applyNumberFormat="1" borderId="0" fillId="0" fontId="0" numFmtId="166" xfId="0"/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0.36720872356501844</c:v>
                </c:pt>
                <c:pt idx="1">
                  <c:v>0.15675258074872395</c:v>
                </c:pt>
                <c:pt idx="2">
                  <c:v>6.8514459838879035E-2</c:v>
                </c:pt>
                <c:pt idx="3">
                  <c:v>6.7018805312089105E-2</c:v>
                </c:pt>
                <c:pt idx="4">
                  <c:v>4.080069110660256E-2</c:v>
                </c:pt>
                <c:pt idx="5">
                  <c:v>7.5856009294934704E-2</c:v>
                </c:pt>
                <c:pt idx="6">
                  <c:v>2.5884007079599935E-2</c:v>
                </c:pt>
                <c:pt idx="7">
                  <c:v>0</c:v>
                </c:pt>
                <c:pt idx="8">
                  <c:v>0</c:v>
                </c:pt>
                <c:pt idx="9">
                  <c:v>1.5415888914047287E-2</c:v>
                </c:pt>
                <c:pt idx="10">
                  <c:v>6.0311043489187609E-3</c:v>
                </c:pt>
                <c:pt idx="11">
                  <c:v>0</c:v>
                </c:pt>
                <c:pt idx="12">
                  <c:v>0</c:v>
                </c:pt>
                <c:pt idx="13">
                  <c:v>6.0171043265448074E-2</c:v>
                </c:pt>
                <c:pt idx="14">
                  <c:v>1.6877081903878554E-2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5.0567545661867733E-2</c:v>
                </c:pt>
                <c:pt idx="20">
                  <c:v>0</c:v>
                </c:pt>
                <c:pt idx="21">
                  <c:v>0</c:v>
                </c:pt>
                <c:pt idx="22">
                  <c:v>4.8902058959991827E-2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0.36616614373225759</c:v>
                </c:pt>
                <c:pt idx="1">
                  <c:v>0.11016484884705413</c:v>
                </c:pt>
                <c:pt idx="2">
                  <c:v>6.7583046964490259E-2</c:v>
                </c:pt>
                <c:pt idx="3">
                  <c:v>4.3988744459385429E-2</c:v>
                </c:pt>
                <c:pt idx="4">
                  <c:v>8.3594800537875394E-2</c:v>
                </c:pt>
                <c:pt idx="5">
                  <c:v>5.6103391603167491E-2</c:v>
                </c:pt>
                <c:pt idx="6">
                  <c:v>4.3515613327356942E-2</c:v>
                </c:pt>
                <c:pt idx="7">
                  <c:v>2.5910154888191643E-2</c:v>
                </c:pt>
                <c:pt idx="8">
                  <c:v>2.4054982817869417E-2</c:v>
                </c:pt>
                <c:pt idx="9">
                  <c:v>1.5924597838537776E-2</c:v>
                </c:pt>
                <c:pt idx="10">
                  <c:v>1.3110712684894665E-2</c:v>
                </c:pt>
                <c:pt idx="11">
                  <c:v>1.4667065092883111E-2</c:v>
                </c:pt>
                <c:pt idx="12">
                  <c:v>1.5115294586383785E-2</c:v>
                </c:pt>
                <c:pt idx="13">
                  <c:v>1.3409532347228447E-2</c:v>
                </c:pt>
                <c:pt idx="14">
                  <c:v>1.1342696349419791E-2</c:v>
                </c:pt>
                <c:pt idx="15">
                  <c:v>1.1517007819114498E-2</c:v>
                </c:pt>
                <c:pt idx="16">
                  <c:v>1.1267991433836347E-2</c:v>
                </c:pt>
                <c:pt idx="17">
                  <c:v>8.9770406892773543E-3</c:v>
                </c:pt>
                <c:pt idx="18">
                  <c:v>7.8813685940534884E-3</c:v>
                </c:pt>
                <c:pt idx="19">
                  <c:v>6.7483440410379004E-3</c:v>
                </c:pt>
                <c:pt idx="20">
                  <c:v>6.6487374869266397E-3</c:v>
                </c:pt>
                <c:pt idx="21">
                  <c:v>4.6690572239653366E-3</c:v>
                </c:pt>
                <c:pt idx="22">
                  <c:v>5.1421883559938245E-3</c:v>
                </c:pt>
                <c:pt idx="23">
                  <c:v>4.3951392001593701E-3</c:v>
                </c:pt>
                <c:pt idx="24">
                  <c:v>3.1749589122964292E-3</c:v>
                </c:pt>
                <c:pt idx="25">
                  <c:v>2.7765326958513869E-3</c:v>
                </c:pt>
                <c:pt idx="26">
                  <c:v>2.4030081179341601E-3</c:v>
                </c:pt>
                <c:pt idx="27">
                  <c:v>1.7929179740026895E-3</c:v>
                </c:pt>
                <c:pt idx="28">
                  <c:v>1.8053687932665968E-3</c:v>
                </c:pt>
                <c:pt idx="29">
                  <c:v>2.066835997808656E-3</c:v>
                </c:pt>
                <c:pt idx="30">
                  <c:v>1.4567458538771851E-3</c:v>
                </c:pt>
                <c:pt idx="31">
                  <c:v>1.2077294685990338E-3</c:v>
                </c:pt>
                <c:pt idx="32">
                  <c:v>1.2077294685990338E-3</c:v>
                </c:pt>
                <c:pt idx="33">
                  <c:v>8.3420489068180691E-4</c:v>
                </c:pt>
                <c:pt idx="34">
                  <c:v>8.0930325215399174E-4</c:v>
                </c:pt>
                <c:pt idx="35">
                  <c:v>7.7195079436226909E-4</c:v>
                </c:pt>
                <c:pt idx="36">
                  <c:v>9.3381144479306739E-4</c:v>
                </c:pt>
                <c:pt idx="37">
                  <c:v>8.2175407141789932E-4</c:v>
                </c:pt>
                <c:pt idx="38">
                  <c:v>8.3420489068180691E-4</c:v>
                </c:pt>
                <c:pt idx="39">
                  <c:v>7.4704915583445391E-4</c:v>
                </c:pt>
                <c:pt idx="40">
                  <c:v>7.8440161362617656E-4</c:v>
                </c:pt>
                <c:pt idx="41">
                  <c:v>5.7273768613974802E-4</c:v>
                </c:pt>
                <c:pt idx="42">
                  <c:v>3.2372130086159672E-4</c:v>
                </c:pt>
                <c:pt idx="43">
                  <c:v>2.490163852781513E-4</c:v>
                </c:pt>
                <c:pt idx="44">
                  <c:v>2.6146720454205889E-4</c:v>
                </c:pt>
                <c:pt idx="45">
                  <c:v>3.8597539718113454E-4</c:v>
                </c:pt>
                <c:pt idx="46">
                  <c:v>2.116639274864286E-4</c:v>
                </c:pt>
                <c:pt idx="47">
                  <c:v>2.9881966233378154E-4</c:v>
                </c:pt>
                <c:pt idx="48">
                  <c:v>2.8636884306987401E-4</c:v>
                </c:pt>
                <c:pt idx="49">
                  <c:v>1.6186065043079836E-4</c:v>
                </c:pt>
                <c:pt idx="50">
                  <c:v>1.1205737337516809E-4</c:v>
                </c:pt>
                <c:pt idx="51">
                  <c:v>1.3695901190298321E-4</c:v>
                </c:pt>
                <c:pt idx="52">
                  <c:v>1.6186065043079836E-4</c:v>
                </c:pt>
                <c:pt idx="53">
                  <c:v>7.4704915583445386E-5</c:v>
                </c:pt>
                <c:pt idx="54">
                  <c:v>7.4704915583445386E-5</c:v>
                </c:pt>
                <c:pt idx="55">
                  <c:v>1.2450819263907565E-5</c:v>
                </c:pt>
                <c:pt idx="56">
                  <c:v>2.490163852781513E-5</c:v>
                </c:pt>
                <c:pt idx="57">
                  <c:v>6.2254096319537826E-5</c:v>
                </c:pt>
                <c:pt idx="58">
                  <c:v>7.4704915583445386E-5</c:v>
                </c:pt>
                <c:pt idx="59">
                  <c:v>4.9803277055630259E-5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943000"/>
        <c:axId val="345937120"/>
      </c:lineChart>
      <c:catAx>
        <c:axId val="345943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345937120"/>
        <c:crosses val="autoZero"/>
        <c:auto val="1"/>
        <c:lblAlgn val="ctr"/>
        <c:lblOffset val="100"/>
        <c:tickLblSkip val="10"/>
        <c:noMultiLvlLbl val="0"/>
      </c:catAx>
      <c:valAx>
        <c:axId val="3459371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59430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3.0649427300152753E-2</c:v>
                </c:pt>
                <c:pt idx="2">
                  <c:v>2.6300879262539149E-2</c:v>
                </c:pt>
                <c:pt idx="3">
                  <c:v>5.4700651669930961E-2</c:v>
                </c:pt>
                <c:pt idx="4">
                  <c:v>3.3455092755320492E-2</c:v>
                </c:pt>
                <c:pt idx="5">
                  <c:v>0.1583528195019655</c:v>
                </c:pt>
                <c:pt idx="6">
                  <c:v>0.16502843933672787</c:v>
                </c:pt>
                <c:pt idx="7">
                  <c:v>6.6857579103781636E-2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1.4218219895559735E-2</c:v>
                </c:pt>
                <c:pt idx="12">
                  <c:v>2.0933802373305894E-2</c:v>
                </c:pt>
                <c:pt idx="13">
                  <c:v>1.2600547629575107E-2</c:v>
                </c:pt>
                <c:pt idx="14">
                  <c:v>4.6332673341479558E-3</c:v>
                </c:pt>
                <c:pt idx="15">
                  <c:v>1.6449025658535722E-2</c:v>
                </c:pt>
                <c:pt idx="16">
                  <c:v>0</c:v>
                </c:pt>
                <c:pt idx="17">
                  <c:v>4.7759352466640398E-2</c:v>
                </c:pt>
                <c:pt idx="18">
                  <c:v>6.6579741271417785E-3</c:v>
                </c:pt>
                <c:pt idx="19">
                  <c:v>7.7846505493331372E-2</c:v>
                </c:pt>
                <c:pt idx="20">
                  <c:v>2.871662246540372E-2</c:v>
                </c:pt>
                <c:pt idx="21">
                  <c:v>1.1824275997154635E-2</c:v>
                </c:pt>
                <c:pt idx="22">
                  <c:v>6.0311043489187609E-3</c:v>
                </c:pt>
                <c:pt idx="23">
                  <c:v>1.4059731082445298E-2</c:v>
                </c:pt>
                <c:pt idx="24">
                  <c:v>0</c:v>
                </c:pt>
                <c:pt idx="25">
                  <c:v>0</c:v>
                </c:pt>
                <c:pt idx="26">
                  <c:v>6.0171043265448074E-2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1.1845578480361385E-2</c:v>
                </c:pt>
                <c:pt idx="35">
                  <c:v>0</c:v>
                </c:pt>
                <c:pt idx="36">
                  <c:v>1.6877081903878554E-2</c:v>
                </c:pt>
                <c:pt idx="37">
                  <c:v>0</c:v>
                </c:pt>
                <c:pt idx="38">
                  <c:v>4.8902058959991827E-2</c:v>
                </c:pt>
                <c:pt idx="39">
                  <c:v>0</c:v>
                </c:pt>
                <c:pt idx="40">
                  <c:v>0</c:v>
                </c:pt>
                <c:pt idx="41">
                  <c:v>3.8721967181506355E-2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2.6406952406235078E-2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3.2011056327506351E-2</c:v>
                </c:pt>
                <c:pt idx="1">
                  <c:v>7.0758005876786698E-2</c:v>
                </c:pt>
                <c:pt idx="2">
                  <c:v>9.3767119876487878E-2</c:v>
                </c:pt>
                <c:pt idx="3">
                  <c:v>0.10380248020319736</c:v>
                </c:pt>
                <c:pt idx="4">
                  <c:v>8.2461775984859806E-2</c:v>
                </c:pt>
                <c:pt idx="5">
                  <c:v>4.9915334429005427E-2</c:v>
                </c:pt>
                <c:pt idx="6">
                  <c:v>3.811195776682106E-2</c:v>
                </c:pt>
                <c:pt idx="7">
                  <c:v>3.2172916977937151E-2</c:v>
                </c:pt>
                <c:pt idx="8">
                  <c:v>2.7043179441207231E-2</c:v>
                </c:pt>
                <c:pt idx="9">
                  <c:v>2.3581851685840927E-2</c:v>
                </c:pt>
                <c:pt idx="10">
                  <c:v>2.1141491110115044E-2</c:v>
                </c:pt>
                <c:pt idx="11">
                  <c:v>1.72817371383037E-2</c:v>
                </c:pt>
                <c:pt idx="12">
                  <c:v>1.3347278250908911E-2</c:v>
                </c:pt>
                <c:pt idx="13">
                  <c:v>1.2176901240101599E-2</c:v>
                </c:pt>
                <c:pt idx="14">
                  <c:v>8.2797948104985312E-3</c:v>
                </c:pt>
                <c:pt idx="15">
                  <c:v>7.6074505702475219E-3</c:v>
                </c:pt>
                <c:pt idx="16">
                  <c:v>7.2712784501220177E-3</c:v>
                </c:pt>
                <c:pt idx="17">
                  <c:v>8.5163603765127747E-3</c:v>
                </c:pt>
                <c:pt idx="18">
                  <c:v>3.5771203745206433E-2</c:v>
                </c:pt>
                <c:pt idx="19">
                  <c:v>2.8051695801583745E-2</c:v>
                </c:pt>
                <c:pt idx="20">
                  <c:v>2.4216843468300213E-2</c:v>
                </c:pt>
                <c:pt idx="21">
                  <c:v>2.3258130384979332E-2</c:v>
                </c:pt>
                <c:pt idx="22">
                  <c:v>2.592260570745555E-2</c:v>
                </c:pt>
                <c:pt idx="23">
                  <c:v>1.9423278051695803E-2</c:v>
                </c:pt>
                <c:pt idx="24">
                  <c:v>1.9572687882862691E-2</c:v>
                </c:pt>
                <c:pt idx="25">
                  <c:v>1.7207032222720256E-2</c:v>
                </c:pt>
                <c:pt idx="26">
                  <c:v>1.3011106130783406E-2</c:v>
                </c:pt>
                <c:pt idx="27">
                  <c:v>1.2251606155685045E-2</c:v>
                </c:pt>
                <c:pt idx="28">
                  <c:v>1.1853179939240002E-2</c:v>
                </c:pt>
                <c:pt idx="29">
                  <c:v>1.140495044573933E-2</c:v>
                </c:pt>
                <c:pt idx="30">
                  <c:v>9.8734996762786988E-3</c:v>
                </c:pt>
                <c:pt idx="31">
                  <c:v>9.1139997011803371E-3</c:v>
                </c:pt>
                <c:pt idx="32">
                  <c:v>9.2509587130833217E-3</c:v>
                </c:pt>
                <c:pt idx="33">
                  <c:v>8.0681308830121024E-3</c:v>
                </c:pt>
                <c:pt idx="34">
                  <c:v>7.6697046665670605E-3</c:v>
                </c:pt>
                <c:pt idx="35">
                  <c:v>7.2214751730663874E-3</c:v>
                </c:pt>
                <c:pt idx="36">
                  <c:v>6.1382538971064297E-3</c:v>
                </c:pt>
                <c:pt idx="37">
                  <c:v>5.9016883310921862E-3</c:v>
                </c:pt>
                <c:pt idx="38">
                  <c:v>4.7811145973405047E-3</c:v>
                </c:pt>
                <c:pt idx="39">
                  <c:v>4.2332785497285717E-3</c:v>
                </c:pt>
                <c:pt idx="40">
                  <c:v>3.2496638278798743E-3</c:v>
                </c:pt>
                <c:pt idx="41">
                  <c:v>3.237213008615967E-3</c:v>
                </c:pt>
                <c:pt idx="42">
                  <c:v>3.0255490811295382E-3</c:v>
                </c:pt>
                <c:pt idx="43">
                  <c:v>2.3905572986702523E-3</c:v>
                </c:pt>
                <c:pt idx="44">
                  <c:v>2.5773195876288659E-3</c:v>
                </c:pt>
                <c:pt idx="45">
                  <c:v>1.9423278051695801E-3</c:v>
                </c:pt>
                <c:pt idx="46">
                  <c:v>1.7929179740026895E-3</c:v>
                </c:pt>
                <c:pt idx="47">
                  <c:v>1.9796802629613031E-3</c:v>
                </c:pt>
                <c:pt idx="48">
                  <c:v>1.1703770108073112E-3</c:v>
                </c:pt>
                <c:pt idx="49">
                  <c:v>1.4069425768215549E-3</c:v>
                </c:pt>
                <c:pt idx="50">
                  <c:v>1.4567458538771851E-3</c:v>
                </c:pt>
                <c:pt idx="51">
                  <c:v>1.4816474924050002E-3</c:v>
                </c:pt>
                <c:pt idx="52">
                  <c:v>1.033417998904328E-3</c:v>
                </c:pt>
                <c:pt idx="53">
                  <c:v>9.0890980626525222E-4</c:v>
                </c:pt>
                <c:pt idx="54">
                  <c:v>1.0583196374321429E-3</c:v>
                </c:pt>
                <c:pt idx="55">
                  <c:v>6.8479505951491609E-4</c:v>
                </c:pt>
                <c:pt idx="56">
                  <c:v>8.2175407141789932E-4</c:v>
                </c:pt>
                <c:pt idx="57">
                  <c:v>8.0930325215399174E-4</c:v>
                </c:pt>
                <c:pt idx="58">
                  <c:v>7.3459833657054632E-4</c:v>
                </c:pt>
                <c:pt idx="59">
                  <c:v>5.2293440908411778E-4</c:v>
                </c:pt>
                <c:pt idx="60">
                  <c:v>4.3577867423676478E-4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939472"/>
        <c:axId val="345937904"/>
      </c:lineChart>
      <c:catAx>
        <c:axId val="345939472"/>
        <c:scaling>
          <c:orientation val="minMax"/>
        </c:scaling>
        <c:delete val="0"/>
        <c:axPos val="b"/>
        <c:majorTickMark val="none"/>
        <c:minorTickMark val="none"/>
        <c:tickLblPos val="nextTo"/>
        <c:crossAx val="345937904"/>
        <c:crosses val="autoZero"/>
        <c:auto val="1"/>
        <c:lblAlgn val="ctr"/>
        <c:lblOffset val="100"/>
        <c:tickLblSkip val="10"/>
        <c:noMultiLvlLbl val="0"/>
      </c:catAx>
      <c:valAx>
        <c:axId val="3459379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59394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2"/>
  <sheetViews>
    <sheetView topLeftCell="C1" workbookViewId="0">
      <selection activeCell="O29" sqref="O29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247</v>
      </c>
    </row>
    <row r="3" spans="1:18" x14ac:dyDescent="0.25">
      <c r="A3" t="s">
        <v>248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20" t="n">
        <v>8173.3818460509</v>
      </c>
      <c r="C11" s="520" t="n">
        <v>38.3193439039</v>
      </c>
      <c r="D11" s="520" t="n">
        <v>0.0</v>
      </c>
      <c r="E11" s="520">
        <f>SUM(B11:D11)</f>
        <v>8211.7011899547997</v>
      </c>
      <c r="F11" s="21">
        <f>E11/$E$102</f>
        <v>0.36720872356501844</v>
      </c>
      <c r="H11" s="23">
        <v>0</v>
      </c>
      <c r="I11" s="522" t="n">
        <v>25289.0</v>
      </c>
      <c r="J11" s="522" t="n">
        <v>2106.0</v>
      </c>
      <c r="K11" s="522" t="n">
        <v>2194.0</v>
      </c>
      <c r="L11" s="520">
        <f>SUM(I11:K11)</f>
        <v>29409</v>
      </c>
      <c r="M11" s="21">
        <f>L11/$L$102</f>
        <v>0.36616614373225759</v>
      </c>
      <c r="P11" t="s">
        <v>9</v>
      </c>
      <c r="Q11" s="8" t="n">
        <v>4.541569439734806</v>
      </c>
      <c r="R11" s="8" t="n">
        <v>5.142710219842953</v>
      </c>
    </row>
    <row r="12" spans="1:18" x14ac:dyDescent="0.25">
      <c r="A12">
        <v>1</v>
      </c>
      <c r="B12" s="520" t="n">
        <v>3222.796531946</v>
      </c>
      <c r="C12" s="520" t="n">
        <v>282.581394172</v>
      </c>
      <c r="D12" s="520" t="n">
        <v>0.0</v>
      </c>
      <c r="E12" s="520">
        <f ref="E12:E75" si="0" t="shared">SUM(B12:D12)</f>
        <v>3505.3779261179998</v>
      </c>
      <c r="F12" s="21">
        <f ref="F12:F75" si="1" t="shared">E12/$E$102</f>
        <v>0.15675258074872395</v>
      </c>
      <c r="H12" s="24">
        <v>1</v>
      </c>
      <c r="I12" s="522" t="n">
        <v>7141.0</v>
      </c>
      <c r="J12" s="522" t="n">
        <v>763.0</v>
      </c>
      <c r="K12" s="522" t="n">
        <v>764.0</v>
      </c>
      <c r="L12" s="520">
        <f ref="L12:L75" si="2" t="shared">SUM(I12:K12)</f>
        <v>8848</v>
      </c>
      <c r="M12" s="21">
        <f ref="M12:M75" si="3" t="shared">L12/$L$102</f>
        <v>0.11016484884705413</v>
      </c>
      <c r="P12" t="s">
        <v>10</v>
      </c>
      <c r="Q12" s="8" t="n">
        <v>1.481210467458019</v>
      </c>
      <c r="R12" s="8" t="n">
        <v>5.251214472858439</v>
      </c>
    </row>
    <row r="13" spans="1:18" x14ac:dyDescent="0.25">
      <c r="A13">
        <v>2</v>
      </c>
      <c r="B13" s="520" t="n">
        <v>1160.6349405275</v>
      </c>
      <c r="C13" s="520" t="n">
        <v>371.518941673</v>
      </c>
      <c r="D13" s="520" t="n">
        <v>0.0</v>
      </c>
      <c r="E13" s="520">
        <f si="0" t="shared"/>
        <v>1532.1538822005</v>
      </c>
      <c r="F13" s="21">
        <f si="1" t="shared"/>
        <v>6.8514459838879035E-2</v>
      </c>
      <c r="H13" s="25">
        <v>2</v>
      </c>
      <c r="I13" s="522" t="n">
        <v>4293.0</v>
      </c>
      <c r="J13" s="522" t="n">
        <v>447.0</v>
      </c>
      <c r="K13" s="522" t="n">
        <v>425.0</v>
      </c>
      <c r="L13" s="520">
        <f si="2" t="shared"/>
        <v>5428</v>
      </c>
      <c r="M13" s="21">
        <f si="3" t="shared"/>
        <v>6.7583046964490259E-2</v>
      </c>
      <c r="P13" s="6" t="s">
        <v>11</v>
      </c>
      <c r="Q13" s="11" t="n">
        <v>0.0</v>
      </c>
      <c r="R13" s="11" t="n">
        <v>4.888606952040669</v>
      </c>
    </row>
    <row ht="15.75" r="14" spans="1:18" thickBot="1" x14ac:dyDescent="0.3">
      <c r="A14">
        <v>3</v>
      </c>
      <c r="B14" s="520" t="n">
        <v>1498.7073236924</v>
      </c>
      <c r="C14" s="520" t="n">
        <v>0.0</v>
      </c>
      <c r="D14" s="520" t="n">
        <v>0.0</v>
      </c>
      <c r="E14" s="520">
        <f si="0" t="shared"/>
        <v>1498.7073236924</v>
      </c>
      <c r="F14" s="21">
        <f si="1" t="shared"/>
        <v>6.7018805312089105E-2</v>
      </c>
      <c r="H14" s="26">
        <v>3</v>
      </c>
      <c r="I14" s="522" t="n">
        <v>2832.0</v>
      </c>
      <c r="J14" s="522" t="n">
        <v>320.0</v>
      </c>
      <c r="K14" s="522" t="n">
        <v>330.0</v>
      </c>
      <c r="L14" s="520">
        <f si="2" t="shared"/>
        <v>3533</v>
      </c>
      <c r="M14" s="21">
        <f si="3" t="shared"/>
        <v>4.3988744459385429E-2</v>
      </c>
      <c r="P14" s="1" t="s">
        <v>4</v>
      </c>
      <c r="Q14" s="9" t="n">
        <v>4.446810187257477</v>
      </c>
      <c r="R14" s="9" t="n">
        <v>5.130998014788579</v>
      </c>
    </row>
    <row r="15" spans="1:18" x14ac:dyDescent="0.25">
      <c r="A15">
        <v>4</v>
      </c>
      <c r="B15" s="520" t="n">
        <v>912.4050225668</v>
      </c>
      <c r="C15" s="520" t="n">
        <v>0.0</v>
      </c>
      <c r="D15" s="520" t="n">
        <v>0.0</v>
      </c>
      <c r="E15" s="520">
        <f si="0" t="shared"/>
        <v>912.40502256679997</v>
      </c>
      <c r="F15" s="21">
        <f si="1" t="shared"/>
        <v>4.080069110660256E-2</v>
      </c>
      <c r="H15" s="27">
        <v>4</v>
      </c>
      <c r="I15" s="522" t="n">
        <v>5522.0</v>
      </c>
      <c r="J15" s="522" t="n">
        <v>590.0</v>
      </c>
      <c r="K15" s="522" t="n">
        <v>620.0</v>
      </c>
      <c r="L15" s="520">
        <f si="2" t="shared"/>
        <v>6714</v>
      </c>
      <c r="M15" s="21">
        <f si="3" t="shared"/>
        <v>8.3594800537875394E-2</v>
      </c>
    </row>
    <row r="16" spans="1:18" x14ac:dyDescent="0.25">
      <c r="A16">
        <v>5</v>
      </c>
      <c r="B16" s="520" t="n">
        <v>1696.329204124</v>
      </c>
      <c r="C16" s="520" t="n">
        <v>0.0</v>
      </c>
      <c r="D16" s="520" t="n">
        <v>0.0</v>
      </c>
      <c r="E16" s="520">
        <f si="0" t="shared"/>
        <v>1696.3292041239999</v>
      </c>
      <c r="F16" s="21">
        <f si="1" t="shared"/>
        <v>7.5856009294934704E-2</v>
      </c>
      <c r="H16" s="28">
        <v>5</v>
      </c>
      <c r="I16" s="522" t="n">
        <v>3594.0</v>
      </c>
      <c r="J16" s="522" t="n">
        <v>360.0</v>
      </c>
      <c r="K16" s="522" t="n">
        <v>367.0</v>
      </c>
      <c r="L16" s="520">
        <f si="2" t="shared"/>
        <v>4506</v>
      </c>
      <c r="M16" s="21">
        <f si="3" t="shared"/>
        <v>5.6103391603167491E-2</v>
      </c>
    </row>
    <row r="17" spans="1:13" x14ac:dyDescent="0.25">
      <c r="A17">
        <v>6</v>
      </c>
      <c r="B17" s="520" t="n">
        <v>578.830834063</v>
      </c>
      <c r="C17" s="520" t="n">
        <v>0.0</v>
      </c>
      <c r="D17" s="520" t="n">
        <v>0.0</v>
      </c>
      <c r="E17" s="520">
        <f si="0" t="shared"/>
        <v>578.830834063</v>
      </c>
      <c r="F17" s="21">
        <f si="1" t="shared"/>
        <v>2.5884007079599935E-2</v>
      </c>
      <c r="H17" s="29">
        <v>6</v>
      </c>
      <c r="I17" s="522" t="n">
        <v>2908.0</v>
      </c>
      <c r="J17" s="522" t="n">
        <v>306.0</v>
      </c>
      <c r="K17" s="522" t="n">
        <v>332.0</v>
      </c>
      <c r="L17" s="520">
        <f si="2" t="shared"/>
        <v>3495</v>
      </c>
      <c r="M17" s="21">
        <f si="3" t="shared"/>
        <v>4.3515613327356942E-2</v>
      </c>
    </row>
    <row r="18" spans="1:13" x14ac:dyDescent="0.25">
      <c r="A18">
        <v>7</v>
      </c>
      <c r="B18" s="520" t="n">
        <v>0.0</v>
      </c>
      <c r="C18" s="520" t="n">
        <v>0.0</v>
      </c>
      <c r="D18" s="520" t="n">
        <v>0.0</v>
      </c>
      <c r="E18" s="520">
        <f si="0" t="shared"/>
        <v>0</v>
      </c>
      <c r="F18" s="21">
        <f si="1" t="shared"/>
        <v>0</v>
      </c>
      <c r="H18" s="30">
        <v>7</v>
      </c>
      <c r="I18" s="522" t="n">
        <v>1591.0</v>
      </c>
      <c r="J18" s="522" t="n">
        <v>181.0</v>
      </c>
      <c r="K18" s="522" t="n">
        <v>179.0</v>
      </c>
      <c r="L18" s="520">
        <f si="2" t="shared"/>
        <v>2081</v>
      </c>
      <c r="M18" s="21">
        <f si="3" t="shared"/>
        <v>2.5910154888191643E-2</v>
      </c>
    </row>
    <row r="19" spans="1:13" x14ac:dyDescent="0.25">
      <c r="A19">
        <v>8</v>
      </c>
      <c r="B19" s="520" t="n">
        <v>0.0</v>
      </c>
      <c r="C19" s="520" t="n">
        <v>0.0</v>
      </c>
      <c r="D19" s="520" t="n">
        <v>0.0</v>
      </c>
      <c r="E19" s="520">
        <f si="0" t="shared"/>
        <v>0</v>
      </c>
      <c r="F19" s="21">
        <f si="1" t="shared"/>
        <v>0</v>
      </c>
      <c r="H19" s="31">
        <v>8</v>
      </c>
      <c r="I19" s="522" t="n">
        <v>1515.0</v>
      </c>
      <c r="J19" s="522" t="n">
        <v>173.0</v>
      </c>
      <c r="K19" s="522" t="n">
        <v>151.0</v>
      </c>
      <c r="L19" s="520">
        <f si="2" t="shared"/>
        <v>1932</v>
      </c>
      <c r="M19" s="21">
        <f si="3" t="shared"/>
        <v>2.4054982817869417E-2</v>
      </c>
    </row>
    <row r="20" spans="1:13" x14ac:dyDescent="0.25">
      <c r="A20">
        <v>9</v>
      </c>
      <c r="B20" s="520" t="n">
        <v>344.737652501</v>
      </c>
      <c r="C20" s="520" t="n">
        <v>0.0</v>
      </c>
      <c r="D20" s="520" t="n">
        <v>0.0</v>
      </c>
      <c r="E20" s="520">
        <f si="0" t="shared"/>
        <v>344.73765250100001</v>
      </c>
      <c r="F20" s="21">
        <f si="1" t="shared"/>
        <v>1.5415888914047287E-2</v>
      </c>
      <c r="H20" s="32">
        <v>9</v>
      </c>
      <c r="I20" s="522" t="n">
        <v>1013.0</v>
      </c>
      <c r="J20" s="522" t="n">
        <v>108.0</v>
      </c>
      <c r="K20" s="522" t="n">
        <v>117.0</v>
      </c>
      <c r="L20" s="520">
        <f si="2" t="shared"/>
        <v>1279</v>
      </c>
      <c r="M20" s="21">
        <f si="3" t="shared"/>
        <v>1.5924597838537776E-2</v>
      </c>
    </row>
    <row r="21" spans="1:13" x14ac:dyDescent="0.25">
      <c r="A21">
        <v>10</v>
      </c>
      <c r="B21" s="520" t="n">
        <v>134.8705071</v>
      </c>
      <c r="C21" s="520" t="n">
        <v>0.0</v>
      </c>
      <c r="D21" s="520" t="n">
        <v>0.0</v>
      </c>
      <c r="E21" s="520">
        <f si="0" t="shared"/>
        <v>134.8705071</v>
      </c>
      <c r="F21" s="21">
        <f si="1" t="shared"/>
        <v>6.0311043489187609E-3</v>
      </c>
      <c r="H21" s="33">
        <v>10</v>
      </c>
      <c r="I21" s="522" t="n">
        <v>848.0</v>
      </c>
      <c r="J21" s="522" t="n">
        <v>92.0</v>
      </c>
      <c r="K21" s="522" t="n">
        <v>93.0</v>
      </c>
      <c r="L21" s="520">
        <f si="2" t="shared"/>
        <v>1053</v>
      </c>
      <c r="M21" s="21">
        <f si="3" t="shared"/>
        <v>1.3110712684894665E-2</v>
      </c>
    </row>
    <row r="22" spans="1:13" x14ac:dyDescent="0.25">
      <c r="A22">
        <v>11</v>
      </c>
      <c r="B22" s="520" t="n">
        <v>0.0</v>
      </c>
      <c r="C22" s="520" t="n">
        <v>0.0</v>
      </c>
      <c r="D22" s="520" t="n">
        <v>0.0</v>
      </c>
      <c r="E22" s="520">
        <f si="0" t="shared"/>
        <v>0</v>
      </c>
      <c r="F22" s="21">
        <f si="1" t="shared"/>
        <v>0</v>
      </c>
      <c r="H22" s="34">
        <v>11</v>
      </c>
      <c r="I22" s="522" t="n">
        <v>929.0</v>
      </c>
      <c r="J22" s="522" t="n">
        <v>112.0</v>
      </c>
      <c r="K22" s="522" t="n">
        <v>79.0</v>
      </c>
      <c r="L22" s="520">
        <f si="2" t="shared"/>
        <v>1178</v>
      </c>
      <c r="M22" s="21">
        <f si="3" t="shared"/>
        <v>1.4667065092883111E-2</v>
      </c>
    </row>
    <row r="23" spans="1:13" x14ac:dyDescent="0.25">
      <c r="A23">
        <v>12</v>
      </c>
      <c r="B23" s="520" t="n">
        <v>0.0</v>
      </c>
      <c r="C23" s="520" t="n">
        <v>0.0</v>
      </c>
      <c r="D23" s="520" t="n">
        <v>0.0</v>
      </c>
      <c r="E23" s="520">
        <f si="0" t="shared"/>
        <v>0</v>
      </c>
      <c r="F23" s="21">
        <f si="1" t="shared"/>
        <v>0</v>
      </c>
      <c r="H23" s="35">
        <v>12</v>
      </c>
      <c r="I23" s="522" t="n">
        <v>957.0</v>
      </c>
      <c r="J23" s="522" t="n">
        <v>120.0</v>
      </c>
      <c r="K23" s="522" t="n">
        <v>90.0</v>
      </c>
      <c r="L23" s="520">
        <f si="2" t="shared"/>
        <v>1214</v>
      </c>
      <c r="M23" s="21">
        <f si="3" t="shared"/>
        <v>1.5115294586383785E-2</v>
      </c>
    </row>
    <row r="24" spans="1:13" x14ac:dyDescent="0.25">
      <c r="A24">
        <v>13</v>
      </c>
      <c r="B24" s="520" t="n">
        <v>1345.57431748</v>
      </c>
      <c r="C24" s="520" t="n">
        <v>0.0</v>
      </c>
      <c r="D24" s="520" t="n">
        <v>0.0</v>
      </c>
      <c r="E24" s="520">
        <f si="0" t="shared"/>
        <v>1345.57431748</v>
      </c>
      <c r="F24" s="21">
        <f si="1" t="shared"/>
        <v>6.0171043265448074E-2</v>
      </c>
      <c r="H24" s="36">
        <v>13</v>
      </c>
      <c r="I24" s="522" t="n">
        <v>884.0</v>
      </c>
      <c r="J24" s="522" t="n">
        <v>87.0</v>
      </c>
      <c r="K24" s="522" t="n">
        <v>91.0</v>
      </c>
      <c r="L24" s="520">
        <f si="2" t="shared"/>
        <v>1077</v>
      </c>
      <c r="M24" s="21">
        <f si="3" t="shared"/>
        <v>1.3409532347228447E-2</v>
      </c>
    </row>
    <row r="25" spans="1:13" x14ac:dyDescent="0.25">
      <c r="A25">
        <v>14</v>
      </c>
      <c r="B25" s="520" t="n">
        <v>377.413565254</v>
      </c>
      <c r="C25" s="520" t="n">
        <v>0.0</v>
      </c>
      <c r="D25" s="520" t="n">
        <v>0.0</v>
      </c>
      <c r="E25" s="520">
        <f si="0" t="shared"/>
        <v>377.41356525399999</v>
      </c>
      <c r="F25" s="21">
        <f si="1" t="shared"/>
        <v>1.6877081903878554E-2</v>
      </c>
      <c r="H25" s="37">
        <v>14</v>
      </c>
      <c r="I25" s="522" t="n">
        <v>759.0</v>
      </c>
      <c r="J25" s="522" t="n">
        <v>83.0</v>
      </c>
      <c r="K25" s="522" t="n">
        <v>72.0</v>
      </c>
      <c r="L25" s="520">
        <f si="2" t="shared"/>
        <v>911</v>
      </c>
      <c r="M25" s="21">
        <f si="3" t="shared"/>
        <v>1.1342696349419791E-2</v>
      </c>
    </row>
    <row r="26" spans="1:13" x14ac:dyDescent="0.25">
      <c r="A26">
        <v>15</v>
      </c>
      <c r="B26" s="520" t="n">
        <v>0.0</v>
      </c>
      <c r="C26" s="520" t="n">
        <v>0.0</v>
      </c>
      <c r="D26" s="520" t="n">
        <v>0.0</v>
      </c>
      <c r="E26" s="520">
        <f si="0" t="shared"/>
        <v>0</v>
      </c>
      <c r="F26" s="21">
        <f si="1" t="shared"/>
        <v>0</v>
      </c>
      <c r="H26" s="38">
        <v>15</v>
      </c>
      <c r="I26" s="522" t="n">
        <v>782.0</v>
      </c>
      <c r="J26" s="522" t="n">
        <v>74.0</v>
      </c>
      <c r="K26" s="522" t="n">
        <v>60.0</v>
      </c>
      <c r="L26" s="520">
        <f si="2" t="shared"/>
        <v>925</v>
      </c>
      <c r="M26" s="21">
        <f si="3" t="shared"/>
        <v>1.1517007819114498E-2</v>
      </c>
    </row>
    <row r="27" spans="1:13" x14ac:dyDescent="0.25">
      <c r="A27">
        <v>16</v>
      </c>
      <c r="B27" s="520" t="n">
        <v>0.0</v>
      </c>
      <c r="C27" s="520" t="n">
        <v>0.0</v>
      </c>
      <c r="D27" s="520" t="n">
        <v>0.0</v>
      </c>
      <c r="E27" s="520">
        <f si="0" t="shared"/>
        <v>0</v>
      </c>
      <c r="F27" s="21">
        <f si="1" t="shared"/>
        <v>0</v>
      </c>
      <c r="H27" s="39">
        <v>16</v>
      </c>
      <c r="I27" s="522" t="n">
        <v>767.0</v>
      </c>
      <c r="J27" s="522" t="n">
        <v>62.0</v>
      </c>
      <c r="K27" s="522" t="n">
        <v>71.0</v>
      </c>
      <c r="L27" s="520">
        <f si="2" t="shared"/>
        <v>905</v>
      </c>
      <c r="M27" s="21">
        <f si="3" t="shared"/>
        <v>1.1267991433836347E-2</v>
      </c>
    </row>
    <row r="28" spans="1:13" x14ac:dyDescent="0.25">
      <c r="A28">
        <v>17</v>
      </c>
      <c r="B28" s="520" t="n">
        <v>0.0</v>
      </c>
      <c r="C28" s="520" t="n">
        <v>0.0</v>
      </c>
      <c r="D28" s="520" t="n">
        <v>0.0</v>
      </c>
      <c r="E28" s="520">
        <f si="0" t="shared"/>
        <v>0</v>
      </c>
      <c r="F28" s="21">
        <f si="1" t="shared"/>
        <v>0</v>
      </c>
      <c r="H28" s="40">
        <v>17</v>
      </c>
      <c r="I28" s="522" t="n">
        <v>565.0</v>
      </c>
      <c r="J28" s="522" t="n">
        <v>66.0</v>
      </c>
      <c r="K28" s="522" t="n">
        <v>64.0</v>
      </c>
      <c r="L28" s="520">
        <f si="2" t="shared"/>
        <v>721</v>
      </c>
      <c r="M28" s="21">
        <f si="3" t="shared"/>
        <v>8.9770406892773543E-3</v>
      </c>
    </row>
    <row r="29" spans="1:13" x14ac:dyDescent="0.25">
      <c r="A29">
        <v>18</v>
      </c>
      <c r="B29" s="520" t="n">
        <v>0.0</v>
      </c>
      <c r="C29" s="520" t="n">
        <v>0.0</v>
      </c>
      <c r="D29" s="520" t="n">
        <v>0.0</v>
      </c>
      <c r="E29" s="520">
        <f si="0" t="shared"/>
        <v>0</v>
      </c>
      <c r="F29" s="21">
        <f si="1" t="shared"/>
        <v>0</v>
      </c>
      <c r="H29" s="41">
        <v>18</v>
      </c>
      <c r="I29" s="522" t="n">
        <v>573.0</v>
      </c>
      <c r="J29" s="522" t="n">
        <v>55.0</v>
      </c>
      <c r="K29" s="522" t="n">
        <v>45.0</v>
      </c>
      <c r="L29" s="520">
        <f si="2" t="shared"/>
        <v>633</v>
      </c>
      <c r="M29" s="21">
        <f si="3" t="shared"/>
        <v>7.8813685940534884E-3</v>
      </c>
    </row>
    <row r="30" spans="1:13" x14ac:dyDescent="0.25">
      <c r="A30">
        <v>19</v>
      </c>
      <c r="B30" s="520" t="n">
        <v>1130.8162040739999</v>
      </c>
      <c r="C30" s="520" t="n">
        <v>0.0</v>
      </c>
      <c r="D30" s="520" t="n">
        <v>0.0</v>
      </c>
      <c r="E30" s="520">
        <f si="0" t="shared"/>
        <v>1130.8162040739999</v>
      </c>
      <c r="F30" s="21">
        <f si="1" t="shared"/>
        <v>5.0567545661867733E-2</v>
      </c>
      <c r="H30" s="42">
        <v>19</v>
      </c>
      <c r="I30" s="522" t="n">
        <v>511.0</v>
      </c>
      <c r="J30" s="522" t="n">
        <v>50.0</v>
      </c>
      <c r="K30" s="522" t="n">
        <v>33.0</v>
      </c>
      <c r="L30" s="520">
        <f si="2" t="shared"/>
        <v>542</v>
      </c>
      <c r="M30" s="21">
        <f si="3" t="shared"/>
        <v>6.7483440410379004E-3</v>
      </c>
    </row>
    <row r="31" spans="1:13" x14ac:dyDescent="0.25">
      <c r="A31">
        <v>20</v>
      </c>
      <c r="B31" s="520" t="n">
        <v>0.0</v>
      </c>
      <c r="C31" s="520" t="n">
        <v>0.0</v>
      </c>
      <c r="D31" s="520" t="n">
        <v>0.0</v>
      </c>
      <c r="E31" s="520">
        <f si="0" t="shared"/>
        <v>0</v>
      </c>
      <c r="F31" s="21">
        <f si="1" t="shared"/>
        <v>0</v>
      </c>
      <c r="H31" s="43">
        <v>20</v>
      </c>
      <c r="I31" s="522" t="n">
        <v>474.0</v>
      </c>
      <c r="J31" s="522" t="n">
        <v>35.0</v>
      </c>
      <c r="K31" s="522" t="n">
        <v>43.0</v>
      </c>
      <c r="L31" s="520">
        <f si="2" t="shared"/>
        <v>534</v>
      </c>
      <c r="M31" s="21">
        <f si="3" t="shared"/>
        <v>6.6487374869266397E-3</v>
      </c>
    </row>
    <row r="32" spans="1:13" x14ac:dyDescent="0.25">
      <c r="A32">
        <v>21</v>
      </c>
      <c r="B32" s="520" t="n">
        <v>0.0</v>
      </c>
      <c r="C32" s="520" t="n">
        <v>0.0</v>
      </c>
      <c r="D32" s="520" t="n">
        <v>0.0</v>
      </c>
      <c r="E32" s="520">
        <f si="0" t="shared"/>
        <v>0</v>
      </c>
      <c r="F32" s="21">
        <f si="1" t="shared"/>
        <v>0</v>
      </c>
      <c r="H32" s="44">
        <v>21</v>
      </c>
      <c r="I32" s="522" t="n">
        <v>365.0</v>
      </c>
      <c r="J32" s="522" t="n">
        <v>28.0</v>
      </c>
      <c r="K32" s="522" t="n">
        <v>28.0</v>
      </c>
      <c r="L32" s="520">
        <f si="2" t="shared"/>
        <v>375</v>
      </c>
      <c r="M32" s="21">
        <f si="3" t="shared"/>
        <v>4.6690572239653366E-3</v>
      </c>
    </row>
    <row r="33" spans="1:13" x14ac:dyDescent="0.25">
      <c r="A33">
        <v>22</v>
      </c>
      <c r="B33" s="520" t="n">
        <v>1093.57177535</v>
      </c>
      <c r="C33" s="520" t="n">
        <v>0.0</v>
      </c>
      <c r="D33" s="520" t="n">
        <v>0.0</v>
      </c>
      <c r="E33" s="520">
        <f si="0" t="shared"/>
        <v>1093.5717753500001</v>
      </c>
      <c r="F33" s="21">
        <f si="1" t="shared"/>
        <v>4.8902058959991827E-2</v>
      </c>
      <c r="H33" s="45">
        <v>22</v>
      </c>
      <c r="I33" s="522" t="n">
        <v>328.0</v>
      </c>
      <c r="J33" s="522" t="n">
        <v>40.0</v>
      </c>
      <c r="K33" s="522" t="n">
        <v>22.0</v>
      </c>
      <c r="L33" s="520">
        <f si="2" t="shared"/>
        <v>413</v>
      </c>
      <c r="M33" s="21">
        <f si="3" t="shared"/>
        <v>5.1421883559938245E-3</v>
      </c>
    </row>
    <row r="34" spans="1:13" x14ac:dyDescent="0.25">
      <c r="A34">
        <v>23</v>
      </c>
      <c r="B34" s="520" t="n">
        <v>0.0</v>
      </c>
      <c r="C34" s="520" t="n">
        <v>0.0</v>
      </c>
      <c r="D34" s="520" t="n">
        <v>0.0</v>
      </c>
      <c r="E34" s="520">
        <f si="0" t="shared"/>
        <v>0</v>
      </c>
      <c r="F34" s="21">
        <f si="1" t="shared"/>
        <v>0</v>
      </c>
      <c r="H34" s="46">
        <v>23</v>
      </c>
      <c r="I34" s="522" t="n">
        <v>312.0</v>
      </c>
      <c r="J34" s="522" t="n">
        <v>19.0</v>
      </c>
      <c r="K34" s="522" t="n">
        <v>17.0</v>
      </c>
      <c r="L34" s="520">
        <f si="2" t="shared"/>
        <v>353</v>
      </c>
      <c r="M34" s="21">
        <f si="3" t="shared"/>
        <v>4.3951392001593701E-3</v>
      </c>
    </row>
    <row r="35" spans="1:13" x14ac:dyDescent="0.25">
      <c r="A35">
        <v>24</v>
      </c>
      <c r="B35" s="520" t="n">
        <v>0.0</v>
      </c>
      <c r="C35" s="520" t="n">
        <v>0.0</v>
      </c>
      <c r="D35" s="520" t="n">
        <v>0.0</v>
      </c>
      <c r="E35" s="520">
        <f si="0" t="shared"/>
        <v>0</v>
      </c>
      <c r="F35" s="21">
        <f si="1" t="shared"/>
        <v>0</v>
      </c>
      <c r="H35" s="47">
        <v>24</v>
      </c>
      <c r="I35" s="522" t="n">
        <v>242.0</v>
      </c>
      <c r="J35" s="522" t="n">
        <v>18.0</v>
      </c>
      <c r="K35" s="522" t="n">
        <v>11.0</v>
      </c>
      <c r="L35" s="520">
        <f si="2" t="shared"/>
        <v>255</v>
      </c>
      <c r="M35" s="21">
        <f si="3" t="shared"/>
        <v>3.1749589122964292E-3</v>
      </c>
    </row>
    <row r="36" spans="1:13" x14ac:dyDescent="0.25">
      <c r="A36">
        <v>25</v>
      </c>
      <c r="B36" s="520" t="n">
        <v>0.0</v>
      </c>
      <c r="C36" s="520" t="n">
        <v>0.0</v>
      </c>
      <c r="D36" s="520" t="n">
        <v>0.0</v>
      </c>
      <c r="E36" s="520">
        <f si="0" t="shared"/>
        <v>0</v>
      </c>
      <c r="F36" s="21">
        <f si="1" t="shared"/>
        <v>0</v>
      </c>
      <c r="H36" s="48">
        <v>25</v>
      </c>
      <c r="I36" s="522" t="n">
        <v>193.0</v>
      </c>
      <c r="J36" s="522" t="n">
        <v>21.0</v>
      </c>
      <c r="K36" s="522" t="n">
        <v>14.0</v>
      </c>
      <c r="L36" s="520">
        <f si="2" t="shared"/>
        <v>223</v>
      </c>
      <c r="M36" s="21">
        <f si="3" t="shared"/>
        <v>2.7765326958513869E-3</v>
      </c>
    </row>
    <row r="37" spans="1:13" x14ac:dyDescent="0.25">
      <c r="A37">
        <v>26</v>
      </c>
      <c r="B37" s="520" t="n">
        <v>0.0</v>
      </c>
      <c r="C37" s="520" t="n">
        <v>0.0</v>
      </c>
      <c r="D37" s="520" t="n">
        <v>0.0</v>
      </c>
      <c r="E37" s="520">
        <f si="0" t="shared"/>
        <v>0</v>
      </c>
      <c r="F37" s="21">
        <f si="1" t="shared"/>
        <v>0</v>
      </c>
      <c r="H37" s="49">
        <v>26</v>
      </c>
      <c r="I37" s="522" t="n">
        <v>172.0</v>
      </c>
      <c r="J37" s="522" t="n">
        <v>14.0</v>
      </c>
      <c r="K37" s="522" t="n">
        <v>8.0</v>
      </c>
      <c r="L37" s="520">
        <f si="2" t="shared"/>
        <v>193</v>
      </c>
      <c r="M37" s="21">
        <f si="3" t="shared"/>
        <v>2.4030081179341601E-3</v>
      </c>
    </row>
    <row r="38" spans="1:13" x14ac:dyDescent="0.25">
      <c r="A38">
        <v>27</v>
      </c>
      <c r="B38" s="520" t="n">
        <v>0.0</v>
      </c>
      <c r="C38" s="520" t="n">
        <v>0.0</v>
      </c>
      <c r="D38" s="520" t="n">
        <v>0.0</v>
      </c>
      <c r="E38" s="520">
        <f si="0" t="shared"/>
        <v>0</v>
      </c>
      <c r="F38" s="21">
        <f si="1" t="shared"/>
        <v>0</v>
      </c>
      <c r="H38" s="50">
        <v>27</v>
      </c>
      <c r="I38" s="522" t="n">
        <v>143.0</v>
      </c>
      <c r="J38" s="522" t="n">
        <v>9.0</v>
      </c>
      <c r="K38" s="522" t="n">
        <v>13.0</v>
      </c>
      <c r="L38" s="520">
        <f si="2" t="shared"/>
        <v>144</v>
      </c>
      <c r="M38" s="21">
        <f si="3" t="shared"/>
        <v>1.7929179740026895E-3</v>
      </c>
    </row>
    <row r="39" spans="1:13" x14ac:dyDescent="0.25">
      <c r="A39">
        <v>28</v>
      </c>
      <c r="B39" s="520" t="n">
        <v>0.0</v>
      </c>
      <c r="C39" s="520" t="n">
        <v>0.0</v>
      </c>
      <c r="D39" s="520" t="n">
        <v>0.0</v>
      </c>
      <c r="E39" s="520">
        <f si="0" t="shared"/>
        <v>0</v>
      </c>
      <c r="F39" s="21">
        <f si="1" t="shared"/>
        <v>0</v>
      </c>
      <c r="H39" s="51">
        <v>28</v>
      </c>
      <c r="I39" s="522" t="n">
        <v>112.0</v>
      </c>
      <c r="J39" s="522" t="n">
        <v>12.0</v>
      </c>
      <c r="K39" s="522" t="n">
        <v>8.0</v>
      </c>
      <c r="L39" s="520">
        <f si="2" t="shared"/>
        <v>145</v>
      </c>
      <c r="M39" s="21">
        <f si="3" t="shared"/>
        <v>1.8053687932665968E-3</v>
      </c>
    </row>
    <row r="40" spans="1:13" x14ac:dyDescent="0.25">
      <c r="A40">
        <v>29</v>
      </c>
      <c r="B40" s="520" t="n">
        <v>0.0</v>
      </c>
      <c r="C40" s="520" t="n">
        <v>0.0</v>
      </c>
      <c r="D40" s="520" t="n">
        <v>0.0</v>
      </c>
      <c r="E40" s="520">
        <f si="0" t="shared"/>
        <v>0</v>
      </c>
      <c r="F40" s="21">
        <f si="1" t="shared"/>
        <v>0</v>
      </c>
      <c r="H40" s="52">
        <v>29</v>
      </c>
      <c r="I40" s="522" t="n">
        <v>120.0</v>
      </c>
      <c r="J40" s="522" t="n">
        <v>9.0</v>
      </c>
      <c r="K40" s="522" t="n">
        <v>7.0</v>
      </c>
      <c r="L40" s="520">
        <f si="2" t="shared"/>
        <v>166</v>
      </c>
      <c r="M40" s="21">
        <f si="3" t="shared"/>
        <v>2.066835997808656E-3</v>
      </c>
    </row>
    <row r="41" spans="1:13" x14ac:dyDescent="0.25">
      <c r="A41">
        <v>30</v>
      </c>
      <c r="B41" s="520" t="n">
        <v>0.0</v>
      </c>
      <c r="C41" s="520" t="n">
        <v>0.0</v>
      </c>
      <c r="D41" s="520" t="n">
        <v>0.0</v>
      </c>
      <c r="E41" s="520">
        <f si="0" t="shared"/>
        <v>0</v>
      </c>
      <c r="F41" s="21">
        <f si="1" t="shared"/>
        <v>0</v>
      </c>
      <c r="H41" s="53">
        <v>30</v>
      </c>
      <c r="I41" s="522" t="n">
        <v>106.0</v>
      </c>
      <c r="J41" s="522" t="n">
        <v>10.0</v>
      </c>
      <c r="K41" s="522" t="n">
        <v>8.0</v>
      </c>
      <c r="L41" s="520">
        <f si="2" t="shared"/>
        <v>117</v>
      </c>
      <c r="M41" s="21">
        <f si="3" t="shared"/>
        <v>1.4567458538771851E-3</v>
      </c>
    </row>
    <row r="42" spans="1:13" x14ac:dyDescent="0.25">
      <c r="A42">
        <v>31</v>
      </c>
      <c r="B42" s="520" t="n">
        <v>0.0</v>
      </c>
      <c r="C42" s="520" t="n">
        <v>0.0</v>
      </c>
      <c r="D42" s="520" t="n">
        <v>0.0</v>
      </c>
      <c r="E42" s="520">
        <f si="0" t="shared"/>
        <v>0</v>
      </c>
      <c r="F42" s="21">
        <f si="1" t="shared"/>
        <v>0</v>
      </c>
      <c r="H42" s="54">
        <v>31</v>
      </c>
      <c r="I42" s="522" t="n">
        <v>111.0</v>
      </c>
      <c r="J42" s="522" t="n">
        <v>14.0</v>
      </c>
      <c r="K42" s="522" t="n">
        <v>3.0</v>
      </c>
      <c r="L42" s="520">
        <f si="2" t="shared"/>
        <v>97</v>
      </c>
      <c r="M42" s="21">
        <f si="3" t="shared"/>
        <v>1.2077294685990338E-3</v>
      </c>
    </row>
    <row r="43" spans="1:13" x14ac:dyDescent="0.25">
      <c r="A43">
        <v>32</v>
      </c>
      <c r="B43" s="520" t="n">
        <v>0.0</v>
      </c>
      <c r="C43" s="520" t="n">
        <v>0.0</v>
      </c>
      <c r="D43" s="520" t="n">
        <v>0.0</v>
      </c>
      <c r="E43" s="520">
        <f si="0" t="shared"/>
        <v>0</v>
      </c>
      <c r="F43" s="21">
        <f si="1" t="shared"/>
        <v>0</v>
      </c>
      <c r="H43" s="55">
        <v>32</v>
      </c>
      <c r="I43" s="522" t="n">
        <v>72.0</v>
      </c>
      <c r="J43" s="522" t="n">
        <v>7.0</v>
      </c>
      <c r="K43" s="522" t="n">
        <v>7.0</v>
      </c>
      <c r="L43" s="520">
        <f si="2" t="shared"/>
        <v>97</v>
      </c>
      <c r="M43" s="21">
        <f si="3" t="shared"/>
        <v>1.2077294685990338E-3</v>
      </c>
    </row>
    <row r="44" spans="1:13" x14ac:dyDescent="0.25">
      <c r="A44">
        <v>33</v>
      </c>
      <c r="B44" s="520" t="n">
        <v>0.0</v>
      </c>
      <c r="C44" s="520" t="n">
        <v>0.0</v>
      </c>
      <c r="D44" s="520" t="n">
        <v>0.0</v>
      </c>
      <c r="E44" s="520">
        <f si="0" t="shared"/>
        <v>0</v>
      </c>
      <c r="F44" s="21">
        <f si="1" t="shared"/>
        <v>0</v>
      </c>
      <c r="H44" s="56">
        <v>33</v>
      </c>
      <c r="I44" s="522" t="n">
        <v>59.0</v>
      </c>
      <c r="J44" s="522" t="n">
        <v>2.0</v>
      </c>
      <c r="K44" s="522" t="n">
        <v>6.0</v>
      </c>
      <c r="L44" s="520">
        <f si="2" t="shared"/>
        <v>67</v>
      </c>
      <c r="M44" s="21">
        <f si="3" t="shared"/>
        <v>8.3420489068180691E-4</v>
      </c>
    </row>
    <row r="45" spans="1:13" x14ac:dyDescent="0.25">
      <c r="A45">
        <v>34</v>
      </c>
      <c r="B45" s="520" t="n">
        <v>0.0</v>
      </c>
      <c r="C45" s="520" t="n">
        <v>0.0</v>
      </c>
      <c r="D45" s="520" t="n">
        <v>0.0</v>
      </c>
      <c r="E45" s="520">
        <f si="0" t="shared"/>
        <v>0</v>
      </c>
      <c r="F45" s="21">
        <f si="1" t="shared"/>
        <v>0</v>
      </c>
      <c r="H45" s="57">
        <v>34</v>
      </c>
      <c r="I45" s="522" t="n">
        <v>59.0</v>
      </c>
      <c r="J45" s="522" t="n">
        <v>6.0</v>
      </c>
      <c r="K45" s="522" t="n">
        <v>4.0</v>
      </c>
      <c r="L45" s="520">
        <f si="2" t="shared"/>
        <v>65</v>
      </c>
      <c r="M45" s="21">
        <f si="3" t="shared"/>
        <v>8.0930325215399174E-4</v>
      </c>
    </row>
    <row r="46" spans="1:13" x14ac:dyDescent="0.25">
      <c r="A46">
        <v>35</v>
      </c>
      <c r="B46" s="520" t="n">
        <v>0.0</v>
      </c>
      <c r="C46" s="520" t="n">
        <v>0.0</v>
      </c>
      <c r="D46" s="520" t="n">
        <v>0.0</v>
      </c>
      <c r="E46" s="520">
        <f si="0" t="shared"/>
        <v>0</v>
      </c>
      <c r="F46" s="21">
        <f si="1" t="shared"/>
        <v>0</v>
      </c>
      <c r="H46" s="58">
        <v>35</v>
      </c>
      <c r="I46" s="522" t="n">
        <v>49.0</v>
      </c>
      <c r="J46" s="522" t="n">
        <v>5.0</v>
      </c>
      <c r="K46" s="522" t="n">
        <v>6.0</v>
      </c>
      <c r="L46" s="520">
        <f si="2" t="shared"/>
        <v>62</v>
      </c>
      <c r="M46" s="21">
        <f si="3" t="shared"/>
        <v>7.7195079436226909E-4</v>
      </c>
    </row>
    <row r="47" spans="1:13" x14ac:dyDescent="0.25">
      <c r="A47">
        <v>36</v>
      </c>
      <c r="B47" s="520" t="n">
        <v>0.0</v>
      </c>
      <c r="C47" s="520" t="n">
        <v>0.0</v>
      </c>
      <c r="D47" s="520" t="n">
        <v>0.0</v>
      </c>
      <c r="E47" s="520">
        <f si="0" t="shared"/>
        <v>0</v>
      </c>
      <c r="F47" s="21">
        <f si="1" t="shared"/>
        <v>0</v>
      </c>
      <c r="H47" s="59">
        <v>36</v>
      </c>
      <c r="I47" s="522" t="n">
        <v>69.0</v>
      </c>
      <c r="J47" s="522" t="n">
        <v>5.0</v>
      </c>
      <c r="K47" s="522" t="n">
        <v>13.0</v>
      </c>
      <c r="L47" s="520">
        <f si="2" t="shared"/>
        <v>75</v>
      </c>
      <c r="M47" s="21">
        <f si="3" t="shared"/>
        <v>9.3381144479306739E-4</v>
      </c>
    </row>
    <row r="48" spans="1:13" x14ac:dyDescent="0.25">
      <c r="A48">
        <v>37</v>
      </c>
      <c r="B48" s="520" t="n">
        <v>0.0</v>
      </c>
      <c r="C48" s="520" t="n">
        <v>0.0</v>
      </c>
      <c r="D48" s="520" t="n">
        <v>0.0</v>
      </c>
      <c r="E48" s="520">
        <f si="0" t="shared"/>
        <v>0</v>
      </c>
      <c r="F48" s="21">
        <f si="1" t="shared"/>
        <v>0</v>
      </c>
      <c r="H48" s="60">
        <v>37</v>
      </c>
      <c r="I48" s="522" t="n">
        <v>44.0</v>
      </c>
      <c r="J48" s="522" t="n">
        <v>4.0</v>
      </c>
      <c r="K48" s="522" t="n">
        <v>1.0</v>
      </c>
      <c r="L48" s="520">
        <f si="2" t="shared"/>
        <v>66</v>
      </c>
      <c r="M48" s="21">
        <f si="3" t="shared"/>
        <v>8.2175407141789932E-4</v>
      </c>
    </row>
    <row r="49" spans="1:13" x14ac:dyDescent="0.25">
      <c r="A49">
        <v>38</v>
      </c>
      <c r="B49" s="520" t="n">
        <v>0.0</v>
      </c>
      <c r="C49" s="520" t="n">
        <v>0.0</v>
      </c>
      <c r="D49" s="520" t="n">
        <v>0.0</v>
      </c>
      <c r="E49" s="520">
        <f si="0" t="shared"/>
        <v>0</v>
      </c>
      <c r="F49" s="21">
        <f si="1" t="shared"/>
        <v>0</v>
      </c>
      <c r="H49" s="61">
        <v>38</v>
      </c>
      <c r="I49" s="522" t="n">
        <v>54.0</v>
      </c>
      <c r="J49" s="522" t="n">
        <v>3.0</v>
      </c>
      <c r="K49" s="522" t="n">
        <v>3.0</v>
      </c>
      <c r="L49" s="520">
        <f si="2" t="shared"/>
        <v>67</v>
      </c>
      <c r="M49" s="21">
        <f si="3" t="shared"/>
        <v>8.3420489068180691E-4</v>
      </c>
    </row>
    <row r="50" spans="1:13" x14ac:dyDescent="0.25">
      <c r="A50">
        <v>39</v>
      </c>
      <c r="B50" s="520" t="n">
        <v>0.0</v>
      </c>
      <c r="C50" s="520" t="n">
        <v>0.0</v>
      </c>
      <c r="D50" s="520" t="n">
        <v>0.0</v>
      </c>
      <c r="E50" s="520">
        <f si="0" t="shared"/>
        <v>0</v>
      </c>
      <c r="F50" s="21">
        <f si="1" t="shared"/>
        <v>0</v>
      </c>
      <c r="H50" s="62">
        <v>39</v>
      </c>
      <c r="I50" s="522" t="n">
        <v>52.0</v>
      </c>
      <c r="J50" s="522" t="n">
        <v>5.0</v>
      </c>
      <c r="K50" s="522" t="n">
        <v>1.0</v>
      </c>
      <c r="L50" s="520">
        <f si="2" t="shared"/>
        <v>60</v>
      </c>
      <c r="M50" s="21">
        <f si="3" t="shared"/>
        <v>7.4704915583445391E-4</v>
      </c>
    </row>
    <row r="51" spans="1:13" x14ac:dyDescent="0.25">
      <c r="A51">
        <v>40</v>
      </c>
      <c r="B51" s="520" t="n">
        <v>0.0</v>
      </c>
      <c r="C51" s="520" t="n">
        <v>0.0</v>
      </c>
      <c r="D51" s="520" t="n">
        <v>0.0</v>
      </c>
      <c r="E51" s="520">
        <f si="0" t="shared"/>
        <v>0</v>
      </c>
      <c r="F51" s="21">
        <f si="1" t="shared"/>
        <v>0</v>
      </c>
      <c r="H51" s="63">
        <v>40</v>
      </c>
      <c r="I51" s="522" t="n">
        <v>35.0</v>
      </c>
      <c r="J51" s="522" t="n">
        <v>1.0</v>
      </c>
      <c r="K51" s="522" t="n">
        <v>2.0</v>
      </c>
      <c r="L51" s="520">
        <f si="2" t="shared"/>
        <v>63</v>
      </c>
      <c r="M51" s="21">
        <f si="3" t="shared"/>
        <v>7.8440161362617656E-4</v>
      </c>
    </row>
    <row r="52" spans="1:13" x14ac:dyDescent="0.25">
      <c r="A52">
        <v>41</v>
      </c>
      <c r="B52" s="520" t="n">
        <v>0.0</v>
      </c>
      <c r="C52" s="520" t="n">
        <v>0.0</v>
      </c>
      <c r="D52" s="520" t="n">
        <v>0.0</v>
      </c>
      <c r="E52" s="520">
        <f si="0" t="shared"/>
        <v>0</v>
      </c>
      <c r="F52" s="21">
        <f si="1" t="shared"/>
        <v>0</v>
      </c>
      <c r="H52" s="64">
        <v>41</v>
      </c>
      <c r="I52" s="522" t="n">
        <v>39.0</v>
      </c>
      <c r="J52" s="522" t="n">
        <v>2.0</v>
      </c>
      <c r="K52" s="522" t="n">
        <v>0.0</v>
      </c>
      <c r="L52" s="520">
        <f si="2" t="shared"/>
        <v>46</v>
      </c>
      <c r="M52" s="21">
        <f si="3" t="shared"/>
        <v>5.7273768613974802E-4</v>
      </c>
    </row>
    <row r="53" spans="1:13" x14ac:dyDescent="0.25">
      <c r="A53">
        <v>42</v>
      </c>
      <c r="B53" s="520" t="n">
        <v>0.0</v>
      </c>
      <c r="C53" s="520" t="n">
        <v>0.0</v>
      </c>
      <c r="D53" s="520" t="n">
        <v>0.0</v>
      </c>
      <c r="E53" s="520">
        <f si="0" t="shared"/>
        <v>0</v>
      </c>
      <c r="F53" s="21">
        <f si="1" t="shared"/>
        <v>0</v>
      </c>
      <c r="H53" s="65">
        <v>42</v>
      </c>
      <c r="I53" s="522" t="n">
        <v>27.0</v>
      </c>
      <c r="J53" s="522" t="n">
        <v>3.0</v>
      </c>
      <c r="K53" s="522" t="n">
        <v>0.0</v>
      </c>
      <c r="L53" s="520">
        <f si="2" t="shared"/>
        <v>26</v>
      </c>
      <c r="M53" s="21">
        <f si="3" t="shared"/>
        <v>3.2372130086159672E-4</v>
      </c>
    </row>
    <row r="54" spans="1:13" x14ac:dyDescent="0.25">
      <c r="A54">
        <v>43</v>
      </c>
      <c r="B54" s="520" t="n">
        <v>0.0</v>
      </c>
      <c r="C54" s="520" t="n">
        <v>0.0</v>
      </c>
      <c r="D54" s="520" t="n">
        <v>0.0</v>
      </c>
      <c r="E54" s="520">
        <f si="0" t="shared"/>
        <v>0</v>
      </c>
      <c r="F54" s="21">
        <f si="1" t="shared"/>
        <v>0</v>
      </c>
      <c r="H54" s="66">
        <v>43</v>
      </c>
      <c r="I54" s="522" t="n">
        <v>15.0</v>
      </c>
      <c r="J54" s="522" t="n">
        <v>2.0</v>
      </c>
      <c r="K54" s="522" t="n">
        <v>2.0</v>
      </c>
      <c r="L54" s="520">
        <f si="2" t="shared"/>
        <v>20</v>
      </c>
      <c r="M54" s="21">
        <f si="3" t="shared"/>
        <v>2.490163852781513E-4</v>
      </c>
    </row>
    <row r="55" spans="1:13" x14ac:dyDescent="0.25">
      <c r="A55">
        <v>44</v>
      </c>
      <c r="B55" s="520" t="n">
        <v>0.0</v>
      </c>
      <c r="C55" s="520" t="n">
        <v>0.0</v>
      </c>
      <c r="D55" s="520" t="n">
        <v>0.0</v>
      </c>
      <c r="E55" s="520">
        <f si="0" t="shared"/>
        <v>0</v>
      </c>
      <c r="F55" s="21">
        <f si="1" t="shared"/>
        <v>0</v>
      </c>
      <c r="H55" s="67">
        <v>44</v>
      </c>
      <c r="I55" s="522" t="n">
        <v>32.0</v>
      </c>
      <c r="J55" s="522" t="n">
        <v>1.0</v>
      </c>
      <c r="K55" s="522" t="n">
        <v>2.0</v>
      </c>
      <c r="L55" s="520">
        <f si="2" t="shared"/>
        <v>21</v>
      </c>
      <c r="M55" s="21">
        <f si="3" t="shared"/>
        <v>2.6146720454205889E-4</v>
      </c>
    </row>
    <row r="56" spans="1:13" x14ac:dyDescent="0.25">
      <c r="A56">
        <v>45</v>
      </c>
      <c r="B56" s="520" t="n">
        <v>0.0</v>
      </c>
      <c r="C56" s="520" t="n">
        <v>0.0</v>
      </c>
      <c r="D56" s="520" t="n">
        <v>0.0</v>
      </c>
      <c r="E56" s="520">
        <f si="0" t="shared"/>
        <v>0</v>
      </c>
      <c r="F56" s="21">
        <f si="1" t="shared"/>
        <v>0</v>
      </c>
      <c r="H56" s="68">
        <v>45</v>
      </c>
      <c r="I56" s="522" t="n">
        <v>22.0</v>
      </c>
      <c r="J56" s="522" t="n">
        <v>0.0</v>
      </c>
      <c r="K56" s="522" t="n">
        <v>2.0</v>
      </c>
      <c r="L56" s="520">
        <f si="2" t="shared"/>
        <v>31</v>
      </c>
      <c r="M56" s="21">
        <f si="3" t="shared"/>
        <v>3.8597539718113454E-4</v>
      </c>
    </row>
    <row r="57" spans="1:13" x14ac:dyDescent="0.25">
      <c r="A57">
        <v>46</v>
      </c>
      <c r="B57" s="520" t="n">
        <v>0.0</v>
      </c>
      <c r="C57" s="520" t="n">
        <v>0.0</v>
      </c>
      <c r="D57" s="520" t="n">
        <v>0.0</v>
      </c>
      <c r="E57" s="520">
        <f si="0" t="shared"/>
        <v>0</v>
      </c>
      <c r="F57" s="21">
        <f si="1" t="shared"/>
        <v>0</v>
      </c>
      <c r="H57" s="69">
        <v>46</v>
      </c>
      <c r="I57" s="522" t="n">
        <v>15.0</v>
      </c>
      <c r="J57" s="522" t="n">
        <v>0.0</v>
      </c>
      <c r="K57" s="522" t="n">
        <v>1.0</v>
      </c>
      <c r="L57" s="520">
        <f si="2" t="shared"/>
        <v>17</v>
      </c>
      <c r="M57" s="21">
        <f si="3" t="shared"/>
        <v>2.116639274864286E-4</v>
      </c>
    </row>
    <row r="58" spans="1:13" x14ac:dyDescent="0.25">
      <c r="A58">
        <v>47</v>
      </c>
      <c r="B58" s="520" t="n">
        <v>0.0</v>
      </c>
      <c r="C58" s="520" t="n">
        <v>0.0</v>
      </c>
      <c r="D58" s="520" t="n">
        <v>0.0</v>
      </c>
      <c r="E58" s="520">
        <f si="0" t="shared"/>
        <v>0</v>
      </c>
      <c r="F58" s="21">
        <f si="1" t="shared"/>
        <v>0</v>
      </c>
      <c r="H58" s="70">
        <v>47</v>
      </c>
      <c r="I58" s="522" t="n">
        <v>13.0</v>
      </c>
      <c r="J58" s="522" t="n">
        <v>2.0</v>
      </c>
      <c r="K58" s="522" t="n">
        <v>1.0</v>
      </c>
      <c r="L58" s="520">
        <f si="2" t="shared"/>
        <v>24</v>
      </c>
      <c r="M58" s="21">
        <f si="3" t="shared"/>
        <v>2.9881966233378154E-4</v>
      </c>
    </row>
    <row r="59" spans="1:13" x14ac:dyDescent="0.25">
      <c r="A59">
        <v>48</v>
      </c>
      <c r="B59" s="520" t="n">
        <v>0.0</v>
      </c>
      <c r="C59" s="520" t="n">
        <v>0.0</v>
      </c>
      <c r="D59" s="520" t="n">
        <v>0.0</v>
      </c>
      <c r="E59" s="520">
        <f si="0" t="shared"/>
        <v>0</v>
      </c>
      <c r="F59" s="21">
        <f si="1" t="shared"/>
        <v>0</v>
      </c>
      <c r="H59" s="71">
        <v>48</v>
      </c>
      <c r="I59" s="522" t="n">
        <v>15.0</v>
      </c>
      <c r="J59" s="522" t="n">
        <v>1.0</v>
      </c>
      <c r="K59" s="522" t="n">
        <v>0.0</v>
      </c>
      <c r="L59" s="520">
        <f si="2" t="shared"/>
        <v>23</v>
      </c>
      <c r="M59" s="21">
        <f si="3" t="shared"/>
        <v>2.8636884306987401E-4</v>
      </c>
    </row>
    <row r="60" spans="1:13" x14ac:dyDescent="0.25">
      <c r="A60">
        <v>49</v>
      </c>
      <c r="B60" s="520" t="n">
        <v>0.0</v>
      </c>
      <c r="C60" s="520" t="n">
        <v>0.0</v>
      </c>
      <c r="D60" s="520" t="n">
        <v>0.0</v>
      </c>
      <c r="E60" s="520">
        <f si="0" t="shared"/>
        <v>0</v>
      </c>
      <c r="F60" s="21">
        <f si="1" t="shared"/>
        <v>0</v>
      </c>
      <c r="H60" s="72">
        <v>49</v>
      </c>
      <c r="I60" s="522" t="n">
        <v>10.0</v>
      </c>
      <c r="J60" s="522" t="n">
        <v>1.0</v>
      </c>
      <c r="K60" s="522" t="n">
        <v>1.0</v>
      </c>
      <c r="L60" s="520">
        <f si="2" t="shared"/>
        <v>13</v>
      </c>
      <c r="M60" s="21">
        <f si="3" t="shared"/>
        <v>1.6186065043079836E-4</v>
      </c>
    </row>
    <row r="61" spans="1:13" x14ac:dyDescent="0.25">
      <c r="A61">
        <v>50</v>
      </c>
      <c r="B61" s="520" t="n">
        <v>0.0</v>
      </c>
      <c r="C61" s="520" t="n">
        <v>0.0</v>
      </c>
      <c r="D61" s="520" t="n">
        <v>0.0</v>
      </c>
      <c r="E61" s="520">
        <f si="0" t="shared"/>
        <v>0</v>
      </c>
      <c r="F61" s="21">
        <f si="1" t="shared"/>
        <v>0</v>
      </c>
      <c r="H61" s="73">
        <v>50</v>
      </c>
      <c r="I61" s="522" t="n">
        <v>9.0</v>
      </c>
      <c r="J61" s="522" t="n">
        <v>0.0</v>
      </c>
      <c r="K61" s="522" t="n">
        <v>0.0</v>
      </c>
      <c r="L61" s="520">
        <f si="2" t="shared"/>
        <v>9</v>
      </c>
      <c r="M61" s="21">
        <f si="3" t="shared"/>
        <v>1.1205737337516809E-4</v>
      </c>
    </row>
    <row r="62" spans="1:13" x14ac:dyDescent="0.25">
      <c r="A62">
        <v>51</v>
      </c>
      <c r="B62" s="520" t="n">
        <v>0.0</v>
      </c>
      <c r="C62" s="520" t="n">
        <v>0.0</v>
      </c>
      <c r="D62" s="520" t="n">
        <v>0.0</v>
      </c>
      <c r="E62" s="520">
        <f si="0" t="shared"/>
        <v>0</v>
      </c>
      <c r="F62" s="21">
        <f si="1" t="shared"/>
        <v>0</v>
      </c>
      <c r="H62" s="74">
        <v>51</v>
      </c>
      <c r="I62" s="522" t="n">
        <v>13.0</v>
      </c>
      <c r="J62" s="522" t="n">
        <v>0.0</v>
      </c>
      <c r="K62" s="522" t="n">
        <v>1.0</v>
      </c>
      <c r="L62" s="520">
        <f si="2" t="shared"/>
        <v>11</v>
      </c>
      <c r="M62" s="21">
        <f si="3" t="shared"/>
        <v>1.3695901190298321E-4</v>
      </c>
    </row>
    <row r="63" spans="1:13" x14ac:dyDescent="0.25">
      <c r="A63">
        <v>52</v>
      </c>
      <c r="B63" s="520" t="n">
        <v>0.0</v>
      </c>
      <c r="C63" s="520" t="n">
        <v>0.0</v>
      </c>
      <c r="D63" s="520" t="n">
        <v>0.0</v>
      </c>
      <c r="E63" s="520">
        <f si="0" t="shared"/>
        <v>0</v>
      </c>
      <c r="F63" s="21">
        <f si="1" t="shared"/>
        <v>0</v>
      </c>
      <c r="H63" s="75">
        <v>52</v>
      </c>
      <c r="I63" s="522" t="n">
        <v>10.0</v>
      </c>
      <c r="J63" s="522" t="n">
        <v>1.0</v>
      </c>
      <c r="K63" s="522" t="n">
        <v>1.0</v>
      </c>
      <c r="L63" s="520">
        <f si="2" t="shared"/>
        <v>13</v>
      </c>
      <c r="M63" s="21">
        <f si="3" t="shared"/>
        <v>1.6186065043079836E-4</v>
      </c>
    </row>
    <row r="64" spans="1:13" x14ac:dyDescent="0.25">
      <c r="A64">
        <v>53</v>
      </c>
      <c r="B64" s="520" t="n">
        <v>0.0</v>
      </c>
      <c r="C64" s="520" t="n">
        <v>0.0</v>
      </c>
      <c r="D64" s="520" t="n">
        <v>0.0</v>
      </c>
      <c r="E64" s="520">
        <f si="0" t="shared"/>
        <v>0</v>
      </c>
      <c r="F64" s="21">
        <f si="1" t="shared"/>
        <v>0</v>
      </c>
      <c r="H64" s="76">
        <v>53</v>
      </c>
      <c r="I64" s="522" t="n">
        <v>3.0</v>
      </c>
      <c r="J64" s="522" t="n">
        <v>0.0</v>
      </c>
      <c r="K64" s="522" t="n">
        <v>1.0</v>
      </c>
      <c r="L64" s="520">
        <f si="2" t="shared"/>
        <v>6</v>
      </c>
      <c r="M64" s="21">
        <f si="3" t="shared"/>
        <v>7.4704915583445386E-5</v>
      </c>
    </row>
    <row r="65" spans="1:13" x14ac:dyDescent="0.25">
      <c r="A65">
        <v>54</v>
      </c>
      <c r="B65" s="520" t="n">
        <v>0.0</v>
      </c>
      <c r="C65" s="520" t="n">
        <v>0.0</v>
      </c>
      <c r="D65" s="520" t="n">
        <v>0.0</v>
      </c>
      <c r="E65" s="520">
        <f si="0" t="shared"/>
        <v>0</v>
      </c>
      <c r="F65" s="21">
        <f si="1" t="shared"/>
        <v>0</v>
      </c>
      <c r="H65" s="77">
        <v>54</v>
      </c>
      <c r="I65" s="522" t="n">
        <v>4.0</v>
      </c>
      <c r="J65" s="522" t="n">
        <v>0.0</v>
      </c>
      <c r="K65" s="522" t="n">
        <v>1.0</v>
      </c>
      <c r="L65" s="520">
        <f si="2" t="shared"/>
        <v>6</v>
      </c>
      <c r="M65" s="21">
        <f si="3" t="shared"/>
        <v>7.4704915583445386E-5</v>
      </c>
    </row>
    <row r="66" spans="1:13" x14ac:dyDescent="0.25">
      <c r="A66">
        <v>55</v>
      </c>
      <c r="B66" s="520" t="n">
        <v>0.0</v>
      </c>
      <c r="C66" s="520" t="n">
        <v>0.0</v>
      </c>
      <c r="D66" s="520" t="n">
        <v>0.0</v>
      </c>
      <c r="E66" s="520">
        <f si="0" t="shared"/>
        <v>0</v>
      </c>
      <c r="F66" s="21">
        <f si="1" t="shared"/>
        <v>0</v>
      </c>
      <c r="H66" s="78">
        <v>55</v>
      </c>
      <c r="I66" s="522" t="n">
        <v>5.0</v>
      </c>
      <c r="J66" s="522" t="n">
        <v>0.0</v>
      </c>
      <c r="K66" s="522" t="n">
        <v>0.0</v>
      </c>
      <c r="L66" s="520">
        <f si="2" t="shared"/>
        <v>1</v>
      </c>
      <c r="M66" s="21">
        <f si="3" t="shared"/>
        <v>1.2450819263907565E-5</v>
      </c>
    </row>
    <row r="67" spans="1:13" x14ac:dyDescent="0.25">
      <c r="A67">
        <v>56</v>
      </c>
      <c r="B67" s="520" t="n">
        <v>0.0</v>
      </c>
      <c r="C67" s="520" t="n">
        <v>0.0</v>
      </c>
      <c r="D67" s="520" t="n">
        <v>0.0</v>
      </c>
      <c r="E67" s="520">
        <f si="0" t="shared"/>
        <v>0</v>
      </c>
      <c r="F67" s="21">
        <f si="1" t="shared"/>
        <v>0</v>
      </c>
      <c r="H67" s="79">
        <v>56</v>
      </c>
      <c r="I67" s="522" t="n">
        <v>3.0</v>
      </c>
      <c r="J67" s="522" t="n">
        <v>0.0</v>
      </c>
      <c r="K67" s="522" t="n">
        <v>0.0</v>
      </c>
      <c r="L67" s="520">
        <f si="2" t="shared"/>
        <v>2</v>
      </c>
      <c r="M67" s="21">
        <f si="3" t="shared"/>
        <v>2.490163852781513E-5</v>
      </c>
    </row>
    <row r="68" spans="1:13" x14ac:dyDescent="0.25">
      <c r="A68">
        <v>57</v>
      </c>
      <c r="B68" s="520" t="n">
        <v>0.0</v>
      </c>
      <c r="C68" s="520" t="n">
        <v>0.0</v>
      </c>
      <c r="D68" s="520" t="n">
        <v>0.0</v>
      </c>
      <c r="E68" s="520">
        <f si="0" t="shared"/>
        <v>0</v>
      </c>
      <c r="F68" s="21">
        <f si="1" t="shared"/>
        <v>0</v>
      </c>
      <c r="H68" s="80">
        <v>57</v>
      </c>
      <c r="I68" s="522" t="n">
        <v>5.0</v>
      </c>
      <c r="J68" s="522" t="n">
        <v>0.0</v>
      </c>
      <c r="K68" s="522" t="n">
        <v>0.0</v>
      </c>
      <c r="L68" s="520">
        <f si="2" t="shared"/>
        <v>5</v>
      </c>
      <c r="M68" s="21">
        <f si="3" t="shared"/>
        <v>6.2254096319537826E-5</v>
      </c>
    </row>
    <row r="69" spans="1:13" x14ac:dyDescent="0.25">
      <c r="A69">
        <v>58</v>
      </c>
      <c r="B69" s="520" t="n">
        <v>0.0</v>
      </c>
      <c r="C69" s="520" t="n">
        <v>0.0</v>
      </c>
      <c r="D69" s="520" t="n">
        <v>0.0</v>
      </c>
      <c r="E69" s="520">
        <f si="0" t="shared"/>
        <v>0</v>
      </c>
      <c r="F69" s="21">
        <f si="1" t="shared"/>
        <v>0</v>
      </c>
      <c r="H69" s="81">
        <v>58</v>
      </c>
      <c r="I69" s="522" t="n">
        <v>6.0</v>
      </c>
      <c r="J69" s="522" t="n">
        <v>0.0</v>
      </c>
      <c r="K69" s="522" t="n">
        <v>0.0</v>
      </c>
      <c r="L69" s="520">
        <f si="2" t="shared"/>
        <v>6</v>
      </c>
      <c r="M69" s="21">
        <f si="3" t="shared"/>
        <v>7.4704915583445386E-5</v>
      </c>
    </row>
    <row r="70" spans="1:13" x14ac:dyDescent="0.25">
      <c r="A70">
        <v>59</v>
      </c>
      <c r="B70" s="520" t="n">
        <v>0.0</v>
      </c>
      <c r="C70" s="520" t="n">
        <v>0.0</v>
      </c>
      <c r="D70" s="520" t="n">
        <v>0.0</v>
      </c>
      <c r="E70" s="520">
        <f si="0" t="shared"/>
        <v>0</v>
      </c>
      <c r="F70" s="21">
        <f si="1" t="shared"/>
        <v>0</v>
      </c>
      <c r="H70" s="82">
        <v>59</v>
      </c>
      <c r="I70" s="522" t="n">
        <v>2.0</v>
      </c>
      <c r="J70" s="522" t="n">
        <v>2.0</v>
      </c>
      <c r="K70" s="522" t="n">
        <v>1.0</v>
      </c>
      <c r="L70" s="520">
        <f si="2" t="shared"/>
        <v>4</v>
      </c>
      <c r="M70" s="21">
        <f si="3" t="shared"/>
        <v>4.9803277055630259E-5</v>
      </c>
    </row>
    <row r="71" spans="1:13" x14ac:dyDescent="0.25">
      <c r="A71">
        <v>60</v>
      </c>
      <c r="B71" s="520" t="n">
        <v>0.0</v>
      </c>
      <c r="C71" s="520" t="n">
        <v>0.0</v>
      </c>
      <c r="D71" s="520" t="n">
        <v>0.0</v>
      </c>
      <c r="E71" s="520">
        <f si="0" t="shared"/>
        <v>0</v>
      </c>
      <c r="F71" s="21">
        <f si="1" t="shared"/>
        <v>0</v>
      </c>
      <c r="H71" s="83">
        <v>60</v>
      </c>
      <c r="I71" s="522" t="n">
        <v>4.0</v>
      </c>
      <c r="J71" s="522" t="n">
        <v>0.0</v>
      </c>
      <c r="K71" s="522" t="n">
        <v>0.0</v>
      </c>
      <c r="L71" s="520">
        <f si="2" t="shared"/>
        <v>0</v>
      </c>
      <c r="M71" s="21">
        <f si="3" t="shared"/>
        <v>0</v>
      </c>
    </row>
    <row r="72" spans="1:13" x14ac:dyDescent="0.25">
      <c r="A72">
        <v>61</v>
      </c>
      <c r="B72" s="520" t="n">
        <v>0.0</v>
      </c>
      <c r="C72" s="520" t="n">
        <v>0.0</v>
      </c>
      <c r="D72" s="520" t="n">
        <v>0.0</v>
      </c>
      <c r="E72" s="520">
        <f si="0" t="shared"/>
        <v>0</v>
      </c>
      <c r="F72" s="21">
        <f si="1" t="shared"/>
        <v>0</v>
      </c>
      <c r="H72" s="84">
        <v>61</v>
      </c>
      <c r="I72" s="522" t="n">
        <v>2.0</v>
      </c>
      <c r="J72" s="522" t="n">
        <v>0.0</v>
      </c>
      <c r="K72" s="522" t="n">
        <v>0.0</v>
      </c>
      <c r="L72" s="520">
        <f si="2" t="shared"/>
        <v>1</v>
      </c>
      <c r="M72" s="21">
        <f si="3" t="shared"/>
        <v>1.2450819263907565E-5</v>
      </c>
    </row>
    <row r="73" spans="1:13" x14ac:dyDescent="0.25">
      <c r="A73">
        <v>62</v>
      </c>
      <c r="B73" s="520" t="n">
        <v>0.0</v>
      </c>
      <c r="C73" s="520" t="n">
        <v>0.0</v>
      </c>
      <c r="D73" s="520" t="n">
        <v>0.0</v>
      </c>
      <c r="E73" s="520">
        <f si="0" t="shared"/>
        <v>0</v>
      </c>
      <c r="F73" s="21">
        <f si="1" t="shared"/>
        <v>0</v>
      </c>
      <c r="H73" s="85">
        <v>62</v>
      </c>
      <c r="I73" s="522" t="n">
        <v>2.0</v>
      </c>
      <c r="J73" s="522" t="n">
        <v>0.0</v>
      </c>
      <c r="K73" s="522" t="n">
        <v>0.0</v>
      </c>
      <c r="L73" s="520">
        <f si="2" t="shared"/>
        <v>2</v>
      </c>
      <c r="M73" s="21">
        <f si="3" t="shared"/>
        <v>2.490163852781513E-5</v>
      </c>
    </row>
    <row r="74" spans="1:13" x14ac:dyDescent="0.25">
      <c r="A74">
        <v>63</v>
      </c>
      <c r="B74" s="520" t="n">
        <v>0.0</v>
      </c>
      <c r="C74" s="520" t="n">
        <v>0.0</v>
      </c>
      <c r="D74" s="520" t="n">
        <v>0.0</v>
      </c>
      <c r="E74" s="520">
        <f si="0" t="shared"/>
        <v>0</v>
      </c>
      <c r="F74" s="21">
        <f si="1" t="shared"/>
        <v>0</v>
      </c>
      <c r="H74" s="86">
        <v>63</v>
      </c>
      <c r="I74" s="522" t="n">
        <v>1.0</v>
      </c>
      <c r="J74" s="522" t="n">
        <v>0.0</v>
      </c>
      <c r="K74" s="522" t="n">
        <v>0.0</v>
      </c>
      <c r="L74" s="520">
        <f si="2" t="shared"/>
        <v>0</v>
      </c>
      <c r="M74" s="21">
        <f si="3" t="shared"/>
        <v>0</v>
      </c>
    </row>
    <row r="75" spans="1:13" x14ac:dyDescent="0.25">
      <c r="A75">
        <v>64</v>
      </c>
      <c r="B75" s="520" t="n">
        <v>0.0</v>
      </c>
      <c r="C75" s="520" t="n">
        <v>0.0</v>
      </c>
      <c r="D75" s="520" t="n">
        <v>0.0</v>
      </c>
      <c r="E75" s="520">
        <f si="0" t="shared"/>
        <v>0</v>
      </c>
      <c r="F75" s="21">
        <f si="1" t="shared"/>
        <v>0</v>
      </c>
      <c r="H75" s="87">
        <v>64</v>
      </c>
      <c r="I75" s="522" t="n">
        <v>0.0</v>
      </c>
      <c r="J75" s="522" t="n">
        <v>0.0</v>
      </c>
      <c r="K75" s="522" t="n">
        <v>0.0</v>
      </c>
      <c r="L75" s="520">
        <f si="2" t="shared"/>
        <v>0</v>
      </c>
      <c r="M75" s="21">
        <f si="3" t="shared"/>
        <v>0</v>
      </c>
    </row>
    <row r="76" spans="1:13" x14ac:dyDescent="0.25">
      <c r="A76">
        <v>65</v>
      </c>
      <c r="B76" s="520" t="n">
        <v>0.0</v>
      </c>
      <c r="C76" s="520" t="n">
        <v>0.0</v>
      </c>
      <c r="D76" s="520" t="n">
        <v>0.0</v>
      </c>
      <c r="E76" s="520">
        <f ref="E76:E101" si="4" t="shared">SUM(B76:D76)</f>
        <v>0</v>
      </c>
      <c r="F76" s="21">
        <f ref="F76:F102" si="5" t="shared">E76/$E$102</f>
        <v>0</v>
      </c>
      <c r="H76" s="88">
        <v>65</v>
      </c>
      <c r="I76" s="522" t="n">
        <v>0.0</v>
      </c>
      <c r="J76" s="522" t="n">
        <v>0.0</v>
      </c>
      <c r="K76" s="522" t="n">
        <v>0.0</v>
      </c>
      <c r="L76" s="520">
        <f ref="L76:L101" si="6" t="shared">SUM(I76:K76)</f>
        <v>3</v>
      </c>
      <c r="M76" s="21">
        <f ref="M76:M102" si="7" t="shared">L76/$L$102</f>
        <v>3.7352457791722693E-5</v>
      </c>
    </row>
    <row r="77" spans="1:13" x14ac:dyDescent="0.25">
      <c r="A77">
        <v>66</v>
      </c>
      <c r="B77" s="520" t="n">
        <v>0.0</v>
      </c>
      <c r="C77" s="520" t="n">
        <v>0.0</v>
      </c>
      <c r="D77" s="520" t="n">
        <v>0.0</v>
      </c>
      <c r="E77" s="520">
        <f si="4" t="shared"/>
        <v>0</v>
      </c>
      <c r="F77" s="21">
        <f si="5" t="shared"/>
        <v>0</v>
      </c>
      <c r="H77" s="89">
        <v>66</v>
      </c>
      <c r="I77" s="522" t="n">
        <v>0.0</v>
      </c>
      <c r="J77" s="522" t="n">
        <v>0.0</v>
      </c>
      <c r="K77" s="522" t="n">
        <v>0.0</v>
      </c>
      <c r="L77" s="520">
        <f si="6" t="shared"/>
        <v>3</v>
      </c>
      <c r="M77" s="21">
        <f si="7" t="shared"/>
        <v>3.7352457791722693E-5</v>
      </c>
    </row>
    <row r="78" spans="1:13" x14ac:dyDescent="0.25">
      <c r="A78">
        <v>67</v>
      </c>
      <c r="B78" s="520" t="n">
        <v>0.0</v>
      </c>
      <c r="C78" s="520" t="n">
        <v>0.0</v>
      </c>
      <c r="D78" s="520" t="n">
        <v>0.0</v>
      </c>
      <c r="E78" s="520">
        <f si="4" t="shared"/>
        <v>0</v>
      </c>
      <c r="F78" s="21">
        <f si="5" t="shared"/>
        <v>0</v>
      </c>
      <c r="H78" s="90">
        <v>67</v>
      </c>
      <c r="I78" s="522" t="n">
        <v>0.0</v>
      </c>
      <c r="J78" s="522" t="n">
        <v>0.0</v>
      </c>
      <c r="K78" s="522" t="n">
        <v>0.0</v>
      </c>
      <c r="L78" s="520">
        <f si="6" t="shared"/>
        <v>0</v>
      </c>
      <c r="M78" s="21">
        <f si="7" t="shared"/>
        <v>0</v>
      </c>
    </row>
    <row r="79" spans="1:13" x14ac:dyDescent="0.25">
      <c r="A79">
        <v>68</v>
      </c>
      <c r="B79" s="520" t="n">
        <v>0.0</v>
      </c>
      <c r="C79" s="520" t="n">
        <v>0.0</v>
      </c>
      <c r="D79" s="520" t="n">
        <v>0.0</v>
      </c>
      <c r="E79" s="520">
        <f si="4" t="shared"/>
        <v>0</v>
      </c>
      <c r="F79" s="21">
        <f si="5" t="shared"/>
        <v>0</v>
      </c>
      <c r="H79" s="91">
        <v>68</v>
      </c>
      <c r="I79" s="522" t="n">
        <v>0.0</v>
      </c>
      <c r="J79" s="522" t="n">
        <v>0.0</v>
      </c>
      <c r="K79" s="522" t="n">
        <v>0.0</v>
      </c>
      <c r="L79" s="520">
        <f si="6" t="shared"/>
        <v>1</v>
      </c>
      <c r="M79" s="21">
        <f si="7" t="shared"/>
        <v>1.2450819263907565E-5</v>
      </c>
    </row>
    <row r="80" spans="1:13" x14ac:dyDescent="0.25">
      <c r="A80">
        <v>69</v>
      </c>
      <c r="B80" s="520" t="n">
        <v>0.0</v>
      </c>
      <c r="C80" s="520" t="n">
        <v>0.0</v>
      </c>
      <c r="D80" s="520" t="n">
        <v>0.0</v>
      </c>
      <c r="E80" s="520">
        <f si="4" t="shared"/>
        <v>0</v>
      </c>
      <c r="F80" s="21">
        <f si="5" t="shared"/>
        <v>0</v>
      </c>
      <c r="H80" s="92">
        <v>69</v>
      </c>
      <c r="I80" s="522" t="n">
        <v>0.0</v>
      </c>
      <c r="J80" s="522" t="n">
        <v>0.0</v>
      </c>
      <c r="K80" s="522" t="n">
        <v>0.0</v>
      </c>
      <c r="L80" s="520">
        <f si="6" t="shared"/>
        <v>0</v>
      </c>
      <c r="M80" s="21">
        <f si="7" t="shared"/>
        <v>0</v>
      </c>
    </row>
    <row r="81" spans="1:13" x14ac:dyDescent="0.25">
      <c r="A81">
        <v>70</v>
      </c>
      <c r="B81" s="520" t="n">
        <v>0.0</v>
      </c>
      <c r="C81" s="520" t="n">
        <v>0.0</v>
      </c>
      <c r="D81" s="520" t="n">
        <v>0.0</v>
      </c>
      <c r="E81" s="520">
        <f si="4" t="shared"/>
        <v>0</v>
      </c>
      <c r="F81" s="21">
        <f si="5" t="shared"/>
        <v>0</v>
      </c>
      <c r="H81" s="93">
        <v>70</v>
      </c>
      <c r="I81" s="522" t="n">
        <v>0.0</v>
      </c>
      <c r="J81" s="522" t="n">
        <v>0.0</v>
      </c>
      <c r="K81" s="522" t="n">
        <v>0.0</v>
      </c>
      <c r="L81" s="520">
        <f si="6" t="shared"/>
        <v>0</v>
      </c>
      <c r="M81" s="21">
        <f si="7" t="shared"/>
        <v>0</v>
      </c>
    </row>
    <row r="82" spans="1:13" x14ac:dyDescent="0.25">
      <c r="A82">
        <v>71</v>
      </c>
      <c r="B82" s="520" t="n">
        <v>0.0</v>
      </c>
      <c r="C82" s="520" t="n">
        <v>0.0</v>
      </c>
      <c r="D82" s="520" t="n">
        <v>0.0</v>
      </c>
      <c r="E82" s="520">
        <f si="4" t="shared"/>
        <v>0</v>
      </c>
      <c r="F82" s="21">
        <f si="5" t="shared"/>
        <v>0</v>
      </c>
      <c r="H82" s="94">
        <v>71</v>
      </c>
      <c r="I82" s="522" t="n">
        <v>0.0</v>
      </c>
      <c r="J82" s="522" t="n">
        <v>0.0</v>
      </c>
      <c r="K82" s="522" t="n">
        <v>0.0</v>
      </c>
      <c r="L82" s="520">
        <f si="6" t="shared"/>
        <v>0</v>
      </c>
      <c r="M82" s="21">
        <f si="7" t="shared"/>
        <v>0</v>
      </c>
    </row>
    <row r="83" spans="1:13" x14ac:dyDescent="0.25">
      <c r="A83">
        <v>72</v>
      </c>
      <c r="B83" s="520" t="n">
        <v>0.0</v>
      </c>
      <c r="C83" s="520" t="n">
        <v>0.0</v>
      </c>
      <c r="D83" s="520" t="n">
        <v>0.0</v>
      </c>
      <c r="E83" s="520">
        <f si="4" t="shared"/>
        <v>0</v>
      </c>
      <c r="F83" s="21">
        <f si="5" t="shared"/>
        <v>0</v>
      </c>
      <c r="H83" s="95">
        <v>72</v>
      </c>
      <c r="I83" s="522" t="n">
        <v>0.0</v>
      </c>
      <c r="J83" s="522" t="n">
        <v>1.0</v>
      </c>
      <c r="K83" s="522" t="n">
        <v>0.0</v>
      </c>
      <c r="L83" s="520">
        <f si="6" t="shared"/>
        <v>0</v>
      </c>
      <c r="M83" s="21">
        <f si="7" t="shared"/>
        <v>0</v>
      </c>
    </row>
    <row r="84" spans="1:13" x14ac:dyDescent="0.25">
      <c r="A84">
        <v>73</v>
      </c>
      <c r="B84" s="520" t="n">
        <v>0.0</v>
      </c>
      <c r="C84" s="520" t="n">
        <v>0.0</v>
      </c>
      <c r="D84" s="520" t="n">
        <v>0.0</v>
      </c>
      <c r="E84" s="520">
        <f si="4" t="shared"/>
        <v>0</v>
      </c>
      <c r="F84" s="21">
        <f si="5" t="shared"/>
        <v>0</v>
      </c>
      <c r="H84" s="96">
        <v>73</v>
      </c>
      <c r="I84" s="522" t="n">
        <v>1.0</v>
      </c>
      <c r="J84" s="522" t="n">
        <v>0.0</v>
      </c>
      <c r="K84" s="522" t="n">
        <v>0.0</v>
      </c>
      <c r="L84" s="520">
        <f si="6" t="shared"/>
        <v>0</v>
      </c>
      <c r="M84" s="21">
        <f si="7" t="shared"/>
        <v>0</v>
      </c>
    </row>
    <row r="85" spans="1:13" x14ac:dyDescent="0.25">
      <c r="A85">
        <v>74</v>
      </c>
      <c r="B85" s="520" t="n">
        <v>0.0</v>
      </c>
      <c r="C85" s="520" t="n">
        <v>0.0</v>
      </c>
      <c r="D85" s="520" t="n">
        <v>0.0</v>
      </c>
      <c r="E85" s="520">
        <f si="4" t="shared"/>
        <v>0</v>
      </c>
      <c r="F85" s="21">
        <f si="5" t="shared"/>
        <v>0</v>
      </c>
      <c r="H85" s="97">
        <v>74</v>
      </c>
      <c r="I85" s="522" t="n">
        <v>0.0</v>
      </c>
      <c r="J85" s="522" t="n">
        <v>0.0</v>
      </c>
      <c r="K85" s="522" t="n">
        <v>0.0</v>
      </c>
      <c r="L85" s="520">
        <f si="6" t="shared"/>
        <v>0</v>
      </c>
      <c r="M85" s="21">
        <f si="7" t="shared"/>
        <v>0</v>
      </c>
    </row>
    <row r="86" spans="1:13" x14ac:dyDescent="0.25">
      <c r="A86">
        <v>75</v>
      </c>
      <c r="B86" s="520" t="n">
        <v>0.0</v>
      </c>
      <c r="C86" s="520" t="n">
        <v>0.0</v>
      </c>
      <c r="D86" s="520" t="n">
        <v>0.0</v>
      </c>
      <c r="E86" s="520">
        <f si="4" t="shared"/>
        <v>0</v>
      </c>
      <c r="F86" s="21">
        <f si="5" t="shared"/>
        <v>0</v>
      </c>
      <c r="H86" s="98">
        <v>75</v>
      </c>
      <c r="I86" s="522" t="n">
        <v>0.0</v>
      </c>
      <c r="J86" s="522" t="n">
        <v>0.0</v>
      </c>
      <c r="K86" s="522" t="n">
        <v>0.0</v>
      </c>
      <c r="L86" s="520">
        <f si="6" t="shared"/>
        <v>0</v>
      </c>
      <c r="M86" s="21">
        <f si="7" t="shared"/>
        <v>0</v>
      </c>
    </row>
    <row r="87" spans="1:13" x14ac:dyDescent="0.25">
      <c r="A87">
        <v>76</v>
      </c>
      <c r="B87" s="520" t="n">
        <v>0.0</v>
      </c>
      <c r="C87" s="520" t="n">
        <v>0.0</v>
      </c>
      <c r="D87" s="520" t="n">
        <v>0.0</v>
      </c>
      <c r="E87" s="520">
        <f si="4" t="shared"/>
        <v>0</v>
      </c>
      <c r="F87" s="21">
        <f si="5" t="shared"/>
        <v>0</v>
      </c>
      <c r="H87" s="99">
        <v>76</v>
      </c>
      <c r="I87" s="522" t="n">
        <v>0.0</v>
      </c>
      <c r="J87" s="522" t="n">
        <v>0.0</v>
      </c>
      <c r="K87" s="522" t="n">
        <v>0.0</v>
      </c>
      <c r="L87" s="520">
        <f si="6" t="shared"/>
        <v>0</v>
      </c>
      <c r="M87" s="21">
        <f si="7" t="shared"/>
        <v>0</v>
      </c>
    </row>
    <row r="88" spans="1:13" x14ac:dyDescent="0.25">
      <c r="A88">
        <v>77</v>
      </c>
      <c r="B88" s="520" t="n">
        <v>0.0</v>
      </c>
      <c r="C88" s="520" t="n">
        <v>0.0</v>
      </c>
      <c r="D88" s="520" t="n">
        <v>0.0</v>
      </c>
      <c r="E88" s="520">
        <f si="4" t="shared"/>
        <v>0</v>
      </c>
      <c r="F88" s="21">
        <f si="5" t="shared"/>
        <v>0</v>
      </c>
      <c r="H88" s="100">
        <v>77</v>
      </c>
      <c r="I88" s="522" t="n">
        <v>0.0</v>
      </c>
      <c r="J88" s="522" t="n">
        <v>0.0</v>
      </c>
      <c r="K88" s="522" t="n">
        <v>0.0</v>
      </c>
      <c r="L88" s="520">
        <f si="6" t="shared"/>
        <v>0</v>
      </c>
      <c r="M88" s="21">
        <f si="7" t="shared"/>
        <v>0</v>
      </c>
    </row>
    <row r="89" spans="1:13" x14ac:dyDescent="0.25">
      <c r="A89">
        <v>78</v>
      </c>
      <c r="B89" s="520" t="n">
        <v>0.0</v>
      </c>
      <c r="C89" s="520" t="n">
        <v>0.0</v>
      </c>
      <c r="D89" s="520" t="n">
        <v>0.0</v>
      </c>
      <c r="E89" s="520">
        <f si="4" t="shared"/>
        <v>0</v>
      </c>
      <c r="F89" s="21">
        <f si="5" t="shared"/>
        <v>0</v>
      </c>
      <c r="H89" s="101">
        <v>78</v>
      </c>
      <c r="I89" s="522" t="n">
        <v>0.0</v>
      </c>
      <c r="J89" s="522" t="n">
        <v>0.0</v>
      </c>
      <c r="K89" s="522" t="n">
        <v>0.0</v>
      </c>
      <c r="L89" s="520">
        <f si="6" t="shared"/>
        <v>0</v>
      </c>
      <c r="M89" s="21">
        <f si="7" t="shared"/>
        <v>0</v>
      </c>
    </row>
    <row r="90" spans="1:13" x14ac:dyDescent="0.25">
      <c r="A90">
        <v>79</v>
      </c>
      <c r="B90" s="520" t="n">
        <v>0.0</v>
      </c>
      <c r="C90" s="520" t="n">
        <v>0.0</v>
      </c>
      <c r="D90" s="520" t="n">
        <v>0.0</v>
      </c>
      <c r="E90" s="520">
        <f si="4" t="shared"/>
        <v>0</v>
      </c>
      <c r="F90" s="21">
        <f si="5" t="shared"/>
        <v>0</v>
      </c>
      <c r="H90" s="102">
        <v>79</v>
      </c>
      <c r="I90" s="522" t="n">
        <v>0.0</v>
      </c>
      <c r="J90" s="522" t="n">
        <v>0.0</v>
      </c>
      <c r="K90" s="522" t="n">
        <v>0.0</v>
      </c>
      <c r="L90" s="520">
        <f si="6" t="shared"/>
        <v>0</v>
      </c>
      <c r="M90" s="21">
        <f si="7" t="shared"/>
        <v>0</v>
      </c>
    </row>
    <row r="91" spans="1:13" x14ac:dyDescent="0.25">
      <c r="A91">
        <v>80</v>
      </c>
      <c r="B91" s="520" t="n">
        <v>0.0</v>
      </c>
      <c r="C91" s="520" t="n">
        <v>0.0</v>
      </c>
      <c r="D91" s="520" t="n">
        <v>0.0</v>
      </c>
      <c r="E91" s="520">
        <f si="4" t="shared"/>
        <v>0</v>
      </c>
      <c r="F91" s="21">
        <f si="5" t="shared"/>
        <v>0</v>
      </c>
      <c r="H91" s="103">
        <v>80</v>
      </c>
      <c r="I91" s="522" t="n">
        <v>0.0</v>
      </c>
      <c r="J91" s="522" t="n">
        <v>0.0</v>
      </c>
      <c r="K91" s="522" t="n">
        <v>0.0</v>
      </c>
      <c r="L91" s="520">
        <f si="6" t="shared"/>
        <v>0</v>
      </c>
      <c r="M91" s="21">
        <f si="7" t="shared"/>
        <v>0</v>
      </c>
    </row>
    <row r="92" spans="1:13" x14ac:dyDescent="0.25">
      <c r="A92">
        <v>81</v>
      </c>
      <c r="B92" s="520" t="n">
        <v>0.0</v>
      </c>
      <c r="C92" s="520" t="n">
        <v>0.0</v>
      </c>
      <c r="D92" s="520" t="n">
        <v>0.0</v>
      </c>
      <c r="E92" s="520">
        <f si="4" t="shared"/>
        <v>0</v>
      </c>
      <c r="F92" s="21">
        <f si="5" t="shared"/>
        <v>0</v>
      </c>
      <c r="H92" s="104">
        <v>81</v>
      </c>
      <c r="I92" s="522" t="n">
        <v>0.0</v>
      </c>
      <c r="J92" s="522" t="n">
        <v>0.0</v>
      </c>
      <c r="K92" s="522" t="n">
        <v>0.0</v>
      </c>
      <c r="L92" s="520">
        <f si="6" t="shared"/>
        <v>0</v>
      </c>
      <c r="M92" s="21">
        <f si="7" t="shared"/>
        <v>0</v>
      </c>
    </row>
    <row r="93" spans="1:13" x14ac:dyDescent="0.25">
      <c r="A93">
        <v>82</v>
      </c>
      <c r="B93" s="520" t="n">
        <v>0.0</v>
      </c>
      <c r="C93" s="520" t="n">
        <v>0.0</v>
      </c>
      <c r="D93" s="520" t="n">
        <v>0.0</v>
      </c>
      <c r="E93" s="520">
        <f si="4" t="shared"/>
        <v>0</v>
      </c>
      <c r="F93" s="21">
        <f si="5" t="shared"/>
        <v>0</v>
      </c>
      <c r="H93" s="105">
        <v>82</v>
      </c>
      <c r="I93" s="522" t="n">
        <v>0.0</v>
      </c>
      <c r="J93" s="522" t="n">
        <v>0.0</v>
      </c>
      <c r="K93" s="522" t="n">
        <v>0.0</v>
      </c>
      <c r="L93" s="520">
        <f si="6" t="shared"/>
        <v>0</v>
      </c>
      <c r="M93" s="21">
        <f si="7" t="shared"/>
        <v>0</v>
      </c>
    </row>
    <row r="94" spans="1:13" x14ac:dyDescent="0.25">
      <c r="A94">
        <v>83</v>
      </c>
      <c r="B94" s="520" t="n">
        <v>0.0</v>
      </c>
      <c r="C94" s="520" t="n">
        <v>0.0</v>
      </c>
      <c r="D94" s="520" t="n">
        <v>0.0</v>
      </c>
      <c r="E94" s="520">
        <f si="4" t="shared"/>
        <v>0</v>
      </c>
      <c r="F94" s="21">
        <f si="5" t="shared"/>
        <v>0</v>
      </c>
      <c r="H94" s="106">
        <v>83</v>
      </c>
      <c r="I94" s="522" t="n">
        <v>0.0</v>
      </c>
      <c r="J94" s="522" t="n">
        <v>0.0</v>
      </c>
      <c r="K94" s="522" t="n">
        <v>0.0</v>
      </c>
      <c r="L94" s="520">
        <f si="6" t="shared"/>
        <v>0</v>
      </c>
      <c r="M94" s="21">
        <f si="7" t="shared"/>
        <v>0</v>
      </c>
    </row>
    <row r="95" spans="1:13" x14ac:dyDescent="0.25">
      <c r="A95">
        <v>84</v>
      </c>
      <c r="B95" s="520" t="n">
        <v>0.0</v>
      </c>
      <c r="C95" s="520" t="n">
        <v>0.0</v>
      </c>
      <c r="D95" s="520" t="n">
        <v>0.0</v>
      </c>
      <c r="E95" s="520">
        <f si="4" t="shared"/>
        <v>0</v>
      </c>
      <c r="F95" s="21">
        <f si="5" t="shared"/>
        <v>0</v>
      </c>
      <c r="H95" s="107">
        <v>84</v>
      </c>
      <c r="I95" s="522" t="n">
        <v>0.0</v>
      </c>
      <c r="J95" s="522" t="n">
        <v>0.0</v>
      </c>
      <c r="K95" s="522" t="n">
        <v>0.0</v>
      </c>
      <c r="L95" s="520">
        <f si="6" t="shared"/>
        <v>0</v>
      </c>
      <c r="M95" s="21">
        <f si="7" t="shared"/>
        <v>0</v>
      </c>
    </row>
    <row r="96" spans="1:13" x14ac:dyDescent="0.25">
      <c r="A96">
        <v>85</v>
      </c>
      <c r="B96" s="520" t="n">
        <v>0.0</v>
      </c>
      <c r="C96" s="520" t="n">
        <v>0.0</v>
      </c>
      <c r="D96" s="520" t="n">
        <v>0.0</v>
      </c>
      <c r="E96" s="520">
        <f si="4" t="shared"/>
        <v>0</v>
      </c>
      <c r="F96" s="21">
        <f si="5" t="shared"/>
        <v>0</v>
      </c>
      <c r="H96" s="108">
        <v>85</v>
      </c>
      <c r="I96" s="522" t="n">
        <v>0.0</v>
      </c>
      <c r="J96" s="522" t="n">
        <v>0.0</v>
      </c>
      <c r="K96" s="522" t="n">
        <v>0.0</v>
      </c>
      <c r="L96" s="520">
        <f si="6" t="shared"/>
        <v>0</v>
      </c>
      <c r="M96" s="21">
        <f si="7" t="shared"/>
        <v>0</v>
      </c>
    </row>
    <row r="97" spans="1:13" x14ac:dyDescent="0.25">
      <c r="A97">
        <v>86</v>
      </c>
      <c r="B97" s="520" t="n">
        <v>0.0</v>
      </c>
      <c r="C97" s="520" t="n">
        <v>0.0</v>
      </c>
      <c r="D97" s="520" t="n">
        <v>0.0</v>
      </c>
      <c r="E97" s="520">
        <f si="4" t="shared"/>
        <v>0</v>
      </c>
      <c r="F97" s="21">
        <f si="5" t="shared"/>
        <v>0</v>
      </c>
      <c r="H97" s="109">
        <v>86</v>
      </c>
      <c r="I97" s="522" t="n">
        <v>0.0</v>
      </c>
      <c r="J97" s="522" t="n">
        <v>0.0</v>
      </c>
      <c r="K97" s="522" t="n">
        <v>0.0</v>
      </c>
      <c r="L97" s="520">
        <f si="6" t="shared"/>
        <v>0</v>
      </c>
      <c r="M97" s="21">
        <f si="7" t="shared"/>
        <v>0</v>
      </c>
    </row>
    <row r="98" spans="1:13" x14ac:dyDescent="0.25">
      <c r="A98">
        <v>87</v>
      </c>
      <c r="B98" s="520" t="n">
        <v>0.0</v>
      </c>
      <c r="C98" s="520" t="n">
        <v>0.0</v>
      </c>
      <c r="D98" s="520" t="n">
        <v>0.0</v>
      </c>
      <c r="E98" s="520">
        <f si="4" t="shared"/>
        <v>0</v>
      </c>
      <c r="F98" s="21">
        <f si="5" t="shared"/>
        <v>0</v>
      </c>
      <c r="H98" s="110">
        <v>87</v>
      </c>
      <c r="I98" s="522" t="n">
        <v>0.0</v>
      </c>
      <c r="J98" s="522" t="n">
        <v>0.0</v>
      </c>
      <c r="K98" s="522" t="n">
        <v>0.0</v>
      </c>
      <c r="L98" s="520">
        <f si="6" t="shared"/>
        <v>0</v>
      </c>
      <c r="M98" s="21">
        <f si="7" t="shared"/>
        <v>0</v>
      </c>
    </row>
    <row r="99" spans="1:13" x14ac:dyDescent="0.25">
      <c r="A99">
        <v>88</v>
      </c>
      <c r="B99" s="520" t="n">
        <v>0.0</v>
      </c>
      <c r="C99" s="520" t="n">
        <v>0.0</v>
      </c>
      <c r="D99" s="520" t="n">
        <v>0.0</v>
      </c>
      <c r="E99" s="520">
        <f si="4" t="shared"/>
        <v>0</v>
      </c>
      <c r="F99" s="21">
        <f si="5" t="shared"/>
        <v>0</v>
      </c>
      <c r="H99" s="111">
        <v>88</v>
      </c>
      <c r="I99" s="522" t="n">
        <v>0.0</v>
      </c>
      <c r="J99" s="522" t="n">
        <v>0.0</v>
      </c>
      <c r="K99" s="522" t="n">
        <v>0.0</v>
      </c>
      <c r="L99" s="520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520" t="n">
        <v>0.0</v>
      </c>
      <c r="C100" s="520" t="n">
        <v>0.0</v>
      </c>
      <c r="D100" s="520" t="n">
        <v>0.0</v>
      </c>
      <c r="E100" s="520">
        <f si="4" t="shared"/>
        <v>0</v>
      </c>
      <c r="F100" s="21">
        <f si="5" t="shared"/>
        <v>0</v>
      </c>
      <c r="H100" s="112">
        <v>89</v>
      </c>
      <c r="I100" s="522" t="n">
        <v>0.0</v>
      </c>
      <c r="J100" s="522" t="n">
        <v>0.0</v>
      </c>
      <c r="K100" s="522" t="n">
        <v>0.0</v>
      </c>
      <c r="L100" s="52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521" t="n">
        <v>0.0</v>
      </c>
      <c r="C101" s="521" t="n">
        <v>0.0</v>
      </c>
      <c r="D101" s="521" t="n">
        <v>0.0</v>
      </c>
      <c r="E101" s="521">
        <f si="4" t="shared"/>
        <v>0</v>
      </c>
      <c r="F101" s="21">
        <f si="5" t="shared"/>
        <v>0</v>
      </c>
      <c r="H101" s="474">
        <v>90</v>
      </c>
      <c r="I101" s="521" t="n">
        <v>0.0</v>
      </c>
      <c r="J101" s="521" t="n">
        <v>0.0</v>
      </c>
      <c r="K101" s="521" t="n">
        <v>0.0</v>
      </c>
      <c r="L101" s="521">
        <f si="6" t="shared"/>
        <v>1</v>
      </c>
      <c r="M101" s="21">
        <f si="7" t="shared"/>
        <v>1.2450819263907565E-5</v>
      </c>
    </row>
    <row r="102" spans="1:13" x14ac:dyDescent="0.25">
      <c r="B102" s="520"/>
      <c r="C102" s="520"/>
      <c r="D102" s="520"/>
      <c r="E102" s="520">
        <f>SUM(E11:E101)</f>
        <v>22362.4894044785</v>
      </c>
      <c r="F102" s="21">
        <f si="5" t="shared"/>
        <v>1</v>
      </c>
      <c r="I102" s="520"/>
      <c r="J102" s="520"/>
      <c r="K102" s="520"/>
      <c r="L102" s="520">
        <f>SUM(L11:L101)</f>
        <v>80316</v>
      </c>
      <c r="M102" s="21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2"/>
  <sheetViews>
    <sheetView workbookViewId="0">
      <selection activeCell="A6" sqref="A6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247</v>
      </c>
    </row>
    <row r="3" spans="1:18" x14ac:dyDescent="0.25">
      <c r="A3" t="s">
        <v>249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113">
        <v>0</v>
      </c>
      <c r="I11" s="203" t="n">
        <v>2215.0</v>
      </c>
      <c r="J11" s="293" t="n">
        <v>191.0</v>
      </c>
      <c r="K11" s="383" t="n">
        <v>233.0</v>
      </c>
      <c r="L11">
        <f>SUM(I11:K11)</f>
        <v>2571</v>
      </c>
      <c r="M11" s="21">
        <f>L11/$L$102</f>
        <v>3.2011056327506351E-2</v>
      </c>
      <c r="P11" t="s">
        <v>9</v>
      </c>
      <c r="Q11" s="8" t="n">
        <v>14.611122263137082</v>
      </c>
      <c r="R11" s="8" t="n">
        <v>13.31433907299665</v>
      </c>
    </row>
    <row r="12" spans="1:18" x14ac:dyDescent="0.25">
      <c r="A12">
        <v>1</v>
      </c>
      <c r="B12" s="8" t="n">
        <v>685.397493253</v>
      </c>
      <c r="C12" s="8" t="n">
        <v>0.0</v>
      </c>
      <c r="D12" s="8" t="n">
        <v>0.0</v>
      </c>
      <c r="E12" s="8">
        <f ref="E12:E75" si="0" t="shared">SUM(B12:D12)</f>
        <v>685.39749325299999</v>
      </c>
      <c r="F12" s="21">
        <f ref="F12:F75" si="1" t="shared">E12/$E$102</f>
        <v>3.0649427300152753E-2</v>
      </c>
      <c r="H12" s="114">
        <v>1</v>
      </c>
      <c r="I12" s="204" t="n">
        <v>4901.0</v>
      </c>
      <c r="J12" s="294" t="n">
        <v>408.0</v>
      </c>
      <c r="K12" s="384" t="n">
        <v>465.0</v>
      </c>
      <c r="L12">
        <f ref="L12:L75" si="2" t="shared">SUM(I12:K12)</f>
        <v>5683</v>
      </c>
      <c r="M12" s="21">
        <f ref="M12:M75" si="3" t="shared">L12/$L$102</f>
        <v>7.0758005876786698E-2</v>
      </c>
      <c r="P12" t="s">
        <v>10</v>
      </c>
      <c r="Q12" s="8" t="n">
        <v>9.053286439075475</v>
      </c>
      <c r="R12" s="8" t="n">
        <v>13.530336120061206</v>
      </c>
    </row>
    <row r="13" spans="1:18" x14ac:dyDescent="0.25">
      <c r="A13">
        <v>2</v>
      </c>
      <c r="B13" s="8" t="n">
        <v>588.153133837</v>
      </c>
      <c r="C13" s="8" t="n">
        <v>0.0</v>
      </c>
      <c r="D13" s="8" t="n">
        <v>0.0</v>
      </c>
      <c r="E13" s="8">
        <f si="0" t="shared"/>
        <v>588.15313383700004</v>
      </c>
      <c r="F13" s="21">
        <f si="1" t="shared"/>
        <v>2.6300879262539149E-2</v>
      </c>
      <c r="H13" s="115">
        <v>2</v>
      </c>
      <c r="I13" s="205" t="n">
        <v>6360.0</v>
      </c>
      <c r="J13" s="295" t="n">
        <v>529.0</v>
      </c>
      <c r="K13" s="385" t="n">
        <v>524.0</v>
      </c>
      <c r="L13">
        <f si="2" t="shared"/>
        <v>7531</v>
      </c>
      <c r="M13" s="21">
        <f si="3" t="shared"/>
        <v>9.3767119876487878E-2</v>
      </c>
      <c r="P13" s="6" t="s">
        <v>11</v>
      </c>
      <c r="Q13" s="11" t="n">
        <v>0.0</v>
      </c>
      <c r="R13" s="8" t="n">
        <v>13.134528910241462</v>
      </c>
    </row>
    <row ht="15.75" r="14" spans="1:18" thickBot="1" x14ac:dyDescent="0.3">
      <c r="A14">
        <v>3</v>
      </c>
      <c r="B14" s="8" t="n">
        <v>1184.9233994830001</v>
      </c>
      <c r="C14" s="8" t="n">
        <v>38.3193439039</v>
      </c>
      <c r="D14" s="8" t="n">
        <v>0.0</v>
      </c>
      <c r="E14" s="8">
        <f si="0" t="shared"/>
        <v>1223.2427433869002</v>
      </c>
      <c r="F14" s="21">
        <f si="1" t="shared"/>
        <v>5.4700651669930961E-2</v>
      </c>
      <c r="H14" s="116">
        <v>3</v>
      </c>
      <c r="I14" s="206" t="n">
        <v>7246.0</v>
      </c>
      <c r="J14" s="296" t="n">
        <v>638.0</v>
      </c>
      <c r="K14" s="386" t="n">
        <v>622.0</v>
      </c>
      <c r="L14">
        <f si="2" t="shared"/>
        <v>8337</v>
      </c>
      <c r="M14" s="21">
        <f si="3" t="shared"/>
        <v>0.10380248020319736</v>
      </c>
      <c r="P14" s="1" t="s">
        <v>4</v>
      </c>
      <c r="Q14" s="12" t="n">
        <v>14.439032526981723</v>
      </c>
      <c r="R14" s="12" t="n">
        <v>13.317317188849188</v>
      </c>
    </row>
    <row r="15" spans="1:18" x14ac:dyDescent="0.25">
      <c r="A15">
        <v>4</v>
      </c>
      <c r="B15" s="8" t="n">
        <v>748.1391572667</v>
      </c>
      <c r="C15" s="8" t="n">
        <v>0.0</v>
      </c>
      <c r="D15" s="8" t="n">
        <v>0.0</v>
      </c>
      <c r="E15" s="8">
        <f si="0" t="shared"/>
        <v>748.13915726669995</v>
      </c>
      <c r="F15" s="21">
        <f si="1" t="shared"/>
        <v>3.3455092755320492E-2</v>
      </c>
      <c r="H15" s="117">
        <v>4</v>
      </c>
      <c r="I15" s="207" t="n">
        <v>5564.0</v>
      </c>
      <c r="J15" s="297" t="n">
        <v>530.0</v>
      </c>
      <c r="K15" s="387" t="n">
        <v>459.0</v>
      </c>
      <c r="L15">
        <f si="2" t="shared"/>
        <v>6623</v>
      </c>
      <c r="M15" s="21">
        <f si="3" t="shared"/>
        <v>8.2461775984859806E-2</v>
      </c>
    </row>
    <row r="16" spans="1:18" x14ac:dyDescent="0.25">
      <c r="A16">
        <v>5</v>
      </c>
      <c r="B16" s="8" t="n">
        <v>3541.163248282</v>
      </c>
      <c r="C16" s="8" t="n">
        <v>0.0</v>
      </c>
      <c r="D16" s="8" t="n">
        <v>0.0</v>
      </c>
      <c r="E16" s="8">
        <f si="0" t="shared"/>
        <v>3541.163248282</v>
      </c>
      <c r="F16" s="21">
        <f si="1" t="shared"/>
        <v>0.1583528195019655</v>
      </c>
      <c r="H16" s="118">
        <v>5</v>
      </c>
      <c r="I16" s="208" t="n">
        <v>3430.0</v>
      </c>
      <c r="J16" s="298" t="n">
        <v>334.0</v>
      </c>
      <c r="K16" s="388" t="n">
        <v>340.0</v>
      </c>
      <c r="L16">
        <f si="2" t="shared"/>
        <v>4009</v>
      </c>
      <c r="M16" s="21">
        <f si="3" t="shared"/>
        <v>4.9915334429005427E-2</v>
      </c>
    </row>
    <row r="17" spans="1:13" x14ac:dyDescent="0.25">
      <c r="A17">
        <v>6</v>
      </c>
      <c r="B17" s="8" t="n">
        <v>3407.8653319332</v>
      </c>
      <c r="C17" s="8" t="n">
        <v>282.581394172</v>
      </c>
      <c r="D17" s="8" t="n">
        <v>0.0</v>
      </c>
      <c r="E17" s="8">
        <f si="0" t="shared"/>
        <v>3690.4467261052</v>
      </c>
      <c r="F17" s="21">
        <f si="1" t="shared"/>
        <v>0.16502843933672787</v>
      </c>
      <c r="H17" s="119">
        <v>6</v>
      </c>
      <c r="I17" s="209" t="n">
        <v>2402.0</v>
      </c>
      <c r="J17" s="299" t="n">
        <v>265.0</v>
      </c>
      <c r="K17" s="389" t="n">
        <v>237.0</v>
      </c>
      <c r="L17">
        <f si="2" t="shared"/>
        <v>3061</v>
      </c>
      <c r="M17" s="21">
        <f si="3" t="shared"/>
        <v>3.811195776682106E-2</v>
      </c>
    </row>
    <row r="18" spans="1:13" x14ac:dyDescent="0.25">
      <c r="A18">
        <v>7</v>
      </c>
      <c r="B18" s="8" t="n">
        <v>1495.1019043173999</v>
      </c>
      <c r="C18" s="8" t="n">
        <v>0.0</v>
      </c>
      <c r="D18" s="8" t="n">
        <v>0.0</v>
      </c>
      <c r="E18" s="8">
        <f si="0" t="shared"/>
        <v>1495.1019043173999</v>
      </c>
      <c r="F18" s="21">
        <f si="1" t="shared"/>
        <v>6.6857579103781636E-2</v>
      </c>
      <c r="H18" s="120">
        <v>7</v>
      </c>
      <c r="I18" s="210" t="n">
        <v>2095.0</v>
      </c>
      <c r="J18" s="300" t="n">
        <v>182.0</v>
      </c>
      <c r="K18" s="390" t="n">
        <v>247.0</v>
      </c>
      <c r="L18">
        <f si="2" t="shared"/>
        <v>2584</v>
      </c>
      <c r="M18" s="21">
        <f si="3" t="shared"/>
        <v>3.2172916977937151E-2</v>
      </c>
    </row>
    <row r="19" spans="1:13" x14ac:dyDescent="0.25">
      <c r="A19">
        <v>8</v>
      </c>
      <c r="B19" s="8" t="n">
        <v>0.0</v>
      </c>
      <c r="C19" s="8" t="n">
        <v>0.0</v>
      </c>
      <c r="D19" s="8" t="n">
        <v>0.0</v>
      </c>
      <c r="E19" s="8">
        <f si="0" t="shared"/>
        <v>0</v>
      </c>
      <c r="F19" s="21">
        <f si="1" t="shared"/>
        <v>0</v>
      </c>
      <c r="H19" s="121">
        <v>8</v>
      </c>
      <c r="I19" s="211" t="n">
        <v>1680.0</v>
      </c>
      <c r="J19" s="301" t="n">
        <v>183.0</v>
      </c>
      <c r="K19" s="391" t="n">
        <v>185.0</v>
      </c>
      <c r="L19">
        <f si="2" t="shared"/>
        <v>2172</v>
      </c>
      <c r="M19" s="21">
        <f si="3" t="shared"/>
        <v>2.7043179441207231E-2</v>
      </c>
    </row>
    <row r="20" spans="1:13" x14ac:dyDescent="0.25">
      <c r="A20">
        <v>9</v>
      </c>
      <c r="B20" s="8" t="n">
        <v>0.0</v>
      </c>
      <c r="C20" s="8" t="n">
        <v>0.0</v>
      </c>
      <c r="D20" s="8" t="n">
        <v>0.0</v>
      </c>
      <c r="E20" s="8">
        <f si="0" t="shared"/>
        <v>0</v>
      </c>
      <c r="F20" s="21">
        <f si="1" t="shared"/>
        <v>0</v>
      </c>
      <c r="H20" s="122">
        <v>9</v>
      </c>
      <c r="I20" s="212" t="n">
        <v>1451.0</v>
      </c>
      <c r="J20" s="302" t="n">
        <v>175.0</v>
      </c>
      <c r="K20" s="392" t="n">
        <v>153.0</v>
      </c>
      <c r="L20">
        <f si="2" t="shared"/>
        <v>1894</v>
      </c>
      <c r="M20" s="21">
        <f si="3" t="shared"/>
        <v>2.3581851685840927E-2</v>
      </c>
    </row>
    <row r="21" spans="1:13" x14ac:dyDescent="0.25">
      <c r="A21">
        <v>10</v>
      </c>
      <c r="B21" s="8" t="n">
        <v>0.0</v>
      </c>
      <c r="C21" s="8" t="n">
        <v>0.0</v>
      </c>
      <c r="D21" s="8" t="n">
        <v>0.0</v>
      </c>
      <c r="E21" s="8">
        <f si="0" t="shared"/>
        <v>0</v>
      </c>
      <c r="F21" s="21">
        <f si="1" t="shared"/>
        <v>0</v>
      </c>
      <c r="H21" s="123">
        <v>10</v>
      </c>
      <c r="I21" s="213" t="n">
        <v>1302.0</v>
      </c>
      <c r="J21" s="303" t="n">
        <v>143.0</v>
      </c>
      <c r="K21" s="393" t="n">
        <v>133.0</v>
      </c>
      <c r="L21">
        <f si="2" t="shared"/>
        <v>1698</v>
      </c>
      <c r="M21" s="21">
        <f si="3" t="shared"/>
        <v>2.1141491110115044E-2</v>
      </c>
    </row>
    <row r="22" spans="1:13" x14ac:dyDescent="0.25">
      <c r="A22">
        <v>11</v>
      </c>
      <c r="B22" s="8" t="n">
        <v>317.954791765</v>
      </c>
      <c r="C22" s="8" t="n">
        <v>0.0</v>
      </c>
      <c r="D22" s="8" t="n">
        <v>0.0</v>
      </c>
      <c r="E22" s="8">
        <f si="0" t="shared"/>
        <v>317.95479176499998</v>
      </c>
      <c r="F22" s="21">
        <f si="1" t="shared"/>
        <v>1.4218219895559735E-2</v>
      </c>
      <c r="H22" s="124">
        <v>11</v>
      </c>
      <c r="I22" s="214" t="n">
        <v>1106.0</v>
      </c>
      <c r="J22" s="304" t="n">
        <v>116.0</v>
      </c>
      <c r="K22" s="394" t="n">
        <v>121.0</v>
      </c>
      <c r="L22">
        <f si="2" t="shared"/>
        <v>1388</v>
      </c>
      <c r="M22" s="21">
        <f si="3" t="shared"/>
        <v>1.72817371383037E-2</v>
      </c>
    </row>
    <row r="23" spans="1:13" x14ac:dyDescent="0.25">
      <c r="A23">
        <v>12</v>
      </c>
      <c r="B23" s="8" t="n">
        <v>96.6129920955</v>
      </c>
      <c r="C23" s="8" t="n">
        <v>371.518941673</v>
      </c>
      <c r="D23" s="8" t="n">
        <v>0.0</v>
      </c>
      <c r="E23" s="8">
        <f si="0" t="shared"/>
        <v>468.13193376849995</v>
      </c>
      <c r="F23" s="21">
        <f si="1" t="shared"/>
        <v>2.0933802373305894E-2</v>
      </c>
      <c r="H23" s="125">
        <v>12</v>
      </c>
      <c r="I23" s="215" t="n">
        <v>821.0</v>
      </c>
      <c r="J23" s="305" t="n">
        <v>98.0</v>
      </c>
      <c r="K23" s="395" t="n">
        <v>108.0</v>
      </c>
      <c r="L23">
        <f si="2" t="shared"/>
        <v>1072</v>
      </c>
      <c r="M23" s="21">
        <f si="3" t="shared"/>
        <v>1.3347278250908911E-2</v>
      </c>
    </row>
    <row r="24" spans="1:13" x14ac:dyDescent="0.25">
      <c r="A24">
        <v>13</v>
      </c>
      <c r="B24" s="8" t="n">
        <v>281.779612857</v>
      </c>
      <c r="C24" s="8" t="n">
        <v>0.0</v>
      </c>
      <c r="D24" s="8" t="n">
        <v>0.0</v>
      </c>
      <c r="E24" s="8">
        <f si="0" t="shared"/>
        <v>281.77961285700002</v>
      </c>
      <c r="F24" s="21">
        <f si="1" t="shared"/>
        <v>1.2600547629575107E-2</v>
      </c>
      <c r="H24" s="126">
        <v>13</v>
      </c>
      <c r="I24" s="216" t="n">
        <v>823.0</v>
      </c>
      <c r="J24" s="306" t="n">
        <v>103.0</v>
      </c>
      <c r="K24" s="396" t="n">
        <v>89.0</v>
      </c>
      <c r="L24">
        <f si="2" t="shared"/>
        <v>978</v>
      </c>
      <c r="M24" s="21">
        <f si="3" t="shared"/>
        <v>1.2176901240101599E-2</v>
      </c>
    </row>
    <row r="25" spans="1:13" x14ac:dyDescent="0.25">
      <c r="A25">
        <v>14</v>
      </c>
      <c r="B25" s="8" t="n">
        <v>103.611391668</v>
      </c>
      <c r="C25" s="8" t="n">
        <v>0.0</v>
      </c>
      <c r="D25" s="8" t="n">
        <v>0.0</v>
      </c>
      <c r="E25" s="8">
        <f si="0" t="shared"/>
        <v>103.611391668</v>
      </c>
      <c r="F25" s="21">
        <f si="1" t="shared"/>
        <v>4.6332673341479558E-3</v>
      </c>
      <c r="H25" s="127">
        <v>14</v>
      </c>
      <c r="I25" s="217" t="n">
        <v>563.0</v>
      </c>
      <c r="J25" s="307" t="n">
        <v>86.0</v>
      </c>
      <c r="K25" s="397" t="n">
        <v>73.0</v>
      </c>
      <c r="L25">
        <f si="2" t="shared"/>
        <v>665</v>
      </c>
      <c r="M25" s="21">
        <f si="3" t="shared"/>
        <v>8.2797948104985312E-3</v>
      </c>
    </row>
    <row r="26" spans="1:13" x14ac:dyDescent="0.25">
      <c r="A26">
        <v>15</v>
      </c>
      <c r="B26" s="8" t="n">
        <v>367.841162003</v>
      </c>
      <c r="C26" s="8" t="n">
        <v>0.0</v>
      </c>
      <c r="D26" s="8" t="n">
        <v>0.0</v>
      </c>
      <c r="E26" s="8">
        <f si="0" t="shared"/>
        <v>367.84116200300002</v>
      </c>
      <c r="F26" s="21">
        <f si="1" t="shared"/>
        <v>1.6449025658535722E-2</v>
      </c>
      <c r="H26" s="128">
        <v>15</v>
      </c>
      <c r="I26" s="218" t="n">
        <v>477.0</v>
      </c>
      <c r="J26" s="308" t="n">
        <v>63.0</v>
      </c>
      <c r="K26" s="398" t="n">
        <v>66.0</v>
      </c>
      <c r="L26">
        <f si="2" t="shared"/>
        <v>611</v>
      </c>
      <c r="M26" s="21">
        <f si="3" t="shared"/>
        <v>7.6074505702475219E-3</v>
      </c>
    </row>
    <row r="27" spans="1:13" x14ac:dyDescent="0.25">
      <c r="A27">
        <v>16</v>
      </c>
      <c r="B27" s="8" t="n">
        <v>0.0</v>
      </c>
      <c r="C27" s="8" t="n">
        <v>0.0</v>
      </c>
      <c r="D27" s="8" t="n">
        <v>0.0</v>
      </c>
      <c r="E27" s="8">
        <f si="0" t="shared"/>
        <v>0</v>
      </c>
      <c r="F27" s="21">
        <f si="1" t="shared"/>
        <v>0</v>
      </c>
      <c r="H27" s="129">
        <v>16</v>
      </c>
      <c r="I27" s="219" t="n">
        <v>504.0</v>
      </c>
      <c r="J27" s="309" t="n">
        <v>55.0</v>
      </c>
      <c r="K27" s="399" t="n">
        <v>52.0</v>
      </c>
      <c r="L27">
        <f si="2" t="shared"/>
        <v>584</v>
      </c>
      <c r="M27" s="21">
        <f si="3" t="shared"/>
        <v>7.2712784501220177E-3</v>
      </c>
    </row>
    <row r="28" spans="1:13" x14ac:dyDescent="0.25">
      <c r="A28">
        <v>17</v>
      </c>
      <c r="B28" s="8" t="n">
        <v>1068.0180135</v>
      </c>
      <c r="C28" s="8" t="n">
        <v>0.0</v>
      </c>
      <c r="D28" s="8" t="n">
        <v>0.0</v>
      </c>
      <c r="E28" s="8">
        <f si="0" t="shared"/>
        <v>1068.0180135000001</v>
      </c>
      <c r="F28" s="21">
        <f si="1" t="shared"/>
        <v>4.7759352466640398E-2</v>
      </c>
      <c r="H28" s="130">
        <v>17</v>
      </c>
      <c r="I28" s="220" t="n">
        <v>495.0</v>
      </c>
      <c r="J28" s="310" t="n">
        <v>64.0</v>
      </c>
      <c r="K28" s="400" t="n">
        <v>69.0</v>
      </c>
      <c r="L28">
        <f si="2" t="shared"/>
        <v>684</v>
      </c>
      <c r="M28" s="21">
        <f si="3" t="shared"/>
        <v>8.5163603765127747E-3</v>
      </c>
    </row>
    <row r="29" spans="1:13" x14ac:dyDescent="0.25">
      <c r="A29">
        <v>18</v>
      </c>
      <c r="B29" s="8" t="n">
        <v>148.8888758735</v>
      </c>
      <c r="C29" s="8" t="n">
        <v>0.0</v>
      </c>
      <c r="D29" s="8" t="n">
        <v>0.0</v>
      </c>
      <c r="E29" s="8">
        <f si="0" t="shared"/>
        <v>148.88887587350001</v>
      </c>
      <c r="F29" s="21">
        <f si="1" t="shared"/>
        <v>6.6579741271417785E-3</v>
      </c>
      <c r="H29" s="131">
        <v>18</v>
      </c>
      <c r="I29" s="221" t="n">
        <v>2444.0</v>
      </c>
      <c r="J29" s="311" t="n">
        <v>244.0</v>
      </c>
      <c r="K29" s="401" t="n">
        <v>262.0</v>
      </c>
      <c r="L29">
        <f si="2" t="shared"/>
        <v>2873</v>
      </c>
      <c r="M29" s="21">
        <f si="3" t="shared"/>
        <v>3.5771203745206433E-2</v>
      </c>
    </row>
    <row r="30" spans="1:13" x14ac:dyDescent="0.25">
      <c r="A30">
        <v>19</v>
      </c>
      <c r="B30" s="8" t="n">
        <v>1740.8416542703</v>
      </c>
      <c r="C30" s="8" t="n">
        <v>0.0</v>
      </c>
      <c r="D30" s="8" t="n">
        <v>0.0</v>
      </c>
      <c r="E30" s="8">
        <f si="0" t="shared"/>
        <v>1740.8416542703001</v>
      </c>
      <c r="F30" s="21">
        <f si="1" t="shared"/>
        <v>7.7846505493331372E-2</v>
      </c>
      <c r="H30" s="132">
        <v>19</v>
      </c>
      <c r="I30" s="222" t="n">
        <v>1885.0</v>
      </c>
      <c r="J30" s="312" t="n">
        <v>188.0</v>
      </c>
      <c r="K30" s="402" t="n">
        <v>198.0</v>
      </c>
      <c r="L30">
        <f si="2" t="shared"/>
        <v>2253</v>
      </c>
      <c r="M30" s="21">
        <f si="3" t="shared"/>
        <v>2.8051695801583745E-2</v>
      </c>
    </row>
    <row r="31" spans="1:13" x14ac:dyDescent="0.25">
      <c r="A31">
        <v>20</v>
      </c>
      <c r="B31" s="8" t="n">
        <v>642.175165615</v>
      </c>
      <c r="C31" s="8" t="n">
        <v>0.0</v>
      </c>
      <c r="D31" s="8" t="n">
        <v>0.0</v>
      </c>
      <c r="E31" s="8">
        <f si="0" t="shared"/>
        <v>642.17516561499997</v>
      </c>
      <c r="F31" s="21">
        <f si="1" t="shared"/>
        <v>2.871662246540372E-2</v>
      </c>
      <c r="H31" s="133">
        <v>20</v>
      </c>
      <c r="I31" s="223" t="n">
        <v>1581.0</v>
      </c>
      <c r="J31" s="313" t="n">
        <v>154.0</v>
      </c>
      <c r="K31" s="403" t="n">
        <v>159.0</v>
      </c>
      <c r="L31">
        <f si="2" t="shared"/>
        <v>1945</v>
      </c>
      <c r="M31" s="21">
        <f si="3" t="shared"/>
        <v>2.4216843468300213E-2</v>
      </c>
    </row>
    <row r="32" spans="1:13" x14ac:dyDescent="0.25">
      <c r="A32">
        <v>21</v>
      </c>
      <c r="B32" s="8" t="n">
        <v>264.420246702</v>
      </c>
      <c r="C32" s="8" t="n">
        <v>0.0</v>
      </c>
      <c r="D32" s="8" t="n">
        <v>0.0</v>
      </c>
      <c r="E32" s="8">
        <f si="0" t="shared"/>
        <v>264.42024670199999</v>
      </c>
      <c r="F32" s="21">
        <f si="1" t="shared"/>
        <v>1.1824275997154635E-2</v>
      </c>
      <c r="H32" s="134">
        <v>21</v>
      </c>
      <c r="I32" s="224" t="n">
        <v>1575.0</v>
      </c>
      <c r="J32" s="314" t="n">
        <v>168.0</v>
      </c>
      <c r="K32" s="404" t="n">
        <v>165.0</v>
      </c>
      <c r="L32">
        <f si="2" t="shared"/>
        <v>1868</v>
      </c>
      <c r="M32" s="21">
        <f si="3" t="shared"/>
        <v>2.3258130384979332E-2</v>
      </c>
    </row>
    <row r="33" spans="1:13" x14ac:dyDescent="0.25">
      <c r="A33">
        <v>22</v>
      </c>
      <c r="B33" s="8" t="n">
        <v>134.8705071</v>
      </c>
      <c r="C33" s="8" t="n">
        <v>0.0</v>
      </c>
      <c r="D33" s="8" t="n">
        <v>0.0</v>
      </c>
      <c r="E33" s="8">
        <f si="0" t="shared"/>
        <v>134.8705071</v>
      </c>
      <c r="F33" s="21">
        <f si="1" t="shared"/>
        <v>6.0311043489187609E-3</v>
      </c>
      <c r="H33" s="135">
        <v>22</v>
      </c>
      <c r="I33" s="225" t="n">
        <v>1529.0</v>
      </c>
      <c r="J33" s="315" t="n">
        <v>182.0</v>
      </c>
      <c r="K33" s="405" t="n">
        <v>175.0</v>
      </c>
      <c r="L33">
        <f si="2" t="shared"/>
        <v>2082</v>
      </c>
      <c r="M33" s="21">
        <f si="3" t="shared"/>
        <v>2.592260570745555E-2</v>
      </c>
    </row>
    <row r="34" spans="1:13" x14ac:dyDescent="0.25">
      <c r="A34">
        <v>23</v>
      </c>
      <c r="B34" s="8" t="n">
        <v>314.410587361</v>
      </c>
      <c r="C34" s="8" t="n">
        <v>0.0</v>
      </c>
      <c r="D34" s="8" t="n">
        <v>0.0</v>
      </c>
      <c r="E34" s="8">
        <f si="0" t="shared"/>
        <v>314.41058736100001</v>
      </c>
      <c r="F34" s="21">
        <f si="1" t="shared"/>
        <v>1.4059731082445298E-2</v>
      </c>
      <c r="H34" s="136">
        <v>23</v>
      </c>
      <c r="I34" s="226" t="n">
        <v>1265.0</v>
      </c>
      <c r="J34" s="316" t="n">
        <v>126.0</v>
      </c>
      <c r="K34" s="406" t="n">
        <v>139.0</v>
      </c>
      <c r="L34">
        <f si="2" t="shared"/>
        <v>1560</v>
      </c>
      <c r="M34" s="21">
        <f si="3" t="shared"/>
        <v>1.9423278051695803E-2</v>
      </c>
    </row>
    <row r="35" spans="1:13" x14ac:dyDescent="0.25">
      <c r="A35">
        <v>24</v>
      </c>
      <c r="B35" s="8" t="n">
        <v>0.0</v>
      </c>
      <c r="C35" s="8" t="n">
        <v>0.0</v>
      </c>
      <c r="D35" s="8" t="n">
        <v>0.0</v>
      </c>
      <c r="E35" s="8">
        <f si="0" t="shared"/>
        <v>0</v>
      </c>
      <c r="F35" s="21">
        <f si="1" t="shared"/>
        <v>0</v>
      </c>
      <c r="H35" s="137">
        <v>24</v>
      </c>
      <c r="I35" s="227" t="n">
        <v>1169.0</v>
      </c>
      <c r="J35" s="317" t="n">
        <v>127.0</v>
      </c>
      <c r="K35" s="407" t="n">
        <v>118.0</v>
      </c>
      <c r="L35">
        <f si="2" t="shared"/>
        <v>1572</v>
      </c>
      <c r="M35" s="21">
        <f si="3" t="shared"/>
        <v>1.9572687882862691E-2</v>
      </c>
    </row>
    <row r="36" spans="1:13" x14ac:dyDescent="0.25">
      <c r="A36">
        <v>25</v>
      </c>
      <c r="B36" s="8" t="n">
        <v>0.0</v>
      </c>
      <c r="C36" s="8" t="n">
        <v>0.0</v>
      </c>
      <c r="D36" s="8" t="n">
        <v>0.0</v>
      </c>
      <c r="E36" s="8">
        <f si="0" t="shared"/>
        <v>0</v>
      </c>
      <c r="F36" s="21">
        <f si="1" t="shared"/>
        <v>0</v>
      </c>
      <c r="H36" s="138">
        <v>25</v>
      </c>
      <c r="I36" s="228" t="n">
        <v>1110.0</v>
      </c>
      <c r="J36" s="318" t="n">
        <v>101.0</v>
      </c>
      <c r="K36" s="408" t="n">
        <v>126.0</v>
      </c>
      <c r="L36">
        <f si="2" t="shared"/>
        <v>1382</v>
      </c>
      <c r="M36" s="21">
        <f si="3" t="shared"/>
        <v>1.7207032222720256E-2</v>
      </c>
    </row>
    <row r="37" spans="1:13" x14ac:dyDescent="0.25">
      <c r="A37">
        <v>26</v>
      </c>
      <c r="B37" s="8" t="n">
        <v>1345.57431748</v>
      </c>
      <c r="C37" s="8" t="n">
        <v>0.0</v>
      </c>
      <c r="D37" s="8" t="n">
        <v>0.0</v>
      </c>
      <c r="E37" s="8">
        <f si="0" t="shared"/>
        <v>1345.57431748</v>
      </c>
      <c r="F37" s="21">
        <f si="1" t="shared"/>
        <v>6.0171043265448074E-2</v>
      </c>
      <c r="H37" s="139">
        <v>26</v>
      </c>
      <c r="I37" s="229" t="n">
        <v>870.0</v>
      </c>
      <c r="J37" s="319" t="n">
        <v>90.0</v>
      </c>
      <c r="K37" s="409" t="n">
        <v>84.0</v>
      </c>
      <c r="L37">
        <f si="2" t="shared"/>
        <v>1045</v>
      </c>
      <c r="M37" s="21">
        <f si="3" t="shared"/>
        <v>1.3011106130783406E-2</v>
      </c>
    </row>
    <row r="38" spans="1:13" x14ac:dyDescent="0.25">
      <c r="A38">
        <v>27</v>
      </c>
      <c r="B38" s="8" t="n">
        <v>0.0</v>
      </c>
      <c r="C38" s="8" t="n">
        <v>0.0</v>
      </c>
      <c r="D38" s="8" t="n">
        <v>0.0</v>
      </c>
      <c r="E38" s="8">
        <f si="0" t="shared"/>
        <v>0</v>
      </c>
      <c r="F38" s="21">
        <f si="1" t="shared"/>
        <v>0</v>
      </c>
      <c r="H38" s="140">
        <v>27</v>
      </c>
      <c r="I38" s="230" t="n">
        <v>758.0</v>
      </c>
      <c r="J38" s="320" t="n">
        <v>69.0</v>
      </c>
      <c r="K38" s="410" t="n">
        <v>81.0</v>
      </c>
      <c r="L38">
        <f si="2" t="shared"/>
        <v>984</v>
      </c>
      <c r="M38" s="21">
        <f si="3" t="shared"/>
        <v>1.2251606155685045E-2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0.0</v>
      </c>
      <c r="E39" s="8">
        <f si="0" t="shared"/>
        <v>0</v>
      </c>
      <c r="F39" s="21">
        <f si="1" t="shared"/>
        <v>0</v>
      </c>
      <c r="H39" s="141">
        <v>28</v>
      </c>
      <c r="I39" s="231" t="n">
        <v>847.0</v>
      </c>
      <c r="J39" s="321" t="n">
        <v>81.0</v>
      </c>
      <c r="K39" s="411" t="n">
        <v>71.0</v>
      </c>
      <c r="L39">
        <f si="2" t="shared"/>
        <v>952</v>
      </c>
      <c r="M39" s="21">
        <f si="3" t="shared"/>
        <v>1.1853179939240002E-2</v>
      </c>
    </row>
    <row r="40" spans="1:13" x14ac:dyDescent="0.25">
      <c r="A40">
        <v>29</v>
      </c>
      <c r="B40" s="8" t="n">
        <v>0.0</v>
      </c>
      <c r="C40" s="8" t="n">
        <v>0.0</v>
      </c>
      <c r="D40" s="8" t="n">
        <v>0.0</v>
      </c>
      <c r="E40" s="8">
        <f si="0" t="shared"/>
        <v>0</v>
      </c>
      <c r="F40" s="21">
        <f si="1" t="shared"/>
        <v>0</v>
      </c>
      <c r="H40" s="142">
        <v>29</v>
      </c>
      <c r="I40" s="232" t="n">
        <v>702.0</v>
      </c>
      <c r="J40" s="322" t="n">
        <v>62.0</v>
      </c>
      <c r="K40" s="412" t="n">
        <v>66.0</v>
      </c>
      <c r="L40">
        <f si="2" t="shared"/>
        <v>916</v>
      </c>
      <c r="M40" s="21">
        <f si="3" t="shared"/>
        <v>1.140495044573933E-2</v>
      </c>
    </row>
    <row r="41" spans="1:13" x14ac:dyDescent="0.25">
      <c r="A41">
        <v>30</v>
      </c>
      <c r="B41" s="8" t="n">
        <v>0.0</v>
      </c>
      <c r="C41" s="8" t="n">
        <v>0.0</v>
      </c>
      <c r="D41" s="8" t="n">
        <v>0.0</v>
      </c>
      <c r="E41" s="8">
        <f si="0" t="shared"/>
        <v>0</v>
      </c>
      <c r="F41" s="21">
        <f si="1" t="shared"/>
        <v>0</v>
      </c>
      <c r="H41" s="143">
        <v>30</v>
      </c>
      <c r="I41" s="233" t="n">
        <v>643.0</v>
      </c>
      <c r="J41" s="323" t="n">
        <v>63.0</v>
      </c>
      <c r="K41" s="413" t="n">
        <v>61.0</v>
      </c>
      <c r="L41">
        <f si="2" t="shared"/>
        <v>793</v>
      </c>
      <c r="M41" s="21">
        <f si="3" t="shared"/>
        <v>9.8734996762786988E-3</v>
      </c>
    </row>
    <row r="42" spans="1:13" x14ac:dyDescent="0.25">
      <c r="A42">
        <v>31</v>
      </c>
      <c r="B42" s="8" t="n">
        <v>0.0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588.0</v>
      </c>
      <c r="J42" s="324" t="n">
        <v>62.0</v>
      </c>
      <c r="K42" s="414" t="n">
        <v>56.0</v>
      </c>
      <c r="L42">
        <f si="2" t="shared"/>
        <v>732</v>
      </c>
      <c r="M42" s="21">
        <f si="3" t="shared"/>
        <v>9.1139997011803371E-3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599.0</v>
      </c>
      <c r="J43" s="325" t="n">
        <v>68.0</v>
      </c>
      <c r="K43" s="415" t="n">
        <v>56.0</v>
      </c>
      <c r="L43">
        <f si="2" t="shared"/>
        <v>743</v>
      </c>
      <c r="M43" s="21">
        <f si="3" t="shared"/>
        <v>9.2509587130833217E-3</v>
      </c>
    </row>
    <row r="44" spans="1:13" x14ac:dyDescent="0.25">
      <c r="A44">
        <v>33</v>
      </c>
      <c r="B44" s="8" t="n">
        <v>0.0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584.0</v>
      </c>
      <c r="J44" s="326" t="n">
        <v>46.0</v>
      </c>
      <c r="K44" s="416" t="n">
        <v>48.0</v>
      </c>
      <c r="L44">
        <f si="2" t="shared"/>
        <v>648</v>
      </c>
      <c r="M44" s="21">
        <f si="3" t="shared"/>
        <v>8.0681308830121024E-3</v>
      </c>
    </row>
    <row r="45" spans="1:13" x14ac:dyDescent="0.25">
      <c r="A45">
        <v>34</v>
      </c>
      <c r="B45" s="8" t="n">
        <v>264.896623257</v>
      </c>
      <c r="C45" s="8" t="n">
        <v>0.0</v>
      </c>
      <c r="D45" s="8" t="n">
        <v>0.0</v>
      </c>
      <c r="E45" s="8">
        <f si="0" t="shared"/>
        <v>264.89662325699999</v>
      </c>
      <c r="F45" s="21">
        <f si="1" t="shared"/>
        <v>1.1845578480361385E-2</v>
      </c>
      <c r="H45" s="147">
        <v>34</v>
      </c>
      <c r="I45" s="237" t="n">
        <v>521.0</v>
      </c>
      <c r="J45" s="327" t="n">
        <v>34.0</v>
      </c>
      <c r="K45" s="417" t="n">
        <v>37.0</v>
      </c>
      <c r="L45">
        <f si="2" t="shared"/>
        <v>616</v>
      </c>
      <c r="M45" s="21">
        <f si="3" t="shared"/>
        <v>7.6697046665670605E-3</v>
      </c>
    </row>
    <row r="46" spans="1:13" x14ac:dyDescent="0.25">
      <c r="A46">
        <v>35</v>
      </c>
      <c r="B46" s="8" t="n">
        <v>0.0</v>
      </c>
      <c r="C46" s="8" t="n">
        <v>0.0</v>
      </c>
      <c r="D46" s="8" t="n">
        <v>0.0</v>
      </c>
      <c r="E46" s="8">
        <f si="0" t="shared"/>
        <v>0</v>
      </c>
      <c r="F46" s="21">
        <f si="1" t="shared"/>
        <v>0</v>
      </c>
      <c r="H46" s="148">
        <v>35</v>
      </c>
      <c r="I46" s="238" t="n">
        <v>479.0</v>
      </c>
      <c r="J46" s="328" t="n">
        <v>52.0</v>
      </c>
      <c r="K46" s="418" t="n">
        <v>36.0</v>
      </c>
      <c r="L46">
        <f si="2" t="shared"/>
        <v>580</v>
      </c>
      <c r="M46" s="21">
        <f si="3" t="shared"/>
        <v>7.2214751730663874E-3</v>
      </c>
    </row>
    <row r="47" spans="1:13" x14ac:dyDescent="0.25">
      <c r="A47">
        <v>36</v>
      </c>
      <c r="B47" s="8" t="n">
        <v>377.413565254</v>
      </c>
      <c r="C47" s="8" t="n">
        <v>0.0</v>
      </c>
      <c r="D47" s="8" t="n">
        <v>0.0</v>
      </c>
      <c r="E47" s="8">
        <f si="0" t="shared"/>
        <v>377.41356525399999</v>
      </c>
      <c r="F47" s="21">
        <f si="1" t="shared"/>
        <v>1.6877081903878554E-2</v>
      </c>
      <c r="H47" s="149">
        <v>36</v>
      </c>
      <c r="I47" s="239" t="n">
        <v>467.0</v>
      </c>
      <c r="J47" s="329" t="n">
        <v>47.0</v>
      </c>
      <c r="K47" s="419" t="n">
        <v>40.0</v>
      </c>
      <c r="L47">
        <f si="2" t="shared"/>
        <v>493</v>
      </c>
      <c r="M47" s="21">
        <f si="3" t="shared"/>
        <v>6.1382538971064297E-3</v>
      </c>
    </row>
    <row r="48" spans="1:13" x14ac:dyDescent="0.25">
      <c r="A48">
        <v>37</v>
      </c>
      <c r="B48" s="8" t="n">
        <v>0.0</v>
      </c>
      <c r="C48" s="8" t="n">
        <v>0.0</v>
      </c>
      <c r="D48" s="8" t="n">
        <v>0.0</v>
      </c>
      <c r="E48" s="8">
        <f si="0" t="shared"/>
        <v>0</v>
      </c>
      <c r="F48" s="21">
        <f si="1" t="shared"/>
        <v>0</v>
      </c>
      <c r="H48" s="150">
        <v>37</v>
      </c>
      <c r="I48" s="240" t="n">
        <v>397.0</v>
      </c>
      <c r="J48" s="330" t="n">
        <v>34.0</v>
      </c>
      <c r="K48" s="420" t="n">
        <v>38.0</v>
      </c>
      <c r="L48">
        <f si="2" t="shared"/>
        <v>474</v>
      </c>
      <c r="M48" s="21">
        <f si="3" t="shared"/>
        <v>5.9016883310921862E-3</v>
      </c>
    </row>
    <row r="49" spans="1:13" x14ac:dyDescent="0.25">
      <c r="A49">
        <v>38</v>
      </c>
      <c r="B49" s="8" t="n">
        <v>1093.57177535</v>
      </c>
      <c r="C49" s="8" t="n">
        <v>0.0</v>
      </c>
      <c r="D49" s="8" t="n">
        <v>0.0</v>
      </c>
      <c r="E49" s="8">
        <f si="0" t="shared"/>
        <v>1093.5717753500001</v>
      </c>
      <c r="F49" s="21">
        <f si="1" t="shared"/>
        <v>4.8902058959991827E-2</v>
      </c>
      <c r="H49" s="151">
        <v>38</v>
      </c>
      <c r="I49" s="241" t="n">
        <v>311.0</v>
      </c>
      <c r="J49" s="331" t="n">
        <v>26.0</v>
      </c>
      <c r="K49" s="421" t="n">
        <v>29.0</v>
      </c>
      <c r="L49">
        <f si="2" t="shared"/>
        <v>384</v>
      </c>
      <c r="M49" s="21">
        <f si="3" t="shared"/>
        <v>4.7811145973405047E-3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316.0</v>
      </c>
      <c r="J50" s="332" t="n">
        <v>22.0</v>
      </c>
      <c r="K50" s="422" t="n">
        <v>27.0</v>
      </c>
      <c r="L50">
        <f si="2" t="shared"/>
        <v>340</v>
      </c>
      <c r="M50" s="21">
        <f si="3" t="shared"/>
        <v>4.2332785497285717E-3</v>
      </c>
    </row>
    <row r="51" spans="1:13" x14ac:dyDescent="0.25">
      <c r="A51">
        <v>40</v>
      </c>
      <c r="B51" s="8" t="n">
        <v>0.0</v>
      </c>
      <c r="C51" s="8" t="n">
        <v>0.0</v>
      </c>
      <c r="D51" s="8" t="n">
        <v>0.0</v>
      </c>
      <c r="E51" s="8">
        <f si="0" t="shared"/>
        <v>0</v>
      </c>
      <c r="F51" s="21">
        <f si="1" t="shared"/>
        <v>0</v>
      </c>
      <c r="H51" s="153">
        <v>40</v>
      </c>
      <c r="I51" s="243" t="n">
        <v>263.0</v>
      </c>
      <c r="J51" s="333" t="n">
        <v>27.0</v>
      </c>
      <c r="K51" s="423" t="n">
        <v>25.0</v>
      </c>
      <c r="L51">
        <f si="2" t="shared"/>
        <v>261</v>
      </c>
      <c r="M51" s="21">
        <f si="3" t="shared"/>
        <v>3.2496638278798743E-3</v>
      </c>
    </row>
    <row r="52" spans="1:13" x14ac:dyDescent="0.25">
      <c r="A52">
        <v>41</v>
      </c>
      <c r="B52" s="8" t="n">
        <v>865.919580817</v>
      </c>
      <c r="C52" s="8" t="n">
        <v>0.0</v>
      </c>
      <c r="D52" s="8" t="n">
        <v>0.0</v>
      </c>
      <c r="E52" s="8">
        <f si="0" t="shared"/>
        <v>865.919580817</v>
      </c>
      <c r="F52" s="21">
        <f si="1" t="shared"/>
        <v>3.8721967181506355E-2</v>
      </c>
      <c r="H52" s="154">
        <v>41</v>
      </c>
      <c r="I52" s="244" t="n">
        <v>256.0</v>
      </c>
      <c r="J52" s="334" t="n">
        <v>25.0</v>
      </c>
      <c r="K52" s="424" t="n">
        <v>10.0</v>
      </c>
      <c r="L52">
        <f si="2" t="shared"/>
        <v>260</v>
      </c>
      <c r="M52" s="21">
        <f si="3" t="shared"/>
        <v>3.237213008615967E-3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209.0</v>
      </c>
      <c r="J53" s="335" t="n">
        <v>26.0</v>
      </c>
      <c r="K53" s="425" t="n">
        <v>12.0</v>
      </c>
      <c r="L53">
        <f si="2" t="shared"/>
        <v>243</v>
      </c>
      <c r="M53" s="21">
        <f si="3" t="shared"/>
        <v>3.0255490811295382E-3</v>
      </c>
    </row>
    <row r="54" spans="1:13" x14ac:dyDescent="0.25">
      <c r="A54">
        <v>43</v>
      </c>
      <c r="B54" s="8" t="n">
        <v>0.0</v>
      </c>
      <c r="C54" s="8" t="n">
        <v>0.0</v>
      </c>
      <c r="D54" s="8" t="n">
        <v>0.0</v>
      </c>
      <c r="E54" s="8">
        <f si="0" t="shared"/>
        <v>0</v>
      </c>
      <c r="F54" s="21">
        <f si="1" t="shared"/>
        <v>0</v>
      </c>
      <c r="H54" s="156">
        <v>43</v>
      </c>
      <c r="I54" s="246" t="n">
        <v>242.0</v>
      </c>
      <c r="J54" s="336" t="n">
        <v>15.0</v>
      </c>
      <c r="K54" s="426" t="n">
        <v>14.0</v>
      </c>
      <c r="L54">
        <f si="2" t="shared"/>
        <v>192</v>
      </c>
      <c r="M54" s="21">
        <f si="3" t="shared"/>
        <v>2.3905572986702523E-3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161.0</v>
      </c>
      <c r="J55" s="337" t="n">
        <v>10.0</v>
      </c>
      <c r="K55" s="427" t="n">
        <v>12.0</v>
      </c>
      <c r="L55">
        <f si="2" t="shared"/>
        <v>207</v>
      </c>
      <c r="M55" s="21">
        <f si="3" t="shared"/>
        <v>2.5773195876288659E-3</v>
      </c>
    </row>
    <row r="56" spans="1:13" x14ac:dyDescent="0.25">
      <c r="A56">
        <v>45</v>
      </c>
      <c r="B56" s="8" t="n">
        <v>0.0</v>
      </c>
      <c r="C56" s="8" t="n">
        <v>0.0</v>
      </c>
      <c r="D56" s="8" t="n">
        <v>0.0</v>
      </c>
      <c r="E56" s="8">
        <f si="0" t="shared"/>
        <v>0</v>
      </c>
      <c r="F56" s="21">
        <f si="1" t="shared"/>
        <v>0</v>
      </c>
      <c r="H56" s="158">
        <v>45</v>
      </c>
      <c r="I56" s="248" t="n">
        <v>135.0</v>
      </c>
      <c r="J56" s="338" t="n">
        <v>13.0</v>
      </c>
      <c r="K56" s="428" t="n">
        <v>8.0</v>
      </c>
      <c r="L56">
        <f si="2" t="shared"/>
        <v>156</v>
      </c>
      <c r="M56" s="21">
        <f si="3" t="shared"/>
        <v>1.9423278051695801E-3</v>
      </c>
    </row>
    <row r="57" spans="1:13" x14ac:dyDescent="0.25">
      <c r="A57">
        <v>46</v>
      </c>
      <c r="B57" s="8" t="n">
        <v>590.5251933889999</v>
      </c>
      <c r="C57" s="8" t="n">
        <v>0.0</v>
      </c>
      <c r="D57" s="8" t="n">
        <v>0.0</v>
      </c>
      <c r="E57" s="8">
        <f si="0" t="shared"/>
        <v>590.52519338899992</v>
      </c>
      <c r="F57" s="21">
        <f si="1" t="shared"/>
        <v>2.6406952406235078E-2</v>
      </c>
      <c r="H57" s="159">
        <v>46</v>
      </c>
      <c r="I57" s="249" t="n">
        <v>129.0</v>
      </c>
      <c r="J57" s="339" t="n">
        <v>11.0</v>
      </c>
      <c r="K57" s="429" t="n">
        <v>5.0</v>
      </c>
      <c r="L57">
        <f si="2" t="shared"/>
        <v>144</v>
      </c>
      <c r="M57" s="21">
        <f si="3" t="shared"/>
        <v>1.7929179740026895E-3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141.0</v>
      </c>
      <c r="J58" s="340" t="n">
        <v>15.0</v>
      </c>
      <c r="K58" s="430" t="n">
        <v>9.0</v>
      </c>
      <c r="L58">
        <f si="2" t="shared"/>
        <v>159</v>
      </c>
      <c r="M58" s="21">
        <f si="3" t="shared"/>
        <v>1.9796802629613031E-3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100.0</v>
      </c>
      <c r="J59" s="341" t="n">
        <v>4.0</v>
      </c>
      <c r="K59" s="431" t="n">
        <v>4.0</v>
      </c>
      <c r="L59">
        <f si="2" t="shared"/>
        <v>94</v>
      </c>
      <c r="M59" s="21">
        <f si="3" t="shared"/>
        <v>1.1703770108073112E-3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85.0</v>
      </c>
      <c r="J60" s="342" t="n">
        <v>9.0</v>
      </c>
      <c r="K60" s="432" t="n">
        <v>5.0</v>
      </c>
      <c r="L60">
        <f si="2" t="shared"/>
        <v>113</v>
      </c>
      <c r="M60" s="21">
        <f si="3" t="shared"/>
        <v>1.4069425768215549E-3</v>
      </c>
    </row>
    <row r="61" spans="1:13" x14ac:dyDescent="0.25">
      <c r="A61">
        <v>50</v>
      </c>
      <c r="B61" s="8" t="n">
        <v>0.0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60.0</v>
      </c>
      <c r="J61" s="343" t="n">
        <v>7.0</v>
      </c>
      <c r="K61" s="433" t="n">
        <v>9.0</v>
      </c>
      <c r="L61">
        <f si="2" t="shared"/>
        <v>117</v>
      </c>
      <c r="M61" s="21">
        <f si="3" t="shared"/>
        <v>1.4567458538771851E-3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103.0</v>
      </c>
      <c r="J62" s="344" t="n">
        <v>13.0</v>
      </c>
      <c r="K62" s="434" t="n">
        <v>6.0</v>
      </c>
      <c r="L62">
        <f si="2" t="shared"/>
        <v>119</v>
      </c>
      <c r="M62" s="21">
        <f si="3" t="shared"/>
        <v>1.4816474924050002E-3</v>
      </c>
    </row>
    <row r="63" spans="1:13" x14ac:dyDescent="0.25">
      <c r="A63">
        <v>52</v>
      </c>
      <c r="B63" s="8" t="n">
        <v>0.0</v>
      </c>
      <c r="C63" s="8" t="n">
        <v>0.0</v>
      </c>
      <c r="D63" s="8" t="n">
        <v>0.0</v>
      </c>
      <c r="E63" s="8">
        <f si="0" t="shared"/>
        <v>0</v>
      </c>
      <c r="F63" s="21">
        <f si="1" t="shared"/>
        <v>0</v>
      </c>
      <c r="H63" s="165">
        <v>52</v>
      </c>
      <c r="I63" s="255" t="n">
        <v>59.0</v>
      </c>
      <c r="J63" s="345" t="n">
        <v>10.0</v>
      </c>
      <c r="K63" s="435" t="n">
        <v>6.0</v>
      </c>
      <c r="L63">
        <f si="2" t="shared"/>
        <v>83</v>
      </c>
      <c r="M63" s="21">
        <f si="3" t="shared"/>
        <v>1.033417998904328E-3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60.0</v>
      </c>
      <c r="J64" s="346" t="n">
        <v>4.0</v>
      </c>
      <c r="K64" s="436" t="n">
        <v>0.0</v>
      </c>
      <c r="L64">
        <f si="2" t="shared"/>
        <v>73</v>
      </c>
      <c r="M64" s="21">
        <f si="3" t="shared"/>
        <v>9.0890980626525222E-4</v>
      </c>
    </row>
    <row r="65" spans="1:13" x14ac:dyDescent="0.25">
      <c r="A65">
        <v>54</v>
      </c>
      <c r="B65" s="8" t="n">
        <v>0.0</v>
      </c>
      <c r="C65" s="8" t="n">
        <v>0.0</v>
      </c>
      <c r="D65" s="8" t="n">
        <v>0.0</v>
      </c>
      <c r="E65" s="8">
        <f si="0" t="shared"/>
        <v>0</v>
      </c>
      <c r="F65" s="21">
        <f si="1" t="shared"/>
        <v>0</v>
      </c>
      <c r="H65" s="167">
        <v>54</v>
      </c>
      <c r="I65" s="257" t="n">
        <v>63.0</v>
      </c>
      <c r="J65" s="347" t="n">
        <v>5.0</v>
      </c>
      <c r="K65" s="437" t="n">
        <v>2.0</v>
      </c>
      <c r="L65">
        <f si="2" t="shared"/>
        <v>85</v>
      </c>
      <c r="M65" s="21">
        <f si="3" t="shared"/>
        <v>1.0583196374321429E-3</v>
      </c>
    </row>
    <row r="66" spans="1:13" x14ac:dyDescent="0.25">
      <c r="A66">
        <v>55</v>
      </c>
      <c r="B66" s="8" t="n">
        <v>0.0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49.0</v>
      </c>
      <c r="J66" s="348" t="n">
        <v>4.0</v>
      </c>
      <c r="K66" s="438" t="n">
        <v>8.0</v>
      </c>
      <c r="L66">
        <f si="2" t="shared"/>
        <v>55</v>
      </c>
      <c r="M66" s="21">
        <f si="3" t="shared"/>
        <v>6.8479505951491609E-4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67.0</v>
      </c>
      <c r="J67" s="349" t="n">
        <v>5.0</v>
      </c>
      <c r="K67" s="439" t="n">
        <v>3.0</v>
      </c>
      <c r="L67">
        <f si="2" t="shared"/>
        <v>66</v>
      </c>
      <c r="M67" s="21">
        <f si="3" t="shared"/>
        <v>8.2175407141789932E-4</v>
      </c>
    </row>
    <row r="68" spans="1:13" x14ac:dyDescent="0.25">
      <c r="A68">
        <v>57</v>
      </c>
      <c r="B68" s="8" t="n">
        <v>0.0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54.0</v>
      </c>
      <c r="J68" s="350" t="n">
        <v>3.0</v>
      </c>
      <c r="K68" s="440" t="n">
        <v>5.0</v>
      </c>
      <c r="L68">
        <f si="2" t="shared"/>
        <v>65</v>
      </c>
      <c r="M68" s="21">
        <f si="3" t="shared"/>
        <v>8.0930325215399174E-4</v>
      </c>
    </row>
    <row r="69" spans="1:13" x14ac:dyDescent="0.25">
      <c r="A69">
        <v>58</v>
      </c>
      <c r="B69" s="8" t="n">
        <v>0.0</v>
      </c>
      <c r="C69" s="8" t="n">
        <v>0.0</v>
      </c>
      <c r="D69" s="8" t="n">
        <v>0.0</v>
      </c>
      <c r="E69" s="8">
        <f si="0" t="shared"/>
        <v>0</v>
      </c>
      <c r="F69" s="21">
        <f si="1" t="shared"/>
        <v>0</v>
      </c>
      <c r="H69" s="171">
        <v>58</v>
      </c>
      <c r="I69" s="261" t="n">
        <v>44.0</v>
      </c>
      <c r="J69" s="351" t="n">
        <v>2.0</v>
      </c>
      <c r="K69" s="441" t="n">
        <v>4.0</v>
      </c>
      <c r="L69">
        <f si="2" t="shared"/>
        <v>59</v>
      </c>
      <c r="M69" s="21">
        <f si="3" t="shared"/>
        <v>7.3459833657054632E-4</v>
      </c>
    </row>
    <row r="70" spans="1:13" x14ac:dyDescent="0.25">
      <c r="A70">
        <v>59</v>
      </c>
      <c r="B70" s="8" t="n">
        <v>0.0</v>
      </c>
      <c r="C70" s="8" t="n">
        <v>0.0</v>
      </c>
      <c r="D70" s="8" t="n">
        <v>0.0</v>
      </c>
      <c r="E70" s="8">
        <f si="0" t="shared"/>
        <v>0</v>
      </c>
      <c r="F70" s="21">
        <f si="1" t="shared"/>
        <v>0</v>
      </c>
      <c r="H70" s="172">
        <v>59</v>
      </c>
      <c r="I70" s="262" t="n">
        <v>44.0</v>
      </c>
      <c r="J70" s="352" t="n">
        <v>2.0</v>
      </c>
      <c r="K70" s="442" t="n">
        <v>1.0</v>
      </c>
      <c r="L70">
        <f si="2" t="shared"/>
        <v>42</v>
      </c>
      <c r="M70" s="21">
        <f si="3" t="shared"/>
        <v>5.2293440908411778E-4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36.0</v>
      </c>
      <c r="J71" s="353" t="n">
        <v>2.0</v>
      </c>
      <c r="K71" s="443" t="n">
        <v>4.0</v>
      </c>
      <c r="L71">
        <f si="2" t="shared"/>
        <v>35</v>
      </c>
      <c r="M71" s="21">
        <f si="3" t="shared"/>
        <v>4.3577867423676478E-4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32.0</v>
      </c>
      <c r="J72" s="354" t="n">
        <v>1.0</v>
      </c>
      <c r="K72" s="444" t="n">
        <v>0.0</v>
      </c>
      <c r="L72">
        <f si="2" t="shared"/>
        <v>37</v>
      </c>
      <c r="M72" s="21">
        <f si="3" t="shared"/>
        <v>4.606803127645799E-4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31.0</v>
      </c>
      <c r="J73" s="355" t="n">
        <v>2.0</v>
      </c>
      <c r="K73" s="445" t="n">
        <v>2.0</v>
      </c>
      <c r="L73">
        <f si="2" t="shared"/>
        <v>26</v>
      </c>
      <c r="M73" s="21">
        <f si="3" t="shared"/>
        <v>3.2372130086159672E-4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25.0</v>
      </c>
      <c r="J74" s="356" t="n">
        <v>1.0</v>
      </c>
      <c r="K74" s="446" t="n">
        <v>3.0</v>
      </c>
      <c r="L74">
        <f si="2" t="shared"/>
        <v>29</v>
      </c>
      <c r="M74" s="21">
        <f si="3" t="shared"/>
        <v>3.6107375865331937E-4</v>
      </c>
    </row>
    <row r="75" spans="1:13" x14ac:dyDescent="0.25">
      <c r="A75">
        <v>64</v>
      </c>
      <c r="B75" s="8" t="n">
        <v>0.0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13.0</v>
      </c>
      <c r="J75" s="357" t="n">
        <v>2.0</v>
      </c>
      <c r="K75" s="447" t="n">
        <v>1.0</v>
      </c>
      <c r="L75">
        <f si="2" t="shared"/>
        <v>25</v>
      </c>
      <c r="M75" s="21">
        <f si="3" t="shared"/>
        <v>3.1127048159768913E-4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24.0</v>
      </c>
      <c r="J76" s="358" t="n">
        <v>0.0</v>
      </c>
      <c r="K76" s="448" t="n">
        <v>2.0</v>
      </c>
      <c r="L76">
        <f ref="L76:L101" si="6" t="shared">SUM(I76:K76)</f>
        <v>33</v>
      </c>
      <c r="M76" s="21">
        <f ref="M76:M102" si="7" t="shared">L76/$L$102</f>
        <v>4.1087703570894966E-4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18.0</v>
      </c>
      <c r="J77" s="359" t="n">
        <v>2.0</v>
      </c>
      <c r="K77" s="449" t="n">
        <v>0.0</v>
      </c>
      <c r="L77">
        <f si="6" t="shared"/>
        <v>12</v>
      </c>
      <c r="M77" s="21">
        <f si="7" t="shared"/>
        <v>1.4940983116689077E-4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17.0</v>
      </c>
      <c r="J78" s="360" t="n">
        <v>0.0</v>
      </c>
      <c r="K78" s="450" t="n">
        <v>1.0</v>
      </c>
      <c r="L78">
        <f si="6" t="shared"/>
        <v>20</v>
      </c>
      <c r="M78" s="21">
        <f si="7" t="shared"/>
        <v>2.490163852781513E-4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15.0</v>
      </c>
      <c r="J79" s="361" t="n">
        <v>1.0</v>
      </c>
      <c r="K79" s="451" t="n">
        <v>1.0</v>
      </c>
      <c r="L79">
        <f si="6" t="shared"/>
        <v>17</v>
      </c>
      <c r="M79" s="21">
        <f si="7" t="shared"/>
        <v>2.116639274864286E-4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4.0</v>
      </c>
      <c r="J80" s="362" t="n">
        <v>2.0</v>
      </c>
      <c r="K80" s="452" t="n">
        <v>0.0</v>
      </c>
      <c r="L80">
        <f si="6" t="shared"/>
        <v>14</v>
      </c>
      <c r="M80" s="21">
        <f si="7" t="shared"/>
        <v>1.7431146969470592E-4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14.0</v>
      </c>
      <c r="J81" s="363" t="n">
        <v>1.0</v>
      </c>
      <c r="K81" s="453" t="n">
        <v>1.0</v>
      </c>
      <c r="L81">
        <f si="6" t="shared"/>
        <v>14</v>
      </c>
      <c r="M81" s="21">
        <f si="7" t="shared"/>
        <v>1.7431146969470592E-4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0</v>
      </c>
      <c r="F82" s="21">
        <f si="5" t="shared"/>
        <v>0</v>
      </c>
      <c r="H82" s="184">
        <v>71</v>
      </c>
      <c r="I82" s="274" t="n">
        <v>10.0</v>
      </c>
      <c r="J82" s="364" t="n">
        <v>0.0</v>
      </c>
      <c r="K82" s="454" t="n">
        <v>0.0</v>
      </c>
      <c r="L82">
        <f si="6" t="shared"/>
        <v>7</v>
      </c>
      <c r="M82" s="21">
        <f si="7" t="shared"/>
        <v>8.7155734847352959E-5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0</v>
      </c>
      <c r="F83" s="21">
        <f si="5" t="shared"/>
        <v>0</v>
      </c>
      <c r="H83" s="185">
        <v>72</v>
      </c>
      <c r="I83" s="275" t="n">
        <v>11.0</v>
      </c>
      <c r="J83" s="365" t="n">
        <v>1.0</v>
      </c>
      <c r="K83" s="455" t="n">
        <v>1.0</v>
      </c>
      <c r="L83">
        <f si="6" t="shared"/>
        <v>9</v>
      </c>
      <c r="M83" s="21">
        <f si="7" t="shared"/>
        <v>1.1205737337516809E-4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6.0</v>
      </c>
      <c r="J84" s="366" t="n">
        <v>0.0</v>
      </c>
      <c r="K84" s="456" t="n">
        <v>1.0</v>
      </c>
      <c r="L84">
        <f si="6" t="shared"/>
        <v>8</v>
      </c>
      <c r="M84" s="21">
        <f si="7" t="shared"/>
        <v>9.9606554111260519E-5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2.0</v>
      </c>
      <c r="J85" s="367" t="n">
        <v>1.0</v>
      </c>
      <c r="K85" s="457" t="n">
        <v>0.0</v>
      </c>
      <c r="L85">
        <f si="6" t="shared"/>
        <v>9</v>
      </c>
      <c r="M85" s="21">
        <f si="7" t="shared"/>
        <v>1.1205737337516809E-4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5.0</v>
      </c>
      <c r="J86" s="368" t="n">
        <v>0.0</v>
      </c>
      <c r="K86" s="458" t="n">
        <v>0.0</v>
      </c>
      <c r="L86">
        <f si="6" t="shared"/>
        <v>4</v>
      </c>
      <c r="M86" s="21">
        <f si="7" t="shared"/>
        <v>4.9803277055630259E-5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3.0</v>
      </c>
      <c r="J87" s="369" t="n">
        <v>0.0</v>
      </c>
      <c r="K87" s="459" t="n">
        <v>0.0</v>
      </c>
      <c r="L87">
        <f si="6" t="shared"/>
        <v>6</v>
      </c>
      <c r="M87" s="21">
        <f si="7" t="shared"/>
        <v>7.4704915583445386E-5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3.0</v>
      </c>
      <c r="J88" s="370" t="n">
        <v>0.0</v>
      </c>
      <c r="K88" s="460" t="n">
        <v>1.0</v>
      </c>
      <c r="L88">
        <f si="6" t="shared"/>
        <v>5</v>
      </c>
      <c r="M88" s="21">
        <f si="7" t="shared"/>
        <v>6.2254096319537826E-5</v>
      </c>
    </row>
    <row r="89" spans="1:13" x14ac:dyDescent="0.25">
      <c r="A89">
        <v>78</v>
      </c>
      <c r="B89" s="8" t="n">
        <v>0.0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3.0</v>
      </c>
      <c r="J89" s="371" t="n">
        <v>0.0</v>
      </c>
      <c r="K89" s="461" t="n">
        <v>0.0</v>
      </c>
      <c r="L89">
        <f si="6" t="shared"/>
        <v>7</v>
      </c>
      <c r="M89" s="21">
        <f si="7" t="shared"/>
        <v>8.7155734847352959E-5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5.0</v>
      </c>
      <c r="J90" s="372" t="n">
        <v>0.0</v>
      </c>
      <c r="K90" s="462" t="n">
        <v>0.0</v>
      </c>
      <c r="L90">
        <f si="6" t="shared"/>
        <v>4</v>
      </c>
      <c r="M90" s="21">
        <f si="7" t="shared"/>
        <v>4.9803277055630259E-5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5.0</v>
      </c>
      <c r="J91" s="373" t="n">
        <v>0.0</v>
      </c>
      <c r="K91" s="463" t="n">
        <v>0.0</v>
      </c>
      <c r="L91">
        <f si="6" t="shared"/>
        <v>2</v>
      </c>
      <c r="M91" s="21">
        <f si="7" t="shared"/>
        <v>2.490163852781513E-5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5.0</v>
      </c>
      <c r="J92" s="374" t="n">
        <v>0.0</v>
      </c>
      <c r="K92" s="464" t="n">
        <v>0.0</v>
      </c>
      <c r="L92">
        <f si="6" t="shared"/>
        <v>1</v>
      </c>
      <c r="M92" s="21">
        <f si="7" t="shared"/>
        <v>1.2450819263907565E-5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2.0</v>
      </c>
      <c r="J93" s="375" t="n">
        <v>0.0</v>
      </c>
      <c r="K93" s="465" t="n">
        <v>1.0</v>
      </c>
      <c r="L93">
        <f si="6" t="shared"/>
        <v>5</v>
      </c>
      <c r="M93" s="21">
        <f si="7" t="shared"/>
        <v>6.2254096319537826E-5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3.0</v>
      </c>
      <c r="J94" s="376" t="n">
        <v>0.0</v>
      </c>
      <c r="K94" s="466" t="n">
        <v>0.0</v>
      </c>
      <c r="L94">
        <f si="6" t="shared"/>
        <v>2</v>
      </c>
      <c r="M94" s="21">
        <f si="7" t="shared"/>
        <v>2.490163852781513E-5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2.0</v>
      </c>
      <c r="J95" s="377" t="n">
        <v>0.0</v>
      </c>
      <c r="K95" s="467" t="n">
        <v>0.0</v>
      </c>
      <c r="L95">
        <f si="6" t="shared"/>
        <v>2</v>
      </c>
      <c r="M95" s="21">
        <f si="7" t="shared"/>
        <v>2.490163852781513E-5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2.0</v>
      </c>
      <c r="J96" s="378" t="n">
        <v>1.0</v>
      </c>
      <c r="K96" s="468" t="n">
        <v>1.0</v>
      </c>
      <c r="L96">
        <f si="6" t="shared"/>
        <v>1</v>
      </c>
      <c r="M96" s="21">
        <f si="7" t="shared"/>
        <v>1.2450819263907565E-5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3.0</v>
      </c>
      <c r="J97" s="379" t="n">
        <v>0.0</v>
      </c>
      <c r="K97" s="469" t="n">
        <v>0.0</v>
      </c>
      <c r="L97">
        <f si="6" t="shared"/>
        <v>2</v>
      </c>
      <c r="M97" s="21">
        <f si="7" t="shared"/>
        <v>2.490163852781513E-5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1.0</v>
      </c>
      <c r="J98" s="380" t="n">
        <v>1.0</v>
      </c>
      <c r="K98" s="470" t="n">
        <v>0.0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0.0</v>
      </c>
      <c r="J99" s="381" t="n">
        <v>0.0</v>
      </c>
      <c r="K99" s="471" t="n">
        <v>0.0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1.0</v>
      </c>
      <c r="J100" s="382" t="n">
        <v>0.0</v>
      </c>
      <c r="K100" s="472" t="n">
        <v>0.0</v>
      </c>
      <c r="L10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2.0</v>
      </c>
      <c r="J101" s="475" t="n">
        <v>1.0</v>
      </c>
      <c r="K101" s="475" t="n">
        <v>0.0</v>
      </c>
      <c r="L101" s="1">
        <f si="6" t="shared"/>
        <v>7</v>
      </c>
      <c r="M101" s="21">
        <f si="7" t="shared"/>
        <v>8.7155734847352959E-5</v>
      </c>
    </row>
    <row r="102" spans="1:13" x14ac:dyDescent="0.25">
      <c r="E102" s="8">
        <f>SUM(E11:E101)</f>
        <v>22362.4894044785</v>
      </c>
      <c r="F102" s="21">
        <f si="5" t="shared"/>
        <v>1</v>
      </c>
      <c r="L102" s="22">
        <f>SUM(L11:L101)</f>
        <v>80316</v>
      </c>
      <c r="M102" s="21">
        <f si="7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F1" workbookViewId="0">
      <selection activeCell="AD35" sqref="AD3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247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25">
      <c r="A7" s="477" t="s">
        <v>252</v>
      </c>
      <c r="B7" s="13" t="n">
        <v>2241.3867062587</v>
      </c>
      <c r="C7" s="13" t="n">
        <v>131.188344677</v>
      </c>
      <c r="D7" s="13" t="n">
        <v>0.0</v>
      </c>
      <c r="E7" s="13" t="n">
        <v>919.5224041390001</v>
      </c>
      <c r="F7" s="13" t="n">
        <v>134.8705071</v>
      </c>
      <c r="G7" s="13" t="n">
        <v>0.0</v>
      </c>
      <c r="H7" s="13" t="n">
        <v>377.413565254</v>
      </c>
      <c r="I7" s="13"/>
      <c r="J7" s="13">
        <f>SUM(B7:I7)</f>
        <v>3804.3815274286999</v>
      </c>
      <c r="K7" s="13"/>
      <c r="L7" t="str">
        <f>$A$7</f>
        <v>Bellevue</v>
      </c>
      <c r="M7" s="522" t="n">
        <v>5173.0</v>
      </c>
      <c r="N7" s="522" t="n">
        <v>1900.0</v>
      </c>
      <c r="O7" s="522" t="n">
        <v>342.0</v>
      </c>
      <c r="P7" s="522" t="n">
        <v>793.0</v>
      </c>
      <c r="Q7" s="522" t="n">
        <v>538.0</v>
      </c>
      <c r="R7" s="522" t="n">
        <v>72.0</v>
      </c>
      <c r="S7" s="522" t="n">
        <v>837.0</v>
      </c>
      <c r="T7" s="473"/>
      <c r="U7" s="13">
        <f>SUM(M7:T7)</f>
        <v>9863</v>
      </c>
    </row>
    <row r="8" spans="1:21" x14ac:dyDescent="0.25">
      <c r="A8" t="s">
        <v>253</v>
      </c>
      <c r="B8" s="13" t="n">
        <v>0.0</v>
      </c>
      <c r="C8" s="13" t="n">
        <v>1821.4742215372</v>
      </c>
      <c r="D8" s="13" t="n">
        <v>317.954791765</v>
      </c>
      <c r="E8" s="13" t="n">
        <v>0.0</v>
      </c>
      <c r="F8" s="13" t="n">
        <v>0.0</v>
      </c>
      <c r="G8" s="13" t="n">
        <v>1345.57431748</v>
      </c>
      <c r="H8" s="13" t="n">
        <v>0.0</v>
      </c>
      <c r="I8" s="13"/>
      <c r="J8" s="13">
        <f ref="J8:J14" si="0" t="shared">SUM(B8:I8)</f>
        <v>3485.0033307822</v>
      </c>
      <c r="K8" s="13"/>
      <c r="L8" t="str">
        <f>$A$8</f>
        <v>Bellevue Downtown</v>
      </c>
      <c r="M8" s="522" t="n">
        <v>1223.0</v>
      </c>
      <c r="N8" s="522" t="n">
        <v>5203.0</v>
      </c>
      <c r="O8" s="522" t="n">
        <v>302.0</v>
      </c>
      <c r="P8" s="522" t="n">
        <v>174.0</v>
      </c>
      <c r="Q8" s="522" t="n">
        <v>410.0</v>
      </c>
      <c r="R8" s="522" t="n">
        <v>38.0</v>
      </c>
      <c r="S8" s="522" t="n">
        <v>591.0</v>
      </c>
      <c r="T8" s="473"/>
      <c r="U8" s="13">
        <f ref="U8:U14" si="1" t="shared">SUM(M8:T8)</f>
        <v>7024</v>
      </c>
    </row>
    <row r="9" spans="1:21" x14ac:dyDescent="0.25">
      <c r="A9" t="s">
        <v>254</v>
      </c>
      <c r="B9" s="13" t="n">
        <v>0.0</v>
      </c>
      <c r="C9" s="13" t="n">
        <v>0.0</v>
      </c>
      <c r="D9" s="13" t="n">
        <v>2993.5948801809</v>
      </c>
      <c r="E9" s="13" t="n">
        <v>334.993867558</v>
      </c>
      <c r="F9" s="13" t="n">
        <v>0.0</v>
      </c>
      <c r="G9" s="13" t="n">
        <v>0.0</v>
      </c>
      <c r="H9" s="13" t="n">
        <v>1358.468398607</v>
      </c>
      <c r="I9" s="13"/>
      <c r="J9" s="13">
        <f si="0" t="shared"/>
        <v>4687.0571463459</v>
      </c>
      <c r="K9" s="14"/>
      <c r="L9" t="str">
        <f>$A$9</f>
        <v>Kirkland</v>
      </c>
      <c r="M9" s="522" t="n">
        <v>397.0</v>
      </c>
      <c r="N9" s="522" t="n">
        <v>378.0</v>
      </c>
      <c r="O9" s="522" t="n">
        <v>3653.0</v>
      </c>
      <c r="P9" s="522" t="n">
        <v>673.0</v>
      </c>
      <c r="Q9" s="522" t="n">
        <v>435.0</v>
      </c>
      <c r="R9" s="522" t="n">
        <v>33.0</v>
      </c>
      <c r="S9" s="522" t="n">
        <v>982.0</v>
      </c>
      <c r="T9" s="473"/>
      <c r="U9" s="13">
        <f si="1" t="shared"/>
        <v>6568</v>
      </c>
    </row>
    <row r="10" spans="1:21" x14ac:dyDescent="0.25">
      <c r="A10" t="s">
        <v>255</v>
      </c>
      <c r="B10" s="13" t="n">
        <v>1136.8319872280001</v>
      </c>
      <c r="C10" s="13" t="n">
        <v>0.0</v>
      </c>
      <c r="D10" s="13" t="n">
        <v>62.8481481894</v>
      </c>
      <c r="E10" s="13" t="n">
        <v>2451.974568541</v>
      </c>
      <c r="F10" s="13" t="n">
        <v>0.0</v>
      </c>
      <c r="G10" s="13" t="n">
        <v>0.0</v>
      </c>
      <c r="H10" s="13" t="n">
        <v>0.0</v>
      </c>
      <c r="I10" s="13"/>
      <c r="J10" s="13">
        <f si="0" t="shared"/>
        <v>3651.6547039584002</v>
      </c>
      <c r="K10" s="14"/>
      <c r="L10" t="str">
        <f>$A$10</f>
        <v>Redmond</v>
      </c>
      <c r="M10" s="522" t="n">
        <v>1742.0</v>
      </c>
      <c r="N10" s="522" t="n">
        <v>205.0</v>
      </c>
      <c r="O10" s="522" t="n">
        <v>919.0</v>
      </c>
      <c r="P10" s="522" t="n">
        <v>6474.0</v>
      </c>
      <c r="Q10" s="522" t="n">
        <v>478.0</v>
      </c>
      <c r="R10" s="522" t="n">
        <v>52.0</v>
      </c>
      <c r="S10" s="522" t="n">
        <v>959.0</v>
      </c>
      <c r="T10" s="473"/>
      <c r="U10" s="13">
        <f si="1" t="shared"/>
        <v>11420</v>
      </c>
    </row>
    <row r="11" spans="1:21" x14ac:dyDescent="0.25">
      <c r="A11" t="s">
        <v>251</v>
      </c>
      <c r="B11" s="13" t="n">
        <v>0.0</v>
      </c>
      <c r="C11" s="13" t="n">
        <v>0.0</v>
      </c>
      <c r="D11" s="13" t="n">
        <v>0.0</v>
      </c>
      <c r="E11" s="13" t="n">
        <v>0.0</v>
      </c>
      <c r="F11" s="13" t="n">
        <v>1242.483259654</v>
      </c>
      <c r="G11" s="13" t="n">
        <v>282.4450589266</v>
      </c>
      <c r="H11" s="13" t="n">
        <v>0.0</v>
      </c>
      <c r="I11" s="13"/>
      <c r="J11" s="13">
        <f si="0" t="shared"/>
        <v>1524.9283185806</v>
      </c>
      <c r="K11" s="14"/>
      <c r="L11" t="str">
        <f>$A$11</f>
        <v>Seattle</v>
      </c>
      <c r="M11" s="522" t="n">
        <v>525.0</v>
      </c>
      <c r="N11" s="522" t="n">
        <v>97.0</v>
      </c>
      <c r="O11" s="522" t="n">
        <v>376.0</v>
      </c>
      <c r="P11" s="522" t="n">
        <v>260.0</v>
      </c>
      <c r="Q11" s="522" t="n">
        <v>10051.0</v>
      </c>
      <c r="R11" s="522" t="n">
        <v>612.0</v>
      </c>
      <c r="S11" s="522" t="n">
        <v>1101.0</v>
      </c>
      <c r="T11" s="473"/>
      <c r="U11" s="13">
        <f si="1" t="shared"/>
        <v>13641</v>
      </c>
    </row>
    <row r="12" spans="1:21" x14ac:dyDescent="0.25">
      <c r="A12" t="s">
        <v>256</v>
      </c>
      <c r="B12" s="13" t="n">
        <v>0.0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702.6050149913</v>
      </c>
      <c r="H12" s="13" t="n">
        <v>0.0</v>
      </c>
      <c r="I12" s="13"/>
      <c r="J12" s="13">
        <f si="0" t="shared"/>
        <v>702.60501499129998</v>
      </c>
      <c r="K12" s="14"/>
      <c r="L12" t="str">
        <f>$A$12</f>
        <v>Seattle Downtown</v>
      </c>
      <c r="M12" s="522" t="n">
        <v>378.0</v>
      </c>
      <c r="N12" s="522" t="n">
        <v>73.0</v>
      </c>
      <c r="O12" s="522" t="n">
        <v>149.0</v>
      </c>
      <c r="P12" s="522" t="n">
        <v>174.0</v>
      </c>
      <c r="Q12" s="522" t="n">
        <v>1719.0</v>
      </c>
      <c r="R12" s="522" t="n">
        <v>5662.0</v>
      </c>
      <c r="S12" s="522" t="n">
        <v>470.0</v>
      </c>
      <c r="T12" s="473"/>
      <c r="U12" s="13">
        <f si="1" t="shared"/>
        <v>8800</v>
      </c>
    </row>
    <row r="13" spans="1:21" x14ac:dyDescent="0.25">
      <c r="A13" t="s">
        <v>257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4506.8593623914</v>
      </c>
      <c r="I13" s="13"/>
      <c r="J13" s="13">
        <f si="0" t="shared"/>
        <v>4506.8593623914003</v>
      </c>
      <c r="K13" s="14"/>
      <c r="L13" t="str">
        <f>$A$13</f>
        <v>Rest</v>
      </c>
      <c r="M13" s="522" t="n">
        <v>1084.0</v>
      </c>
      <c r="N13" s="522" t="n">
        <v>322.0</v>
      </c>
      <c r="O13" s="522" t="n">
        <v>916.0</v>
      </c>
      <c r="P13" s="522" t="n">
        <v>745.0</v>
      </c>
      <c r="Q13" s="522" t="n">
        <v>1173.0</v>
      </c>
      <c r="R13" s="522" t="n">
        <v>159.0</v>
      </c>
      <c r="S13" s="522" t="n">
        <v>18533.0</v>
      </c>
      <c r="T13" s="473"/>
      <c r="U13" s="13">
        <f si="1" t="shared"/>
        <v>22998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3378.2186934867004</v>
      </c>
      <c r="C15" s="16">
        <f si="2" t="shared"/>
        <v>1952.6625662142001</v>
      </c>
      <c r="D15" s="16">
        <f si="2" t="shared"/>
        <v>3374.3978201352998</v>
      </c>
      <c r="E15" s="16">
        <f si="2" t="shared"/>
        <v>3706.4908402379997</v>
      </c>
      <c r="F15" s="16">
        <f si="2" t="shared"/>
        <v>1377.3537667539999</v>
      </c>
      <c r="G15" s="16">
        <f si="2" t="shared"/>
        <v>2330.6243913979001</v>
      </c>
      <c r="H15" s="16">
        <f si="2" t="shared"/>
        <v>6242.7413262524005</v>
      </c>
      <c r="I15" s="16">
        <f si="2" t="shared"/>
        <v>0</v>
      </c>
      <c r="J15" s="16">
        <f si="2" t="shared"/>
        <v>22362.489404478503</v>
      </c>
      <c r="K15" s="13"/>
      <c r="L15" s="16" t="s">
        <v>4</v>
      </c>
      <c r="M15" s="16">
        <f ref="M15:U15" si="3" t="shared">SUM(M7:M14)</f>
        <v>11040</v>
      </c>
      <c r="N15" s="16">
        <f si="3" t="shared"/>
        <v>7521</v>
      </c>
      <c r="O15" s="16">
        <f si="3" t="shared"/>
        <v>6650</v>
      </c>
      <c r="P15" s="16">
        <f si="3" t="shared"/>
        <v>9847</v>
      </c>
      <c r="Q15" s="16">
        <f si="3" t="shared"/>
        <v>15468</v>
      </c>
      <c r="R15" s="16">
        <f si="3" t="shared"/>
        <v>6724</v>
      </c>
      <c r="S15" s="16">
        <f si="3" t="shared"/>
        <v>23064</v>
      </c>
      <c r="T15" s="16">
        <f si="3" t="shared"/>
        <v>0</v>
      </c>
      <c r="U15" s="16">
        <f si="3" t="shared"/>
        <v>80314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25">
      <c r="A20" t="str">
        <f>$A$7</f>
        <v>Bellevue</v>
      </c>
      <c r="B20" s="13">
        <f ref="B20:G20" si="4" t="shared">($U7/$J7)*B7</f>
        <v>5810.8780427106822</v>
      </c>
      <c r="C20" s="13">
        <f si="4" t="shared"/>
        <v>340.11064195860962</v>
      </c>
      <c r="D20" s="13">
        <f si="4" t="shared"/>
        <v>0</v>
      </c>
      <c r="E20" s="13">
        <f si="4" t="shared"/>
        <v>2383.8958860029661</v>
      </c>
      <c r="F20" s="13">
        <f si="4" t="shared"/>
        <v>349.65678440415849</v>
      </c>
      <c r="G20" s="13">
        <f si="4" t="shared"/>
        <v>0</v>
      </c>
      <c r="H20" s="13">
        <f ref="H20" si="5" t="shared">($U7/$J7)*H7</f>
        <v>978.45864492358442</v>
      </c>
      <c r="I20" s="13"/>
      <c r="J20" s="13">
        <f>SUM(B20:I20)</f>
        <v>9863</v>
      </c>
      <c r="K20" s="13"/>
      <c r="L20" t="str">
        <f>$A$7</f>
        <v>Bellevue</v>
      </c>
      <c r="M20" s="13">
        <f ref="M20:M26" si="6" t="shared">M7</f>
        <v>5404</v>
      </c>
      <c r="N20" s="13">
        <f ref="N20:U20" si="7" t="shared">N7</f>
        <v>1871</v>
      </c>
      <c r="O20" s="13">
        <f si="7" t="shared"/>
        <v>377</v>
      </c>
      <c r="P20" s="13">
        <f si="7" t="shared"/>
        <v>846</v>
      </c>
      <c r="Q20" s="13">
        <f si="7" t="shared"/>
        <v>560</v>
      </c>
      <c r="R20" s="13">
        <f si="7" t="shared"/>
        <v>64</v>
      </c>
      <c r="S20" s="13">
        <f ref="S20" si="8" t="shared">S7</f>
        <v>741</v>
      </c>
      <c r="T20" s="13"/>
      <c r="U20" s="13">
        <f si="7" t="shared"/>
        <v>9863</v>
      </c>
    </row>
    <row r="21" spans="1:32" x14ac:dyDescent="0.25">
      <c r="A21" t="str">
        <f>$A$8</f>
        <v>Bellevue Downtown</v>
      </c>
      <c r="B21" s="13">
        <f ref="B21:G26" si="9" t="shared">($U8/$J8)*B8</f>
        <v>0</v>
      </c>
      <c r="C21" s="13">
        <f si="9" t="shared"/>
        <v>3671.1686382250045</v>
      </c>
      <c r="D21" s="13">
        <f si="9" t="shared"/>
        <v>640.8356737082654</v>
      </c>
      <c r="E21" s="13">
        <f si="9" t="shared"/>
        <v>0</v>
      </c>
      <c r="F21" s="13">
        <f si="9" t="shared"/>
        <v>0</v>
      </c>
      <c r="G21" s="13">
        <f si="9" t="shared"/>
        <v>2711.9956880667305</v>
      </c>
      <c r="H21" s="13">
        <f ref="H21" si="10" t="shared">($U8/$J8)*H8</f>
        <v>0</v>
      </c>
      <c r="I21" s="13"/>
      <c r="J21" s="13">
        <f ref="J21:J27" si="11" t="shared">SUM(B21:I21)</f>
        <v>7024</v>
      </c>
      <c r="K21" s="13"/>
      <c r="L21" t="str">
        <f>$A$8</f>
        <v>Bellevue Downtown</v>
      </c>
      <c r="M21" s="13">
        <f si="6" t="shared"/>
        <v>1155</v>
      </c>
      <c r="N21" s="13">
        <f ref="N21:R26" si="12" t="shared">N8</f>
        <v>4590</v>
      </c>
      <c r="O21" s="13">
        <f si="12" t="shared"/>
        <v>244</v>
      </c>
      <c r="P21" s="13">
        <f si="12" t="shared"/>
        <v>164</v>
      </c>
      <c r="Q21" s="13">
        <f si="12" t="shared"/>
        <v>331</v>
      </c>
      <c r="R21" s="13">
        <f si="12" t="shared"/>
        <v>34</v>
      </c>
      <c r="S21" s="13">
        <f ref="S21" si="13" t="shared">S8</f>
        <v>506</v>
      </c>
      <c r="T21" s="13"/>
      <c r="U21" s="13">
        <f ref="U21:U26" si="14" t="shared">U8</f>
        <v>7024</v>
      </c>
    </row>
    <row r="22" spans="1:32" x14ac:dyDescent="0.25">
      <c r="A22" t="str">
        <f>$A$9</f>
        <v>Kirkland</v>
      </c>
      <c r="B22" s="13">
        <f si="9" t="shared"/>
        <v>0</v>
      </c>
      <c r="C22" s="13">
        <f si="9" t="shared"/>
        <v>0</v>
      </c>
      <c r="D22" s="13">
        <f si="9" t="shared"/>
        <v>4194.9416358955405</v>
      </c>
      <c r="E22" s="13">
        <f si="9" t="shared"/>
        <v>469.42882355003582</v>
      </c>
      <c r="F22" s="13">
        <f si="9" t="shared"/>
        <v>0</v>
      </c>
      <c r="G22" s="13">
        <f si="9" t="shared"/>
        <v>0</v>
      </c>
      <c r="H22" s="13">
        <f ref="H22" si="15" t="shared">($U9/$J9)*H9</f>
        <v>1903.6295405544242</v>
      </c>
      <c r="I22" s="13"/>
      <c r="J22" s="13">
        <f si="11" t="shared"/>
        <v>6568.0000000000009</v>
      </c>
      <c r="K22" s="14"/>
      <c r="L22" t="str">
        <f>$A$9</f>
        <v>Kirkland</v>
      </c>
      <c r="M22" s="13">
        <f si="6" t="shared"/>
        <v>439</v>
      </c>
      <c r="N22" s="13">
        <f si="12" t="shared"/>
        <v>359</v>
      </c>
      <c r="O22" s="13">
        <f si="12" t="shared"/>
        <v>3630</v>
      </c>
      <c r="P22" s="13">
        <f si="12" t="shared"/>
        <v>722</v>
      </c>
      <c r="Q22" s="13">
        <f si="12" t="shared"/>
        <v>451</v>
      </c>
      <c r="R22" s="13">
        <f si="12" t="shared"/>
        <v>28</v>
      </c>
      <c r="S22" s="13">
        <f ref="S22" si="16" t="shared">S9</f>
        <v>939</v>
      </c>
      <c r="T22" s="13"/>
      <c r="U22" s="13">
        <f si="14" t="shared"/>
        <v>6568</v>
      </c>
    </row>
    <row r="23" spans="1:32" x14ac:dyDescent="0.25">
      <c r="A23" t="str">
        <f>$A$10</f>
        <v>Redmond</v>
      </c>
      <c r="B23" s="13">
        <f si="9" t="shared"/>
        <v>3555.2707872599717</v>
      </c>
      <c r="C23" s="13">
        <f si="9" t="shared"/>
        <v>0</v>
      </c>
      <c r="D23" s="13">
        <f si="9" t="shared"/>
        <v>196.54811599380736</v>
      </c>
      <c r="E23" s="13">
        <f si="9" t="shared"/>
        <v>7668.1810967462197</v>
      </c>
      <c r="F23" s="13">
        <f si="9" t="shared"/>
        <v>0</v>
      </c>
      <c r="G23" s="13">
        <f si="9" t="shared"/>
        <v>0</v>
      </c>
      <c r="H23" s="13">
        <f ref="H23" si="17" t="shared">($U10/$J10)*H10</f>
        <v>0</v>
      </c>
      <c r="I23" s="13"/>
      <c r="J23" s="13">
        <f>SUM(B23:I23)</f>
        <v>11419.999999999998</v>
      </c>
      <c r="K23" s="14"/>
      <c r="L23" t="str">
        <f>$A$10</f>
        <v>Redmond</v>
      </c>
      <c r="M23" s="13">
        <f si="6" t="shared"/>
        <v>1902</v>
      </c>
      <c r="N23" s="13">
        <f si="12" t="shared"/>
        <v>196</v>
      </c>
      <c r="O23" s="13">
        <f si="12" t="shared"/>
        <v>957</v>
      </c>
      <c r="P23" s="13">
        <f si="12" t="shared"/>
        <v>6855</v>
      </c>
      <c r="Q23" s="13">
        <f si="12" t="shared"/>
        <v>464</v>
      </c>
      <c r="R23" s="13">
        <f si="12" t="shared"/>
        <v>47</v>
      </c>
      <c r="S23" s="13">
        <f ref="S23" si="18" t="shared">S10</f>
        <v>999</v>
      </c>
      <c r="T23" s="13"/>
      <c r="U23" s="13">
        <f si="14" t="shared"/>
        <v>11420</v>
      </c>
    </row>
    <row r="24" spans="1:32" x14ac:dyDescent="0.25">
      <c r="A24" t="str">
        <f>$A$11</f>
        <v>Seattle</v>
      </c>
      <c r="B24" s="13">
        <f si="9" t="shared"/>
        <v>0</v>
      </c>
      <c r="C24" s="13">
        <f si="9" t="shared"/>
        <v>0</v>
      </c>
      <c r="D24" s="13">
        <f si="9" t="shared"/>
        <v>0</v>
      </c>
      <c r="E24" s="13">
        <f si="9" t="shared"/>
        <v>0</v>
      </c>
      <c r="F24" s="13">
        <f si="9" t="shared"/>
        <v>11114.433339867437</v>
      </c>
      <c r="G24" s="13">
        <f si="9" t="shared"/>
        <v>2526.566660132562</v>
      </c>
      <c r="H24" s="13">
        <f ref="H24" si="19" t="shared">($U11/$J11)*H11</f>
        <v>0</v>
      </c>
      <c r="I24" s="13"/>
      <c r="J24" s="13">
        <f si="11" t="shared"/>
        <v>13641</v>
      </c>
      <c r="K24" s="14"/>
      <c r="L24" t="str">
        <f>$A$11</f>
        <v>Seattle</v>
      </c>
      <c r="M24" s="13">
        <f si="6" t="shared"/>
        <v>518</v>
      </c>
      <c r="N24" s="13">
        <f si="12" t="shared"/>
        <v>86</v>
      </c>
      <c r="O24" s="13">
        <f si="12" t="shared"/>
        <v>454</v>
      </c>
      <c r="P24" s="13">
        <f si="12" t="shared"/>
        <v>295</v>
      </c>
      <c r="Q24" s="13">
        <f si="12" t="shared"/>
        <v>10604</v>
      </c>
      <c r="R24" s="13">
        <f si="12" t="shared"/>
        <v>635</v>
      </c>
      <c r="S24" s="13">
        <f ref="S24" si="20" t="shared">S11</f>
        <v>1049</v>
      </c>
      <c r="T24" s="13"/>
      <c r="U24" s="13">
        <f si="14" t="shared"/>
        <v>13641</v>
      </c>
    </row>
    <row r="25" spans="1:32" x14ac:dyDescent="0.25">
      <c r="A25" t="str">
        <f>$A$12</f>
        <v>Seattle Downtown</v>
      </c>
      <c r="B25" s="13">
        <f si="9" t="shared"/>
        <v>0</v>
      </c>
      <c r="C25" s="13">
        <f si="9" t="shared"/>
        <v>0</v>
      </c>
      <c r="D25" s="13">
        <f si="9" t="shared"/>
        <v>0</v>
      </c>
      <c r="E25" s="13">
        <f si="9" t="shared"/>
        <v>0</v>
      </c>
      <c r="F25" s="13">
        <f si="9" t="shared"/>
        <v>0</v>
      </c>
      <c r="G25" s="13">
        <f si="9" t="shared"/>
        <v>8800</v>
      </c>
      <c r="H25" s="13">
        <f ref="H25" si="21" t="shared">($U12/$J12)*H12</f>
        <v>0</v>
      </c>
      <c r="I25" s="13"/>
      <c r="J25" s="13">
        <f si="11" t="shared"/>
        <v>8800</v>
      </c>
      <c r="K25" s="14"/>
      <c r="L25" t="str">
        <f>$A$12</f>
        <v>Seattle Downtown</v>
      </c>
      <c r="M25" s="13">
        <f si="6" t="shared"/>
        <v>402</v>
      </c>
      <c r="N25" s="13">
        <f si="12" t="shared"/>
        <v>56</v>
      </c>
      <c r="O25" s="13">
        <f si="12" t="shared"/>
        <v>170</v>
      </c>
      <c r="P25" s="13">
        <f si="12" t="shared"/>
        <v>149</v>
      </c>
      <c r="Q25" s="13">
        <f si="12" t="shared"/>
        <v>1767</v>
      </c>
      <c r="R25" s="13">
        <f si="12" t="shared"/>
        <v>5780</v>
      </c>
      <c r="S25" s="13">
        <f ref="S25:S26" si="22" t="shared">S12</f>
        <v>476</v>
      </c>
      <c r="T25" s="13"/>
      <c r="U25" s="13">
        <f si="14" t="shared"/>
        <v>8800</v>
      </c>
    </row>
    <row r="26" spans="1:32" x14ac:dyDescent="0.25">
      <c r="A26" t="str">
        <f>$A$13</f>
        <v>Rest</v>
      </c>
      <c r="B26" s="13">
        <f si="9" t="shared"/>
        <v>0</v>
      </c>
      <c r="C26" s="13">
        <f si="9" t="shared"/>
        <v>0</v>
      </c>
      <c r="D26" s="13">
        <f si="9" t="shared"/>
        <v>0</v>
      </c>
      <c r="E26" s="13">
        <f si="9" t="shared"/>
        <v>0</v>
      </c>
      <c r="F26" s="13">
        <f si="9" t="shared"/>
        <v>0</v>
      </c>
      <c r="G26" s="13">
        <f si="9" t="shared"/>
        <v>0</v>
      </c>
      <c r="H26" s="13">
        <f ref="H26" si="23" t="shared">($U13/$J13)*H13</f>
        <v>22998</v>
      </c>
      <c r="I26" s="13"/>
      <c r="J26" s="13">
        <f si="11" t="shared"/>
        <v>22998</v>
      </c>
      <c r="K26" s="14"/>
      <c r="L26" t="str">
        <f>$A$13</f>
        <v>Rest</v>
      </c>
      <c r="M26" s="13">
        <f si="6" t="shared"/>
        <v>1220</v>
      </c>
      <c r="N26" s="13">
        <f si="12" t="shared"/>
        <v>363</v>
      </c>
      <c r="O26" s="13">
        <f si="12" t="shared"/>
        <v>818</v>
      </c>
      <c r="P26" s="13">
        <f si="12" t="shared"/>
        <v>816</v>
      </c>
      <c r="Q26" s="13">
        <f si="12" t="shared"/>
        <v>1291</v>
      </c>
      <c r="R26" s="13">
        <f si="12" t="shared"/>
        <v>136</v>
      </c>
      <c r="S26" s="13">
        <f si="22" t="shared"/>
        <v>18354</v>
      </c>
      <c r="T26" s="13"/>
      <c r="U26" s="13">
        <f si="14" t="shared"/>
        <v>22998</v>
      </c>
    </row>
    <row r="27" spans="1:32" x14ac:dyDescent="0.2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si="11" t="shared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ht="15.75" r="28" spans="1:32" thickBot="1" x14ac:dyDescent="0.3">
      <c r="A28" s="1" t="s">
        <v>4</v>
      </c>
      <c r="B28" s="16">
        <f ref="B28:J28" si="24" t="shared">SUM(B20:B27)</f>
        <v>9366.1488299706543</v>
      </c>
      <c r="C28" s="16">
        <f si="24" t="shared"/>
        <v>4011.279280183614</v>
      </c>
      <c r="D28" s="16">
        <f si="24" t="shared"/>
        <v>5032.3254255976126</v>
      </c>
      <c r="E28" s="16">
        <f si="24" t="shared"/>
        <v>10521.505806299221</v>
      </c>
      <c r="F28" s="16">
        <f si="24" t="shared"/>
        <v>11464.090124271595</v>
      </c>
      <c r="G28" s="16">
        <f si="24" t="shared"/>
        <v>14038.562348199292</v>
      </c>
      <c r="H28" s="16">
        <f si="24" t="shared"/>
        <v>25880.088185478009</v>
      </c>
      <c r="I28" s="16">
        <f si="24" t="shared"/>
        <v>0</v>
      </c>
      <c r="J28" s="16">
        <f si="24" t="shared"/>
        <v>80314</v>
      </c>
      <c r="K28" s="13"/>
      <c r="L28" s="16" t="s">
        <v>4</v>
      </c>
      <c r="M28" s="16">
        <f ref="M28:U28" si="25" t="shared">M15</f>
        <v>11040</v>
      </c>
      <c r="N28" s="16">
        <f si="25" t="shared"/>
        <v>7521</v>
      </c>
      <c r="O28" s="16">
        <f si="25" t="shared"/>
        <v>6650</v>
      </c>
      <c r="P28" s="16">
        <f si="25" t="shared"/>
        <v>9847</v>
      </c>
      <c r="Q28" s="16">
        <f si="25" t="shared"/>
        <v>15468</v>
      </c>
      <c r="R28" s="16">
        <f si="25" t="shared"/>
        <v>6724</v>
      </c>
      <c r="S28" s="16">
        <f si="25" t="shared"/>
        <v>23064</v>
      </c>
      <c r="T28" s="16"/>
      <c r="U28" s="16">
        <f si="25" t="shared"/>
        <v>80314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25">
      <c r="A33" t="str">
        <f>$A$7</f>
        <v>Bellevue</v>
      </c>
      <c r="B33" s="17">
        <f ref="B33:G33" si="26" t="shared">B20/$J$28</f>
        <v>7.2351993957599947E-2</v>
      </c>
      <c r="C33" s="17">
        <f si="26" t="shared"/>
        <v>4.234761585260473E-3</v>
      </c>
      <c r="D33" s="17">
        <f si="26" t="shared"/>
        <v>0</v>
      </c>
      <c r="E33" s="17">
        <f si="26" t="shared"/>
        <v>2.968219595591013E-2</v>
      </c>
      <c r="F33" s="17">
        <f si="26" t="shared"/>
        <v>4.353621839332601E-3</v>
      </c>
      <c r="G33" s="17">
        <f si="26" t="shared"/>
        <v>0</v>
      </c>
      <c r="H33" s="17">
        <f ref="H33" si="27" t="shared">H20/$J$28</f>
        <v>1.2182915119699983E-2</v>
      </c>
      <c r="I33" s="13"/>
      <c r="J33" s="17">
        <f ref="J33:J39" si="28" t="shared">J20/$J$28</f>
        <v>0.12280548845780312</v>
      </c>
      <c r="K33" s="13"/>
      <c r="L33" t="str">
        <f>$A$7</f>
        <v>Bellevue</v>
      </c>
      <c r="M33" s="17">
        <f ref="M33:R33" si="29" t="shared">M20/$U$28</f>
        <v>6.7285902831386801E-2</v>
      </c>
      <c r="N33" s="17">
        <f si="29" t="shared"/>
        <v>2.329606295290983E-2</v>
      </c>
      <c r="O33" s="17">
        <f si="29" t="shared"/>
        <v>4.6940757526707675E-3</v>
      </c>
      <c r="P33" s="17">
        <f si="29" t="shared"/>
        <v>1.0533655402545011E-2</v>
      </c>
      <c r="Q33" s="17">
        <f si="29" t="shared"/>
        <v>6.9726324177602911E-3</v>
      </c>
      <c r="R33" s="17">
        <f si="29" t="shared"/>
        <v>7.9687227631546184E-4</v>
      </c>
      <c r="S33" s="17">
        <f ref="S33" si="30" t="shared">S20/$U$28</f>
        <v>9.2262868242149569E-3</v>
      </c>
      <c r="T33" s="17"/>
      <c r="U33" s="17">
        <f ref="U33:U39" si="31" t="shared">U20/$U$28</f>
        <v>0.12280548845780312</v>
      </c>
      <c r="W33" t="str">
        <f>$A$7</f>
        <v>Bellevue</v>
      </c>
      <c r="X33" s="17">
        <f ref="X33:AD33" si="32" t="shared">M33-B33</f>
        <v>-5.0660911262131458E-3</v>
      </c>
      <c r="Y33" s="17">
        <f si="32" t="shared"/>
        <v>1.9061301367649358E-2</v>
      </c>
      <c r="Z33" s="17">
        <f si="32" t="shared"/>
        <v>4.6940757526707675E-3</v>
      </c>
      <c r="AA33" s="17">
        <f si="32" t="shared"/>
        <v>-1.914854055336512E-2</v>
      </c>
      <c r="AB33" s="17">
        <f si="32" t="shared"/>
        <v>2.61901057842769E-3</v>
      </c>
      <c r="AC33" s="17">
        <f si="32" t="shared"/>
        <v>7.9687227631546184E-4</v>
      </c>
      <c r="AD33" s="17">
        <f si="32" t="shared"/>
        <v>-2.9566282954850264E-3</v>
      </c>
      <c r="AE33" s="17"/>
      <c r="AF33" s="17">
        <f ref="AF33:AF39" si="33" t="shared">U33-J33</f>
        <v>0</v>
      </c>
    </row>
    <row r="34" spans="1:32" x14ac:dyDescent="0.25">
      <c r="A34" t="str">
        <f>$A$8</f>
        <v>Bellevue Downtown</v>
      </c>
      <c r="B34" s="17">
        <f ref="B34:G39" si="34" t="shared">B21/$J$28</f>
        <v>0</v>
      </c>
      <c r="C34" s="17">
        <f si="34" t="shared"/>
        <v>4.5710195460629585E-2</v>
      </c>
      <c r="D34" s="17">
        <f si="34" t="shared"/>
        <v>7.9791278445634061E-3</v>
      </c>
      <c r="E34" s="17">
        <f si="34" t="shared"/>
        <v>0</v>
      </c>
      <c r="F34" s="17">
        <f si="34" t="shared"/>
        <v>0</v>
      </c>
      <c r="G34" s="17">
        <f si="34" t="shared"/>
        <v>3.3767409020428948E-2</v>
      </c>
      <c r="H34" s="17">
        <f ref="H34" si="35" t="shared">H21/$J$28</f>
        <v>0</v>
      </c>
      <c r="I34" s="13"/>
      <c r="J34" s="17">
        <f si="28" t="shared"/>
        <v>8.7456732325621928E-2</v>
      </c>
      <c r="K34" s="13"/>
      <c r="L34" t="str">
        <f>$A$8</f>
        <v>Bellevue Downtown</v>
      </c>
      <c r="M34" s="17">
        <f ref="M34:R39" si="36" t="shared">M21/$U$28</f>
        <v>1.4381054361630599E-2</v>
      </c>
      <c r="N34" s="17">
        <f si="36" t="shared"/>
        <v>5.7150683566999524E-2</v>
      </c>
      <c r="O34" s="17">
        <f si="36" t="shared"/>
        <v>3.0380755534526981E-3</v>
      </c>
      <c r="P34" s="17">
        <f si="36" t="shared"/>
        <v>2.0419852080583709E-3</v>
      </c>
      <c r="Q34" s="17">
        <f si="36" t="shared"/>
        <v>4.1213238040690289E-3</v>
      </c>
      <c r="R34" s="17">
        <f si="36" t="shared"/>
        <v>4.2333839679258907E-4</v>
      </c>
      <c r="S34" s="17">
        <f ref="S34" si="37" t="shared">S21/$U$28</f>
        <v>6.3002714346191199E-3</v>
      </c>
      <c r="T34" s="17"/>
      <c r="U34" s="17">
        <f si="31" t="shared"/>
        <v>8.7456732325621928E-2</v>
      </c>
      <c r="W34" t="str">
        <f>$A$8</f>
        <v>Bellevue Downtown</v>
      </c>
      <c r="X34" s="17">
        <f ref="X34:X38" si="38" t="shared">M34-B34</f>
        <v>1.4381054361630599E-2</v>
      </c>
      <c r="Y34" s="17">
        <f ref="Y34:AD38" si="39" t="shared">N34-C34</f>
        <v>1.1440488106369939E-2</v>
      </c>
      <c r="Z34" s="17">
        <f si="39" t="shared"/>
        <v>-4.9410522911107081E-3</v>
      </c>
      <c r="AA34" s="17">
        <f si="39" t="shared"/>
        <v>2.0419852080583709E-3</v>
      </c>
      <c r="AB34" s="17">
        <f si="39" t="shared"/>
        <v>4.1213238040690289E-3</v>
      </c>
      <c r="AC34" s="17">
        <f si="39" t="shared"/>
        <v>-3.3344070623636361E-2</v>
      </c>
      <c r="AD34" s="17">
        <f si="39" t="shared"/>
        <v>6.3002714346191199E-3</v>
      </c>
      <c r="AE34" s="17"/>
      <c r="AF34" s="17">
        <f si="33" t="shared"/>
        <v>0</v>
      </c>
    </row>
    <row r="35" spans="1:32" x14ac:dyDescent="0.25">
      <c r="A35" t="str">
        <f>$A$9</f>
        <v>Kirkland</v>
      </c>
      <c r="B35" s="17">
        <f si="34" t="shared"/>
        <v>0</v>
      </c>
      <c r="C35" s="17">
        <f si="34" t="shared"/>
        <v>0</v>
      </c>
      <c r="D35" s="17">
        <f si="34" t="shared"/>
        <v>5.2231760787602916E-2</v>
      </c>
      <c r="E35" s="17">
        <f si="34" t="shared"/>
        <v>5.8449189873500985E-3</v>
      </c>
      <c r="F35" s="17">
        <f si="34" t="shared"/>
        <v>0</v>
      </c>
      <c r="G35" s="17">
        <f si="34" t="shared"/>
        <v>0</v>
      </c>
      <c r="H35" s="17">
        <f ref="H35" si="40" t="shared">H22/$J$28</f>
        <v>2.3702337581921262E-2</v>
      </c>
      <c r="I35" s="13"/>
      <c r="J35" s="17">
        <f si="28" t="shared"/>
        <v>8.1779017356874276E-2</v>
      </c>
      <c r="K35" s="14"/>
      <c r="L35" t="str">
        <f>$A$9</f>
        <v>Kirkland</v>
      </c>
      <c r="M35" s="17">
        <f si="36" t="shared"/>
        <v>5.4660457703513705E-3</v>
      </c>
      <c r="N35" s="17">
        <f si="36" t="shared"/>
        <v>4.4699554249570438E-3</v>
      </c>
      <c r="O35" s="17">
        <f si="36" t="shared"/>
        <v>4.5197599422267601E-2</v>
      </c>
      <c r="P35" s="17">
        <f si="36" t="shared"/>
        <v>8.989715367183803E-3</v>
      </c>
      <c r="Q35" s="17">
        <f si="36" t="shared"/>
        <v>5.6154593221605202E-3</v>
      </c>
      <c r="R35" s="17">
        <f si="36" t="shared"/>
        <v>3.4863162088801452E-4</v>
      </c>
      <c r="S35" s="17">
        <f ref="S35" si="41" t="shared">S22/$U$28</f>
        <v>1.1691610429065916E-2</v>
      </c>
      <c r="T35" s="17"/>
      <c r="U35" s="17">
        <f si="31" t="shared"/>
        <v>8.1779017356874262E-2</v>
      </c>
      <c r="W35" t="str">
        <f>$A$9</f>
        <v>Kirkland</v>
      </c>
      <c r="X35" s="17">
        <f si="38" t="shared"/>
        <v>5.4660457703513705E-3</v>
      </c>
      <c r="Y35" s="17">
        <f si="39" t="shared"/>
        <v>4.4699554249570438E-3</v>
      </c>
      <c r="Z35" s="17">
        <f si="39" t="shared"/>
        <v>-7.0341613653353147E-3</v>
      </c>
      <c r="AA35" s="17">
        <f si="39" t="shared"/>
        <v>3.1447963798337045E-3</v>
      </c>
      <c r="AB35" s="17">
        <f si="39" t="shared"/>
        <v>5.6154593221605202E-3</v>
      </c>
      <c r="AC35" s="17">
        <f si="39" t="shared"/>
        <v>3.4863162088801452E-4</v>
      </c>
      <c r="AD35" s="17">
        <f si="39" t="shared"/>
        <v>-1.2010727152855345E-2</v>
      </c>
      <c r="AE35" s="17"/>
      <c r="AF35" s="17">
        <f si="33" t="shared"/>
        <v>0</v>
      </c>
    </row>
    <row r="36" spans="1:32" x14ac:dyDescent="0.25">
      <c r="A36" t="str">
        <f>$A$10</f>
        <v>Redmond</v>
      </c>
      <c r="B36" s="17">
        <f si="34" t="shared"/>
        <v>4.4267136330651838E-2</v>
      </c>
      <c r="C36" s="17">
        <f si="34" t="shared"/>
        <v>0</v>
      </c>
      <c r="D36" s="17">
        <f si="34" t="shared"/>
        <v>2.4472460093359484E-3</v>
      </c>
      <c r="E36" s="17">
        <f si="34" t="shared"/>
        <v>9.5477514465052413E-2</v>
      </c>
      <c r="F36" s="17">
        <f si="34" t="shared"/>
        <v>0</v>
      </c>
      <c r="G36" s="17">
        <f si="34" t="shared"/>
        <v>0</v>
      </c>
      <c r="H36" s="17">
        <f ref="H36" si="42" t="shared">H23/$J$28</f>
        <v>0</v>
      </c>
      <c r="I36" s="13"/>
      <c r="J36" s="17">
        <f si="28" t="shared"/>
        <v>0.14219189680504019</v>
      </c>
      <c r="K36" s="14"/>
      <c r="L36" t="str">
        <f>$A$10</f>
        <v>Redmond</v>
      </c>
      <c r="M36" s="17">
        <f si="36" t="shared"/>
        <v>2.3682047961750132E-2</v>
      </c>
      <c r="N36" s="17">
        <f si="36" t="shared"/>
        <v>2.4404213462161017E-3</v>
      </c>
      <c r="O36" s="17">
        <f si="36" t="shared"/>
        <v>1.191573075677964E-2</v>
      </c>
      <c r="P36" s="17">
        <f si="36" t="shared"/>
        <v>8.5352491470976413E-2</v>
      </c>
      <c r="Q36" s="17">
        <f si="36" t="shared"/>
        <v>5.7773240032870984E-3</v>
      </c>
      <c r="R36" s="17">
        <f si="36" t="shared"/>
        <v>5.8520307791916728E-4</v>
      </c>
      <c r="S36" s="17">
        <f ref="S36" si="43" t="shared">S23/$U$28</f>
        <v>1.2438678188111662E-2</v>
      </c>
      <c r="T36" s="17"/>
      <c r="U36" s="17">
        <f si="31" t="shared"/>
        <v>0.14219189680504021</v>
      </c>
      <c r="W36" t="str">
        <f>$A$10</f>
        <v>Redmond</v>
      </c>
      <c r="X36" s="17">
        <f si="38" t="shared"/>
        <v>-2.0585088368901706E-2</v>
      </c>
      <c r="Y36" s="17">
        <f si="39" t="shared"/>
        <v>2.4404213462161017E-3</v>
      </c>
      <c r="Z36" s="17">
        <f si="39" t="shared"/>
        <v>9.4684847474436912E-3</v>
      </c>
      <c r="AA36" s="17">
        <f si="39" t="shared"/>
        <v>-1.0125022994075999E-2</v>
      </c>
      <c r="AB36" s="17">
        <f si="39" t="shared"/>
        <v>5.7773240032870984E-3</v>
      </c>
      <c r="AC36" s="17">
        <f si="39" t="shared"/>
        <v>5.8520307791916728E-4</v>
      </c>
      <c r="AD36" s="17">
        <f si="39" t="shared"/>
        <v>1.2438678188111662E-2</v>
      </c>
      <c r="AE36" s="17"/>
      <c r="AF36" s="17">
        <f si="33" t="shared"/>
        <v>0</v>
      </c>
    </row>
    <row r="37" spans="1:32" x14ac:dyDescent="0.25">
      <c r="A37" t="str">
        <f>$A$11</f>
        <v>Seattle</v>
      </c>
      <c r="B37" s="17">
        <f si="34" t="shared"/>
        <v>0</v>
      </c>
      <c r="C37" s="17">
        <f si="34" t="shared"/>
        <v>0</v>
      </c>
      <c r="D37" s="17">
        <f si="34" t="shared"/>
        <v>0</v>
      </c>
      <c r="E37" s="17">
        <f si="34" t="shared"/>
        <v>0</v>
      </c>
      <c r="F37" s="17">
        <f si="34" t="shared"/>
        <v>0.13838724680463477</v>
      </c>
      <c r="G37" s="17">
        <f si="34" t="shared"/>
        <v>3.1458608214415443E-2</v>
      </c>
      <c r="H37" s="17">
        <f ref="H37" si="44" t="shared">H24/$J$28</f>
        <v>0</v>
      </c>
      <c r="I37" s="13"/>
      <c r="J37" s="17">
        <f si="28" t="shared"/>
        <v>0.16984585501905022</v>
      </c>
      <c r="K37" s="14"/>
      <c r="L37" t="str">
        <f>$A$11</f>
        <v>Seattle</v>
      </c>
      <c r="M37" s="17">
        <f si="36" t="shared"/>
        <v>6.4496849864282687E-3</v>
      </c>
      <c r="N37" s="17">
        <f si="36" t="shared"/>
        <v>1.0707971212989018E-3</v>
      </c>
      <c r="O37" s="17">
        <f si="36" t="shared"/>
        <v>5.6528127101128072E-3</v>
      </c>
      <c r="P37" s="17">
        <f si="36" t="shared"/>
        <v>3.6730831486415818E-3</v>
      </c>
      <c r="Q37" s="17">
        <f si="36" t="shared"/>
        <v>0.13203177528201807</v>
      </c>
      <c r="R37" s="17">
        <f si="36" t="shared"/>
        <v>7.906467116567473E-3</v>
      </c>
      <c r="S37" s="17">
        <f ref="S37" si="45" t="shared">S24/$U$28</f>
        <v>1.3061234653983116E-2</v>
      </c>
      <c r="T37" s="17"/>
      <c r="U37" s="17">
        <f si="31" t="shared"/>
        <v>0.16984585501905022</v>
      </c>
      <c r="W37" t="str">
        <f>$A$11</f>
        <v>Seattle</v>
      </c>
      <c r="X37" s="17">
        <f si="38" t="shared"/>
        <v>6.4496849864282687E-3</v>
      </c>
      <c r="Y37" s="17">
        <f si="39" t="shared"/>
        <v>1.0707971212989018E-3</v>
      </c>
      <c r="Z37" s="17">
        <f si="39" t="shared"/>
        <v>5.6528127101128072E-3</v>
      </c>
      <c r="AA37" s="17">
        <f si="39" t="shared"/>
        <v>3.6730831486415818E-3</v>
      </c>
      <c r="AB37" s="17">
        <f si="39" t="shared"/>
        <v>-6.3554715226167013E-3</v>
      </c>
      <c r="AC37" s="17">
        <f si="39" t="shared"/>
        <v>-2.3552141097847971E-2</v>
      </c>
      <c r="AD37" s="17">
        <f si="39" t="shared"/>
        <v>1.3061234653983116E-2</v>
      </c>
      <c r="AE37" s="17"/>
      <c r="AF37" s="17">
        <f si="33" t="shared"/>
        <v>0</v>
      </c>
    </row>
    <row r="38" spans="1:32" x14ac:dyDescent="0.25">
      <c r="A38" t="str">
        <f>$A$12</f>
        <v>Seattle Downtown</v>
      </c>
      <c r="B38" s="17">
        <f si="34" t="shared"/>
        <v>0</v>
      </c>
      <c r="C38" s="17">
        <f si="34" t="shared"/>
        <v>0</v>
      </c>
      <c r="D38" s="17">
        <f si="34" t="shared"/>
        <v>0</v>
      </c>
      <c r="E38" s="17">
        <f si="34" t="shared"/>
        <v>0</v>
      </c>
      <c r="F38" s="17">
        <f si="34" t="shared"/>
        <v>0</v>
      </c>
      <c r="G38" s="17">
        <f si="34" t="shared"/>
        <v>0.109569937993376</v>
      </c>
      <c r="H38" s="17">
        <f ref="H38:H39" si="46" t="shared">H25/$J$28</f>
        <v>0</v>
      </c>
      <c r="I38" s="13"/>
      <c r="J38" s="17">
        <f si="28" t="shared"/>
        <v>0.109569937993376</v>
      </c>
      <c r="K38" s="14"/>
      <c r="L38" t="str">
        <f>$A$12</f>
        <v>Seattle Downtown</v>
      </c>
      <c r="M38" s="17">
        <f si="36" t="shared"/>
        <v>5.0053539856064946E-3</v>
      </c>
      <c r="N38" s="17">
        <f si="36" t="shared"/>
        <v>6.9726324177602904E-4</v>
      </c>
      <c r="O38" s="17">
        <f si="36" t="shared"/>
        <v>2.1166919839629454E-3</v>
      </c>
      <c r="P38" s="17">
        <f si="36" t="shared"/>
        <v>1.8552182682969346E-3</v>
      </c>
      <c r="Q38" s="17">
        <f si="36" t="shared"/>
        <v>2.2001145503897205E-2</v>
      </c>
      <c r="R38" s="17">
        <f si="36" t="shared"/>
        <v>7.1967527454740152E-2</v>
      </c>
      <c r="S38" s="17">
        <f ref="S38" si="47" t="shared">S25/$U$28</f>
        <v>5.9267375550962472E-3</v>
      </c>
      <c r="T38" s="17"/>
      <c r="U38" s="17">
        <f si="31" t="shared"/>
        <v>0.109569937993376</v>
      </c>
      <c r="W38" t="str">
        <f>$A$12</f>
        <v>Seattle Downtown</v>
      </c>
      <c r="X38" s="17">
        <f si="38" t="shared"/>
        <v>5.0053539856064946E-3</v>
      </c>
      <c r="Y38" s="17">
        <f si="39" t="shared"/>
        <v>6.9726324177602904E-4</v>
      </c>
      <c r="Z38" s="17">
        <f si="39" t="shared"/>
        <v>2.1166919839629454E-3</v>
      </c>
      <c r="AA38" s="17">
        <f si="39" t="shared"/>
        <v>1.8552182682969346E-3</v>
      </c>
      <c r="AB38" s="17">
        <f si="39" t="shared"/>
        <v>2.2001145503897205E-2</v>
      </c>
      <c r="AC38" s="17">
        <f si="39" t="shared"/>
        <v>-3.7602410538635847E-2</v>
      </c>
      <c r="AD38" s="17">
        <f si="39" t="shared"/>
        <v>5.9267375550962472E-3</v>
      </c>
      <c r="AE38" s="17"/>
      <c r="AF38" s="17">
        <f si="33" t="shared"/>
        <v>0</v>
      </c>
    </row>
    <row r="39" spans="1:32" x14ac:dyDescent="0.25">
      <c r="A39" t="str">
        <f>$A$13</f>
        <v>Rest</v>
      </c>
      <c r="B39" s="17">
        <f si="34" t="shared"/>
        <v>0</v>
      </c>
      <c r="C39" s="17">
        <f si="34" t="shared"/>
        <v>0</v>
      </c>
      <c r="D39" s="17">
        <f si="34" t="shared"/>
        <v>0</v>
      </c>
      <c r="E39" s="17">
        <f si="34" t="shared"/>
        <v>0</v>
      </c>
      <c r="F39" s="17">
        <f si="34" t="shared"/>
        <v>0</v>
      </c>
      <c r="G39" s="17">
        <f si="34" t="shared"/>
        <v>0</v>
      </c>
      <c r="H39" s="17">
        <f si="46" t="shared"/>
        <v>0.28635107204223426</v>
      </c>
      <c r="I39" s="13"/>
      <c r="J39" s="17">
        <f si="28" t="shared"/>
        <v>0.28635107204223426</v>
      </c>
      <c r="K39" s="14"/>
      <c r="L39" t="str">
        <f>$A$13</f>
        <v>Rest</v>
      </c>
      <c r="M39" s="17">
        <f si="36" t="shared"/>
        <v>1.519037776726349E-2</v>
      </c>
      <c r="N39" s="17">
        <f si="36" t="shared"/>
        <v>4.5197599422267601E-3</v>
      </c>
      <c r="O39" s="17">
        <f si="36" t="shared"/>
        <v>1.0185023781656996E-2</v>
      </c>
      <c r="P39" s="17">
        <f si="36" t="shared"/>
        <v>1.0160121523022139E-2</v>
      </c>
      <c r="Q39" s="17">
        <f si="36" t="shared"/>
        <v>1.6074407948800957E-2</v>
      </c>
      <c r="R39" s="17">
        <f si="36" t="shared"/>
        <v>1.6933535871703563E-3</v>
      </c>
      <c r="S39" s="17">
        <f ref="S39" si="48" t="shared">S26/$U$28</f>
        <v>0.22852802749209353</v>
      </c>
      <c r="T39" s="17"/>
      <c r="U39" s="17">
        <f si="31" t="shared"/>
        <v>0.28635107204223426</v>
      </c>
      <c r="W39" t="str">
        <f>$A$13</f>
        <v>Rest</v>
      </c>
      <c r="X39" s="17">
        <f ref="X39" si="49" t="shared">M39-B39</f>
        <v>1.519037776726349E-2</v>
      </c>
      <c r="Y39" s="17">
        <f ref="Y39" si="50" t="shared">N39-C39</f>
        <v>4.5197599422267601E-3</v>
      </c>
      <c r="Z39" s="17">
        <f ref="Z39" si="51" t="shared">O39-D39</f>
        <v>1.0185023781656996E-2</v>
      </c>
      <c r="AA39" s="17">
        <f ref="AA39" si="52" t="shared">P39-E39</f>
        <v>1.0160121523022139E-2</v>
      </c>
      <c r="AB39" s="17">
        <f ref="AB39" si="53" t="shared">Q39-F39</f>
        <v>1.6074407948800957E-2</v>
      </c>
      <c r="AC39" s="17">
        <f ref="AC39" si="54" t="shared">R39-G39</f>
        <v>1.6933535871703563E-3</v>
      </c>
      <c r="AD39" s="17">
        <f ref="AD39" si="55" t="shared">S39-H39</f>
        <v>-5.7823044550140729E-2</v>
      </c>
      <c r="AE39" s="17"/>
      <c r="AF39" s="17">
        <f si="33" t="shared"/>
        <v>0</v>
      </c>
    </row>
    <row r="40" spans="1:32" x14ac:dyDescent="0.2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G41" si="56" t="shared">B28/$J$28</f>
        <v>0.11661913028825178</v>
      </c>
      <c r="C41" s="19">
        <f si="56" t="shared"/>
        <v>4.9944957045890054E-2</v>
      </c>
      <c r="D41" s="19">
        <f si="56" t="shared"/>
        <v>6.2658134641502258E-2</v>
      </c>
      <c r="E41" s="19">
        <f si="56" t="shared"/>
        <v>0.13100462940831265</v>
      </c>
      <c r="F41" s="19">
        <f si="56" t="shared"/>
        <v>0.14274086864396737</v>
      </c>
      <c r="G41" s="19">
        <f si="56" t="shared"/>
        <v>0.17479595522822039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0.13746046766441716</v>
      </c>
      <c r="N41" s="19">
        <f>N28/$U$28</f>
        <v>9.3644943596384186E-2</v>
      </c>
      <c r="O41" s="19">
        <f>O28/$U$28</f>
        <v>8.2800009960903448E-2</v>
      </c>
      <c r="P41" s="19">
        <f>P28/$U$28</f>
        <v>0.12260627038872425</v>
      </c>
      <c r="Q41" s="19">
        <f ref="Q41:S41" si="57" t="shared">Q28/$U$28</f>
        <v>0.19259406828199319</v>
      </c>
      <c r="R41" s="19">
        <f si="57" t="shared"/>
        <v>8.3721393530393207E-2</v>
      </c>
      <c r="S41" s="19">
        <f si="57" t="shared"/>
        <v>0.28717284657718456</v>
      </c>
      <c r="T41" s="19">
        <f>T28/$U$28</f>
        <v>0</v>
      </c>
      <c r="U41" s="19">
        <f>U28/$U$28</f>
        <v>1</v>
      </c>
      <c r="W41" s="16" t="s">
        <v>4</v>
      </c>
      <c r="X41" s="19">
        <f ref="X41:AD41" si="58" t="shared">M41-B41</f>
        <v>2.0841337376165378E-2</v>
      </c>
      <c r="Y41" s="19">
        <f si="58" t="shared"/>
        <v>4.3699986550494133E-2</v>
      </c>
      <c r="Z41" s="19">
        <f si="58" t="shared"/>
        <v>2.014187531940119E-2</v>
      </c>
      <c r="AA41" s="19">
        <f si="58" t="shared"/>
        <v>-8.3983590195883945E-3</v>
      </c>
      <c r="AB41" s="19">
        <f si="58" t="shared"/>
        <v>4.9853199638025814E-2</v>
      </c>
      <c r="AC41" s="19">
        <f si="58" t="shared"/>
        <v>-9.1074561697827183E-2</v>
      </c>
      <c r="AD41" s="19">
        <f si="58" t="shared"/>
        <v>0.28717284657718456</v>
      </c>
      <c r="AE41" s="19">
        <f>T41-I41</f>
        <v>0</v>
      </c>
      <c r="AF41" s="19">
        <f>U41-J41</f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250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opLeftCell="A20" workbookViewId="0">
      <selection activeCell="J50" sqref="J50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46</v>
      </c>
    </row>
    <row r="2" spans="1:4" x14ac:dyDescent="0.25">
      <c r="A2" t="s">
        <v>258</v>
      </c>
      <c r="B2" t="s">
        <v>259</v>
      </c>
      <c r="C2" t="s">
        <v>95</v>
      </c>
      <c r="D2" t="s">
        <v>260</v>
      </c>
    </row>
    <row r="3" spans="1:4" x14ac:dyDescent="0.25">
      <c r="A3">
        <v>1</v>
      </c>
      <c r="B3" t="s">
        <v>49</v>
      </c>
      <c r="C3" t="s">
        <v>261</v>
      </c>
      <c r="D3" t="s">
        <v>50</v>
      </c>
    </row>
    <row r="4" spans="1:4" x14ac:dyDescent="0.25">
      <c r="A4">
        <v>2</v>
      </c>
      <c r="B4" t="s">
        <v>52</v>
      </c>
      <c r="C4" t="s">
        <v>261</v>
      </c>
      <c r="D4" t="s">
        <v>53</v>
      </c>
    </row>
    <row r="5" spans="1:4" x14ac:dyDescent="0.25">
      <c r="A5">
        <v>3</v>
      </c>
      <c r="B5" t="s">
        <v>55</v>
      </c>
      <c r="C5" t="s">
        <v>261</v>
      </c>
      <c r="D5" t="s">
        <v>56</v>
      </c>
    </row>
    <row r="6" spans="1:4" x14ac:dyDescent="0.25">
      <c r="A6">
        <v>4</v>
      </c>
      <c r="B6" t="s">
        <v>58</v>
      </c>
      <c r="C6" t="s">
        <v>261</v>
      </c>
      <c r="D6" t="s">
        <v>59</v>
      </c>
    </row>
    <row r="7" spans="1:4" x14ac:dyDescent="0.25">
      <c r="A7">
        <v>5</v>
      </c>
      <c r="B7" t="s">
        <v>61</v>
      </c>
      <c r="C7" t="s">
        <v>261</v>
      </c>
      <c r="D7" t="s">
        <v>62</v>
      </c>
    </row>
    <row r="8" spans="1:4" x14ac:dyDescent="0.25">
      <c r="A8">
        <v>6</v>
      </c>
      <c r="B8" t="s">
        <v>63</v>
      </c>
      <c r="C8" t="s">
        <v>261</v>
      </c>
      <c r="D8" t="s">
        <v>64</v>
      </c>
    </row>
    <row r="9" spans="1:4" x14ac:dyDescent="0.25">
      <c r="A9">
        <v>7</v>
      </c>
      <c r="B9" t="s">
        <v>65</v>
      </c>
      <c r="C9" t="s">
        <v>261</v>
      </c>
      <c r="D9" t="s">
        <v>66</v>
      </c>
    </row>
    <row r="10" spans="1:4" x14ac:dyDescent="0.25">
      <c r="A10">
        <v>8</v>
      </c>
      <c r="B10" t="s">
        <v>68</v>
      </c>
      <c r="C10" t="s">
        <v>261</v>
      </c>
      <c r="D10" t="s">
        <v>69</v>
      </c>
    </row>
    <row r="11" spans="1:4" x14ac:dyDescent="0.25">
      <c r="A11">
        <v>9</v>
      </c>
      <c r="B11" t="s">
        <v>70</v>
      </c>
      <c r="C11" t="s">
        <v>261</v>
      </c>
      <c r="D11" t="s">
        <v>71</v>
      </c>
    </row>
    <row r="12" spans="1:4" x14ac:dyDescent="0.25">
      <c r="A12">
        <v>10</v>
      </c>
      <c r="B12" t="s">
        <v>72</v>
      </c>
      <c r="C12" t="s">
        <v>261</v>
      </c>
      <c r="D12" t="s">
        <v>73</v>
      </c>
    </row>
    <row r="13" spans="1:4" x14ac:dyDescent="0.25">
      <c r="A13">
        <v>11</v>
      </c>
      <c r="B13" t="s">
        <v>74</v>
      </c>
      <c r="C13" t="s">
        <v>261</v>
      </c>
      <c r="D13" t="s">
        <v>75</v>
      </c>
    </row>
    <row r="14" spans="1:4" x14ac:dyDescent="0.25">
      <c r="A14">
        <v>12</v>
      </c>
      <c r="B14" t="s">
        <v>76</v>
      </c>
      <c r="C14" t="s">
        <v>261</v>
      </c>
      <c r="D14" t="s">
        <v>77</v>
      </c>
    </row>
    <row r="15" spans="1:4" x14ac:dyDescent="0.25">
      <c r="A15">
        <v>13</v>
      </c>
      <c r="B15" t="s">
        <v>78</v>
      </c>
      <c r="C15" t="s">
        <v>261</v>
      </c>
      <c r="D15" t="s">
        <v>79</v>
      </c>
    </row>
    <row r="16" spans="1:4" x14ac:dyDescent="0.25">
      <c r="A16">
        <v>14</v>
      </c>
      <c r="B16" t="s">
        <v>80</v>
      </c>
      <c r="C16" t="s">
        <v>261</v>
      </c>
      <c r="D16" t="s">
        <v>81</v>
      </c>
    </row>
    <row r="17" spans="1:4" x14ac:dyDescent="0.25">
      <c r="A17">
        <v>15</v>
      </c>
      <c r="B17" t="s">
        <v>82</v>
      </c>
      <c r="C17" t="s">
        <v>261</v>
      </c>
      <c r="D17" t="s">
        <v>83</v>
      </c>
    </row>
    <row r="18" spans="1:4" x14ac:dyDescent="0.25">
      <c r="A18">
        <v>16</v>
      </c>
      <c r="B18" t="s">
        <v>84</v>
      </c>
      <c r="C18" t="s">
        <v>261</v>
      </c>
      <c r="D18" t="s">
        <v>85</v>
      </c>
    </row>
    <row r="19" spans="1:4" x14ac:dyDescent="0.25">
      <c r="A19">
        <v>17</v>
      </c>
      <c r="B19" t="s">
        <v>87</v>
      </c>
      <c r="C19" t="s">
        <v>261</v>
      </c>
      <c r="D19" t="s">
        <v>88</v>
      </c>
    </row>
    <row r="20" spans="1:4" x14ac:dyDescent="0.25">
      <c r="A20">
        <v>18</v>
      </c>
      <c r="B20" t="s">
        <v>90</v>
      </c>
      <c r="C20" t="s">
        <v>261</v>
      </c>
      <c r="D20" t="s">
        <v>91</v>
      </c>
    </row>
    <row r="21" spans="1:4" x14ac:dyDescent="0.25">
      <c r="A21">
        <v>19</v>
      </c>
      <c r="B21" t="s">
        <v>93</v>
      </c>
      <c r="C21" t="s">
        <v>261</v>
      </c>
      <c r="D21" t="s">
        <v>94</v>
      </c>
    </row>
    <row r="22" spans="1:4" x14ac:dyDescent="0.25">
      <c r="A22">
        <v>20</v>
      </c>
      <c r="B22" t="s">
        <v>96</v>
      </c>
      <c r="C22" t="s">
        <v>92</v>
      </c>
      <c r="D22" t="s">
        <v>97</v>
      </c>
    </row>
    <row r="23" spans="1:4" x14ac:dyDescent="0.25">
      <c r="A23">
        <v>21</v>
      </c>
      <c r="B23" t="s">
        <v>98</v>
      </c>
      <c r="C23" t="s">
        <v>92</v>
      </c>
      <c r="D23" t="s">
        <v>99</v>
      </c>
    </row>
    <row r="24" spans="1:4" x14ac:dyDescent="0.25">
      <c r="A24">
        <v>22</v>
      </c>
      <c r="B24" t="s">
        <v>100</v>
      </c>
      <c r="C24" t="s">
        <v>92</v>
      </c>
      <c r="D24" t="s">
        <v>101</v>
      </c>
    </row>
    <row r="25" spans="1:4" x14ac:dyDescent="0.25">
      <c r="A25">
        <v>23</v>
      </c>
      <c r="B25" t="s">
        <v>102</v>
      </c>
      <c r="C25" t="s">
        <v>92</v>
      </c>
      <c r="D25" t="s">
        <v>103</v>
      </c>
    </row>
    <row r="26" spans="1:4" x14ac:dyDescent="0.25">
      <c r="A26">
        <v>24</v>
      </c>
      <c r="B26" t="s">
        <v>104</v>
      </c>
      <c r="C26" t="s">
        <v>92</v>
      </c>
      <c r="D26" t="s">
        <v>105</v>
      </c>
    </row>
    <row r="27" spans="1:4" x14ac:dyDescent="0.25">
      <c r="A27">
        <v>25</v>
      </c>
      <c r="B27" t="s">
        <v>107</v>
      </c>
      <c r="C27" t="s">
        <v>92</v>
      </c>
      <c r="D27" t="s">
        <v>108</v>
      </c>
    </row>
    <row r="28" spans="1:4" x14ac:dyDescent="0.25">
      <c r="A28">
        <v>26</v>
      </c>
      <c r="B28" t="s">
        <v>109</v>
      </c>
      <c r="C28" t="s">
        <v>106</v>
      </c>
      <c r="D28" t="s">
        <v>97</v>
      </c>
    </row>
    <row r="29" spans="1:4" x14ac:dyDescent="0.25">
      <c r="A29">
        <v>27</v>
      </c>
      <c r="B29" t="s">
        <v>110</v>
      </c>
      <c r="C29" t="s">
        <v>106</v>
      </c>
      <c r="D29" t="s">
        <v>99</v>
      </c>
    </row>
    <row r="30" spans="1:4" x14ac:dyDescent="0.25">
      <c r="A30">
        <v>28</v>
      </c>
      <c r="B30" t="s">
        <v>112</v>
      </c>
      <c r="C30" t="s">
        <v>106</v>
      </c>
      <c r="D30" t="s">
        <v>101</v>
      </c>
    </row>
    <row r="31" spans="1:4" x14ac:dyDescent="0.25">
      <c r="A31">
        <v>29</v>
      </c>
      <c r="B31" t="s">
        <v>113</v>
      </c>
      <c r="C31" t="s">
        <v>106</v>
      </c>
      <c r="D31" t="s">
        <v>103</v>
      </c>
    </row>
    <row r="32" spans="1:4" x14ac:dyDescent="0.25">
      <c r="A32">
        <v>30</v>
      </c>
      <c r="B32" t="s">
        <v>114</v>
      </c>
      <c r="C32" t="s">
        <v>106</v>
      </c>
      <c r="D32" t="s">
        <v>115</v>
      </c>
    </row>
    <row r="33" spans="1:4" x14ac:dyDescent="0.25">
      <c r="A33">
        <v>31</v>
      </c>
      <c r="B33" t="s">
        <v>116</v>
      </c>
      <c r="C33" t="s">
        <v>106</v>
      </c>
      <c r="D33" t="s">
        <v>117</v>
      </c>
    </row>
    <row r="34" spans="1:4" x14ac:dyDescent="0.25">
      <c r="A34">
        <v>32</v>
      </c>
      <c r="B34" t="s">
        <v>118</v>
      </c>
      <c r="C34" t="s">
        <v>106</v>
      </c>
      <c r="D34" t="s">
        <v>119</v>
      </c>
    </row>
    <row r="35" spans="1:4" x14ac:dyDescent="0.25">
      <c r="A35">
        <v>33</v>
      </c>
      <c r="B35" t="s">
        <v>120</v>
      </c>
      <c r="C35" t="s">
        <v>106</v>
      </c>
      <c r="D35" t="s">
        <v>121</v>
      </c>
    </row>
    <row r="36" spans="1:4" x14ac:dyDescent="0.25">
      <c r="A36">
        <v>34</v>
      </c>
      <c r="B36" t="s">
        <v>122</v>
      </c>
      <c r="C36" t="s">
        <v>106</v>
      </c>
      <c r="D36" t="s">
        <v>123</v>
      </c>
    </row>
    <row r="37" spans="1:4" x14ac:dyDescent="0.25">
      <c r="A37">
        <v>35</v>
      </c>
      <c r="B37" t="s">
        <v>125</v>
      </c>
      <c r="C37" t="s">
        <v>106</v>
      </c>
      <c r="D37" t="s">
        <v>126</v>
      </c>
    </row>
    <row r="38" spans="1:4" x14ac:dyDescent="0.25">
      <c r="A38">
        <v>36</v>
      </c>
      <c r="B38" t="s">
        <v>127</v>
      </c>
      <c r="C38" t="s">
        <v>124</v>
      </c>
      <c r="D38" t="s">
        <v>97</v>
      </c>
    </row>
    <row r="39" spans="1:4" x14ac:dyDescent="0.25">
      <c r="A39">
        <v>37</v>
      </c>
      <c r="B39" t="s">
        <v>128</v>
      </c>
      <c r="C39" t="s">
        <v>124</v>
      </c>
      <c r="D39" t="s">
        <v>99</v>
      </c>
    </row>
    <row r="40" spans="1:4" x14ac:dyDescent="0.25">
      <c r="A40">
        <v>38</v>
      </c>
      <c r="B40" t="s">
        <v>130</v>
      </c>
      <c r="C40" t="s">
        <v>124</v>
      </c>
      <c r="D40" t="s">
        <v>101</v>
      </c>
    </row>
    <row r="41" spans="1:4" x14ac:dyDescent="0.25">
      <c r="A41">
        <v>39</v>
      </c>
      <c r="B41" t="s">
        <v>131</v>
      </c>
      <c r="C41" t="s">
        <v>124</v>
      </c>
      <c r="D41" t="s">
        <v>103</v>
      </c>
    </row>
    <row r="42" spans="1:4" x14ac:dyDescent="0.25">
      <c r="A42">
        <v>40</v>
      </c>
      <c r="B42" t="s">
        <v>132</v>
      </c>
      <c r="C42" t="s">
        <v>124</v>
      </c>
      <c r="D42" t="s">
        <v>115</v>
      </c>
    </row>
    <row r="43" spans="1:4" x14ac:dyDescent="0.25">
      <c r="A43">
        <v>41</v>
      </c>
      <c r="B43" t="s">
        <v>133</v>
      </c>
      <c r="C43" t="s">
        <v>124</v>
      </c>
      <c r="D43" t="s">
        <v>117</v>
      </c>
    </row>
    <row r="44" spans="1:4" x14ac:dyDescent="0.25">
      <c r="A44">
        <v>42</v>
      </c>
      <c r="B44" t="s">
        <v>135</v>
      </c>
      <c r="C44" t="s">
        <v>124</v>
      </c>
      <c r="D44" t="s">
        <v>136</v>
      </c>
    </row>
    <row r="45" spans="1:4" x14ac:dyDescent="0.25">
      <c r="A45">
        <v>43</v>
      </c>
      <c r="B45" t="s">
        <v>137</v>
      </c>
      <c r="C45" t="s">
        <v>134</v>
      </c>
      <c r="D45" t="s">
        <v>97</v>
      </c>
    </row>
    <row r="46" spans="1:4" x14ac:dyDescent="0.25">
      <c r="A46">
        <v>44</v>
      </c>
      <c r="B46" t="s">
        <v>138</v>
      </c>
      <c r="C46" t="s">
        <v>134</v>
      </c>
      <c r="D46" t="s">
        <v>139</v>
      </c>
    </row>
    <row r="47" spans="1:4" x14ac:dyDescent="0.25">
      <c r="A47">
        <v>45</v>
      </c>
      <c r="B47" t="s">
        <v>140</v>
      </c>
      <c r="C47" t="s">
        <v>134</v>
      </c>
      <c r="D47" t="s">
        <v>141</v>
      </c>
    </row>
    <row r="48" spans="1:4" x14ac:dyDescent="0.25">
      <c r="A48">
        <v>46</v>
      </c>
      <c r="B48" t="s">
        <v>142</v>
      </c>
      <c r="C48" t="s">
        <v>134</v>
      </c>
      <c r="D48" t="s">
        <v>143</v>
      </c>
    </row>
    <row r="49" spans="1:4" x14ac:dyDescent="0.25">
      <c r="A49">
        <v>47</v>
      </c>
      <c r="B49" t="s">
        <v>144</v>
      </c>
      <c r="C49" t="s">
        <v>134</v>
      </c>
      <c r="D49" t="s">
        <v>145</v>
      </c>
    </row>
    <row r="50" spans="1:4" x14ac:dyDescent="0.25">
      <c r="A50">
        <v>48</v>
      </c>
      <c r="B50" t="s">
        <v>147</v>
      </c>
      <c r="C50" t="s">
        <v>134</v>
      </c>
      <c r="D50" t="s">
        <v>148</v>
      </c>
    </row>
    <row r="51" spans="1:4" x14ac:dyDescent="0.25">
      <c r="A51">
        <v>49</v>
      </c>
      <c r="B51" t="s">
        <v>149</v>
      </c>
      <c r="C51" t="s">
        <v>146</v>
      </c>
      <c r="D51" t="s">
        <v>97</v>
      </c>
    </row>
    <row r="52" spans="1:4" x14ac:dyDescent="0.25">
      <c r="A52">
        <v>50</v>
      </c>
      <c r="B52" t="s">
        <v>150</v>
      </c>
      <c r="C52" t="s">
        <v>146</v>
      </c>
      <c r="D52" t="s">
        <v>99</v>
      </c>
    </row>
    <row r="53" spans="1:4" x14ac:dyDescent="0.25">
      <c r="A53">
        <v>51</v>
      </c>
      <c r="B53" t="s">
        <v>151</v>
      </c>
      <c r="C53" t="s">
        <v>146</v>
      </c>
      <c r="D53" t="s">
        <v>101</v>
      </c>
    </row>
    <row r="54" spans="1:4" x14ac:dyDescent="0.25">
      <c r="A54">
        <v>52</v>
      </c>
      <c r="B54" t="s">
        <v>152</v>
      </c>
      <c r="C54" t="s">
        <v>146</v>
      </c>
      <c r="D54" t="s">
        <v>103</v>
      </c>
    </row>
    <row r="55" spans="1:4" x14ac:dyDescent="0.25">
      <c r="A55">
        <v>53</v>
      </c>
      <c r="B55" t="s">
        <v>153</v>
      </c>
      <c r="C55" t="s">
        <v>146</v>
      </c>
      <c r="D55" t="s">
        <v>115</v>
      </c>
    </row>
    <row r="56" spans="1:4" x14ac:dyDescent="0.25">
      <c r="A56">
        <v>54</v>
      </c>
      <c r="B56" t="s">
        <v>154</v>
      </c>
      <c r="C56" t="s">
        <v>146</v>
      </c>
      <c r="D56" t="s">
        <v>155</v>
      </c>
    </row>
    <row r="57" spans="1:4" x14ac:dyDescent="0.25">
      <c r="A57">
        <v>55</v>
      </c>
      <c r="B57" t="s">
        <v>156</v>
      </c>
      <c r="C57" t="s">
        <v>146</v>
      </c>
      <c r="D57" t="s">
        <v>119</v>
      </c>
    </row>
    <row r="58" spans="1:4" x14ac:dyDescent="0.25">
      <c r="A58">
        <v>56</v>
      </c>
      <c r="B58" t="s">
        <v>157</v>
      </c>
      <c r="C58" t="s">
        <v>146</v>
      </c>
      <c r="D58" t="s">
        <v>123</v>
      </c>
    </row>
    <row r="59" spans="1:4" x14ac:dyDescent="0.25">
      <c r="A59">
        <v>57</v>
      </c>
      <c r="B59" t="s">
        <v>158</v>
      </c>
      <c r="C59" t="s">
        <v>146</v>
      </c>
      <c r="D59" t="s">
        <v>126</v>
      </c>
    </row>
    <row r="60" spans="1:4" x14ac:dyDescent="0.25">
      <c r="A60">
        <v>118</v>
      </c>
      <c r="B60" t="s">
        <v>262</v>
      </c>
    </row>
    <row r="61" spans="1:4" x14ac:dyDescent="0.25">
      <c r="A61">
        <v>70</v>
      </c>
      <c r="B61" t="s">
        <v>159</v>
      </c>
      <c r="C61" t="s">
        <v>92</v>
      </c>
    </row>
    <row r="62" spans="1:4" x14ac:dyDescent="0.25">
      <c r="A62">
        <v>71</v>
      </c>
      <c r="B62" t="s">
        <v>160</v>
      </c>
      <c r="C62" t="s">
        <v>92</v>
      </c>
      <c r="D62" t="s">
        <v>161</v>
      </c>
    </row>
    <row r="63" spans="1:4" x14ac:dyDescent="0.25">
      <c r="A63">
        <v>72</v>
      </c>
      <c r="B63" t="s">
        <v>162</v>
      </c>
      <c r="C63" t="s">
        <v>92</v>
      </c>
      <c r="D63" t="s">
        <v>163</v>
      </c>
    </row>
    <row r="64" spans="1:4" x14ac:dyDescent="0.25">
      <c r="A64">
        <v>73</v>
      </c>
      <c r="B64" t="s">
        <v>164</v>
      </c>
      <c r="C64" t="s">
        <v>92</v>
      </c>
      <c r="D64" t="s">
        <v>165</v>
      </c>
    </row>
    <row r="65" spans="1:4" x14ac:dyDescent="0.25">
      <c r="A65">
        <v>74</v>
      </c>
      <c r="B65" t="s">
        <v>166</v>
      </c>
      <c r="C65" t="s">
        <v>92</v>
      </c>
      <c r="D65" t="s">
        <v>167</v>
      </c>
    </row>
    <row r="66" spans="1:4" x14ac:dyDescent="0.25">
      <c r="A66">
        <v>75</v>
      </c>
      <c r="B66" t="s">
        <v>168</v>
      </c>
      <c r="C66" t="s">
        <v>92</v>
      </c>
      <c r="D66" t="s">
        <v>169</v>
      </c>
    </row>
    <row r="67" spans="1:4" x14ac:dyDescent="0.25">
      <c r="A67">
        <v>76</v>
      </c>
      <c r="B67" t="s">
        <v>170</v>
      </c>
      <c r="C67" t="s">
        <v>92</v>
      </c>
      <c r="D67" t="s">
        <v>171</v>
      </c>
    </row>
    <row r="68" spans="1:4" x14ac:dyDescent="0.25">
      <c r="A68">
        <v>77</v>
      </c>
      <c r="B68" t="s">
        <v>172</v>
      </c>
      <c r="C68" t="s">
        <v>92</v>
      </c>
      <c r="D68" t="s">
        <v>173</v>
      </c>
    </row>
    <row r="69" spans="1:4" x14ac:dyDescent="0.25">
      <c r="A69">
        <v>78</v>
      </c>
      <c r="B69" t="s">
        <v>174</v>
      </c>
      <c r="C69" t="s">
        <v>92</v>
      </c>
      <c r="D69" t="s">
        <v>175</v>
      </c>
    </row>
    <row r="70" spans="1:4" x14ac:dyDescent="0.25">
      <c r="A70">
        <v>79</v>
      </c>
      <c r="B70" t="s">
        <v>176</v>
      </c>
      <c r="C70" t="s">
        <v>92</v>
      </c>
      <c r="D70" t="s">
        <v>177</v>
      </c>
    </row>
    <row r="71" spans="1:4" x14ac:dyDescent="0.25">
      <c r="A71">
        <v>80</v>
      </c>
      <c r="B71" t="s">
        <v>178</v>
      </c>
      <c r="C71" t="s">
        <v>92</v>
      </c>
      <c r="D71" t="s">
        <v>179</v>
      </c>
    </row>
    <row r="72" spans="1:4" x14ac:dyDescent="0.25">
      <c r="A72">
        <v>81</v>
      </c>
      <c r="B72" t="s">
        <v>180</v>
      </c>
      <c r="C72" t="s">
        <v>92</v>
      </c>
      <c r="D72" t="s">
        <v>181</v>
      </c>
    </row>
    <row r="73" spans="1:4" x14ac:dyDescent="0.25">
      <c r="A73">
        <v>82</v>
      </c>
      <c r="B73" t="s">
        <v>182</v>
      </c>
      <c r="C73" t="s">
        <v>92</v>
      </c>
      <c r="D73" t="s">
        <v>181</v>
      </c>
    </row>
    <row r="74" spans="1:4" x14ac:dyDescent="0.25">
      <c r="A74">
        <v>83</v>
      </c>
      <c r="B74" t="s">
        <v>183</v>
      </c>
      <c r="C74" t="s">
        <v>92</v>
      </c>
      <c r="D74" t="s">
        <v>184</v>
      </c>
    </row>
    <row r="75" spans="1:4" x14ac:dyDescent="0.25">
      <c r="A75">
        <v>84</v>
      </c>
      <c r="B75" t="s">
        <v>185</v>
      </c>
      <c r="C75" t="s">
        <v>92</v>
      </c>
      <c r="D75" t="s">
        <v>186</v>
      </c>
    </row>
    <row r="76" spans="1:4" x14ac:dyDescent="0.25">
      <c r="A76">
        <v>85</v>
      </c>
      <c r="B76" t="s">
        <v>187</v>
      </c>
      <c r="C76" t="s">
        <v>92</v>
      </c>
      <c r="D76" t="s">
        <v>188</v>
      </c>
    </row>
    <row r="77" spans="1:4" x14ac:dyDescent="0.25">
      <c r="A77">
        <v>86</v>
      </c>
      <c r="B77" t="s">
        <v>189</v>
      </c>
      <c r="C77" t="s">
        <v>92</v>
      </c>
      <c r="D77" t="s">
        <v>190</v>
      </c>
    </row>
    <row r="78" spans="1:4" x14ac:dyDescent="0.25">
      <c r="A78">
        <v>87</v>
      </c>
      <c r="B78" t="s">
        <v>191</v>
      </c>
      <c r="C78" t="s">
        <v>92</v>
      </c>
      <c r="D78" t="s">
        <v>192</v>
      </c>
    </row>
    <row r="79" spans="1:4" x14ac:dyDescent="0.25">
      <c r="A79">
        <v>88</v>
      </c>
      <c r="B79" t="s">
        <v>193</v>
      </c>
      <c r="C79" t="s">
        <v>92</v>
      </c>
      <c r="D79" t="s">
        <v>194</v>
      </c>
    </row>
    <row r="80" spans="1:4" x14ac:dyDescent="0.25">
      <c r="A80">
        <v>89</v>
      </c>
      <c r="B80" t="s">
        <v>195</v>
      </c>
      <c r="C80" t="s">
        <v>106</v>
      </c>
      <c r="D80" t="s">
        <v>196</v>
      </c>
    </row>
    <row r="81" spans="1:4" x14ac:dyDescent="0.25">
      <c r="A81">
        <v>90</v>
      </c>
      <c r="B81" t="s">
        <v>197</v>
      </c>
      <c r="C81" t="s">
        <v>106</v>
      </c>
      <c r="D81" t="s">
        <v>198</v>
      </c>
    </row>
    <row r="82" spans="1:4" x14ac:dyDescent="0.25">
      <c r="A82">
        <v>91</v>
      </c>
      <c r="B82" t="s">
        <v>199</v>
      </c>
      <c r="C82" t="s">
        <v>106</v>
      </c>
      <c r="D82" t="s">
        <v>200</v>
      </c>
    </row>
    <row r="83" spans="1:4" x14ac:dyDescent="0.25">
      <c r="A83">
        <v>92</v>
      </c>
      <c r="B83" t="s">
        <v>201</v>
      </c>
      <c r="C83" t="s">
        <v>106</v>
      </c>
      <c r="D83" t="s">
        <v>202</v>
      </c>
    </row>
    <row r="84" spans="1:4" x14ac:dyDescent="0.25">
      <c r="A84">
        <v>93</v>
      </c>
      <c r="B84" t="s">
        <v>203</v>
      </c>
      <c r="C84" t="s">
        <v>106</v>
      </c>
      <c r="D84" t="s">
        <v>204</v>
      </c>
    </row>
    <row r="85" spans="1:4" x14ac:dyDescent="0.25">
      <c r="A85">
        <v>94</v>
      </c>
      <c r="B85" t="s">
        <v>205</v>
      </c>
      <c r="C85" t="s">
        <v>106</v>
      </c>
      <c r="D85" t="s">
        <v>206</v>
      </c>
    </row>
    <row r="86" spans="1:4" x14ac:dyDescent="0.25">
      <c r="A86">
        <v>95</v>
      </c>
      <c r="B86" t="s">
        <v>207</v>
      </c>
      <c r="C86" t="s">
        <v>106</v>
      </c>
      <c r="D86" t="s">
        <v>208</v>
      </c>
    </row>
    <row r="87" spans="1:4" x14ac:dyDescent="0.25">
      <c r="A87">
        <v>96</v>
      </c>
      <c r="B87" t="s">
        <v>209</v>
      </c>
      <c r="C87" t="s">
        <v>106</v>
      </c>
      <c r="D87" t="s">
        <v>210</v>
      </c>
    </row>
    <row r="88" spans="1:4" x14ac:dyDescent="0.25">
      <c r="A88">
        <v>97</v>
      </c>
      <c r="B88" t="s">
        <v>211</v>
      </c>
      <c r="C88" t="s">
        <v>106</v>
      </c>
      <c r="D88" t="s">
        <v>212</v>
      </c>
    </row>
    <row r="89" spans="1:4" x14ac:dyDescent="0.25">
      <c r="A89">
        <v>98</v>
      </c>
      <c r="B89" t="s">
        <v>213</v>
      </c>
      <c r="C89" t="s">
        <v>124</v>
      </c>
      <c r="D89" t="s">
        <v>198</v>
      </c>
    </row>
    <row r="90" spans="1:4" x14ac:dyDescent="0.25">
      <c r="A90">
        <v>99</v>
      </c>
      <c r="B90" t="s">
        <v>214</v>
      </c>
      <c r="C90" t="s">
        <v>124</v>
      </c>
      <c r="D90" t="s">
        <v>200</v>
      </c>
    </row>
    <row r="91" spans="1:4" x14ac:dyDescent="0.25">
      <c r="A91">
        <v>100</v>
      </c>
      <c r="B91" t="s">
        <v>215</v>
      </c>
      <c r="C91" t="s">
        <v>124</v>
      </c>
      <c r="D91" t="s">
        <v>202</v>
      </c>
    </row>
    <row r="92" spans="1:4" x14ac:dyDescent="0.25">
      <c r="A92">
        <v>101</v>
      </c>
      <c r="B92" t="s">
        <v>216</v>
      </c>
      <c r="C92" t="s">
        <v>124</v>
      </c>
      <c r="D92" t="s">
        <v>204</v>
      </c>
    </row>
    <row r="93" spans="1:4" x14ac:dyDescent="0.25">
      <c r="A93">
        <v>102</v>
      </c>
      <c r="B93" t="s">
        <v>217</v>
      </c>
      <c r="C93" t="s">
        <v>134</v>
      </c>
      <c r="D93" t="s">
        <v>198</v>
      </c>
    </row>
    <row r="94" spans="1:4" x14ac:dyDescent="0.25">
      <c r="A94">
        <v>103</v>
      </c>
      <c r="B94" t="s">
        <v>218</v>
      </c>
      <c r="C94" t="s">
        <v>134</v>
      </c>
      <c r="D94" t="s">
        <v>200</v>
      </c>
    </row>
    <row r="95" spans="1:4" x14ac:dyDescent="0.25">
      <c r="A95">
        <v>104</v>
      </c>
      <c r="B95" t="s">
        <v>219</v>
      </c>
      <c r="C95" t="s">
        <v>134</v>
      </c>
      <c r="D95" t="s">
        <v>202</v>
      </c>
    </row>
    <row r="96" spans="1:4" x14ac:dyDescent="0.25">
      <c r="A96">
        <v>105</v>
      </c>
      <c r="B96" t="s">
        <v>220</v>
      </c>
      <c r="C96" t="s">
        <v>134</v>
      </c>
      <c r="D96" t="s">
        <v>204</v>
      </c>
    </row>
    <row r="97" spans="1:4" x14ac:dyDescent="0.25">
      <c r="A97">
        <v>106</v>
      </c>
      <c r="B97" t="s">
        <v>221</v>
      </c>
      <c r="C97" t="s">
        <v>146</v>
      </c>
      <c r="D97" t="s">
        <v>198</v>
      </c>
    </row>
    <row r="98" spans="1:4" x14ac:dyDescent="0.25">
      <c r="A98">
        <v>107</v>
      </c>
      <c r="B98" t="s">
        <v>222</v>
      </c>
      <c r="C98" t="s">
        <v>146</v>
      </c>
      <c r="D98" t="s">
        <v>223</v>
      </c>
    </row>
    <row r="99" spans="1:4" x14ac:dyDescent="0.25">
      <c r="A99">
        <v>108</v>
      </c>
      <c r="B99" t="s">
        <v>224</v>
      </c>
      <c r="C99" t="s">
        <v>146</v>
      </c>
      <c r="D99" t="s">
        <v>200</v>
      </c>
    </row>
    <row r="100" spans="1:4" x14ac:dyDescent="0.25">
      <c r="A100">
        <v>109</v>
      </c>
      <c r="B100" t="s">
        <v>225</v>
      </c>
      <c r="C100" t="s">
        <v>146</v>
      </c>
      <c r="D100" t="s">
        <v>202</v>
      </c>
    </row>
    <row r="101" spans="1:4" x14ac:dyDescent="0.25">
      <c r="A101">
        <v>110</v>
      </c>
      <c r="B101" t="s">
        <v>226</v>
      </c>
      <c r="C101" t="s">
        <v>146</v>
      </c>
      <c r="D101" t="s">
        <v>204</v>
      </c>
    </row>
    <row r="102" spans="1:4" x14ac:dyDescent="0.25">
      <c r="A102">
        <v>111</v>
      </c>
      <c r="B102" t="s">
        <v>227</v>
      </c>
      <c r="C102" t="s">
        <v>146</v>
      </c>
      <c r="D102" t="s">
        <v>210</v>
      </c>
    </row>
    <row r="103" spans="1:4" x14ac:dyDescent="0.25">
      <c r="A103">
        <v>112</v>
      </c>
      <c r="B103" t="s">
        <v>228</v>
      </c>
      <c r="C103" t="s">
        <v>146</v>
      </c>
      <c r="D103" t="s">
        <v>229</v>
      </c>
    </row>
    <row r="104" spans="1:4" x14ac:dyDescent="0.25">
      <c r="A104">
        <v>113</v>
      </c>
      <c r="B104" t="s">
        <v>230</v>
      </c>
      <c r="C104" t="s">
        <v>146</v>
      </c>
      <c r="D104" t="s">
        <v>212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P9" sqref="P9"/>
    </sheetView>
  </sheetViews>
  <sheetFormatPr defaultRowHeight="15" x14ac:dyDescent="0.25"/>
  <sheetData>
    <row r="1" spans="1:11" x14ac:dyDescent="0.2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25">
      <c r="A2" s="526">
        <v>1</v>
      </c>
      <c r="B2" s="527" t="s">
        <v>263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2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2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2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25">
      <c r="A8" t="s">
        <v>236</v>
      </c>
      <c r="B8" t="s">
        <v>237</v>
      </c>
      <c r="C8" t="s">
        <v>238</v>
      </c>
      <c r="D8" t="s">
        <v>264</v>
      </c>
    </row>
    <row r="9" spans="1:11" x14ac:dyDescent="0.25">
      <c r="A9" t="s">
        <v>239</v>
      </c>
      <c r="B9" t="s">
        <v>240</v>
      </c>
      <c r="C9" t="s">
        <v>241</v>
      </c>
      <c r="D9" t="s">
        <v>242</v>
      </c>
      <c r="E9">
        <v>4</v>
      </c>
      <c r="F9" s="518">
        <v>0.46135416666666668</v>
      </c>
      <c r="G9" t="s">
        <v>243</v>
      </c>
      <c r="H9">
        <v>31</v>
      </c>
      <c r="I9" t="s">
        <v>265</v>
      </c>
      <c r="J9">
        <v>16</v>
      </c>
    </row>
    <row r="10" spans="1:11" x14ac:dyDescent="0.25">
      <c r="A10" t="s">
        <v>244</v>
      </c>
    </row>
    <row r="11" spans="1:11" x14ac:dyDescent="0.25">
      <c r="B11">
        <v>1</v>
      </c>
      <c r="C11" t="s">
        <v>49</v>
      </c>
      <c r="D11" t="s">
        <v>245</v>
      </c>
      <c r="E11">
        <v>1</v>
      </c>
      <c r="F11">
        <v>0</v>
      </c>
    </row>
    <row r="12" spans="1:11" x14ac:dyDescent="0.25">
      <c r="B12">
        <v>2</v>
      </c>
      <c r="C12" t="s">
        <v>52</v>
      </c>
      <c r="D12" t="s">
        <v>246</v>
      </c>
      <c r="E12">
        <v>11.7146172749</v>
      </c>
      <c r="F12">
        <v>1.25201685879</v>
      </c>
    </row>
    <row r="13" spans="1:11" x14ac:dyDescent="0.25">
      <c r="B13">
        <v>3</v>
      </c>
      <c r="C13" t="s">
        <v>55</v>
      </c>
      <c r="D13" t="s">
        <v>245</v>
      </c>
      <c r="E13" s="519">
        <v>-0.2117</v>
      </c>
      <c r="F13">
        <v>0</v>
      </c>
    </row>
    <row r="14" spans="1:11" x14ac:dyDescent="0.25">
      <c r="B14">
        <v>4</v>
      </c>
      <c r="C14" t="s">
        <v>58</v>
      </c>
      <c r="D14" t="s">
        <v>246</v>
      </c>
      <c r="E14" s="519">
        <v>0.27120783067900001</v>
      </c>
      <c r="F14">
        <v>0.28080475059900001</v>
      </c>
    </row>
    <row r="15" spans="1:11" x14ac:dyDescent="0.25">
      <c r="B15">
        <v>5</v>
      </c>
      <c r="C15" t="s">
        <v>61</v>
      </c>
      <c r="D15" t="s">
        <v>246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63</v>
      </c>
      <c r="D16" t="s">
        <v>246</v>
      </c>
      <c r="E16" s="519">
        <v>-8.2865473150899996E-2</v>
      </c>
      <c r="F16">
        <v>0.12955742148800001</v>
      </c>
    </row>
    <row r="17" spans="2:6" x14ac:dyDescent="0.25">
      <c r="B17">
        <v>7</v>
      </c>
      <c r="C17" t="s">
        <v>65</v>
      </c>
      <c r="D17" t="s">
        <v>246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68</v>
      </c>
      <c r="D18" t="s">
        <v>245</v>
      </c>
      <c r="E18" s="519">
        <v>6.9400000000000003E-2</v>
      </c>
      <c r="F18">
        <v>0</v>
      </c>
    </row>
    <row r="19" spans="2:6" x14ac:dyDescent="0.25">
      <c r="B19">
        <v>9</v>
      </c>
      <c r="C19" t="s">
        <v>70</v>
      </c>
      <c r="D19" t="s">
        <v>246</v>
      </c>
      <c r="E19" s="519">
        <v>-9.5820044919499997E-2</v>
      </c>
      <c r="F19">
        <v>0.17082561533000001</v>
      </c>
    </row>
    <row r="20" spans="2:6" x14ac:dyDescent="0.25">
      <c r="B20">
        <v>10</v>
      </c>
      <c r="C20" t="s">
        <v>72</v>
      </c>
      <c r="D20" t="s">
        <v>246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74</v>
      </c>
      <c r="D21" t="s">
        <v>246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76</v>
      </c>
      <c r="D22" t="s">
        <v>246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78</v>
      </c>
      <c r="D23" t="s">
        <v>246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80</v>
      </c>
      <c r="D24" t="s">
        <v>246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82</v>
      </c>
      <c r="D25" t="s">
        <v>246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84</v>
      </c>
      <c r="D26" t="s">
        <v>246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87</v>
      </c>
      <c r="D27" t="s">
        <v>245</v>
      </c>
      <c r="E27">
        <v>0</v>
      </c>
      <c r="F27">
        <v>0</v>
      </c>
    </row>
    <row r="28" spans="2:6" x14ac:dyDescent="0.25">
      <c r="B28">
        <v>18</v>
      </c>
      <c r="C28" t="s">
        <v>90</v>
      </c>
      <c r="D28" t="s">
        <v>245</v>
      </c>
      <c r="E28">
        <v>0</v>
      </c>
      <c r="F28">
        <v>0</v>
      </c>
    </row>
    <row r="29" spans="2:6" x14ac:dyDescent="0.25">
      <c r="B29">
        <v>19</v>
      </c>
      <c r="C29" t="s">
        <v>93</v>
      </c>
      <c r="D29" t="s">
        <v>245</v>
      </c>
      <c r="E29">
        <v>0</v>
      </c>
      <c r="F29">
        <v>0</v>
      </c>
    </row>
    <row r="30" spans="2:6" x14ac:dyDescent="0.25">
      <c r="B30">
        <v>20</v>
      </c>
      <c r="C30" t="s">
        <v>96</v>
      </c>
      <c r="D30" t="s">
        <v>246</v>
      </c>
      <c r="E30">
        <v>0.63771148688699997</v>
      </c>
      <c r="F30" s="519">
        <v>6.0015015733300002E-2</v>
      </c>
    </row>
    <row r="31" spans="2:6" x14ac:dyDescent="0.25">
      <c r="B31">
        <v>21</v>
      </c>
      <c r="C31" t="s">
        <v>98</v>
      </c>
      <c r="D31" t="s">
        <v>246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100</v>
      </c>
      <c r="D32" t="s">
        <v>246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102</v>
      </c>
      <c r="D33" t="s">
        <v>246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104</v>
      </c>
      <c r="D34" t="s">
        <v>246</v>
      </c>
      <c r="E34">
        <v>0.10429329553199999</v>
      </c>
      <c r="F34" s="519">
        <v>1.6423300294899999E-2</v>
      </c>
    </row>
    <row r="35" spans="2:6" x14ac:dyDescent="0.25">
      <c r="B35">
        <v>25</v>
      </c>
      <c r="C35" t="s">
        <v>107</v>
      </c>
      <c r="D35" t="s">
        <v>245</v>
      </c>
      <c r="E35">
        <v>0</v>
      </c>
      <c r="F35" s="519">
        <v>0</v>
      </c>
    </row>
    <row r="36" spans="2:6" x14ac:dyDescent="0.25">
      <c r="B36">
        <v>26</v>
      </c>
      <c r="C36" t="s">
        <v>109</v>
      </c>
      <c r="D36" t="s">
        <v>246</v>
      </c>
      <c r="E36">
        <v>0.417326479157</v>
      </c>
      <c r="F36" s="519">
        <v>9.4301876730200004E-2</v>
      </c>
    </row>
    <row r="37" spans="2:6" x14ac:dyDescent="0.25">
      <c r="B37">
        <v>27</v>
      </c>
      <c r="C37" t="s">
        <v>110</v>
      </c>
      <c r="D37" t="s">
        <v>246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112</v>
      </c>
      <c r="D38" t="s">
        <v>246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113</v>
      </c>
      <c r="D39" t="s">
        <v>246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114</v>
      </c>
      <c r="D40" t="s">
        <v>246</v>
      </c>
      <c r="E40">
        <v>-0.91046169190000004</v>
      </c>
      <c r="F40" s="519">
        <v>9.2244527309799998E-2</v>
      </c>
    </row>
    <row r="41" spans="2:6" x14ac:dyDescent="0.25">
      <c r="B41">
        <v>31</v>
      </c>
      <c r="C41" t="s">
        <v>116</v>
      </c>
      <c r="D41" t="s">
        <v>246</v>
      </c>
      <c r="E41" s="519">
        <v>5.7553461640599997E-2</v>
      </c>
      <c r="F41" s="519">
        <v>1.69631861578E-2</v>
      </c>
    </row>
    <row r="42" spans="2:6" x14ac:dyDescent="0.25">
      <c r="B42">
        <v>32</v>
      </c>
      <c r="C42" t="s">
        <v>118</v>
      </c>
      <c r="D42" t="s">
        <v>246</v>
      </c>
      <c r="E42">
        <v>0.237798002151</v>
      </c>
      <c r="F42" s="519">
        <v>2.05709725741E-2</v>
      </c>
    </row>
    <row r="43" spans="2:6" x14ac:dyDescent="0.25">
      <c r="B43">
        <v>33</v>
      </c>
      <c r="C43" t="s">
        <v>120</v>
      </c>
      <c r="D43" t="s">
        <v>245</v>
      </c>
      <c r="E43">
        <v>0</v>
      </c>
      <c r="F43" s="519">
        <v>0</v>
      </c>
    </row>
    <row r="44" spans="2:6" x14ac:dyDescent="0.25">
      <c r="B44">
        <v>34</v>
      </c>
      <c r="C44" t="s">
        <v>122</v>
      </c>
      <c r="D44" t="s">
        <v>245</v>
      </c>
      <c r="E44">
        <v>0</v>
      </c>
      <c r="F44" s="519">
        <v>0</v>
      </c>
    </row>
    <row r="45" spans="2:6" x14ac:dyDescent="0.25">
      <c r="B45">
        <v>35</v>
      </c>
      <c r="C45" t="s">
        <v>125</v>
      </c>
      <c r="D45" t="s">
        <v>245</v>
      </c>
      <c r="E45">
        <v>0</v>
      </c>
      <c r="F45" s="519">
        <v>0</v>
      </c>
    </row>
    <row r="46" spans="2:6" x14ac:dyDescent="0.25">
      <c r="B46">
        <v>36</v>
      </c>
      <c r="C46" t="s">
        <v>127</v>
      </c>
      <c r="D46" t="s">
        <v>246</v>
      </c>
      <c r="E46" s="519">
        <v>0.61259135262599995</v>
      </c>
      <c r="F46" s="519">
        <v>9.8788050589500007E-2</v>
      </c>
    </row>
    <row r="47" spans="2:6" x14ac:dyDescent="0.25">
      <c r="B47">
        <v>37</v>
      </c>
      <c r="C47" t="s">
        <v>128</v>
      </c>
      <c r="D47" t="s">
        <v>246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130</v>
      </c>
      <c r="D48" t="s">
        <v>246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131</v>
      </c>
      <c r="D49" t="s">
        <v>246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132</v>
      </c>
      <c r="D50" t="s">
        <v>246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133</v>
      </c>
      <c r="D51" t="s">
        <v>246</v>
      </c>
      <c r="E51">
        <v>-0.22141031751900001</v>
      </c>
      <c r="F51" s="519">
        <v>1.8224220405400001E-2</v>
      </c>
    </row>
    <row r="52" spans="2:6" x14ac:dyDescent="0.25">
      <c r="B52">
        <v>42</v>
      </c>
      <c r="C52" t="s">
        <v>135</v>
      </c>
      <c r="D52" t="s">
        <v>246</v>
      </c>
      <c r="E52">
        <v>0.64228876129599999</v>
      </c>
      <c r="F52" s="519">
        <v>2.3327425635499999E-2</v>
      </c>
    </row>
    <row r="53" spans="2:6" x14ac:dyDescent="0.25">
      <c r="B53">
        <v>43</v>
      </c>
      <c r="C53" t="s">
        <v>137</v>
      </c>
      <c r="D53" t="s">
        <v>246</v>
      </c>
      <c r="E53">
        <v>0.74588429254199995</v>
      </c>
      <c r="F53" s="519">
        <v>9.8514285453599998E-2</v>
      </c>
    </row>
    <row r="54" spans="2:6" x14ac:dyDescent="0.25">
      <c r="B54">
        <v>44</v>
      </c>
      <c r="C54" t="s">
        <v>138</v>
      </c>
      <c r="D54" t="s">
        <v>246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140</v>
      </c>
      <c r="D55" t="s">
        <v>246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142</v>
      </c>
      <c r="D56" t="s">
        <v>246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144</v>
      </c>
      <c r="D57" t="s">
        <v>246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147</v>
      </c>
      <c r="D58" t="s">
        <v>246</v>
      </c>
      <c r="E58">
        <v>0.65760260093900003</v>
      </c>
      <c r="F58" s="519">
        <v>2.9500746847800002E-2</v>
      </c>
    </row>
    <row r="59" spans="2:6" x14ac:dyDescent="0.25">
      <c r="B59">
        <v>49</v>
      </c>
      <c r="C59" t="s">
        <v>149</v>
      </c>
      <c r="D59" t="s">
        <v>246</v>
      </c>
      <c r="E59">
        <v>0.201576719663</v>
      </c>
      <c r="F59" s="519">
        <v>0.11309559824400001</v>
      </c>
    </row>
    <row r="60" spans="2:6" x14ac:dyDescent="0.25">
      <c r="B60">
        <v>50</v>
      </c>
      <c r="C60" t="s">
        <v>150</v>
      </c>
      <c r="D60" t="s">
        <v>246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151</v>
      </c>
      <c r="D61" t="s">
        <v>246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152</v>
      </c>
      <c r="D62" t="s">
        <v>246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153</v>
      </c>
      <c r="D63" t="s">
        <v>246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154</v>
      </c>
      <c r="D64" t="s">
        <v>246</v>
      </c>
      <c r="E64">
        <v>0.20818008309700001</v>
      </c>
      <c r="F64" s="519">
        <v>4.2700310294800002E-2</v>
      </c>
    </row>
    <row r="65" spans="2:6" x14ac:dyDescent="0.25">
      <c r="B65">
        <v>55</v>
      </c>
      <c r="C65" t="s">
        <v>156</v>
      </c>
      <c r="D65" t="s">
        <v>246</v>
      </c>
      <c r="E65">
        <v>0.42522231451499998</v>
      </c>
      <c r="F65" s="519">
        <v>4.5274903018000003E-2</v>
      </c>
    </row>
    <row r="66" spans="2:6" x14ac:dyDescent="0.25">
      <c r="B66">
        <v>56</v>
      </c>
      <c r="C66" t="s">
        <v>157</v>
      </c>
      <c r="D66" t="s">
        <v>246</v>
      </c>
      <c r="E66">
        <v>-0.743588483327</v>
      </c>
      <c r="F66" s="519">
        <v>4.4293261467400001E-2</v>
      </c>
    </row>
    <row r="67" spans="2:6" x14ac:dyDescent="0.25">
      <c r="B67">
        <v>57</v>
      </c>
      <c r="C67" t="s">
        <v>158</v>
      </c>
      <c r="D67" t="s">
        <v>245</v>
      </c>
      <c r="E67" s="519">
        <v>6.2100000000000002E-2</v>
      </c>
      <c r="F67" s="519">
        <v>0</v>
      </c>
    </row>
    <row r="68" spans="2:6" x14ac:dyDescent="0.25">
      <c r="B68">
        <v>118</v>
      </c>
      <c r="C68" t="s">
        <v>262</v>
      </c>
      <c r="D68" t="s">
        <v>245</v>
      </c>
      <c r="E68" s="519">
        <v>-3</v>
      </c>
      <c r="F68" s="519">
        <v>0</v>
      </c>
    </row>
    <row r="69" spans="2:6" x14ac:dyDescent="0.25">
      <c r="B69">
        <v>70</v>
      </c>
      <c r="C69" t="s">
        <v>159</v>
      </c>
      <c r="D69" t="s">
        <v>246</v>
      </c>
      <c r="E69">
        <v>0.29394695214400002</v>
      </c>
      <c r="F69" s="519">
        <v>8.1089668188599993E-3</v>
      </c>
    </row>
    <row r="70" spans="2:6" x14ac:dyDescent="0.25">
      <c r="B70">
        <v>71</v>
      </c>
      <c r="C70" t="s">
        <v>160</v>
      </c>
      <c r="D70" t="s">
        <v>245</v>
      </c>
      <c r="E70">
        <v>0</v>
      </c>
      <c r="F70">
        <v>0</v>
      </c>
    </row>
    <row r="71" spans="2:6" x14ac:dyDescent="0.25">
      <c r="B71">
        <v>72</v>
      </c>
      <c r="C71" t="s">
        <v>162</v>
      </c>
      <c r="D71" t="s">
        <v>246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164</v>
      </c>
      <c r="D72" t="s">
        <v>246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166</v>
      </c>
      <c r="D73" t="s">
        <v>246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168</v>
      </c>
      <c r="D74" t="s">
        <v>246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170</v>
      </c>
      <c r="D75" t="s">
        <v>246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172</v>
      </c>
      <c r="D76" t="s">
        <v>246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174</v>
      </c>
      <c r="D77" t="s">
        <v>246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176</v>
      </c>
      <c r="D78" t="s">
        <v>246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178</v>
      </c>
      <c r="D79" t="s">
        <v>246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180</v>
      </c>
      <c r="D80" t="s">
        <v>246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182</v>
      </c>
      <c r="D81" t="s">
        <v>246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183</v>
      </c>
      <c r="D82" t="s">
        <v>246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185</v>
      </c>
      <c r="D83" t="s">
        <v>246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187</v>
      </c>
      <c r="D84" t="s">
        <v>246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189</v>
      </c>
      <c r="D85" t="s">
        <v>246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191</v>
      </c>
      <c r="D86" t="s">
        <v>246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193</v>
      </c>
      <c r="D87" t="s">
        <v>245</v>
      </c>
      <c r="E87">
        <v>0</v>
      </c>
      <c r="F87">
        <v>0</v>
      </c>
    </row>
    <row r="88" spans="2:6" x14ac:dyDescent="0.25">
      <c r="B88">
        <v>89</v>
      </c>
      <c r="C88" t="s">
        <v>195</v>
      </c>
      <c r="D88" t="s">
        <v>246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197</v>
      </c>
      <c r="D89" t="s">
        <v>246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199</v>
      </c>
      <c r="D90" t="s">
        <v>246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201</v>
      </c>
      <c r="D91" t="s">
        <v>246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203</v>
      </c>
      <c r="D92" t="s">
        <v>246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205</v>
      </c>
      <c r="D93" t="s">
        <v>245</v>
      </c>
      <c r="E93">
        <v>0</v>
      </c>
      <c r="F93">
        <v>0</v>
      </c>
    </row>
    <row r="94" spans="2:6" x14ac:dyDescent="0.25">
      <c r="B94">
        <v>95</v>
      </c>
      <c r="C94" t="s">
        <v>207</v>
      </c>
      <c r="D94" t="s">
        <v>246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209</v>
      </c>
      <c r="D95" t="s">
        <v>246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211</v>
      </c>
      <c r="D96" t="s">
        <v>245</v>
      </c>
      <c r="E96">
        <v>-30</v>
      </c>
      <c r="F96">
        <v>0</v>
      </c>
    </row>
    <row r="97" spans="2:6" x14ac:dyDescent="0.25">
      <c r="B97">
        <v>98</v>
      </c>
      <c r="C97" t="s">
        <v>213</v>
      </c>
      <c r="D97" t="s">
        <v>246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214</v>
      </c>
      <c r="D98" t="s">
        <v>246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215</v>
      </c>
      <c r="D99" t="s">
        <v>245</v>
      </c>
      <c r="E99">
        <v>-0.7</v>
      </c>
      <c r="F99">
        <v>0</v>
      </c>
    </row>
    <row r="100" spans="2:6" x14ac:dyDescent="0.25">
      <c r="B100">
        <v>101</v>
      </c>
      <c r="C100" t="s">
        <v>216</v>
      </c>
      <c r="D100" t="s">
        <v>246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217</v>
      </c>
      <c r="D101" t="s">
        <v>245</v>
      </c>
      <c r="E101">
        <v>0</v>
      </c>
      <c r="F101">
        <v>0</v>
      </c>
    </row>
    <row r="102" spans="2:6" x14ac:dyDescent="0.25">
      <c r="B102">
        <v>103</v>
      </c>
      <c r="C102" t="s">
        <v>218</v>
      </c>
      <c r="D102" t="s">
        <v>245</v>
      </c>
      <c r="E102">
        <v>5</v>
      </c>
      <c r="F102">
        <v>0</v>
      </c>
    </row>
    <row r="103" spans="2:6" x14ac:dyDescent="0.25">
      <c r="B103">
        <v>104</v>
      </c>
      <c r="C103" t="s">
        <v>219</v>
      </c>
      <c r="D103" t="s">
        <v>245</v>
      </c>
      <c r="E103">
        <v>-30</v>
      </c>
      <c r="F103">
        <v>0</v>
      </c>
    </row>
    <row r="104" spans="2:6" x14ac:dyDescent="0.25">
      <c r="B104">
        <v>105</v>
      </c>
      <c r="C104" t="s">
        <v>220</v>
      </c>
      <c r="D104" t="s">
        <v>246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221</v>
      </c>
      <c r="D105" t="s">
        <v>246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222</v>
      </c>
      <c r="D106" t="s">
        <v>245</v>
      </c>
      <c r="E106">
        <v>0</v>
      </c>
      <c r="F106">
        <v>0</v>
      </c>
    </row>
    <row r="107" spans="2:6" x14ac:dyDescent="0.25">
      <c r="B107">
        <v>108</v>
      </c>
      <c r="C107" t="s">
        <v>224</v>
      </c>
      <c r="D107" t="s">
        <v>246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225</v>
      </c>
      <c r="D108" t="s">
        <v>246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226</v>
      </c>
      <c r="D109" t="s">
        <v>246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227</v>
      </c>
      <c r="D110" t="s">
        <v>246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228</v>
      </c>
      <c r="D111" t="s">
        <v>245</v>
      </c>
      <c r="E111">
        <v>-5.6623999999999999</v>
      </c>
      <c r="F111">
        <v>0</v>
      </c>
    </row>
    <row r="112" spans="2:6" x14ac:dyDescent="0.25">
      <c r="B112">
        <v>113</v>
      </c>
      <c r="C112" t="s">
        <v>230</v>
      </c>
      <c r="D112" t="s">
        <v>246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519">
        <v>-5981.59020986</v>
      </c>
      <c r="D114" s="519">
        <v>-29805.783655800002</v>
      </c>
      <c r="E114" s="519">
        <v>-17292.021287899999</v>
      </c>
    </row>
    <row r="115" spans="1:11" x14ac:dyDescent="0.25">
      <c r="B115">
        <v>17</v>
      </c>
      <c r="C115" t="s">
        <v>266</v>
      </c>
      <c r="D115" t="s">
        <v>243</v>
      </c>
      <c r="E115">
        <v>31</v>
      </c>
      <c r="F115" t="s">
        <v>265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abSelected="1" workbookViewId="0">
      <selection activeCell="H20" sqref="H20"/>
    </sheetView>
  </sheetViews>
  <sheetFormatPr defaultColWidth="9.140625"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8" customWidth="true" style="478" width="18.85546875" collapsed="true"/>
    <col min="9" max="9" customWidth="true" style="478" width="6.5703125" collapsed="true"/>
    <col min="10" max="10" customWidth="true" style="478" width="10.140625" collapsed="true"/>
    <col min="11" max="11" customWidth="true" style="478" width="9.85546875" collapsed="true"/>
    <col min="12" max="14" style="479" width="9.140625" collapsed="true"/>
    <col min="15" max="15" customWidth="true" style="479" width="13.0" collapsed="true"/>
    <col min="16" max="16" customWidth="true" style="481" width="19.5703125" collapsed="true"/>
    <col min="17" max="17" customWidth="true" style="556" width="19.5703125" collapsed="true"/>
    <col min="18" max="16384" style="479" width="9.140625" collapsed="true"/>
  </cols>
  <sheetData>
    <row r="1" spans="3:23" x14ac:dyDescent="0.25">
      <c r="C1" s="10" t="s">
        <v>44</v>
      </c>
      <c r="F1" s="10" t="s">
        <v>45</v>
      </c>
      <c r="N1" s="480" t="s">
        <v>272</v>
      </c>
      <c r="S1" s="480"/>
      <c r="T1" s="480" t="s">
        <v>272</v>
      </c>
      <c r="U1" s="505"/>
    </row>
    <row ht="15.75" r="2" spans="3:23" thickBot="1" x14ac:dyDescent="0.3">
      <c r="C2" s="480" t="s">
        <v>47</v>
      </c>
      <c r="M2" s="10" t="s">
        <v>95</v>
      </c>
      <c r="N2" s="10" t="s">
        <v>258</v>
      </c>
      <c r="O2" s="10" t="s">
        <v>259</v>
      </c>
      <c r="P2" s="557" t="s">
        <v>273</v>
      </c>
      <c r="Q2" s="558" t="s">
        <v>274</v>
      </c>
      <c r="T2" s="505"/>
      <c r="U2" s="480" t="s">
        <v>275</v>
      </c>
      <c r="V2" s="482"/>
      <c r="W2" s="482"/>
    </row>
    <row r="3" spans="3:23" x14ac:dyDescent="0.2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M3" s="479" t="str">
        <f>VLOOKUP(N3,Coeff_Descr!$A:$D,3,FALSE)</f>
        <v>ALL</v>
      </c>
      <c r="N3" s="479">
        <f>OtherTourDestination!B11</f>
        <v>1</v>
      </c>
      <c r="O3" s="479" t="str">
        <f>OtherTourDestination!C11</f>
        <v>Beta00001</v>
      </c>
      <c r="P3" s="481">
        <f>OtherTourDestination!E11</f>
        <v>1</v>
      </c>
      <c r="Q3" s="559">
        <f>_xlfn.IFNA(VLOOKUP(N3,$B$43:$D$46,3,FALSE),P3)</f>
        <v>1</v>
      </c>
      <c r="T3">
        <v>1</v>
      </c>
      <c r="U3" s="477" t="s">
        <v>276</v>
      </c>
    </row>
    <row r="4" spans="3:23" x14ac:dyDescent="0.25">
      <c r="C4" s="486" t="s">
        <v>51</v>
      </c>
      <c r="D4" s="487">
        <f>TLFD!E11</f>
        <v>8211.7011899547997</v>
      </c>
      <c r="F4" s="486" t="s">
        <v>51</v>
      </c>
      <c r="G4" s="487">
        <f>TLFD!L11</f>
        <v>29409</v>
      </c>
      <c r="H4" s="487"/>
      <c r="I4" s="487"/>
      <c r="J4" s="487"/>
      <c r="K4" s="487"/>
      <c r="L4" s="488"/>
      <c r="M4" s="479" t="str">
        <f>VLOOKUP(N4,Coeff_Descr!$A:$D,3,FALSE)</f>
        <v>ALL</v>
      </c>
      <c r="N4" s="479">
        <f>OtherTourDestination!B12</f>
        <v>2</v>
      </c>
      <c r="O4" s="479" t="str">
        <f>OtherTourDestination!C12</f>
        <v>Beta00002</v>
      </c>
      <c r="P4" s="481">
        <f>OtherTourDestination!E12</f>
        <v>11.7146172749</v>
      </c>
      <c r="Q4" s="559">
        <f>_xlfn.IFNA(VLOOKUP(N4,$B$43:$D$46,3,FALSE),P4)</f>
        <v>11.7146172749</v>
      </c>
      <c r="T4">
        <v>2</v>
      </c>
      <c r="U4" s="477" t="s">
        <v>277</v>
      </c>
    </row>
    <row r="5" spans="3:23" x14ac:dyDescent="0.25">
      <c r="C5" s="489" t="s">
        <v>54</v>
      </c>
      <c r="D5" s="490">
        <f>TLFD!E12+TLFD!E13+(TLFD!E14/2)</f>
        <v>5786.8854701646997</v>
      </c>
      <c r="F5" s="489" t="s">
        <v>54</v>
      </c>
      <c r="G5" s="490">
        <f>TLFD!L12+TLFD!L13+(TLFD!L14/2)</f>
        <v>16042.5</v>
      </c>
      <c r="H5" s="490"/>
      <c r="I5" s="490"/>
      <c r="J5" s="490"/>
      <c r="K5" s="490"/>
      <c r="L5" s="488"/>
      <c r="M5" s="479" t="str">
        <f>VLOOKUP(N5,Coeff_Descr!$A:$D,3,FALSE)</f>
        <v>ALL</v>
      </c>
      <c r="N5" s="479">
        <f>OtherTourDestination!B13</f>
        <v>3</v>
      </c>
      <c r="O5" s="479" t="str">
        <f>OtherTourDestination!C13</f>
        <v>Beta00003</v>
      </c>
      <c r="P5" s="481">
        <f>OtherTourDestination!E13</f>
        <v>-0.2117</v>
      </c>
      <c r="Q5" s="559">
        <f ref="Q5:Q68" si="0" t="shared">_xlfn.IFNA(VLOOKUP(N5,$B$43:$D$46,3,FALSE),P5)</f>
        <v>-0.2117</v>
      </c>
      <c r="T5">
        <v>3</v>
      </c>
      <c r="U5" s="505" t="s">
        <v>278</v>
      </c>
    </row>
    <row r="6" spans="3:23" x14ac:dyDescent="0.25">
      <c r="C6" s="489" t="s">
        <v>57</v>
      </c>
      <c r="D6" s="490">
        <f>(TLFD!E14/2)+SUM(TLFD!E15:E20)</f>
        <v>4281.6563751009999</v>
      </c>
      <c r="F6" s="489" t="s">
        <v>57</v>
      </c>
      <c r="G6" s="490">
        <f>(TLFD!L14/2)+SUM(TLFD!L15:L20)</f>
        <v>21773.5</v>
      </c>
      <c r="H6" s="490"/>
      <c r="I6" s="490"/>
      <c r="J6" s="490"/>
      <c r="K6" s="490"/>
      <c r="L6" s="491"/>
      <c r="M6" s="479" t="str">
        <f>VLOOKUP(N6,Coeff_Descr!$A:$D,3,FALSE)</f>
        <v>ALL</v>
      </c>
      <c r="N6" s="479">
        <f>OtherTourDestination!B14</f>
        <v>4</v>
      </c>
      <c r="O6" s="479" t="str">
        <f>OtherTourDestination!C14</f>
        <v>Beta00004</v>
      </c>
      <c r="P6" s="481">
        <f>OtherTourDestination!E14</f>
        <v>0.27120783067900001</v>
      </c>
      <c r="Q6" s="559">
        <f si="0" t="shared"/>
        <v>0.27120783067900001</v>
      </c>
      <c r="T6">
        <v>4</v>
      </c>
      <c r="U6" s="505" t="s">
        <v>279</v>
      </c>
    </row>
    <row r="7" spans="3:23" x14ac:dyDescent="0.25">
      <c r="C7" s="492" t="s">
        <v>60</v>
      </c>
      <c r="D7" s="493">
        <f>SUM(TLFD!E21:E101)</f>
        <v>4082.2463692579995</v>
      </c>
      <c r="F7" s="492" t="s">
        <v>60</v>
      </c>
      <c r="G7" s="493">
        <f>SUM(TLFD!L21:L101)</f>
        <v>13091</v>
      </c>
      <c r="H7" s="533"/>
      <c r="I7" s="533"/>
      <c r="J7" s="533"/>
      <c r="K7" s="533"/>
      <c r="L7" s="494"/>
      <c r="M7" s="479" t="str">
        <f>VLOOKUP(N7,Coeff_Descr!$A:$D,3,FALSE)</f>
        <v>ALL</v>
      </c>
      <c r="N7" s="479">
        <f>OtherTourDestination!B15</f>
        <v>5</v>
      </c>
      <c r="O7" s="479" t="str">
        <f>OtherTourDestination!C15</f>
        <v>Beta00005</v>
      </c>
      <c r="P7" s="481">
        <f>OtherTourDestination!E15</f>
        <v>-0.34490013167299999</v>
      </c>
      <c r="Q7" s="559">
        <f si="0" t="shared"/>
        <v>-0.34490013167299999</v>
      </c>
      <c r="T7" s="505">
        <v>5</v>
      </c>
      <c r="U7" s="505" t="s">
        <v>280</v>
      </c>
    </row>
    <row ht="15.75" r="8" spans="3:23" thickBot="1" x14ac:dyDescent="0.3">
      <c r="C8" s="495" t="s">
        <v>4</v>
      </c>
      <c r="D8" s="496">
        <f>SUM(D4:D7)</f>
        <v>22362.489404478496</v>
      </c>
      <c r="E8" s="497"/>
      <c r="F8" s="495" t="s">
        <v>4</v>
      </c>
      <c r="G8" s="496">
        <f>SUM(G4:G7)</f>
        <v>80316</v>
      </c>
      <c r="H8" s="534"/>
      <c r="I8" s="534"/>
      <c r="J8" s="534" t="s">
        <v>267</v>
      </c>
      <c r="K8" s="541">
        <v>1</v>
      </c>
      <c r="M8" s="479" t="str">
        <f>VLOOKUP(N8,Coeff_Descr!$A:$D,3,FALSE)</f>
        <v>ALL</v>
      </c>
      <c r="N8" s="479">
        <f>OtherTourDestination!B16</f>
        <v>6</v>
      </c>
      <c r="O8" s="479" t="str">
        <f>OtherTourDestination!C16</f>
        <v>Beta00006</v>
      </c>
      <c r="P8" s="481">
        <f>OtherTourDestination!E16</f>
        <v>-8.2865473150899996E-2</v>
      </c>
      <c r="Q8" s="559">
        <f si="0" t="shared"/>
        <v>-8.2865473150899996E-2</v>
      </c>
      <c r="T8" s="505"/>
      <c r="U8" s="505"/>
    </row>
    <row r="9" spans="3:23" x14ac:dyDescent="0.25">
      <c r="M9" s="479" t="str">
        <f>VLOOKUP(N9,Coeff_Descr!$A:$D,3,FALSE)</f>
        <v>ALL</v>
      </c>
      <c r="N9" s="479">
        <f>OtherTourDestination!B17</f>
        <v>7</v>
      </c>
      <c r="O9" s="479" t="str">
        <f>OtherTourDestination!C17</f>
        <v>Beta00007</v>
      </c>
      <c r="P9" s="481">
        <f>OtherTourDestination!E17</f>
        <v>-3.9895313632499998</v>
      </c>
      <c r="Q9" s="559">
        <f si="0" t="shared"/>
        <v>-3.9895313632499998</v>
      </c>
      <c r="T9" s="505"/>
      <c r="U9" s="560" t="s">
        <v>281</v>
      </c>
    </row>
    <row ht="15.75" r="10" spans="3:23" thickBot="1" x14ac:dyDescent="0.3">
      <c r="C10" s="498" t="s">
        <v>67</v>
      </c>
      <c r="I10" s="542" t="s">
        <v>268</v>
      </c>
      <c r="J10" s="543"/>
      <c r="K10" s="543"/>
      <c r="L10" s="485"/>
      <c r="M10" s="479" t="str">
        <f>VLOOKUP(N10,Coeff_Descr!$A:$D,3,FALSE)</f>
        <v>ALL</v>
      </c>
      <c r="N10" s="479">
        <f>OtherTourDestination!B18</f>
        <v>8</v>
      </c>
      <c r="O10" s="479" t="str">
        <f>OtherTourDestination!C18</f>
        <v>Beta00008</v>
      </c>
      <c r="P10" s="481">
        <f>OtherTourDestination!E18</f>
        <v>6.9400000000000003E-2</v>
      </c>
      <c r="Q10" s="559">
        <f si="0" t="shared"/>
        <v>6.9400000000000003E-2</v>
      </c>
      <c r="T10" s="505">
        <v>1</v>
      </c>
      <c r="U10" s="477" t="s">
        <v>276</v>
      </c>
    </row>
    <row r="11" spans="3:23" x14ac:dyDescent="0.2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269</v>
      </c>
      <c r="J11" s="484" t="s">
        <v>270</v>
      </c>
      <c r="K11" s="484" t="s">
        <v>271</v>
      </c>
      <c r="L11" s="499"/>
      <c r="M11" s="479" t="str">
        <f>VLOOKUP(N11,Coeff_Descr!$A:$D,3,FALSE)</f>
        <v>ALL</v>
      </c>
      <c r="N11" s="479">
        <f>OtherTourDestination!B19</f>
        <v>9</v>
      </c>
      <c r="O11" s="479" t="str">
        <f>OtherTourDestination!C19</f>
        <v>Beta00009</v>
      </c>
      <c r="P11" s="481">
        <f>OtherTourDestination!E19</f>
        <v>-9.5820044919499997E-2</v>
      </c>
      <c r="Q11" s="559">
        <f si="0" t="shared"/>
        <v>-9.5820044919499997E-2</v>
      </c>
      <c r="T11" s="505">
        <v>2</v>
      </c>
      <c r="U11" s="505" t="s">
        <v>282</v>
      </c>
    </row>
    <row r="12" spans="3:23" x14ac:dyDescent="0.25">
      <c r="C12" s="486" t="s">
        <v>51</v>
      </c>
      <c r="D12" s="500">
        <f>D4/D$8</f>
        <v>0.36720872356501855</v>
      </c>
      <c r="F12" s="486" t="s">
        <v>51</v>
      </c>
      <c r="G12" s="500">
        <f>G4/G$8</f>
        <v>0.36616614373225759</v>
      </c>
      <c r="H12" s="500"/>
      <c r="I12" s="544">
        <f>D12/G12</f>
        <v>1.0028472862677422</v>
      </c>
      <c r="J12" s="545">
        <f>LN(I12)</f>
        <v>2.8432404261569942E-3</v>
      </c>
      <c r="K12" s="545">
        <f>K8*J12</f>
        <v>2.8432404261569942E-3</v>
      </c>
      <c r="L12" s="499"/>
      <c r="M12" s="479" t="str">
        <f>VLOOKUP(N12,Coeff_Descr!$A:$D,3,FALSE)</f>
        <v>ALL</v>
      </c>
      <c r="N12" s="479">
        <f>OtherTourDestination!B20</f>
        <v>10</v>
      </c>
      <c r="O12" s="479" t="str">
        <f>OtherTourDestination!C20</f>
        <v>Beta00010</v>
      </c>
      <c r="P12" s="481">
        <f>OtherTourDestination!E20</f>
        <v>0.517563261484</v>
      </c>
      <c r="Q12" s="559">
        <f si="0" t="shared"/>
        <v>0.517563261484</v>
      </c>
      <c r="T12" s="505">
        <v>3</v>
      </c>
      <c r="U12" s="505" t="s">
        <v>283</v>
      </c>
    </row>
    <row r="13" spans="3:23" x14ac:dyDescent="0.25">
      <c r="C13" s="489" t="s">
        <v>54</v>
      </c>
      <c r="D13" s="501">
        <f ref="D13:D16" si="1" t="shared">D5/D$8</f>
        <v>0.25877644324364757</v>
      </c>
      <c r="F13" s="489" t="s">
        <v>54</v>
      </c>
      <c r="G13" s="501">
        <f ref="G13:G16" si="2" t="shared">G5/G$8</f>
        <v>0.19974226804123713</v>
      </c>
      <c r="H13" s="501"/>
      <c r="I13" s="544">
        <f ref="I13:I15" si="3" t="shared">D13/G13</f>
        <v>1.2955517416585194</v>
      </c>
      <c r="J13" s="545">
        <f ref="J13:J15" si="4" t="shared">LN(I13)</f>
        <v>0.25893665975046232</v>
      </c>
      <c r="K13" s="545">
        <f>K8*(J13-J12)</f>
        <v>0.25609341932430535</v>
      </c>
      <c r="L13" s="499"/>
      <c r="M13" s="479" t="str">
        <f>VLOOKUP(N13,Coeff_Descr!$A:$D,3,FALSE)</f>
        <v>ALL</v>
      </c>
      <c r="N13" s="479">
        <f>OtherTourDestination!B21</f>
        <v>11</v>
      </c>
      <c r="O13" s="479" t="str">
        <f>OtherTourDestination!C21</f>
        <v>Beta00011</v>
      </c>
      <c r="P13" s="481">
        <f>OtherTourDestination!E21</f>
        <v>-0.80352358260699996</v>
      </c>
      <c r="Q13" s="559">
        <f si="0" t="shared"/>
        <v>-0.80352358260699996</v>
      </c>
      <c r="T13" s="505">
        <v>4</v>
      </c>
      <c r="U13" s="505" t="s">
        <v>284</v>
      </c>
    </row>
    <row r="14" spans="3:23" x14ac:dyDescent="0.25">
      <c r="C14" s="489" t="s">
        <v>57</v>
      </c>
      <c r="D14" s="501">
        <f si="1" t="shared"/>
        <v>0.19146599905122907</v>
      </c>
      <c r="F14" s="489" t="s">
        <v>57</v>
      </c>
      <c r="G14" s="501">
        <f si="2" t="shared"/>
        <v>0.27109791324269139</v>
      </c>
      <c r="H14" s="501"/>
      <c r="I14" s="544">
        <f si="3" t="shared"/>
        <v>0.70626142695471616</v>
      </c>
      <c r="J14" s="545">
        <f si="4" t="shared"/>
        <v>-0.34776981689348707</v>
      </c>
      <c r="K14" s="545">
        <f>K8*(J14-J13-J12)</f>
        <v>-0.60954971707010641</v>
      </c>
      <c r="L14" s="502"/>
      <c r="M14" s="479" t="str">
        <f>VLOOKUP(N14,Coeff_Descr!$A:$D,3,FALSE)</f>
        <v>ALL</v>
      </c>
      <c r="N14" s="479">
        <f>OtherTourDestination!B22</f>
        <v>12</v>
      </c>
      <c r="O14" s="479" t="str">
        <f>OtherTourDestination!C22</f>
        <v>Beta00012</v>
      </c>
      <c r="P14" s="481">
        <f>OtherTourDestination!E22</f>
        <v>-0.80534348065299999</v>
      </c>
      <c r="Q14" s="559">
        <f si="0" t="shared"/>
        <v>-0.80534348065299999</v>
      </c>
      <c r="T14" s="505">
        <v>5</v>
      </c>
      <c r="U14" s="477" t="s">
        <v>285</v>
      </c>
    </row>
    <row ht="15.75" r="15" spans="3:23" thickBot="1" x14ac:dyDescent="0.3">
      <c r="C15" s="492" t="s">
        <v>60</v>
      </c>
      <c r="D15" s="501">
        <f si="1" t="shared"/>
        <v>0.18254883414010495</v>
      </c>
      <c r="F15" s="492" t="s">
        <v>60</v>
      </c>
      <c r="G15" s="501">
        <f si="2" t="shared"/>
        <v>0.16299367498381392</v>
      </c>
      <c r="H15" s="501"/>
      <c r="I15" s="546">
        <f si="3" t="shared"/>
        <v>1.1199749570542106</v>
      </c>
      <c r="J15" s="547">
        <f si="4" t="shared"/>
        <v>0.11330632528399345</v>
      </c>
      <c r="K15" s="547">
        <f>K8*(J15-J14-J13-J12)</f>
        <v>0.19929624200086118</v>
      </c>
      <c r="M15" s="479" t="str">
        <f>VLOOKUP(N15,Coeff_Descr!$A:$D,3,FALSE)</f>
        <v>ALL</v>
      </c>
      <c r="N15" s="479">
        <f>OtherTourDestination!B23</f>
        <v>13</v>
      </c>
      <c r="O15" s="479" t="str">
        <f>OtherTourDestination!C23</f>
        <v>Beta00013</v>
      </c>
      <c r="P15" s="481">
        <f>OtherTourDestination!E23</f>
        <v>-0.51977799879300002</v>
      </c>
      <c r="Q15" s="559">
        <f si="0" t="shared"/>
        <v>-0.51977799879300002</v>
      </c>
      <c r="T15" s="505">
        <v>6</v>
      </c>
      <c r="U15" s="505" t="s">
        <v>286</v>
      </c>
    </row>
    <row ht="15.75" r="16" spans="3:23" thickBot="1" x14ac:dyDescent="0.3">
      <c r="C16" s="495" t="s">
        <v>4</v>
      </c>
      <c r="D16" s="503">
        <f si="1" t="shared"/>
        <v>1</v>
      </c>
      <c r="E16" s="497"/>
      <c r="F16" s="495" t="s">
        <v>4</v>
      </c>
      <c r="G16" s="503">
        <f si="2" t="shared"/>
        <v>1</v>
      </c>
      <c r="H16" s="535"/>
      <c r="I16" s="544"/>
      <c r="J16" s="544"/>
      <c r="K16" s="544"/>
      <c r="M16" s="479" t="str">
        <f>VLOOKUP(N16,Coeff_Descr!$A:$D,3,FALSE)</f>
        <v>ALL</v>
      </c>
      <c r="N16" s="479">
        <f>OtherTourDestination!B24</f>
        <v>14</v>
      </c>
      <c r="O16" s="479" t="str">
        <f>OtherTourDestination!C24</f>
        <v>Beta00014</v>
      </c>
      <c r="P16" s="481">
        <f>OtherTourDestination!E24</f>
        <v>-0.27562686954600002</v>
      </c>
      <c r="Q16" s="559">
        <f si="0" t="shared"/>
        <v>-0.27562686954600002</v>
      </c>
      <c r="T16" s="505">
        <v>7</v>
      </c>
      <c r="U16" s="505" t="s">
        <v>279</v>
      </c>
    </row>
    <row r="17" spans="2:21" x14ac:dyDescent="0.25">
      <c r="M17" s="479" t="str">
        <f>VLOOKUP(N17,Coeff_Descr!$A:$D,3,FALSE)</f>
        <v>ALL</v>
      </c>
      <c r="N17" s="479">
        <f>OtherTourDestination!B25</f>
        <v>15</v>
      </c>
      <c r="O17" s="479" t="str">
        <f>OtherTourDestination!C25</f>
        <v>Beta00015</v>
      </c>
      <c r="P17" s="481">
        <f>OtherTourDestination!E25</f>
        <v>-0.55245424085299999</v>
      </c>
      <c r="Q17" s="559">
        <f si="0" t="shared"/>
        <v>-0.55245424085299999</v>
      </c>
      <c r="T17" s="505">
        <v>8</v>
      </c>
      <c r="U17" s="505" t="s">
        <v>287</v>
      </c>
    </row>
    <row r="18" spans="2:21" x14ac:dyDescent="0.25">
      <c r="I18" s="548"/>
      <c r="J18" s="548"/>
      <c r="K18" s="545"/>
      <c r="M18" s="479" t="str">
        <f>VLOOKUP(N18,Coeff_Descr!$A:$D,3,FALSE)</f>
        <v>ALL</v>
      </c>
      <c r="N18" s="479">
        <f>OtherTourDestination!B26</f>
        <v>16</v>
      </c>
      <c r="O18" s="479" t="str">
        <f>OtherTourDestination!C26</f>
        <v>Beta00016</v>
      </c>
      <c r="P18" s="481">
        <f>OtherTourDestination!E26</f>
        <v>-0.493022087256</v>
      </c>
      <c r="Q18" s="559">
        <f si="0" t="shared"/>
        <v>-0.493022087256</v>
      </c>
    </row>
    <row r="19" spans="2:21" x14ac:dyDescent="0.25">
      <c r="C19" s="504" t="s">
        <v>86</v>
      </c>
      <c r="I19" s="548"/>
      <c r="J19" s="548"/>
      <c r="K19" s="545"/>
      <c r="M19" s="479" t="str">
        <f>VLOOKUP(N19,Coeff_Descr!$A:$D,3,FALSE)</f>
        <v>ALL</v>
      </c>
      <c r="N19" s="479">
        <f>OtherTourDestination!B27</f>
        <v>17</v>
      </c>
      <c r="O19" s="479" t="str">
        <f>OtherTourDestination!C27</f>
        <v>Beta00017</v>
      </c>
      <c r="P19" s="481">
        <f>OtherTourDestination!E27</f>
        <v>0</v>
      </c>
      <c r="Q19" s="559">
        <f si="0" t="shared"/>
        <v>0</v>
      </c>
    </row>
    <row r="20" spans="2:21" x14ac:dyDescent="0.25">
      <c r="C20" s="504" t="s">
        <v>89</v>
      </c>
      <c r="I20" s="548"/>
      <c r="J20" s="548"/>
      <c r="K20" s="545"/>
      <c r="M20" s="479" t="str">
        <f>VLOOKUP(N20,Coeff_Descr!$A:$D,3,FALSE)</f>
        <v>ALL</v>
      </c>
      <c r="N20" s="479">
        <f>OtherTourDestination!B28</f>
        <v>18</v>
      </c>
      <c r="O20" s="479" t="str">
        <f>OtherTourDestination!C28</f>
        <v>Beta00018</v>
      </c>
      <c r="P20" s="481">
        <f>OtherTourDestination!E28</f>
        <v>0</v>
      </c>
      <c r="Q20" s="559">
        <f si="0" t="shared"/>
        <v>0</v>
      </c>
    </row>
    <row ht="15.75" r="21" spans="2:21" thickBot="1" x14ac:dyDescent="0.3">
      <c r="C21" s="505"/>
      <c r="I21" s="548"/>
      <c r="J21" s="548"/>
      <c r="K21" s="545"/>
      <c r="M21" s="479" t="str">
        <f>VLOOKUP(N21,Coeff_Descr!$A:$D,3,FALSE)</f>
        <v>ALL</v>
      </c>
      <c r="N21" s="479">
        <f>OtherTourDestination!B29</f>
        <v>19</v>
      </c>
      <c r="O21" s="479" t="str">
        <f>OtherTourDestination!C29</f>
        <v>Beta00019</v>
      </c>
      <c r="P21" s="481">
        <f>OtherTourDestination!E29</f>
        <v>0</v>
      </c>
      <c r="Q21" s="559">
        <f si="0" t="shared"/>
        <v>0</v>
      </c>
    </row>
    <row r="22" spans="2:21" x14ac:dyDescent="0.25">
      <c r="B22" s="536" t="s">
        <v>258</v>
      </c>
      <c r="C22" s="506" t="s">
        <v>95</v>
      </c>
      <c r="D22" s="507"/>
      <c r="M22" s="479" t="str">
        <f>VLOOKUP(N22,Coeff_Descr!$A:$D,3,FALSE)</f>
        <v>ESCORT</v>
      </c>
      <c r="N22" s="479">
        <f>OtherTourDestination!B30</f>
        <v>20</v>
      </c>
      <c r="O22" s="479" t="str">
        <f>OtherTourDestination!C30</f>
        <v>Beta00020</v>
      </c>
      <c r="P22" s="481">
        <f>OtherTourDestination!E30</f>
        <v>0.63771148688699997</v>
      </c>
      <c r="Q22" s="559">
        <f si="0" t="shared"/>
        <v>0.63771148688699997</v>
      </c>
    </row>
    <row r="23" spans="2:21" x14ac:dyDescent="0.25">
      <c r="B23" s="537">
        <v>0</v>
      </c>
      <c r="C23" s="486" t="s">
        <v>51</v>
      </c>
      <c r="D23" s="550" t="e">
        <f>VLOOKUP($B23,$N:$P,3,FALSE)</f>
        <v>#N/A</v>
      </c>
      <c r="I23" s="549"/>
      <c r="J23" s="549"/>
      <c r="K23" s="549"/>
      <c r="M23" s="479" t="str">
        <f>VLOOKUP(N23,Coeff_Descr!$A:$D,3,FALSE)</f>
        <v>ESCORT</v>
      </c>
      <c r="N23" s="479">
        <f>OtherTourDestination!B31</f>
        <v>21</v>
      </c>
      <c r="O23" s="479" t="str">
        <f>OtherTourDestination!C31</f>
        <v>Beta00021</v>
      </c>
      <c r="P23" s="481">
        <f>OtherTourDestination!E31</f>
        <v>-12.0946718381</v>
      </c>
      <c r="Q23" s="559">
        <f si="0" t="shared"/>
        <v>-12.0946718381</v>
      </c>
    </row>
    <row r="24" spans="2:21" x14ac:dyDescent="0.25">
      <c r="B24" s="537">
        <v>0</v>
      </c>
      <c r="C24" s="489" t="s">
        <v>54</v>
      </c>
      <c r="D24" s="550" t="e">
        <f ref="D24:D26" si="5" t="shared">VLOOKUP($B24,$N:$P,3,FALSE)</f>
        <v>#N/A</v>
      </c>
      <c r="M24" s="479" t="str">
        <f>VLOOKUP(N24,Coeff_Descr!$A:$D,3,FALSE)</f>
        <v>ESCORT</v>
      </c>
      <c r="N24" s="479">
        <f>OtherTourDestination!B32</f>
        <v>22</v>
      </c>
      <c r="O24" s="479" t="str">
        <f>OtherTourDestination!C32</f>
        <v>Beta00022</v>
      </c>
      <c r="P24" s="481">
        <f>OtherTourDestination!E32</f>
        <v>-4.03623745316</v>
      </c>
      <c r="Q24" s="559">
        <f si="0" t="shared"/>
        <v>-4.03623745316</v>
      </c>
    </row>
    <row r="25" spans="2:21" x14ac:dyDescent="0.25">
      <c r="B25" s="537">
        <v>0</v>
      </c>
      <c r="C25" s="489" t="s">
        <v>57</v>
      </c>
      <c r="D25" s="550" t="e">
        <f si="5" t="shared"/>
        <v>#N/A</v>
      </c>
      <c r="M25" s="479" t="str">
        <f>VLOOKUP(N25,Coeff_Descr!$A:$D,3,FALSE)</f>
        <v>ESCORT</v>
      </c>
      <c r="N25" s="479">
        <f>OtherTourDestination!B33</f>
        <v>23</v>
      </c>
      <c r="O25" s="479" t="str">
        <f>OtherTourDestination!C33</f>
        <v>Beta00023</v>
      </c>
      <c r="P25" s="481">
        <f>OtherTourDestination!E33</f>
        <v>-2.16371815818</v>
      </c>
      <c r="Q25" s="559">
        <f si="0" t="shared"/>
        <v>-2.16371815818</v>
      </c>
    </row>
    <row ht="15.75" r="26" spans="2:21" thickBot="1" x14ac:dyDescent="0.3">
      <c r="B26" s="538">
        <v>0</v>
      </c>
      <c r="C26" s="509" t="s">
        <v>60</v>
      </c>
      <c r="D26" s="551" t="e">
        <f si="5" t="shared"/>
        <v>#N/A</v>
      </c>
      <c r="M26" s="479" t="str">
        <f>VLOOKUP(N26,Coeff_Descr!$A:$D,3,FALSE)</f>
        <v>ESCORT</v>
      </c>
      <c r="N26" s="479">
        <f>OtherTourDestination!B34</f>
        <v>24</v>
      </c>
      <c r="O26" s="479" t="str">
        <f>OtherTourDestination!C34</f>
        <v>Beta00024</v>
      </c>
      <c r="P26" s="481">
        <f>OtherTourDestination!E34</f>
        <v>0.10429329553199999</v>
      </c>
      <c r="Q26" s="559">
        <f si="0" t="shared"/>
        <v>0.10429329553199999</v>
      </c>
    </row>
    <row r="27" spans="2:21" x14ac:dyDescent="0.25">
      <c r="C27" s="505"/>
      <c r="D27" s="511"/>
      <c r="M27" s="479" t="str">
        <f>VLOOKUP(N27,Coeff_Descr!$A:$D,3,FALSE)</f>
        <v>ESCORT</v>
      </c>
      <c r="N27" s="479">
        <f>OtherTourDestination!B35</f>
        <v>25</v>
      </c>
      <c r="O27" s="479" t="str">
        <f>OtherTourDestination!C35</f>
        <v>Beta00025</v>
      </c>
      <c r="P27" s="481">
        <f>OtherTourDestination!E35</f>
        <v>0</v>
      </c>
      <c r="Q27" s="559">
        <f si="0" t="shared"/>
        <v>0</v>
      </c>
    </row>
    <row r="28" spans="2:21" x14ac:dyDescent="0.25">
      <c r="C28" s="505"/>
      <c r="D28" s="511"/>
      <c r="M28" s="479" t="str">
        <f>VLOOKUP(N28,Coeff_Descr!$A:$D,3,FALSE)</f>
        <v>PERSBUS/MED</v>
      </c>
      <c r="N28" s="479">
        <f>OtherTourDestination!B36</f>
        <v>26</v>
      </c>
      <c r="O28" s="479" t="str">
        <f>OtherTourDestination!C36</f>
        <v>Beta00026</v>
      </c>
      <c r="P28" s="481">
        <f>OtherTourDestination!E36</f>
        <v>0.417326479157</v>
      </c>
      <c r="Q28" s="559">
        <f si="0" t="shared"/>
        <v>0.417326479157</v>
      </c>
    </row>
    <row r="29" spans="2:21" x14ac:dyDescent="0.25">
      <c r="C29" s="504" t="s">
        <v>86</v>
      </c>
      <c r="D29" s="512"/>
      <c r="M29" s="479" t="str">
        <f>VLOOKUP(N29,Coeff_Descr!$A:$D,3,FALSE)</f>
        <v>PERSBUS/MED</v>
      </c>
      <c r="N29" s="479">
        <f>OtherTourDestination!B37</f>
        <v>27</v>
      </c>
      <c r="O29" s="479" t="str">
        <f>OtherTourDestination!C37</f>
        <v>Beta00027</v>
      </c>
      <c r="P29" s="481">
        <f>OtherTourDestination!E37</f>
        <v>-14.8384910501</v>
      </c>
      <c r="Q29" s="559">
        <f si="0" t="shared"/>
        <v>-14.8384910501</v>
      </c>
    </row>
    <row r="30" spans="2:21" x14ac:dyDescent="0.25">
      <c r="C30" s="504" t="s">
        <v>111</v>
      </c>
      <c r="D30" s="512"/>
      <c r="M30" s="479" t="str">
        <f>VLOOKUP(N30,Coeff_Descr!$A:$D,3,FALSE)</f>
        <v>PERSBUS/MED</v>
      </c>
      <c r="N30" s="479">
        <f>OtherTourDestination!B38</f>
        <v>28</v>
      </c>
      <c r="O30" s="479" t="str">
        <f>OtherTourDestination!C38</f>
        <v>Beta00028</v>
      </c>
      <c r="P30" s="481">
        <f>OtherTourDestination!E38</f>
        <v>-5.1880432348000003</v>
      </c>
      <c r="Q30" s="559">
        <f si="0" t="shared"/>
        <v>-5.1880432348000003</v>
      </c>
    </row>
    <row ht="15.75" r="31" spans="2:21" thickBot="1" x14ac:dyDescent="0.3">
      <c r="C31" s="505"/>
      <c r="D31" s="511"/>
      <c r="M31" s="479" t="str">
        <f>VLOOKUP(N31,Coeff_Descr!$A:$D,3,FALSE)</f>
        <v>PERSBUS/MED</v>
      </c>
      <c r="N31" s="479">
        <f>OtherTourDestination!B39</f>
        <v>29</v>
      </c>
      <c r="O31" s="479" t="str">
        <f>OtherTourDestination!C39</f>
        <v>Beta00029</v>
      </c>
      <c r="P31" s="481">
        <f>OtherTourDestination!E39</f>
        <v>-2.6156308707</v>
      </c>
      <c r="Q31" s="559">
        <f si="0" t="shared"/>
        <v>-2.6156308707</v>
      </c>
    </row>
    <row r="32" spans="2:21" x14ac:dyDescent="0.25">
      <c r="B32" s="536" t="s">
        <v>258</v>
      </c>
      <c r="C32" s="506" t="s">
        <v>95</v>
      </c>
      <c r="D32" s="507"/>
      <c r="M32" s="479" t="str">
        <f>VLOOKUP(N32,Coeff_Descr!$A:$D,3,FALSE)</f>
        <v>PERSBUS/MED</v>
      </c>
      <c r="N32" s="479">
        <f>OtherTourDestination!B40</f>
        <v>30</v>
      </c>
      <c r="O32" s="479" t="str">
        <f>OtherTourDestination!C40</f>
        <v>Beta00030</v>
      </c>
      <c r="P32" s="481">
        <f>OtherTourDestination!E40</f>
        <v>-0.91046169190000004</v>
      </c>
      <c r="Q32" s="559">
        <f si="0" t="shared"/>
        <v>-0.91046169190000004</v>
      </c>
    </row>
    <row r="33" spans="2:17" x14ac:dyDescent="0.25">
      <c r="B33" s="537">
        <f>B23</f>
        <v>0</v>
      </c>
      <c r="C33" s="486" t="s">
        <v>51</v>
      </c>
      <c r="D33" s="552">
        <f>K12</f>
        <v>2.8432404261569942E-3</v>
      </c>
      <c r="M33" s="479" t="str">
        <f>VLOOKUP(N33,Coeff_Descr!$A:$D,3,FALSE)</f>
        <v>PERSBUS/MED</v>
      </c>
      <c r="N33" s="479">
        <f>OtherTourDestination!B41</f>
        <v>31</v>
      </c>
      <c r="O33" s="479" t="str">
        <f>OtherTourDestination!C41</f>
        <v>Beta00031</v>
      </c>
      <c r="P33" s="481">
        <f>OtherTourDestination!E41</f>
        <v>5.7553461640599997E-2</v>
      </c>
      <c r="Q33" s="559">
        <f si="0" t="shared"/>
        <v>5.7553461640599997E-2</v>
      </c>
    </row>
    <row r="34" spans="2:17" x14ac:dyDescent="0.25">
      <c r="B34" s="537">
        <f ref="B34:B36" si="6" t="shared">B24</f>
        <v>0</v>
      </c>
      <c r="C34" s="489" t="s">
        <v>54</v>
      </c>
      <c r="D34" s="553">
        <f ref="D34:D36" si="7" t="shared">K13</f>
        <v>0.25609341932430535</v>
      </c>
      <c r="M34" s="479" t="str">
        <f>VLOOKUP(N34,Coeff_Descr!$A:$D,3,FALSE)</f>
        <v>PERSBUS/MED</v>
      </c>
      <c r="N34" s="479">
        <f>OtherTourDestination!B42</f>
        <v>32</v>
      </c>
      <c r="O34" s="479" t="str">
        <f>OtherTourDestination!C42</f>
        <v>Beta00032</v>
      </c>
      <c r="P34" s="481">
        <f>OtherTourDestination!E42</f>
        <v>0.237798002151</v>
      </c>
      <c r="Q34" s="559">
        <f si="0" t="shared"/>
        <v>0.237798002151</v>
      </c>
    </row>
    <row r="35" spans="2:17" x14ac:dyDescent="0.25">
      <c r="B35" s="537">
        <f si="6" t="shared"/>
        <v>0</v>
      </c>
      <c r="C35" s="489" t="s">
        <v>57</v>
      </c>
      <c r="D35" s="553">
        <f si="7" t="shared"/>
        <v>-0.60954971707010641</v>
      </c>
      <c r="G35" s="513"/>
      <c r="H35" s="513"/>
      <c r="I35" s="513"/>
      <c r="J35" s="513"/>
      <c r="K35" s="513"/>
      <c r="M35" s="479" t="str">
        <f>VLOOKUP(N35,Coeff_Descr!$A:$D,3,FALSE)</f>
        <v>PERSBUS/MED</v>
      </c>
      <c r="N35" s="479">
        <f>OtherTourDestination!B43</f>
        <v>33</v>
      </c>
      <c r="O35" s="479" t="str">
        <f>OtherTourDestination!C43</f>
        <v>Beta00033</v>
      </c>
      <c r="P35" s="481">
        <f>OtherTourDestination!E43</f>
        <v>0</v>
      </c>
      <c r="Q35" s="559">
        <f si="0" t="shared"/>
        <v>0</v>
      </c>
    </row>
    <row ht="15.75" r="36" spans="2:17" thickBot="1" x14ac:dyDescent="0.3">
      <c r="B36" s="539">
        <f si="6" t="shared"/>
        <v>0</v>
      </c>
      <c r="C36" s="509" t="s">
        <v>60</v>
      </c>
      <c r="D36" s="510">
        <f si="7" t="shared"/>
        <v>0.19929624200086118</v>
      </c>
      <c r="G36" s="514"/>
      <c r="H36" s="514"/>
      <c r="I36" s="514"/>
      <c r="J36" s="514"/>
      <c r="K36" s="514"/>
      <c r="M36" s="479" t="str">
        <f>VLOOKUP(N36,Coeff_Descr!$A:$D,3,FALSE)</f>
        <v>PERSBUS/MED</v>
      </c>
      <c r="N36" s="479">
        <f>OtherTourDestination!B44</f>
        <v>34</v>
      </c>
      <c r="O36" s="479" t="str">
        <f>OtherTourDestination!C44</f>
        <v>Beta00034</v>
      </c>
      <c r="P36" s="481">
        <f>OtherTourDestination!E44</f>
        <v>0</v>
      </c>
      <c r="Q36" s="559">
        <f si="0" t="shared"/>
        <v>0</v>
      </c>
    </row>
    <row ht="15.75" r="37" spans="2:17" thickTop="1" x14ac:dyDescent="0.25">
      <c r="C37" s="505"/>
      <c r="D37" s="508"/>
      <c r="M37" s="479" t="str">
        <f>VLOOKUP(N37,Coeff_Descr!$A:$D,3,FALSE)</f>
        <v>PERSBUS/MED</v>
      </c>
      <c r="N37" s="479">
        <f>OtherTourDestination!B45</f>
        <v>35</v>
      </c>
      <c r="O37" s="479" t="str">
        <f>OtherTourDestination!C45</f>
        <v>Beta00035</v>
      </c>
      <c r="P37" s="481">
        <f>OtherTourDestination!E45</f>
        <v>0</v>
      </c>
      <c r="Q37" s="559">
        <f si="0" t="shared"/>
        <v>0</v>
      </c>
    </row>
    <row r="38" spans="2:17" x14ac:dyDescent="0.25">
      <c r="C38" s="505"/>
      <c r="D38" s="508"/>
      <c r="M38" s="479" t="str">
        <f>VLOOKUP(N38,Coeff_Descr!$A:$D,3,FALSE)</f>
        <v>SHOP</v>
      </c>
      <c r="N38" s="479">
        <f>OtherTourDestination!B46</f>
        <v>36</v>
      </c>
      <c r="O38" s="479" t="str">
        <f>OtherTourDestination!C46</f>
        <v>Beta00036</v>
      </c>
      <c r="P38" s="481">
        <f>OtherTourDestination!E46</f>
        <v>0.61259135262599995</v>
      </c>
      <c r="Q38" s="559">
        <f si="0" t="shared"/>
        <v>0.61259135262599995</v>
      </c>
    </row>
    <row r="39" spans="2:17" x14ac:dyDescent="0.25">
      <c r="C39" s="504" t="s">
        <v>86</v>
      </c>
      <c r="D39" s="515"/>
      <c r="M39" s="479" t="str">
        <f>VLOOKUP(N39,Coeff_Descr!$A:$D,3,FALSE)</f>
        <v>SHOP</v>
      </c>
      <c r="N39" s="517">
        <f>OtherTourDestination!B47</f>
        <v>37</v>
      </c>
      <c r="O39" s="517" t="str">
        <f>OtherTourDestination!C47</f>
        <v>Beta00037</v>
      </c>
      <c r="P39" s="561">
        <f>OtherTourDestination!E47</f>
        <v>-20.810228388700001</v>
      </c>
      <c r="Q39" s="559">
        <f si="0" t="shared"/>
        <v>-20.810228388700001</v>
      </c>
    </row>
    <row r="40" spans="2:17" x14ac:dyDescent="0.25">
      <c r="C40" s="504" t="s">
        <v>129</v>
      </c>
      <c r="D40" s="515"/>
      <c r="M40" s="479" t="str">
        <f>VLOOKUP(N40,Coeff_Descr!$A:$D,3,FALSE)</f>
        <v>SHOP</v>
      </c>
      <c r="N40" s="517">
        <f>OtherTourDestination!B48</f>
        <v>38</v>
      </c>
      <c r="O40" s="517" t="str">
        <f>OtherTourDestination!C48</f>
        <v>Beta00038</v>
      </c>
      <c r="P40" s="561">
        <f>OtherTourDestination!E48</f>
        <v>-7.1836373472300004</v>
      </c>
      <c r="Q40" s="559">
        <f si="0" t="shared"/>
        <v>-7.1836373472300004</v>
      </c>
    </row>
    <row ht="15.75" r="41" spans="2:17" thickBot="1" x14ac:dyDescent="0.3">
      <c r="B41" s="540"/>
      <c r="C41" s="505"/>
      <c r="D41" s="508"/>
      <c r="M41" s="479" t="str">
        <f>VLOOKUP(N41,Coeff_Descr!$A:$D,3,FALSE)</f>
        <v>SHOP</v>
      </c>
      <c r="N41" s="517">
        <f>OtherTourDestination!B49</f>
        <v>39</v>
      </c>
      <c r="O41" s="517" t="str">
        <f>OtherTourDestination!C49</f>
        <v>Beta00039</v>
      </c>
      <c r="P41" s="561">
        <f>OtherTourDestination!E49</f>
        <v>-3.6600975390500001</v>
      </c>
      <c r="Q41" s="559">
        <f si="0" t="shared"/>
        <v>-3.6600975390500001</v>
      </c>
    </row>
    <row r="42" spans="2:17" x14ac:dyDescent="0.25">
      <c r="B42" s="536" t="s">
        <v>258</v>
      </c>
      <c r="C42" s="506" t="s">
        <v>95</v>
      </c>
      <c r="D42" s="516"/>
      <c r="M42" s="479" t="str">
        <f>VLOOKUP(N42,Coeff_Descr!$A:$D,3,FALSE)</f>
        <v>SHOP</v>
      </c>
      <c r="N42" s="517">
        <f>OtherTourDestination!B50</f>
        <v>40</v>
      </c>
      <c r="O42" s="517" t="str">
        <f>OtherTourDestination!C50</f>
        <v>Beta00040</v>
      </c>
      <c r="P42" s="561">
        <f>OtherTourDestination!E50</f>
        <v>-1.3605457273599999</v>
      </c>
      <c r="Q42" s="559">
        <f si="0" t="shared"/>
        <v>-1.3605457273599999</v>
      </c>
    </row>
    <row r="43" spans="2:17" x14ac:dyDescent="0.25">
      <c r="B43" s="537">
        <f>B33</f>
        <v>0</v>
      </c>
      <c r="C43" s="486" t="s">
        <v>51</v>
      </c>
      <c r="D43" s="554" t="e">
        <f>D23+D33</f>
        <v>#N/A</v>
      </c>
      <c r="M43" s="479" t="str">
        <f>VLOOKUP(N43,Coeff_Descr!$A:$D,3,FALSE)</f>
        <v>SHOP</v>
      </c>
      <c r="N43" s="479">
        <f>OtherTourDestination!B51</f>
        <v>41</v>
      </c>
      <c r="O43" s="479" t="str">
        <f>OtherTourDestination!C51</f>
        <v>Beta00041</v>
      </c>
      <c r="P43" s="481">
        <f>OtherTourDestination!E51</f>
        <v>-0.22141031751900001</v>
      </c>
      <c r="Q43" s="559">
        <f si="0" t="shared"/>
        <v>-0.22141031751900001</v>
      </c>
    </row>
    <row r="44" spans="2:17" x14ac:dyDescent="0.25">
      <c r="B44" s="537">
        <f ref="B44:B46" si="8" t="shared">B34</f>
        <v>0</v>
      </c>
      <c r="C44" s="489" t="s">
        <v>54</v>
      </c>
      <c r="D44" s="554" t="e">
        <f ref="D44:D46" si="9" t="shared">D24+D34</f>
        <v>#N/A</v>
      </c>
      <c r="M44" s="479" t="str">
        <f>VLOOKUP(N44,Coeff_Descr!$A:$D,3,FALSE)</f>
        <v>SHOP</v>
      </c>
      <c r="N44" s="479">
        <f>OtherTourDestination!B52</f>
        <v>42</v>
      </c>
      <c r="O44" s="479" t="str">
        <f>OtherTourDestination!C52</f>
        <v>Beta00042</v>
      </c>
      <c r="P44" s="481">
        <f>OtherTourDestination!E52</f>
        <v>0.64228876129599999</v>
      </c>
      <c r="Q44" s="559">
        <f si="0" t="shared"/>
        <v>0.64228876129599999</v>
      </c>
    </row>
    <row r="45" spans="2:17" x14ac:dyDescent="0.25">
      <c r="B45" s="537">
        <f si="8" t="shared"/>
        <v>0</v>
      </c>
      <c r="C45" s="489" t="s">
        <v>57</v>
      </c>
      <c r="D45" s="554" t="e">
        <f si="9" t="shared"/>
        <v>#N/A</v>
      </c>
      <c r="M45" s="479" t="str">
        <f>VLOOKUP(N45,Coeff_Descr!$A:$D,3,FALSE)</f>
        <v>MEAL</v>
      </c>
      <c r="N45" s="479">
        <f>OtherTourDestination!B53</f>
        <v>43</v>
      </c>
      <c r="O45" s="479" t="str">
        <f>OtherTourDestination!C53</f>
        <v>Beta00043</v>
      </c>
      <c r="P45" s="481">
        <f>OtherTourDestination!E53</f>
        <v>0.74588429254199995</v>
      </c>
      <c r="Q45" s="559">
        <f si="0" t="shared"/>
        <v>0.74588429254199995</v>
      </c>
    </row>
    <row ht="15.75" r="46" spans="2:17" thickBot="1" x14ac:dyDescent="0.3">
      <c r="B46" s="539">
        <f si="8" t="shared"/>
        <v>0</v>
      </c>
      <c r="C46" s="509" t="s">
        <v>60</v>
      </c>
      <c r="D46" s="555" t="e">
        <f si="9" t="shared"/>
        <v>#N/A</v>
      </c>
      <c r="M46" s="479" t="str">
        <f>VLOOKUP(N46,Coeff_Descr!$A:$D,3,FALSE)</f>
        <v>MEAL</v>
      </c>
      <c r="N46" s="479">
        <f>OtherTourDestination!B54</f>
        <v>44</v>
      </c>
      <c r="O46" s="479" t="str">
        <f>OtherTourDestination!C54</f>
        <v>Beta00044</v>
      </c>
      <c r="P46" s="481">
        <f>OtherTourDestination!E54</f>
        <v>-32.156094092099998</v>
      </c>
      <c r="Q46" s="559">
        <f si="0" t="shared"/>
        <v>-32.156094092099998</v>
      </c>
    </row>
    <row ht="15.75" r="47" spans="2:17" thickTop="1" x14ac:dyDescent="0.25">
      <c r="M47" s="479" t="str">
        <f>VLOOKUP(N47,Coeff_Descr!$A:$D,3,FALSE)</f>
        <v>MEAL</v>
      </c>
      <c r="N47" s="479">
        <f>OtherTourDestination!B55</f>
        <v>45</v>
      </c>
      <c r="O47" s="479" t="str">
        <f>OtherTourDestination!C55</f>
        <v>Beta00045</v>
      </c>
      <c r="P47" s="481">
        <f>OtherTourDestination!E55</f>
        <v>-7.5551873767200002</v>
      </c>
      <c r="Q47" s="559">
        <f si="0" t="shared"/>
        <v>-7.5551873767200002</v>
      </c>
    </row>
    <row r="48" spans="2:17" x14ac:dyDescent="0.25">
      <c r="M48" s="479" t="str">
        <f>VLOOKUP(N48,Coeff_Descr!$A:$D,3,FALSE)</f>
        <v>MEAL</v>
      </c>
      <c r="N48" s="479">
        <f>OtherTourDestination!B56</f>
        <v>46</v>
      </c>
      <c r="O48" s="479" t="str">
        <f>OtherTourDestination!C56</f>
        <v>Beta00046</v>
      </c>
      <c r="P48" s="481">
        <f>OtherTourDestination!E56</f>
        <v>-3.4784098231399998</v>
      </c>
      <c r="Q48" s="559">
        <f si="0" t="shared"/>
        <v>-3.4784098231399998</v>
      </c>
    </row>
    <row r="49" spans="13:17" x14ac:dyDescent="0.25">
      <c r="M49" s="479" t="str">
        <f>VLOOKUP(N49,Coeff_Descr!$A:$D,3,FALSE)</f>
        <v>MEAL</v>
      </c>
      <c r="N49" s="479">
        <f>OtherTourDestination!B57</f>
        <v>47</v>
      </c>
      <c r="O49" s="479" t="str">
        <f>OtherTourDestination!C57</f>
        <v>Beta00047</v>
      </c>
      <c r="P49" s="481">
        <f>OtherTourDestination!E57</f>
        <v>-0.79171784712299997</v>
      </c>
      <c r="Q49" s="559">
        <f si="0" t="shared"/>
        <v>-0.79171784712299997</v>
      </c>
    </row>
    <row r="50" spans="13:17" x14ac:dyDescent="0.25">
      <c r="M50" s="479" t="str">
        <f>VLOOKUP(N50,Coeff_Descr!$A:$D,3,FALSE)</f>
        <v>MEAL</v>
      </c>
      <c r="N50" s="479">
        <f>OtherTourDestination!B58</f>
        <v>48</v>
      </c>
      <c r="O50" s="479" t="str">
        <f>OtherTourDestination!C58</f>
        <v>Beta00048</v>
      </c>
      <c r="P50" s="481">
        <f>OtherTourDestination!E58</f>
        <v>0.65760260093900003</v>
      </c>
      <c r="Q50" s="559">
        <f si="0" t="shared"/>
        <v>0.65760260093900003</v>
      </c>
    </row>
    <row r="51" spans="13:17" x14ac:dyDescent="0.25">
      <c r="M51" s="479" t="str">
        <f>VLOOKUP(N51,Coeff_Descr!$A:$D,3,FALSE)</f>
        <v>SOCREC</v>
      </c>
      <c r="N51" s="479">
        <f>OtherTourDestination!B59</f>
        <v>49</v>
      </c>
      <c r="O51" s="479" t="str">
        <f>OtherTourDestination!C59</f>
        <v>Beta00049</v>
      </c>
      <c r="P51" s="481">
        <f>OtherTourDestination!E59</f>
        <v>0.201576719663</v>
      </c>
      <c r="Q51" s="559">
        <f si="0" t="shared"/>
        <v>0.201576719663</v>
      </c>
    </row>
    <row r="52" spans="13:17" x14ac:dyDescent="0.25">
      <c r="M52" s="479" t="str">
        <f>VLOOKUP(N52,Coeff_Descr!$A:$D,3,FALSE)</f>
        <v>SOCREC</v>
      </c>
      <c r="N52" s="517">
        <f>OtherTourDestination!B60</f>
        <v>50</v>
      </c>
      <c r="O52" s="517" t="str">
        <f>OtherTourDestination!C60</f>
        <v>Beta00050</v>
      </c>
      <c r="P52" s="561">
        <f>OtherTourDestination!E60</f>
        <v>-28.552058518999999</v>
      </c>
      <c r="Q52" s="559">
        <f si="0" t="shared"/>
        <v>-28.552058518999999</v>
      </c>
    </row>
    <row r="53" spans="13:17" x14ac:dyDescent="0.25">
      <c r="M53" s="479" t="str">
        <f>VLOOKUP(N53,Coeff_Descr!$A:$D,3,FALSE)</f>
        <v>SOCREC</v>
      </c>
      <c r="N53" s="517">
        <f>OtherTourDestination!B61</f>
        <v>51</v>
      </c>
      <c r="O53" s="517" t="str">
        <f>OtherTourDestination!C61</f>
        <v>Beta00051</v>
      </c>
      <c r="P53" s="561">
        <f>OtherTourDestination!E61</f>
        <v>-7.25833529236</v>
      </c>
      <c r="Q53" s="559">
        <f si="0" t="shared"/>
        <v>-7.25833529236</v>
      </c>
    </row>
    <row r="54" spans="13:17" x14ac:dyDescent="0.25">
      <c r="M54" s="479" t="str">
        <f>VLOOKUP(N54,Coeff_Descr!$A:$D,3,FALSE)</f>
        <v>SOCREC</v>
      </c>
      <c r="N54" s="517">
        <f>OtherTourDestination!B62</f>
        <v>52</v>
      </c>
      <c r="O54" s="517" t="str">
        <f>OtherTourDestination!C62</f>
        <v>Beta00052</v>
      </c>
      <c r="P54" s="561">
        <f>OtherTourDestination!E62</f>
        <v>-2.64524710889</v>
      </c>
      <c r="Q54" s="559">
        <f si="0" t="shared"/>
        <v>-2.64524710889</v>
      </c>
    </row>
    <row r="55" spans="13:17" x14ac:dyDescent="0.25">
      <c r="M55" s="479" t="str">
        <f>VLOOKUP(N55,Coeff_Descr!$A:$D,3,FALSE)</f>
        <v>SOCREC</v>
      </c>
      <c r="N55" s="517">
        <f>OtherTourDestination!B63</f>
        <v>53</v>
      </c>
      <c r="O55" s="517" t="str">
        <f>OtherTourDestination!C63</f>
        <v>Beta00053</v>
      </c>
      <c r="P55" s="561">
        <f>OtherTourDestination!E63</f>
        <v>-0.76461618005800003</v>
      </c>
      <c r="Q55" s="559">
        <f si="0" t="shared"/>
        <v>-0.76461618005800003</v>
      </c>
    </row>
    <row r="56" spans="13:17" x14ac:dyDescent="0.25">
      <c r="M56" s="479" t="str">
        <f>VLOOKUP(N56,Coeff_Descr!$A:$D,3,FALSE)</f>
        <v>SOCREC</v>
      </c>
      <c r="N56" s="479">
        <f>OtherTourDestination!B64</f>
        <v>54</v>
      </c>
      <c r="O56" s="479" t="str">
        <f>OtherTourDestination!C64</f>
        <v>Beta00054</v>
      </c>
      <c r="P56" s="481">
        <f>OtherTourDestination!E64</f>
        <v>0.20818008309700001</v>
      </c>
      <c r="Q56" s="559">
        <f si="0" t="shared"/>
        <v>0.20818008309700001</v>
      </c>
    </row>
    <row r="57" spans="13:17" x14ac:dyDescent="0.25">
      <c r="M57" s="479" t="str">
        <f>VLOOKUP(N57,Coeff_Descr!$A:$D,3,FALSE)</f>
        <v>SOCREC</v>
      </c>
      <c r="N57" s="479">
        <f>OtherTourDestination!B65</f>
        <v>55</v>
      </c>
      <c r="O57" s="479" t="str">
        <f>OtherTourDestination!C65</f>
        <v>Beta00055</v>
      </c>
      <c r="P57" s="481">
        <f>OtherTourDestination!E65</f>
        <v>0.42522231451499998</v>
      </c>
      <c r="Q57" s="559">
        <f si="0" t="shared"/>
        <v>0.42522231451499998</v>
      </c>
    </row>
    <row r="58" spans="13:17" x14ac:dyDescent="0.25">
      <c r="M58" s="479" t="str">
        <f>VLOOKUP(N58,Coeff_Descr!$A:$D,3,FALSE)</f>
        <v>SOCREC</v>
      </c>
      <c r="N58" s="479">
        <f>OtherTourDestination!B66</f>
        <v>56</v>
      </c>
      <c r="O58" s="479" t="str">
        <f>OtherTourDestination!C66</f>
        <v>Beta00056</v>
      </c>
      <c r="P58" s="481">
        <f>OtherTourDestination!E66</f>
        <v>-0.743588483327</v>
      </c>
      <c r="Q58" s="559">
        <f si="0" t="shared"/>
        <v>-0.743588483327</v>
      </c>
    </row>
    <row r="59" spans="13:17" x14ac:dyDescent="0.25">
      <c r="M59" s="479" t="str">
        <f>VLOOKUP(N59,Coeff_Descr!$A:$D,3,FALSE)</f>
        <v>SOCREC</v>
      </c>
      <c r="N59" s="479">
        <f>OtherTourDestination!B67</f>
        <v>57</v>
      </c>
      <c r="O59" s="479" t="str">
        <f>OtherTourDestination!C67</f>
        <v>Beta00057</v>
      </c>
      <c r="P59" s="481">
        <f>OtherTourDestination!E67</f>
        <v>6.2100000000000002E-2</v>
      </c>
      <c r="Q59" s="559">
        <f si="0" t="shared"/>
        <v>6.2100000000000002E-2</v>
      </c>
    </row>
    <row r="60" spans="13:17" x14ac:dyDescent="0.25">
      <c r="M60" s="479">
        <f>VLOOKUP(N60,Coeff_Descr!$A:$D,3,FALSE)</f>
        <v>0</v>
      </c>
      <c r="N60" s="479">
        <f>OtherTourDestination!B68</f>
        <v>118</v>
      </c>
      <c r="O60" s="479" t="str">
        <f>OtherTourDestination!C68</f>
        <v>Beta00118</v>
      </c>
      <c r="P60" s="481">
        <f>OtherTourDestination!E68</f>
        <v>-3</v>
      </c>
      <c r="Q60" s="559">
        <f si="0" t="shared"/>
        <v>-3</v>
      </c>
    </row>
    <row r="61" spans="13:17" x14ac:dyDescent="0.25">
      <c r="M61" s="479" t="str">
        <f>VLOOKUP(N61,Coeff_Descr!$A:$D,3,FALSE)</f>
        <v>ESCORT</v>
      </c>
      <c r="N61" s="479">
        <f>OtherTourDestination!B69</f>
        <v>70</v>
      </c>
      <c r="O61" s="479" t="str">
        <f>OtherTourDestination!C69</f>
        <v>LSM_0070</v>
      </c>
      <c r="P61" s="481">
        <f>OtherTourDestination!E69</f>
        <v>0.29394695214400002</v>
      </c>
      <c r="Q61" s="559">
        <f si="0" t="shared"/>
        <v>0.29394695214400002</v>
      </c>
    </row>
    <row r="62" spans="13:17" x14ac:dyDescent="0.25">
      <c r="M62" s="479" t="str">
        <f>VLOOKUP(N62,Coeff_Descr!$A:$D,3,FALSE)</f>
        <v>ESCORT</v>
      </c>
      <c r="N62" s="479">
        <f>OtherTourDestination!B70</f>
        <v>71</v>
      </c>
      <c r="O62" s="479" t="str">
        <f>OtherTourDestination!C70</f>
        <v>Gamma071</v>
      </c>
      <c r="P62" s="481">
        <f>OtherTourDestination!E70</f>
        <v>0</v>
      </c>
      <c r="Q62" s="559">
        <f si="0" t="shared"/>
        <v>0</v>
      </c>
    </row>
    <row r="63" spans="13:17" x14ac:dyDescent="0.25">
      <c r="M63" s="479" t="str">
        <f>VLOOKUP(N63,Coeff_Descr!$A:$D,3,FALSE)</f>
        <v>ESCORT</v>
      </c>
      <c r="N63" s="479">
        <f>OtherTourDestination!B71</f>
        <v>72</v>
      </c>
      <c r="O63" s="479" t="str">
        <f>OtherTourDestination!C71</f>
        <v>Gamma072</v>
      </c>
      <c r="P63" s="481">
        <f>OtherTourDestination!E71</f>
        <v>-6.2798471793299999</v>
      </c>
      <c r="Q63" s="559">
        <f si="0" t="shared"/>
        <v>-6.2798471793299999</v>
      </c>
    </row>
    <row r="64" spans="13:17" x14ac:dyDescent="0.25">
      <c r="M64" s="479" t="str">
        <f>VLOOKUP(N64,Coeff_Descr!$A:$D,3,FALSE)</f>
        <v>ESCORT</v>
      </c>
      <c r="N64" s="479">
        <f>OtherTourDestination!B72</f>
        <v>73</v>
      </c>
      <c r="O64" s="479" t="str">
        <f>OtherTourDestination!C72</f>
        <v>Gamma073</v>
      </c>
      <c r="P64" s="481">
        <f>OtherTourDestination!E72</f>
        <v>3.2962256518299999</v>
      </c>
      <c r="Q64" s="559">
        <f si="0" t="shared"/>
        <v>3.2962256518299999</v>
      </c>
    </row>
    <row r="65" spans="13:17" x14ac:dyDescent="0.25">
      <c r="M65" s="479" t="str">
        <f>VLOOKUP(N65,Coeff_Descr!$A:$D,3,FALSE)</f>
        <v>ESCORT</v>
      </c>
      <c r="N65" s="479">
        <f>OtherTourDestination!B73</f>
        <v>74</v>
      </c>
      <c r="O65" s="479" t="str">
        <f>OtherTourDestination!C73</f>
        <v>Gamma074</v>
      </c>
      <c r="P65" s="481">
        <f>OtherTourDestination!E73</f>
        <v>-5.4150639062700003</v>
      </c>
      <c r="Q65" s="559">
        <f si="0" t="shared"/>
        <v>-5.4150639062700003</v>
      </c>
    </row>
    <row r="66" spans="13:17" x14ac:dyDescent="0.25">
      <c r="M66" s="479" t="str">
        <f>VLOOKUP(N66,Coeff_Descr!$A:$D,3,FALSE)</f>
        <v>ESCORT</v>
      </c>
      <c r="N66" s="479">
        <f>OtherTourDestination!B74</f>
        <v>75</v>
      </c>
      <c r="O66" s="479" t="str">
        <f>OtherTourDestination!C74</f>
        <v>Gamma075</v>
      </c>
      <c r="P66" s="481">
        <f>OtherTourDestination!E74</f>
        <v>-5.94820877094</v>
      </c>
      <c r="Q66" s="559">
        <f si="0" t="shared"/>
        <v>-5.94820877094</v>
      </c>
    </row>
    <row r="67" spans="13:17" x14ac:dyDescent="0.25">
      <c r="M67" s="479" t="str">
        <f>VLOOKUP(N67,Coeff_Descr!$A:$D,3,FALSE)</f>
        <v>ESCORT</v>
      </c>
      <c r="N67" s="479">
        <f>OtherTourDestination!B75</f>
        <v>76</v>
      </c>
      <c r="O67" s="479" t="str">
        <f>OtherTourDestination!C75</f>
        <v>Gamma076</v>
      </c>
      <c r="P67" s="481">
        <f>OtherTourDestination!E75</f>
        <v>-4.8479831726300002</v>
      </c>
      <c r="Q67" s="559">
        <f si="0" t="shared"/>
        <v>-4.8479831726300002</v>
      </c>
    </row>
    <row r="68" spans="13:17" x14ac:dyDescent="0.25">
      <c r="M68" s="479" t="str">
        <f>VLOOKUP(N68,Coeff_Descr!$A:$D,3,FALSE)</f>
        <v>ESCORT</v>
      </c>
      <c r="N68" s="479">
        <f>OtherTourDestination!B76</f>
        <v>77</v>
      </c>
      <c r="O68" s="479" t="str">
        <f>OtherTourDestination!C76</f>
        <v>Gamma077</v>
      </c>
      <c r="P68" s="481">
        <f>OtherTourDestination!E76</f>
        <v>-5.4883496585599998</v>
      </c>
      <c r="Q68" s="559">
        <f si="0" t="shared"/>
        <v>-5.4883496585599998</v>
      </c>
    </row>
    <row r="69" spans="13:17" x14ac:dyDescent="0.25">
      <c r="M69" s="479" t="str">
        <f>VLOOKUP(N69,Coeff_Descr!$A:$D,3,FALSE)</f>
        <v>ESCORT</v>
      </c>
      <c r="N69" s="479">
        <f>OtherTourDestination!B77</f>
        <v>78</v>
      </c>
      <c r="O69" s="479" t="str">
        <f>OtherTourDestination!C77</f>
        <v>Gamma078</v>
      </c>
      <c r="P69" s="481">
        <f>OtherTourDestination!E77</f>
        <v>-6.9308352438999998</v>
      </c>
      <c r="Q69" s="559">
        <f ref="Q69:Q104" si="10" t="shared">_xlfn.IFNA(VLOOKUP(N69,$B$43:$D$46,3,FALSE),P69)</f>
        <v>-6.9308352438999998</v>
      </c>
    </row>
    <row r="70" spans="13:17" x14ac:dyDescent="0.25">
      <c r="M70" s="479" t="str">
        <f>VLOOKUP(N70,Coeff_Descr!$A:$D,3,FALSE)</f>
        <v>ESCORT</v>
      </c>
      <c r="N70" s="479">
        <f>OtherTourDestination!B78</f>
        <v>79</v>
      </c>
      <c r="O70" s="479" t="str">
        <f>OtherTourDestination!C78</f>
        <v>Gamma079</v>
      </c>
      <c r="P70" s="481">
        <f>OtherTourDestination!E78</f>
        <v>-22.404820174200001</v>
      </c>
      <c r="Q70" s="559">
        <f si="10" t="shared"/>
        <v>-22.404820174200001</v>
      </c>
    </row>
    <row r="71" spans="13:17" x14ac:dyDescent="0.25">
      <c r="M71" s="479" t="str">
        <f>VLOOKUP(N71,Coeff_Descr!$A:$D,3,FALSE)</f>
        <v>ESCORT</v>
      </c>
      <c r="N71" s="479">
        <f>OtherTourDestination!B79</f>
        <v>80</v>
      </c>
      <c r="O71" s="479" t="str">
        <f>OtherTourDestination!C79</f>
        <v>Gamma080</v>
      </c>
      <c r="P71" s="481">
        <f>OtherTourDestination!E79</f>
        <v>-2.8929233973800002</v>
      </c>
      <c r="Q71" s="559">
        <f si="10" t="shared"/>
        <v>-2.8929233973800002</v>
      </c>
    </row>
    <row r="72" spans="13:17" x14ac:dyDescent="0.25">
      <c r="M72" s="479" t="str">
        <f>VLOOKUP(N72,Coeff_Descr!$A:$D,3,FALSE)</f>
        <v>ESCORT</v>
      </c>
      <c r="N72" s="479">
        <f>OtherTourDestination!B80</f>
        <v>81</v>
      </c>
      <c r="O72" s="479" t="str">
        <f>OtherTourDestination!C80</f>
        <v>Gamma081</v>
      </c>
      <c r="P72" s="481">
        <f>OtherTourDestination!E80</f>
        <v>-2.5610724948299999</v>
      </c>
      <c r="Q72" s="559">
        <f si="10" t="shared"/>
        <v>-2.5610724948299999</v>
      </c>
    </row>
    <row r="73" spans="13:17" x14ac:dyDescent="0.25">
      <c r="M73" s="479" t="str">
        <f>VLOOKUP(N73,Coeff_Descr!$A:$D,3,FALSE)</f>
        <v>ESCORT</v>
      </c>
      <c r="N73" s="479">
        <f>OtherTourDestination!B81</f>
        <v>82</v>
      </c>
      <c r="O73" s="479" t="str">
        <f>OtherTourDestination!C81</f>
        <v>Gamma082</v>
      </c>
      <c r="P73" s="481">
        <f>OtherTourDestination!E81</f>
        <v>-6.7871010869299999</v>
      </c>
      <c r="Q73" s="559">
        <f si="10" t="shared"/>
        <v>-6.7871010869299999</v>
      </c>
    </row>
    <row r="74" spans="13:17" x14ac:dyDescent="0.25">
      <c r="M74" s="479" t="str">
        <f>VLOOKUP(N74,Coeff_Descr!$A:$D,3,FALSE)</f>
        <v>ESCORT</v>
      </c>
      <c r="N74" s="479">
        <f>OtherTourDestination!B82</f>
        <v>83</v>
      </c>
      <c r="O74" s="479" t="str">
        <f>OtherTourDestination!C82</f>
        <v>Gamma083</v>
      </c>
      <c r="P74" s="481">
        <f>OtherTourDestination!E82</f>
        <v>-7.1983706387300002</v>
      </c>
      <c r="Q74" s="559">
        <f si="10" t="shared"/>
        <v>-7.1983706387300002</v>
      </c>
    </row>
    <row r="75" spans="13:17" x14ac:dyDescent="0.25">
      <c r="M75" s="479" t="str">
        <f>VLOOKUP(N75,Coeff_Descr!$A:$D,3,FALSE)</f>
        <v>ESCORT</v>
      </c>
      <c r="N75" s="479">
        <f>OtherTourDestination!B83</f>
        <v>84</v>
      </c>
      <c r="O75" s="479" t="str">
        <f>OtherTourDestination!C83</f>
        <v>Gamma084</v>
      </c>
      <c r="P75" s="481">
        <f>OtherTourDestination!E83</f>
        <v>-6.5584328775399996</v>
      </c>
      <c r="Q75" s="559">
        <f si="10" t="shared"/>
        <v>-6.5584328775399996</v>
      </c>
    </row>
    <row r="76" spans="13:17" x14ac:dyDescent="0.25">
      <c r="M76" s="479" t="str">
        <f>VLOOKUP(N76,Coeff_Descr!$A:$D,3,FALSE)</f>
        <v>ESCORT</v>
      </c>
      <c r="N76" s="479">
        <f>OtherTourDestination!B84</f>
        <v>85</v>
      </c>
      <c r="O76" s="479" t="str">
        <f>OtherTourDestination!C84</f>
        <v>Gamma085</v>
      </c>
      <c r="P76" s="481">
        <f>OtherTourDestination!E84</f>
        <v>-7.3832576457999997</v>
      </c>
      <c r="Q76" s="559">
        <f si="10" t="shared"/>
        <v>-7.3832576457999997</v>
      </c>
    </row>
    <row r="77" spans="13:17" x14ac:dyDescent="0.25">
      <c r="M77" s="479" t="str">
        <f>VLOOKUP(N77,Coeff_Descr!$A:$D,3,FALSE)</f>
        <v>ESCORT</v>
      </c>
      <c r="N77" s="479">
        <f>OtherTourDestination!B85</f>
        <v>86</v>
      </c>
      <c r="O77" s="479" t="str">
        <f>OtherTourDestination!C85</f>
        <v>Gamma086</v>
      </c>
      <c r="P77" s="481">
        <f>OtherTourDestination!E85</f>
        <v>-8.5452246906399996</v>
      </c>
      <c r="Q77" s="559">
        <f si="10" t="shared"/>
        <v>-8.5452246906399996</v>
      </c>
    </row>
    <row r="78" spans="13:17" x14ac:dyDescent="0.25">
      <c r="M78" s="479" t="str">
        <f>VLOOKUP(N78,Coeff_Descr!$A:$D,3,FALSE)</f>
        <v>ESCORT</v>
      </c>
      <c r="N78" s="479">
        <f>OtherTourDestination!B86</f>
        <v>87</v>
      </c>
      <c r="O78" s="479" t="str">
        <f>OtherTourDestination!C86</f>
        <v>Gamma087</v>
      </c>
      <c r="P78" s="481">
        <f>OtherTourDestination!E86</f>
        <v>-24.633851965200002</v>
      </c>
      <c r="Q78" s="559">
        <f si="10" t="shared"/>
        <v>-24.633851965200002</v>
      </c>
    </row>
    <row r="79" spans="13:17" x14ac:dyDescent="0.25">
      <c r="M79" s="479" t="str">
        <f>VLOOKUP(N79,Coeff_Descr!$A:$D,3,FALSE)</f>
        <v>ESCORT</v>
      </c>
      <c r="N79" s="479">
        <f>OtherTourDestination!B87</f>
        <v>88</v>
      </c>
      <c r="O79" s="479" t="str">
        <f>OtherTourDestination!C87</f>
        <v>Gamma088</v>
      </c>
      <c r="P79" s="481">
        <f>OtherTourDestination!E87</f>
        <v>0</v>
      </c>
      <c r="Q79" s="559">
        <f si="10" t="shared"/>
        <v>0</v>
      </c>
    </row>
    <row r="80" spans="13:17" x14ac:dyDescent="0.25">
      <c r="M80" s="479" t="str">
        <f>VLOOKUP(N80,Coeff_Descr!$A:$D,3,FALSE)</f>
        <v>PERSBUS/MED</v>
      </c>
      <c r="N80" s="479">
        <f>OtherTourDestination!B88</f>
        <v>89</v>
      </c>
      <c r="O80" s="479" t="str">
        <f>OtherTourDestination!C88</f>
        <v>Gamma089</v>
      </c>
      <c r="P80" s="481">
        <f>OtherTourDestination!E88</f>
        <v>-0.55009338373399996</v>
      </c>
      <c r="Q80" s="559">
        <f si="10" t="shared"/>
        <v>-0.55009338373399996</v>
      </c>
    </row>
    <row r="81" spans="13:17" x14ac:dyDescent="0.25">
      <c r="M81" s="479" t="str">
        <f>VLOOKUP(N81,Coeff_Descr!$A:$D,3,FALSE)</f>
        <v>PERSBUS/MED</v>
      </c>
      <c r="N81" s="479">
        <f>OtherTourDestination!B89</f>
        <v>90</v>
      </c>
      <c r="O81" s="479" t="str">
        <f>OtherTourDestination!C89</f>
        <v>Gamma090</v>
      </c>
      <c r="P81" s="481">
        <f>OtherTourDestination!E89</f>
        <v>-9.9117567037699992</v>
      </c>
      <c r="Q81" s="559">
        <f si="10" t="shared"/>
        <v>-9.9117567037699992</v>
      </c>
    </row>
    <row r="82" spans="13:17" x14ac:dyDescent="0.25">
      <c r="M82" s="479" t="str">
        <f>VLOOKUP(N82,Coeff_Descr!$A:$D,3,FALSE)</f>
        <v>PERSBUS/MED</v>
      </c>
      <c r="N82" s="479">
        <f>OtherTourDestination!B90</f>
        <v>91</v>
      </c>
      <c r="O82" s="479" t="str">
        <f>OtherTourDestination!C90</f>
        <v>Gamma091</v>
      </c>
      <c r="P82" s="481">
        <f>OtherTourDestination!E90</f>
        <v>-9.3194311560499994</v>
      </c>
      <c r="Q82" s="559">
        <f si="10" t="shared"/>
        <v>-9.3194311560499994</v>
      </c>
    </row>
    <row r="83" spans="13:17" x14ac:dyDescent="0.25">
      <c r="M83" s="479" t="str">
        <f>VLOOKUP(N83,Coeff_Descr!$A:$D,3,FALSE)</f>
        <v>PERSBUS/MED</v>
      </c>
      <c r="N83" s="479">
        <f>OtherTourDestination!B91</f>
        <v>92</v>
      </c>
      <c r="O83" s="479" t="str">
        <f>OtherTourDestination!C91</f>
        <v>Gamma092</v>
      </c>
      <c r="P83" s="481">
        <f>OtherTourDestination!E91</f>
        <v>-0.20086270196799999</v>
      </c>
      <c r="Q83" s="559">
        <f si="10" t="shared"/>
        <v>-0.20086270196799999</v>
      </c>
    </row>
    <row r="84" spans="13:17" x14ac:dyDescent="0.25">
      <c r="M84" s="479" t="str">
        <f>VLOOKUP(N84,Coeff_Descr!$A:$D,3,FALSE)</f>
        <v>PERSBUS/MED</v>
      </c>
      <c r="N84" s="479">
        <f>OtherTourDestination!B92</f>
        <v>93</v>
      </c>
      <c r="O84" s="479" t="str">
        <f>OtherTourDestination!C92</f>
        <v>Gamma093</v>
      </c>
      <c r="P84" s="481">
        <f>OtherTourDestination!E92</f>
        <v>-2.1843835309699999</v>
      </c>
      <c r="Q84" s="559">
        <f si="10" t="shared"/>
        <v>-2.1843835309699999</v>
      </c>
    </row>
    <row r="85" spans="13:17" x14ac:dyDescent="0.25">
      <c r="M85" s="479" t="str">
        <f>VLOOKUP(N85,Coeff_Descr!$A:$D,3,FALSE)</f>
        <v>PERSBUS/MED</v>
      </c>
      <c r="N85" s="479">
        <f>OtherTourDestination!B93</f>
        <v>94</v>
      </c>
      <c r="O85" s="479" t="str">
        <f>OtherTourDestination!C93</f>
        <v>Gamma094</v>
      </c>
      <c r="P85" s="481">
        <f>OtherTourDestination!E93</f>
        <v>0</v>
      </c>
      <c r="Q85" s="559">
        <f si="10" t="shared"/>
        <v>0</v>
      </c>
    </row>
    <row r="86" spans="13:17" x14ac:dyDescent="0.25">
      <c r="M86" s="479" t="str">
        <f>VLOOKUP(N86,Coeff_Descr!$A:$D,3,FALSE)</f>
        <v>PERSBUS/MED</v>
      </c>
      <c r="N86" s="479">
        <f>OtherTourDestination!B94</f>
        <v>95</v>
      </c>
      <c r="O86" s="479" t="str">
        <f>OtherTourDestination!C94</f>
        <v>Gamma095</v>
      </c>
      <c r="P86" s="481">
        <f>OtherTourDestination!E94</f>
        <v>-9.9476357147400005</v>
      </c>
      <c r="Q86" s="559">
        <f si="10" t="shared"/>
        <v>-9.9476357147400005</v>
      </c>
    </row>
    <row r="87" spans="13:17" x14ac:dyDescent="0.25">
      <c r="M87" s="479" t="str">
        <f>VLOOKUP(N87,Coeff_Descr!$A:$D,3,FALSE)</f>
        <v>PERSBUS/MED</v>
      </c>
      <c r="N87" s="479">
        <f>OtherTourDestination!B95</f>
        <v>96</v>
      </c>
      <c r="O87" s="479" t="str">
        <f>OtherTourDestination!C95</f>
        <v>Gamma096</v>
      </c>
      <c r="P87" s="481">
        <f>OtherTourDestination!E95</f>
        <v>-12.800107987600001</v>
      </c>
      <c r="Q87" s="559">
        <f si="10" t="shared"/>
        <v>-12.800107987600001</v>
      </c>
    </row>
    <row r="88" spans="13:17" x14ac:dyDescent="0.25">
      <c r="M88" s="479" t="str">
        <f>VLOOKUP(N88,Coeff_Descr!$A:$D,3,FALSE)</f>
        <v>PERSBUS/MED</v>
      </c>
      <c r="N88" s="479">
        <f>OtherTourDestination!B96</f>
        <v>97</v>
      </c>
      <c r="O88" s="479" t="str">
        <f>OtherTourDestination!C96</f>
        <v>Gamma097</v>
      </c>
      <c r="P88" s="481">
        <f>OtherTourDestination!E96</f>
        <v>-30</v>
      </c>
      <c r="Q88" s="559">
        <f si="10" t="shared"/>
        <v>-30</v>
      </c>
    </row>
    <row r="89" spans="13:17" x14ac:dyDescent="0.25">
      <c r="M89" s="479" t="str">
        <f>VLOOKUP(N89,Coeff_Descr!$A:$D,3,FALSE)</f>
        <v>SHOP</v>
      </c>
      <c r="N89" s="479">
        <f>OtherTourDestination!B97</f>
        <v>98</v>
      </c>
      <c r="O89" s="479" t="str">
        <f>OtherTourDestination!C97</f>
        <v>Gamma098</v>
      </c>
      <c r="P89" s="481">
        <f>OtherTourDestination!E97</f>
        <v>-21.699928591700001</v>
      </c>
      <c r="Q89" s="559">
        <f si="10" t="shared"/>
        <v>-21.699928591700001</v>
      </c>
    </row>
    <row r="90" spans="13:17" x14ac:dyDescent="0.25">
      <c r="M90" s="479" t="str">
        <f>VLOOKUP(N90,Coeff_Descr!$A:$D,3,FALSE)</f>
        <v>SHOP</v>
      </c>
      <c r="N90" s="479">
        <f>OtherTourDestination!B98</f>
        <v>99</v>
      </c>
      <c r="O90" s="479" t="str">
        <f>OtherTourDestination!C98</f>
        <v>Gamma099</v>
      </c>
      <c r="P90" s="481">
        <f>OtherTourDestination!E98</f>
        <v>-17.700475093400001</v>
      </c>
      <c r="Q90" s="559">
        <f si="10" t="shared"/>
        <v>-17.700475093400001</v>
      </c>
    </row>
    <row r="91" spans="13:17" x14ac:dyDescent="0.25">
      <c r="M91" s="479" t="str">
        <f>VLOOKUP(N91,Coeff_Descr!$A:$D,3,FALSE)</f>
        <v>SHOP</v>
      </c>
      <c r="N91" s="479">
        <f>OtherTourDestination!B99</f>
        <v>100</v>
      </c>
      <c r="O91" s="479" t="str">
        <f>OtherTourDestination!C99</f>
        <v>Gamma100</v>
      </c>
      <c r="P91" s="481">
        <f>OtherTourDestination!E99</f>
        <v>-0.7</v>
      </c>
      <c r="Q91" s="559">
        <f si="10" t="shared"/>
        <v>-0.7</v>
      </c>
    </row>
    <row r="92" spans="13:17" x14ac:dyDescent="0.25">
      <c r="M92" s="479" t="str">
        <f>VLOOKUP(N92,Coeff_Descr!$A:$D,3,FALSE)</f>
        <v>SHOP</v>
      </c>
      <c r="N92" s="479">
        <f>OtherTourDestination!B100</f>
        <v>101</v>
      </c>
      <c r="O92" s="479" t="str">
        <f>OtherTourDestination!C100</f>
        <v>Gamma101</v>
      </c>
      <c r="P92" s="481">
        <f>OtherTourDestination!E100</f>
        <v>-17.8758745875</v>
      </c>
      <c r="Q92" s="559">
        <f si="10" t="shared"/>
        <v>-17.8758745875</v>
      </c>
    </row>
    <row r="93" spans="13:17" x14ac:dyDescent="0.25">
      <c r="M93" s="479" t="str">
        <f>VLOOKUP(N93,Coeff_Descr!$A:$D,3,FALSE)</f>
        <v>MEAL</v>
      </c>
      <c r="N93" s="479">
        <f>OtherTourDestination!B101</f>
        <v>102</v>
      </c>
      <c r="O93" s="479" t="str">
        <f>OtherTourDestination!C101</f>
        <v>Gamma102</v>
      </c>
      <c r="P93" s="481">
        <f>OtherTourDestination!E101</f>
        <v>0</v>
      </c>
      <c r="Q93" s="559">
        <f si="10" t="shared"/>
        <v>0</v>
      </c>
    </row>
    <row r="94" spans="13:17" x14ac:dyDescent="0.25">
      <c r="M94" s="479" t="str">
        <f>VLOOKUP(N94,Coeff_Descr!$A:$D,3,FALSE)</f>
        <v>MEAL</v>
      </c>
      <c r="N94" s="479">
        <f>OtherTourDestination!B102</f>
        <v>103</v>
      </c>
      <c r="O94" s="479" t="str">
        <f>OtherTourDestination!C102</f>
        <v>Gamma103</v>
      </c>
      <c r="P94" s="481">
        <f>OtherTourDestination!E102</f>
        <v>5</v>
      </c>
      <c r="Q94" s="559">
        <f si="10" t="shared"/>
        <v>5</v>
      </c>
    </row>
    <row r="95" spans="13:17" x14ac:dyDescent="0.25">
      <c r="M95" s="479" t="str">
        <f>VLOOKUP(N95,Coeff_Descr!$A:$D,3,FALSE)</f>
        <v>MEAL</v>
      </c>
      <c r="N95" s="479">
        <f>OtherTourDestination!B103</f>
        <v>104</v>
      </c>
      <c r="O95" s="479" t="str">
        <f>OtherTourDestination!C103</f>
        <v>Gamma104</v>
      </c>
      <c r="P95" s="481">
        <f>OtherTourDestination!E103</f>
        <v>-30</v>
      </c>
      <c r="Q95" s="559">
        <f si="10" t="shared"/>
        <v>-30</v>
      </c>
    </row>
    <row r="96" spans="13:17" x14ac:dyDescent="0.25">
      <c r="M96" s="479" t="str">
        <f>VLOOKUP(N96,Coeff_Descr!$A:$D,3,FALSE)</f>
        <v>MEAL</v>
      </c>
      <c r="N96" s="479">
        <f>OtherTourDestination!B104</f>
        <v>105</v>
      </c>
      <c r="O96" s="479" t="str">
        <f>OtherTourDestination!C104</f>
        <v>Gamma105</v>
      </c>
      <c r="P96" s="481">
        <f>OtherTourDestination!E104</f>
        <v>-24.158093970700001</v>
      </c>
      <c r="Q96" s="559">
        <f si="10" t="shared"/>
        <v>-24.158093970700001</v>
      </c>
    </row>
    <row r="97" spans="13:17" x14ac:dyDescent="0.25">
      <c r="M97" s="479" t="str">
        <f>VLOOKUP(N97,Coeff_Descr!$A:$D,3,FALSE)</f>
        <v>SOCREC</v>
      </c>
      <c r="N97" s="479">
        <f>OtherTourDestination!B105</f>
        <v>106</v>
      </c>
      <c r="O97" s="479" t="str">
        <f>OtherTourDestination!C105</f>
        <v>Gamma106</v>
      </c>
      <c r="P97" s="481">
        <f>OtherTourDestination!E105</f>
        <v>-9.5803170794600003</v>
      </c>
      <c r="Q97" s="559">
        <f si="10" t="shared"/>
        <v>-9.5803170794600003</v>
      </c>
    </row>
    <row r="98" spans="13:17" x14ac:dyDescent="0.25">
      <c r="M98" s="479" t="str">
        <f>VLOOKUP(N98,Coeff_Descr!$A:$D,3,FALSE)</f>
        <v>SOCREC</v>
      </c>
      <c r="N98" s="479">
        <f>OtherTourDestination!B106</f>
        <v>107</v>
      </c>
      <c r="O98" s="479" t="str">
        <f>OtherTourDestination!C106</f>
        <v>Gamma107</v>
      </c>
      <c r="P98" s="481">
        <f>OtherTourDestination!E106</f>
        <v>0</v>
      </c>
      <c r="Q98" s="559">
        <f si="10" t="shared"/>
        <v>0</v>
      </c>
    </row>
    <row r="99" spans="13:17" x14ac:dyDescent="0.25">
      <c r="M99" s="479" t="str">
        <f>VLOOKUP(N99,Coeff_Descr!$A:$D,3,FALSE)</f>
        <v>SOCREC</v>
      </c>
      <c r="N99" s="479">
        <f>OtherTourDestination!B107</f>
        <v>108</v>
      </c>
      <c r="O99" s="479" t="str">
        <f>OtherTourDestination!C107</f>
        <v>Gamma108</v>
      </c>
      <c r="P99" s="481">
        <f>OtherTourDestination!E107</f>
        <v>-15.671349338700001</v>
      </c>
      <c r="Q99" s="559">
        <f si="10" t="shared"/>
        <v>-15.671349338700001</v>
      </c>
    </row>
    <row r="100" spans="13:17" x14ac:dyDescent="0.25">
      <c r="M100" s="479" t="str">
        <f>VLOOKUP(N100,Coeff_Descr!$A:$D,3,FALSE)</f>
        <v>SOCREC</v>
      </c>
      <c r="N100" s="479">
        <f>OtherTourDestination!B108</f>
        <v>109</v>
      </c>
      <c r="O100" s="479" t="str">
        <f>OtherTourDestination!C108</f>
        <v>Gamma109</v>
      </c>
      <c r="P100" s="481">
        <f>OtherTourDestination!E108</f>
        <v>-18.208541213899998</v>
      </c>
      <c r="Q100" s="559">
        <f si="10" t="shared"/>
        <v>-18.208541213899998</v>
      </c>
    </row>
    <row r="101" spans="13:17" x14ac:dyDescent="0.25">
      <c r="M101" s="479" t="str">
        <f>VLOOKUP(N101,Coeff_Descr!$A:$D,3,FALSE)</f>
        <v>SOCREC</v>
      </c>
      <c r="N101" s="479">
        <f>OtherTourDestination!B109</f>
        <v>110</v>
      </c>
      <c r="O101" s="479" t="str">
        <f>OtherTourDestination!C109</f>
        <v>Gamma110</v>
      </c>
      <c r="P101" s="481">
        <f>OtherTourDestination!E109</f>
        <v>-11.2471450075</v>
      </c>
      <c r="Q101" s="559">
        <f si="10" t="shared"/>
        <v>-11.2471450075</v>
      </c>
    </row>
    <row r="102" spans="13:17" x14ac:dyDescent="0.25">
      <c r="M102" s="479" t="str">
        <f>VLOOKUP(N102,Coeff_Descr!$A:$D,3,FALSE)</f>
        <v>SOCREC</v>
      </c>
      <c r="N102" s="479">
        <f>OtherTourDestination!B110</f>
        <v>111</v>
      </c>
      <c r="O102" s="479" t="str">
        <f>OtherTourDestination!C110</f>
        <v>Gamma111</v>
      </c>
      <c r="P102" s="481">
        <f>OtherTourDestination!E110</f>
        <v>-10.0807778908</v>
      </c>
      <c r="Q102" s="559">
        <f si="10" t="shared"/>
        <v>-10.0807778908</v>
      </c>
    </row>
    <row r="103" spans="13:17" x14ac:dyDescent="0.25">
      <c r="M103" s="479" t="str">
        <f>VLOOKUP(N103,Coeff_Descr!$A:$D,3,FALSE)</f>
        <v>SOCREC</v>
      </c>
      <c r="N103" s="479">
        <f>OtherTourDestination!B111</f>
        <v>112</v>
      </c>
      <c r="O103" s="479" t="str">
        <f>OtherTourDestination!C111</f>
        <v>Gamma112</v>
      </c>
      <c r="P103" s="481">
        <f>OtherTourDestination!E111</f>
        <v>-5.6623999999999999</v>
      </c>
      <c r="Q103" s="559">
        <f si="10" t="shared"/>
        <v>-5.6623999999999999</v>
      </c>
    </row>
    <row r="104" spans="13:17" x14ac:dyDescent="0.25">
      <c r="M104" s="479" t="str">
        <f>VLOOKUP(N104,Coeff_Descr!$A:$D,3,FALSE)</f>
        <v>SOCREC</v>
      </c>
      <c r="N104" s="479">
        <f>OtherTourDestination!B112</f>
        <v>113</v>
      </c>
      <c r="O104" s="479" t="str">
        <f>OtherTourDestination!C112</f>
        <v>Gamma113</v>
      </c>
      <c r="P104" s="481">
        <f>OtherTourDestination!E112</f>
        <v>-12.0597581892</v>
      </c>
      <c r="Q104" s="559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2019-10-07T21:08:13Z</dcterms:modified>
</cp:coreProperties>
</file>