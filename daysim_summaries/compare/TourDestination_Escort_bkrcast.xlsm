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name="AVGD" localSheetId="2">'bkrcast_all'!$L$11:$L$13</definedName>
    <definedName name="AVGD" localSheetId="3">'bkrcast_inbkr'!$L$11:$L$13</definedName>
    <definedName name="AVGD" localSheetId="4">'bkrcast_outbkr'!$L$11:$L$13</definedName>
    <definedName name="AVGD" localSheetId="1">'soundcast'!$L$11:$L$13</definedName>
    <definedName name="AVGD">'TLFD'!$O$12:$O$13</definedName>
    <definedName name="out1" localSheetId="2">'bkrcast_all'!$B$11:$B$101</definedName>
    <definedName name="out1" localSheetId="3">'bkrcast_inbkr'!$B$11:$B$101</definedName>
    <definedName name="out1" localSheetId="4">'bkrcast_outbkr'!$B$11:$B$101</definedName>
    <definedName name="out1" localSheetId="1">'soundcast'!$B$11:$B$101</definedName>
    <definedName name="out1">'TLFD'!$B$11:$B$101</definedName>
    <definedName name="out2" localSheetId="2">'bkrcast_all'!$F$11:$F$101</definedName>
    <definedName name="out2" localSheetId="3">'bkrcast_inbkr'!$F$11:$F$101</definedName>
    <definedName name="out2" localSheetId="4">'bkrcast_outbkr'!$F$11:$F$101</definedName>
    <definedName name="out2" localSheetId="1">'soundcast'!$F$11:$F$101</definedName>
    <definedName name="out2">'TLFD'!$F$11:$F$101</definedName>
    <definedName name="out5" localSheetId="2">'bkrcast_all'!$K$11:$K$11</definedName>
    <definedName name="out5" localSheetId="3">'bkrcast_inbkr'!$K$11:$K$11</definedName>
    <definedName name="out5" localSheetId="4">'bkrcast_outbkr'!$K$11:$K$11</definedName>
    <definedName name="out5" localSheetId="1">'soundcast'!$K$11:$K$11</definedName>
    <definedName name="out5">'TLFD'!$N$11:$N$11</definedName>
    <definedName name="out6" localSheetId="2">'bkrcast_all'!$L$11:$L$11</definedName>
    <definedName name="out6" localSheetId="3">'bkrcast_inbkr'!$L$11:$L$11</definedName>
    <definedName name="out6" localSheetId="4">'bkrcast_outbkr'!$L$11:$L$11</definedName>
    <definedName name="out6" localSheetId="1">'soundcast'!$L$11:$L$11</definedName>
    <definedName name="out6">'TLFD'!$P$11:$P$11</definedName>
    <definedName name="TLFD" localSheetId="2">'bkrcast_all'!$E$11:$F$102</definedName>
    <definedName name="TLFD" localSheetId="3">'bkrcast_inbkr'!$E$11:$F$102</definedName>
    <definedName name="TLFD" localSheetId="4">'bkrcast_outbkr'!$E$11:$F$102</definedName>
    <definedName name="TLFD" localSheetId="1">'soundcast'!$E$11:$F$102</definedName>
    <definedName name="TLFD">'TLFD'!$E$11:$F$102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_(* #,##0_);_(* \(#,##0\);_(* &quot;-&quot;??_);_(@_)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numFmtId="0" fontId="3" fillId="0" borderId="0"/>
    <xf numFmtId="0" fontId="3" fillId="0" borderId="0"/>
    <xf numFmtId="0" fontId="1" fillId="0" borderId="0"/>
    <xf numFmtId="0" fontId="3" fillId="0" borderId="0"/>
    <xf numFmtId="0" fontId="3" fillId="2" borderId="0"/>
    <xf numFmtId="0" fontId="3" fillId="0" borderId="0"/>
    <xf numFmtId="0" fontId="3" fillId="0" borderId="0"/>
    <xf numFmtId="0" fontId="3" fillId="0" borderId="0"/>
  </cellStyleXfs>
  <cellXfs count="18">
    <xf numFmtId="0" fontId="0" fillId="0" borderId="0" pivotButton="0" quotePrefix="0" xfId="0"/>
    <xf numFmtId="0" fontId="0" fillId="0" borderId="1" pivotButton="0" quotePrefix="0" xfId="5"/>
    <xf numFmtId="0" fontId="0" fillId="0" borderId="2" pivotButton="0" quotePrefix="0" xfId="5"/>
    <xf numFmtId="0" fontId="1" fillId="0" borderId="1" pivotButton="0" quotePrefix="0" xfId="5"/>
    <xf numFmtId="2" fontId="0" fillId="0" borderId="0" pivotButton="0" quotePrefix="0" xfId="5"/>
    <xf numFmtId="0" fontId="1" fillId="0" borderId="0" pivotButton="0" quotePrefix="0" xfId="5"/>
    <xf numFmtId="10" fontId="0" fillId="0" borderId="0" pivotButton="0" quotePrefix="0" xfId="5"/>
    <xf numFmtId="0" fontId="2" fillId="0" borderId="0" pivotButton="0" quotePrefix="0" xfId="1"/>
    <xf numFmtId="0" fontId="2" fillId="0" borderId="1" pivotButton="0" quotePrefix="0" xfId="1"/>
    <xf numFmtId="0" fontId="0" fillId="0" borderId="2" applyAlignment="1" pivotButton="0" quotePrefix="0" xfId="5">
      <alignment horizontal="center" vertical="top"/>
    </xf>
    <xf numFmtId="0" fontId="0" fillId="0" borderId="0" pivotButton="0" quotePrefix="0" xfId="5"/>
    <xf numFmtId="164" fontId="0" fillId="0" borderId="0" pivotButton="0" quotePrefix="0" xfId="4"/>
    <xf numFmtId="164" fontId="0" fillId="0" borderId="1" pivotButton="0" quotePrefix="0" xfId="4"/>
    <xf numFmtId="164" fontId="2" fillId="0" borderId="0" pivotButton="0" quotePrefix="0" xfId="4"/>
    <xf numFmtId="164" fontId="2" fillId="0" borderId="1" pivotButton="0" quotePrefix="0" xfId="4"/>
    <xf numFmtId="0" fontId="0" fillId="3" borderId="0" pivotButton="0" quotePrefix="0" xfId="5"/>
    <xf numFmtId="0" fontId="0" fillId="3" borderId="2" applyAlignment="1" pivotButton="0" quotePrefix="0" xfId="5">
      <alignment horizontal="center" vertical="top"/>
    </xf>
    <xf numFmtId="2" fontId="0" fillId="3" borderId="0" pivotButton="0" quotePrefix="0" xfId="5"/>
  </cellXfs>
  <cellStyles count="8">
    <cellStyle name="XLConnect.String" xfId="0"/>
    <cellStyle name="XLConnect.DateTime" xfId="1"/>
    <cellStyle name="XLConnect.General" xfId="2"/>
    <cellStyle name="Normal" xfId="3" builtinId="0"/>
    <cellStyle name="XLConnect.Header" xfId="4"/>
    <cellStyle name="XLConnect.Date" xfId="5"/>
    <cellStyle name="XLConnect.Boolean" xfId="6"/>
    <cellStyle name="XLConnect.Numeric" xfId="7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'TLFD'!G10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'TLFD'!$G$11:$G$100</f>
            </numRef>
          </val>
        </ser>
        <ser>
          <idx val="1"/>
          <order val="1"/>
          <tx>
            <strRef>
              <f>'TLFD'!H10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'TLFD'!$H$11:$H$100</f>
            </numRef>
          </val>
        </ser>
        <ser>
          <idx val="2"/>
          <order val="2"/>
          <tx>
            <strRef>
              <f>'TLFD'!I10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'TLFD'!$I$11:$I$100</f>
            </numRef>
          </val>
        </ser>
        <ser>
          <idx val="3"/>
          <order val="3"/>
          <tx>
            <strRef>
              <f>'TLFD'!J10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'TLFD'!$J$11:$J$100</f>
            </numRef>
          </val>
        </ser>
        <ser>
          <idx val="4"/>
          <order val="4"/>
          <tx>
            <strRef>
              <f>'TLFD'!K10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Tour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Tours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Relationship Type="http://schemas.openxmlformats.org/officeDocument/2006/relationships/chart" Target="/xl/charts/chart37.xml" Id="rId37"/><Relationship Type="http://schemas.openxmlformats.org/officeDocument/2006/relationships/chart" Target="/xl/charts/chart38.xml" Id="rId38"/><Relationship Type="http://schemas.openxmlformats.org/officeDocument/2006/relationships/chart" Target="/xl/charts/chart39.xml" Id="rId39"/><Relationship Type="http://schemas.openxmlformats.org/officeDocument/2006/relationships/chart" Target="/xl/charts/chart40.xml" Id="rId40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S2" sqref="S2"/>
    </sheetView>
  </sheetViews>
  <sheetFormatPr baseColWidth="10" defaultRowHeight="15"/>
  <cols>
    <col collapsed="1" width="13.5703125" customWidth="1" style="10" min="1" max="1"/>
    <col collapsed="1" width="10.5703125" bestFit="1" customWidth="1" style="10" min="2" max="2"/>
    <col collapsed="1" width="10.5703125" bestFit="1" customWidth="1" style="10" min="6" max="6"/>
    <col width="12.140625" bestFit="1" customWidth="1" style="10" min="7" max="7"/>
    <col width="15.7109375" bestFit="1" customWidth="1" style="10" min="8" max="8"/>
    <col width="17.42578125" bestFit="1" customWidth="1" style="10" min="9" max="9"/>
    <col width="10.28515625" bestFit="1" customWidth="1" style="10" min="10" max="10"/>
    <col width="7.7109375" customWidth="1" style="10" min="13" max="13"/>
    <col width="7" bestFit="1" customWidth="1" style="10" min="14" max="14"/>
    <col width="10.28515625" bestFit="1" customWidth="1" style="10" min="15" max="15"/>
    <col width="12.140625" bestFit="1" customWidth="1" style="10" min="16" max="16"/>
    <col width="15.7109375" bestFit="1" customWidth="1" style="10" min="17" max="17"/>
    <col width="17.42578125" bestFit="1" customWidth="1" style="10" min="18" max="18"/>
  </cols>
  <sheetData>
    <row r="1">
      <c r="A1" t="inlineStr">
        <is>
          <t>Trip Length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M9" s="5" t="inlineStr">
        <is>
          <t>Table X. Average Half Tour Length (miles)</t>
        </is>
      </c>
      <c r="N9" s="15" t="n"/>
      <c r="O9" s="15" t="n"/>
      <c r="P9" s="15" t="n"/>
      <c r="Q9" s="15" t="n"/>
      <c r="R9" s="15" t="n"/>
    </row>
    <row r="10">
      <c r="A10" s="2" t="inlineStr">
        <is>
          <t>Distance (mi)</t>
        </is>
      </c>
      <c r="B10" s="9" t="inlineStr">
        <is>
          <t>Survey</t>
        </is>
      </c>
      <c r="C10" s="9" t="inlineStr">
        <is>
          <t>Survey</t>
        </is>
      </c>
      <c r="E10" s="2" t="inlineStr">
        <is>
          <t>Distance (mi)</t>
        </is>
      </c>
      <c r="F10" s="9" t="inlineStr">
        <is>
          <t>DaySim</t>
        </is>
      </c>
      <c r="G10" s="9" t="inlineStr">
        <is>
          <t>BKRCast (all)</t>
        </is>
      </c>
      <c r="H10" s="9" t="inlineStr">
        <is>
          <t>BKRCast (In BKR)</t>
        </is>
      </c>
      <c r="I10" s="9" t="inlineStr">
        <is>
          <t>BKRCast (Out BKR)</t>
        </is>
      </c>
      <c r="J10" s="9" t="inlineStr">
        <is>
          <t>SoundCast</t>
        </is>
      </c>
      <c r="K10">
        <f>C10</f>
        <v/>
      </c>
      <c r="M10" s="2" t="n"/>
      <c r="N10" s="16" t="inlineStr">
        <is>
          <t>Survey</t>
        </is>
      </c>
      <c r="O10" s="16" t="inlineStr">
        <is>
          <t>SoundCast</t>
        </is>
      </c>
      <c r="P10" s="16" t="inlineStr">
        <is>
          <t>BKRCast (all)</t>
        </is>
      </c>
      <c r="Q10" s="16" t="inlineStr">
        <is>
          <t>BKRCast (In BKR)</t>
        </is>
      </c>
      <c r="R10" s="16" t="inlineStr">
        <is>
          <t>BKRCast (Out BKR)</t>
        </is>
      </c>
    </row>
    <row r="11">
      <c r="A11" t="n">
        <v>0</v>
      </c>
      <c r="B11" s="11">
        <f>bkrcast_all!B11</f>
        <v/>
      </c>
      <c r="C11" s="6">
        <f>bkrcast_all!C11</f>
        <v/>
      </c>
      <c r="E11" s="7" t="n">
        <v>0</v>
      </c>
      <c r="F11" s="13" t="n">
        <v>55422.00707505151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6">
        <f>C11</f>
        <v/>
      </c>
      <c r="N11" s="17">
        <f>bkrcast_all!K11</f>
        <v/>
      </c>
      <c r="O11" s="17">
        <f>soundcast!L11</f>
        <v/>
      </c>
      <c r="P11" s="17">
        <f>bkrcast_all!L11</f>
        <v/>
      </c>
      <c r="Q11" s="17">
        <f>bkrcast_inbkr!L11</f>
        <v/>
      </c>
      <c r="R11" s="17">
        <f>bkrcast_outbkr!L11</f>
        <v/>
      </c>
    </row>
    <row r="12">
      <c r="A12" t="n">
        <v>1</v>
      </c>
      <c r="B12" s="11">
        <f>bkrcast_all!B12</f>
        <v/>
      </c>
      <c r="C12" s="6">
        <f>bkrcast_all!C12</f>
        <v/>
      </c>
      <c r="E12" s="7" t="n">
        <v>1</v>
      </c>
      <c r="F12" s="13" t="n">
        <v>46482.17539260309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6">
        <f>C12</f>
        <v/>
      </c>
      <c r="N12" s="4" t="n"/>
      <c r="O12" s="7" t="n"/>
    </row>
    <row r="13">
      <c r="A13" t="n">
        <v>2</v>
      </c>
      <c r="B13" s="11">
        <f>bkrcast_all!B13</f>
        <v/>
      </c>
      <c r="C13" s="6">
        <f>bkrcast_all!C13</f>
        <v/>
      </c>
      <c r="E13" s="7" t="n">
        <v>2</v>
      </c>
      <c r="F13" s="13" t="n">
        <v>31339.59607372017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6">
        <f>C13</f>
        <v/>
      </c>
    </row>
    <row r="14">
      <c r="A14" t="n">
        <v>3</v>
      </c>
      <c r="B14" s="11">
        <f>bkrcast_all!B14</f>
        <v/>
      </c>
      <c r="C14" s="6">
        <f>bkrcast_all!C14</f>
        <v/>
      </c>
      <c r="E14" s="7" t="n">
        <v>3</v>
      </c>
      <c r="F14" s="13" t="n">
        <v>20874.03331497723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6">
        <f>C14</f>
        <v/>
      </c>
    </row>
    <row r="15">
      <c r="A15" t="n">
        <v>4</v>
      </c>
      <c r="B15" s="11">
        <f>bkrcast_all!B15</f>
        <v/>
      </c>
      <c r="C15" s="6">
        <f>bkrcast_all!C15</f>
        <v/>
      </c>
      <c r="E15" s="7" t="n">
        <v>4</v>
      </c>
      <c r="F15" s="13" t="n">
        <v>79222.38871795457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6">
        <f>C15</f>
        <v/>
      </c>
    </row>
    <row r="16">
      <c r="A16" t="n">
        <v>5</v>
      </c>
      <c r="B16" s="11">
        <f>bkrcast_all!B16</f>
        <v/>
      </c>
      <c r="C16" s="6">
        <f>bkrcast_all!C16</f>
        <v/>
      </c>
      <c r="E16" s="7" t="n">
        <v>5</v>
      </c>
      <c r="F16" s="13" t="n">
        <v>44799.10294992446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6">
        <f>C16</f>
        <v/>
      </c>
    </row>
    <row r="17">
      <c r="A17" t="n">
        <v>6</v>
      </c>
      <c r="B17" s="11">
        <f>bkrcast_all!B17</f>
        <v/>
      </c>
      <c r="C17" s="6">
        <f>bkrcast_all!C17</f>
        <v/>
      </c>
      <c r="E17" s="7" t="n">
        <v>6</v>
      </c>
      <c r="F17" s="13" t="n">
        <v>39220.0232642142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6">
        <f>C17</f>
        <v/>
      </c>
    </row>
    <row r="18">
      <c r="A18" t="n">
        <v>7</v>
      </c>
      <c r="B18" s="11">
        <f>bkrcast_all!B18</f>
        <v/>
      </c>
      <c r="C18" s="6">
        <f>bkrcast_all!C18</f>
        <v/>
      </c>
      <c r="E18" s="7" t="n">
        <v>7</v>
      </c>
      <c r="F18" s="13" t="n">
        <v>20104.23111613754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6">
        <f>C18</f>
        <v/>
      </c>
    </row>
    <row r="19">
      <c r="A19" t="n">
        <v>8</v>
      </c>
      <c r="B19" s="11">
        <f>bkrcast_all!B19</f>
        <v/>
      </c>
      <c r="C19" s="6">
        <f>bkrcast_all!C19</f>
        <v/>
      </c>
      <c r="E19" s="7" t="n">
        <v>8</v>
      </c>
      <c r="F19" s="13" t="n">
        <v>36538.31382238567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6">
        <f>C19</f>
        <v/>
      </c>
    </row>
    <row r="20">
      <c r="A20" t="n">
        <v>9</v>
      </c>
      <c r="B20" s="11">
        <f>bkrcast_all!B20</f>
        <v/>
      </c>
      <c r="C20" s="6">
        <f>bkrcast_all!C20</f>
        <v/>
      </c>
      <c r="E20" s="7" t="n">
        <v>9</v>
      </c>
      <c r="F20" s="13" t="n">
        <v>12384.83798384682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6">
        <f>C20</f>
        <v/>
      </c>
    </row>
    <row r="21">
      <c r="A21" t="n">
        <v>10</v>
      </c>
      <c r="B21" s="11">
        <f>bkrcast_all!B21</f>
        <v/>
      </c>
      <c r="C21" s="6">
        <f>bkrcast_all!C21</f>
        <v/>
      </c>
      <c r="E21" s="7" t="n">
        <v>10</v>
      </c>
      <c r="F21" s="13" t="n">
        <v>10494.11324835616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6">
        <f>C21</f>
        <v/>
      </c>
    </row>
    <row r="22">
      <c r="A22" t="n">
        <v>11</v>
      </c>
      <c r="B22" s="11">
        <f>bkrcast_all!B22</f>
        <v/>
      </c>
      <c r="C22" s="6">
        <f>bkrcast_all!C22</f>
        <v/>
      </c>
      <c r="E22" s="7" t="n">
        <v>11</v>
      </c>
      <c r="F22" s="13" t="n">
        <v>12685.08307608961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6">
        <f>C22</f>
        <v/>
      </c>
    </row>
    <row r="23">
      <c r="A23" t="n">
        <v>12</v>
      </c>
      <c r="B23" s="11">
        <f>bkrcast_all!B23</f>
        <v/>
      </c>
      <c r="C23" s="6">
        <f>bkrcast_all!C23</f>
        <v/>
      </c>
      <c r="E23" s="7" t="n">
        <v>12</v>
      </c>
      <c r="F23" s="13" t="n">
        <v>9808.245669675864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6">
        <f>C23</f>
        <v/>
      </c>
    </row>
    <row r="24">
      <c r="A24" t="n">
        <v>13</v>
      </c>
      <c r="B24" s="11">
        <f>bkrcast_all!B24</f>
        <v/>
      </c>
      <c r="C24" s="6">
        <f>bkrcast_all!C24</f>
        <v/>
      </c>
      <c r="E24" s="7" t="n">
        <v>13</v>
      </c>
      <c r="F24" s="13" t="n">
        <v>8745.085483717576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6">
        <f>C24</f>
        <v/>
      </c>
    </row>
    <row r="25">
      <c r="A25" t="n">
        <v>14</v>
      </c>
      <c r="B25" s="11">
        <f>bkrcast_all!B25</f>
        <v/>
      </c>
      <c r="C25" s="6">
        <f>bkrcast_all!C25</f>
        <v/>
      </c>
      <c r="E25" s="7" t="n">
        <v>14</v>
      </c>
      <c r="F25" s="13" t="n">
        <v>13489.80702510625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6">
        <f>C25</f>
        <v/>
      </c>
    </row>
    <row r="26">
      <c r="A26" t="n">
        <v>15</v>
      </c>
      <c r="B26" s="11">
        <f>bkrcast_all!B26</f>
        <v/>
      </c>
      <c r="C26" s="6">
        <f>bkrcast_all!C26</f>
        <v/>
      </c>
      <c r="E26" s="7" t="n">
        <v>15</v>
      </c>
      <c r="F26" s="13" t="n">
        <v>16664.66609125341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6">
        <f>C26</f>
        <v/>
      </c>
    </row>
    <row r="27">
      <c r="A27" t="n">
        <v>16</v>
      </c>
      <c r="B27" s="11">
        <f>bkrcast_all!B27</f>
        <v/>
      </c>
      <c r="C27" s="6">
        <f>bkrcast_all!C27</f>
        <v/>
      </c>
      <c r="E27" s="7" t="n">
        <v>16</v>
      </c>
      <c r="F27" s="13" t="n">
        <v>6342.597931685169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6">
        <f>C27</f>
        <v/>
      </c>
    </row>
    <row r="28">
      <c r="A28" t="n">
        <v>17</v>
      </c>
      <c r="B28" s="11">
        <f>bkrcast_all!B28</f>
        <v/>
      </c>
      <c r="C28" s="6">
        <f>bkrcast_all!C28</f>
        <v/>
      </c>
      <c r="E28" s="7" t="n">
        <v>17</v>
      </c>
      <c r="F28" s="13" t="n">
        <v>8073.188042954156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6">
        <f>C28</f>
        <v/>
      </c>
    </row>
    <row r="29">
      <c r="A29" t="n">
        <v>18</v>
      </c>
      <c r="B29" s="11">
        <f>bkrcast_all!B29</f>
        <v/>
      </c>
      <c r="C29" s="6">
        <f>bkrcast_all!C29</f>
        <v/>
      </c>
      <c r="E29" s="7" t="n">
        <v>18</v>
      </c>
      <c r="F29" s="13" t="n">
        <v>6089.490537125844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6">
        <f>C29</f>
        <v/>
      </c>
    </row>
    <row r="30">
      <c r="A30" t="n">
        <v>19</v>
      </c>
      <c r="B30" s="11">
        <f>bkrcast_all!B30</f>
        <v/>
      </c>
      <c r="C30" s="6">
        <f>bkrcast_all!C30</f>
        <v/>
      </c>
      <c r="E30" s="7" t="n">
        <v>19</v>
      </c>
      <c r="F30" s="13" t="n">
        <v>5068.303025108557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6">
        <f>C30</f>
        <v/>
      </c>
    </row>
    <row r="31">
      <c r="A31" t="n">
        <v>20</v>
      </c>
      <c r="B31" s="11">
        <f>bkrcast_all!B31</f>
        <v/>
      </c>
      <c r="C31" s="6">
        <f>bkrcast_all!C31</f>
        <v/>
      </c>
      <c r="E31" s="7" t="n">
        <v>20</v>
      </c>
      <c r="F31" s="13" t="n">
        <v>4699.903469522978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6">
        <f>C31</f>
        <v/>
      </c>
    </row>
    <row r="32">
      <c r="A32" t="n">
        <v>21</v>
      </c>
      <c r="B32" s="11">
        <f>bkrcast_all!B32</f>
        <v/>
      </c>
      <c r="C32" s="6">
        <f>bkrcast_all!C32</f>
        <v/>
      </c>
      <c r="E32" s="7" t="n">
        <v>21</v>
      </c>
      <c r="F32" s="13" t="n">
        <v>5058.812904883817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6">
        <f>C32</f>
        <v/>
      </c>
    </row>
    <row r="33">
      <c r="A33" t="n">
        <v>22</v>
      </c>
      <c r="B33" s="11">
        <f>bkrcast_all!B33</f>
        <v/>
      </c>
      <c r="C33" s="6">
        <f>bkrcast_all!C33</f>
        <v/>
      </c>
      <c r="E33" s="7" t="n">
        <v>22</v>
      </c>
      <c r="F33" s="13" t="n">
        <v>3578.942003722183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6">
        <f>C33</f>
        <v/>
      </c>
    </row>
    <row r="34">
      <c r="A34" t="n">
        <v>23</v>
      </c>
      <c r="B34" s="11">
        <f>bkrcast_all!B34</f>
        <v/>
      </c>
      <c r="C34" s="6">
        <f>bkrcast_all!C34</f>
        <v/>
      </c>
      <c r="E34" s="7" t="n">
        <v>23</v>
      </c>
      <c r="F34" s="13" t="n">
        <v>4472.308767824732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6">
        <f>C34</f>
        <v/>
      </c>
    </row>
    <row r="35">
      <c r="A35" t="n">
        <v>24</v>
      </c>
      <c r="B35" s="11">
        <f>bkrcast_all!B35</f>
        <v/>
      </c>
      <c r="C35" s="6">
        <f>bkrcast_all!C35</f>
        <v/>
      </c>
      <c r="E35" s="7" t="n">
        <v>24</v>
      </c>
      <c r="F35" s="13" t="n">
        <v>3680.845523133414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6">
        <f>C35</f>
        <v/>
      </c>
    </row>
    <row r="36">
      <c r="A36" t="n">
        <v>25</v>
      </c>
      <c r="B36" s="11">
        <f>bkrcast_all!B36</f>
        <v/>
      </c>
      <c r="C36" s="6">
        <f>bkrcast_all!C36</f>
        <v/>
      </c>
      <c r="E36" s="7" t="n">
        <v>25</v>
      </c>
      <c r="F36" s="13" t="n">
        <v>2670.348354298481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6">
        <f>C36</f>
        <v/>
      </c>
    </row>
    <row r="37">
      <c r="A37" t="n">
        <v>26</v>
      </c>
      <c r="B37" s="11">
        <f>bkrcast_all!B37</f>
        <v/>
      </c>
      <c r="C37" s="6">
        <f>bkrcast_all!C37</f>
        <v/>
      </c>
      <c r="E37" s="7" t="n">
        <v>26</v>
      </c>
      <c r="F37" s="13" t="n">
        <v>2462.684124882305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6">
        <f>C37</f>
        <v/>
      </c>
    </row>
    <row r="38">
      <c r="A38" t="n">
        <v>27</v>
      </c>
      <c r="B38" s="11">
        <f>bkrcast_all!B38</f>
        <v/>
      </c>
      <c r="C38" s="6">
        <f>bkrcast_all!C38</f>
        <v/>
      </c>
      <c r="E38" s="7" t="n">
        <v>27</v>
      </c>
      <c r="F38" s="13" t="n">
        <v>4084.720431008281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6">
        <f>C38</f>
        <v/>
      </c>
    </row>
    <row r="39">
      <c r="A39" t="n">
        <v>28</v>
      </c>
      <c r="B39" s="11">
        <f>bkrcast_all!B39</f>
        <v/>
      </c>
      <c r="C39" s="6">
        <f>bkrcast_all!C39</f>
        <v/>
      </c>
      <c r="E39" s="7" t="n">
        <v>28</v>
      </c>
      <c r="F39" s="13" t="n">
        <v>1905.5280600202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6">
        <f>C39</f>
        <v/>
      </c>
    </row>
    <row r="40">
      <c r="A40" t="n">
        <v>29</v>
      </c>
      <c r="B40" s="11">
        <f>bkrcast_all!B40</f>
        <v/>
      </c>
      <c r="C40" s="6">
        <f>bkrcast_all!C40</f>
        <v/>
      </c>
      <c r="E40" s="7" t="n">
        <v>29</v>
      </c>
      <c r="F40" s="13" t="n">
        <v>2264.7062506918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6">
        <f>C40</f>
        <v/>
      </c>
    </row>
    <row r="41">
      <c r="A41" t="n">
        <v>30</v>
      </c>
      <c r="B41" s="11">
        <f>bkrcast_all!B41</f>
        <v/>
      </c>
      <c r="C41" s="6">
        <f>bkrcast_all!C41</f>
        <v/>
      </c>
      <c r="E41" s="7" t="n">
        <v>30</v>
      </c>
      <c r="F41" s="13" t="n">
        <v>1408.35079529226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6">
        <f>C41</f>
        <v/>
      </c>
    </row>
    <row r="42">
      <c r="A42" t="n">
        <v>31</v>
      </c>
      <c r="B42" s="11">
        <f>bkrcast_all!B42</f>
        <v/>
      </c>
      <c r="C42" s="6">
        <f>bkrcast_all!C42</f>
        <v/>
      </c>
      <c r="E42" s="7" t="n">
        <v>31</v>
      </c>
      <c r="F42" s="13" t="n">
        <v>1332.164924456266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6">
        <f>C42</f>
        <v/>
      </c>
    </row>
    <row r="43">
      <c r="A43" t="n">
        <v>32</v>
      </c>
      <c r="B43" s="11">
        <f>bkrcast_all!B43</f>
        <v/>
      </c>
      <c r="C43" s="6">
        <f>bkrcast_all!C43</f>
        <v/>
      </c>
      <c r="E43" s="7" t="n">
        <v>32</v>
      </c>
      <c r="F43" s="13" t="n">
        <v>1469.130189880613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6">
        <f>C43</f>
        <v/>
      </c>
    </row>
    <row r="44">
      <c r="A44" t="n">
        <v>33</v>
      </c>
      <c r="B44" s="11">
        <f>bkrcast_all!B44</f>
        <v/>
      </c>
      <c r="C44" s="6">
        <f>bkrcast_all!C44</f>
        <v/>
      </c>
      <c r="E44" s="7" t="n">
        <v>33</v>
      </c>
      <c r="F44" s="13" t="n">
        <v>1248.655488551392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6">
        <f>C44</f>
        <v/>
      </c>
    </row>
    <row r="45">
      <c r="A45" t="n">
        <v>34</v>
      </c>
      <c r="B45" s="11">
        <f>bkrcast_all!B45</f>
        <v/>
      </c>
      <c r="C45" s="6">
        <f>bkrcast_all!C45</f>
        <v/>
      </c>
      <c r="E45" s="7" t="n">
        <v>34</v>
      </c>
      <c r="F45" s="13" t="n">
        <v>1074.383177116206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6">
        <f>C45</f>
        <v/>
      </c>
    </row>
    <row r="46">
      <c r="A46" t="n">
        <v>35</v>
      </c>
      <c r="B46" s="11">
        <f>bkrcast_all!B46</f>
        <v/>
      </c>
      <c r="C46" s="6">
        <f>bkrcast_all!C46</f>
        <v/>
      </c>
      <c r="E46" s="7" t="n">
        <v>35</v>
      </c>
      <c r="F46" s="13" t="n">
        <v>806.6026549224923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6">
        <f>C46</f>
        <v/>
      </c>
    </row>
    <row r="47">
      <c r="A47" t="n">
        <v>36</v>
      </c>
      <c r="B47" s="11">
        <f>bkrcast_all!B47</f>
        <v/>
      </c>
      <c r="C47" s="6">
        <f>bkrcast_all!C47</f>
        <v/>
      </c>
      <c r="E47" s="7" t="n">
        <v>36</v>
      </c>
      <c r="F47" s="13" t="n">
        <v>1107.023536000168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6">
        <f>C47</f>
        <v/>
      </c>
    </row>
    <row r="48">
      <c r="A48" t="n">
        <v>37</v>
      </c>
      <c r="B48" s="11">
        <f>bkrcast_all!B48</f>
        <v/>
      </c>
      <c r="C48" s="6">
        <f>bkrcast_all!C48</f>
        <v/>
      </c>
      <c r="E48" s="7" t="n">
        <v>37</v>
      </c>
      <c r="F48" s="13" t="n">
        <v>692.2286453446804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6">
        <f>C48</f>
        <v/>
      </c>
    </row>
    <row r="49">
      <c r="A49" t="n">
        <v>38</v>
      </c>
      <c r="B49" s="11">
        <f>bkrcast_all!B49</f>
        <v/>
      </c>
      <c r="C49" s="6">
        <f>bkrcast_all!C49</f>
        <v/>
      </c>
      <c r="E49" s="7" t="n">
        <v>38</v>
      </c>
      <c r="F49" s="13" t="n">
        <v>588.1296984649593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6">
        <f>C49</f>
        <v/>
      </c>
    </row>
    <row r="50">
      <c r="A50" t="n">
        <v>39</v>
      </c>
      <c r="B50" s="11">
        <f>bkrcast_all!B50</f>
        <v/>
      </c>
      <c r="C50" s="6">
        <f>bkrcast_all!C50</f>
        <v/>
      </c>
      <c r="E50" s="7" t="n">
        <v>39</v>
      </c>
      <c r="F50" s="13" t="n">
        <v>641.45847192753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6">
        <f>C50</f>
        <v/>
      </c>
    </row>
    <row r="51">
      <c r="A51" t="n">
        <v>40</v>
      </c>
      <c r="B51" s="11">
        <f>bkrcast_all!B51</f>
        <v/>
      </c>
      <c r="C51" s="6">
        <f>bkrcast_all!C51</f>
        <v/>
      </c>
      <c r="E51" s="7" t="n">
        <v>40</v>
      </c>
      <c r="F51" s="13" t="n">
        <v>403.4074138863926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6">
        <f>C51</f>
        <v/>
      </c>
    </row>
    <row r="52">
      <c r="A52" t="n">
        <v>41</v>
      </c>
      <c r="B52" s="11">
        <f>bkrcast_all!B52</f>
        <v/>
      </c>
      <c r="C52" s="6">
        <f>bkrcast_all!C52</f>
        <v/>
      </c>
      <c r="E52" s="7" t="n">
        <v>41</v>
      </c>
      <c r="F52" s="13" t="n">
        <v>385.0005359254176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6">
        <f>C52</f>
        <v/>
      </c>
    </row>
    <row r="53">
      <c r="A53" t="n">
        <v>42</v>
      </c>
      <c r="B53" s="11">
        <f>bkrcast_all!B53</f>
        <v/>
      </c>
      <c r="C53" s="6">
        <f>bkrcast_all!C53</f>
        <v/>
      </c>
      <c r="E53" s="7" t="n">
        <v>42</v>
      </c>
      <c r="F53" s="13" t="n">
        <v>247.3308377700336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6">
        <f>C53</f>
        <v/>
      </c>
    </row>
    <row r="54">
      <c r="A54" t="n">
        <v>43</v>
      </c>
      <c r="B54" s="11">
        <f>bkrcast_all!B54</f>
        <v/>
      </c>
      <c r="C54" s="6">
        <f>bkrcast_all!C54</f>
        <v/>
      </c>
      <c r="E54" s="7" t="n">
        <v>43</v>
      </c>
      <c r="F54" s="13" t="n">
        <v>261.6327398107243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6">
        <f>C54</f>
        <v/>
      </c>
    </row>
    <row r="55">
      <c r="A55" t="n">
        <v>44</v>
      </c>
      <c r="B55" s="11">
        <f>bkrcast_all!B55</f>
        <v/>
      </c>
      <c r="C55" s="6">
        <f>bkrcast_all!C55</f>
        <v/>
      </c>
      <c r="E55" s="7" t="n">
        <v>44</v>
      </c>
      <c r="F55" s="13" t="n">
        <v>112.1572089471126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6">
        <f>C55</f>
        <v/>
      </c>
    </row>
    <row r="56">
      <c r="A56" t="n">
        <v>45</v>
      </c>
      <c r="B56" s="11">
        <f>bkrcast_all!B56</f>
        <v/>
      </c>
      <c r="C56" s="6">
        <f>bkrcast_all!C56</f>
        <v/>
      </c>
      <c r="E56" s="7" t="n">
        <v>45</v>
      </c>
      <c r="F56" s="13" t="n">
        <v>300.649811096042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6">
        <f>C56</f>
        <v/>
      </c>
    </row>
    <row r="57">
      <c r="A57" t="n">
        <v>46</v>
      </c>
      <c r="B57" s="11">
        <f>bkrcast_all!B57</f>
        <v/>
      </c>
      <c r="C57" s="6">
        <f>bkrcast_all!C57</f>
        <v/>
      </c>
      <c r="E57" s="7" t="n">
        <v>46</v>
      </c>
      <c r="F57" s="13" t="n">
        <v>248.0800968991771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6">
        <f>C57</f>
        <v/>
      </c>
    </row>
    <row r="58">
      <c r="A58" t="n">
        <v>47</v>
      </c>
      <c r="B58" s="11">
        <f>bkrcast_all!B58</f>
        <v/>
      </c>
      <c r="C58" s="6">
        <f>bkrcast_all!C58</f>
        <v/>
      </c>
      <c r="E58" s="7" t="n">
        <v>47</v>
      </c>
      <c r="F58" s="13" t="n">
        <v>75.35760050395319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6">
        <f>C58</f>
        <v/>
      </c>
    </row>
    <row r="59">
      <c r="A59" t="n">
        <v>48</v>
      </c>
      <c r="B59" s="11">
        <f>bkrcast_all!B59</f>
        <v/>
      </c>
      <c r="C59" s="6">
        <f>bkrcast_all!C59</f>
        <v/>
      </c>
      <c r="E59" s="7" t="n">
        <v>48</v>
      </c>
      <c r="F59" s="13" t="n">
        <v>122.3005653184223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6">
        <f>C59</f>
        <v/>
      </c>
    </row>
    <row r="60">
      <c r="A60" t="n">
        <v>49</v>
      </c>
      <c r="B60" s="11">
        <f>bkrcast_all!B60</f>
        <v/>
      </c>
      <c r="C60" s="6">
        <f>bkrcast_all!C60</f>
        <v/>
      </c>
      <c r="E60" s="7" t="n">
        <v>49</v>
      </c>
      <c r="F60" s="13" t="n">
        <v>72.25373985152123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6">
        <f>C60</f>
        <v/>
      </c>
    </row>
    <row r="61">
      <c r="A61" t="n">
        <v>50</v>
      </c>
      <c r="B61" s="11">
        <f>bkrcast_all!B61</f>
        <v/>
      </c>
      <c r="C61" s="6">
        <f>bkrcast_all!C61</f>
        <v/>
      </c>
      <c r="E61" s="7" t="n">
        <v>50</v>
      </c>
      <c r="F61" s="13" t="n">
        <v>220.6961237383645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6">
        <f>C61</f>
        <v/>
      </c>
    </row>
    <row r="62">
      <c r="A62" t="n">
        <v>51</v>
      </c>
      <c r="B62" s="11">
        <f>bkrcast_all!B62</f>
        <v/>
      </c>
      <c r="C62" s="6">
        <f>bkrcast_all!C62</f>
        <v/>
      </c>
      <c r="E62" s="7" t="n">
        <v>51</v>
      </c>
      <c r="F62" s="13" t="n">
        <v>150.6707424681559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6">
        <f>C62</f>
        <v/>
      </c>
    </row>
    <row r="63">
      <c r="A63" t="n">
        <v>52</v>
      </c>
      <c r="B63" s="11">
        <f>bkrcast_all!B63</f>
        <v/>
      </c>
      <c r="C63" s="6">
        <f>bkrcast_all!C63</f>
        <v/>
      </c>
      <c r="E63" s="7" t="n">
        <v>52</v>
      </c>
      <c r="F63" s="13" t="n">
        <v>94.90709194931036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6">
        <f>C63</f>
        <v/>
      </c>
    </row>
    <row r="64">
      <c r="A64" t="n">
        <v>53</v>
      </c>
      <c r="B64" s="11">
        <f>bkrcast_all!B64</f>
        <v/>
      </c>
      <c r="C64" s="6">
        <f>bkrcast_all!C64</f>
        <v/>
      </c>
      <c r="E64" s="7" t="n">
        <v>53</v>
      </c>
      <c r="F64" s="13" t="n">
        <v>60.77369873431462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6">
        <f>C64</f>
        <v/>
      </c>
    </row>
    <row r="65">
      <c r="A65" t="n">
        <v>54</v>
      </c>
      <c r="B65" s="11">
        <f>bkrcast_all!B65</f>
        <v/>
      </c>
      <c r="C65" s="6">
        <f>bkrcast_all!C65</f>
        <v/>
      </c>
      <c r="E65" s="7" t="n">
        <v>54</v>
      </c>
      <c r="F65" s="13" t="n">
        <v>42.29821049482422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6">
        <f>C65</f>
        <v/>
      </c>
    </row>
    <row r="66">
      <c r="A66" t="n">
        <v>55</v>
      </c>
      <c r="B66" s="11">
        <f>bkrcast_all!B66</f>
        <v/>
      </c>
      <c r="C66" s="6">
        <f>bkrcast_all!C66</f>
        <v/>
      </c>
      <c r="E66" s="7" t="n">
        <v>55</v>
      </c>
      <c r="F66" s="13" t="n">
        <v>35.49254426840631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6">
        <f>C66</f>
        <v/>
      </c>
    </row>
    <row r="67">
      <c r="A67" t="n">
        <v>56</v>
      </c>
      <c r="B67" s="11">
        <f>bkrcast_all!B67</f>
        <v/>
      </c>
      <c r="C67" s="6">
        <f>bkrcast_all!C67</f>
        <v/>
      </c>
      <c r="E67" s="7" t="n">
        <v>56</v>
      </c>
      <c r="F67" s="13" t="n">
        <v>30.43983178491929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6">
        <f>C67</f>
        <v/>
      </c>
    </row>
    <row r="68">
      <c r="A68" t="n">
        <v>57</v>
      </c>
      <c r="B68" s="11">
        <f>bkrcast_all!B68</f>
        <v/>
      </c>
      <c r="C68" s="6">
        <f>bkrcast_all!C68</f>
        <v/>
      </c>
      <c r="E68" s="7" t="n">
        <v>57</v>
      </c>
      <c r="F68" s="13" t="n">
        <v>34.98964896321214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6">
        <f>C68</f>
        <v/>
      </c>
    </row>
    <row r="69">
      <c r="A69" t="n">
        <v>58</v>
      </c>
      <c r="B69" s="11">
        <f>bkrcast_all!B69</f>
        <v/>
      </c>
      <c r="C69" s="6">
        <f>bkrcast_all!C69</f>
        <v/>
      </c>
      <c r="E69" s="7" t="n">
        <v>58</v>
      </c>
      <c r="F69" s="13" t="n">
        <v>10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6">
        <f>C69</f>
        <v/>
      </c>
    </row>
    <row r="70">
      <c r="A70" t="n">
        <v>59</v>
      </c>
      <c r="B70" s="11">
        <f>bkrcast_all!B70</f>
        <v/>
      </c>
      <c r="C70" s="6">
        <f>bkrcast_all!C70</f>
        <v/>
      </c>
      <c r="E70" s="7" t="n">
        <v>59</v>
      </c>
      <c r="F70" s="13" t="n">
        <v>34.9635493202498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6">
        <f>C70</f>
        <v/>
      </c>
    </row>
    <row r="71">
      <c r="A71" t="n">
        <v>60</v>
      </c>
      <c r="B71" s="11">
        <f>bkrcast_all!B71</f>
        <v/>
      </c>
      <c r="C71" s="6">
        <f>bkrcast_all!C71</f>
        <v/>
      </c>
      <c r="E71" s="7" t="n">
        <v>60</v>
      </c>
      <c r="F71" s="13" t="n">
        <v>9.90909090909091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6">
        <f>C71</f>
        <v/>
      </c>
    </row>
    <row r="72">
      <c r="A72" t="n">
        <v>61</v>
      </c>
      <c r="B72" s="11">
        <f>bkrcast_all!B72</f>
        <v/>
      </c>
      <c r="C72" s="6">
        <f>bkrcast_all!C72</f>
        <v/>
      </c>
      <c r="E72" s="7" t="n">
        <v>61</v>
      </c>
      <c r="F72" s="13" t="n">
        <v>50.01934937505836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6">
        <f>C72</f>
        <v/>
      </c>
    </row>
    <row r="73">
      <c r="A73" t="n">
        <v>62</v>
      </c>
      <c r="B73" s="11">
        <f>bkrcast_all!B73</f>
        <v/>
      </c>
      <c r="C73" s="6">
        <f>bkrcast_all!C73</f>
        <v/>
      </c>
      <c r="E73" s="7" t="n">
        <v>62</v>
      </c>
      <c r="F73" s="13" t="n">
        <v>20.025487012987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6">
        <f>C73</f>
        <v/>
      </c>
    </row>
    <row r="74">
      <c r="A74" t="n">
        <v>63</v>
      </c>
      <c r="B74" s="11">
        <f>bkrcast_all!B74</f>
        <v/>
      </c>
      <c r="C74" s="6">
        <f>bkrcast_all!C74</f>
        <v/>
      </c>
      <c r="E74" s="7" t="n">
        <v>63</v>
      </c>
      <c r="F74" s="13" t="n">
        <v>10.0240963855422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6">
        <f>C74</f>
        <v/>
      </c>
    </row>
    <row r="75">
      <c r="A75" t="n">
        <v>64</v>
      </c>
      <c r="B75" s="11">
        <f>bkrcast_all!B75</f>
        <v/>
      </c>
      <c r="C75" s="6">
        <f>bkrcast_all!C75</f>
        <v/>
      </c>
      <c r="E75" s="7" t="n">
        <v>64</v>
      </c>
      <c r="F75" s="1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6">
        <f>C75</f>
        <v/>
      </c>
    </row>
    <row r="76">
      <c r="A76" t="n">
        <v>65</v>
      </c>
      <c r="B76" s="11">
        <f>bkrcast_all!B76</f>
        <v/>
      </c>
      <c r="C76" s="6">
        <f>bkrcast_all!C76</f>
        <v/>
      </c>
      <c r="E76" s="7" t="n">
        <v>65</v>
      </c>
      <c r="F76" s="13" t="n">
        <v>24.86047780015343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6">
        <f>C76</f>
        <v/>
      </c>
    </row>
    <row r="77">
      <c r="A77" t="n">
        <v>66</v>
      </c>
      <c r="B77" s="11">
        <f>bkrcast_all!B77</f>
        <v/>
      </c>
      <c r="C77" s="6">
        <f>bkrcast_all!C77</f>
        <v/>
      </c>
      <c r="E77" s="7" t="n">
        <v>66</v>
      </c>
      <c r="F77" s="1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6">
        <f>C77</f>
        <v/>
      </c>
    </row>
    <row r="78">
      <c r="A78" t="n">
        <v>67</v>
      </c>
      <c r="B78" s="11">
        <f>bkrcast_all!B78</f>
        <v/>
      </c>
      <c r="C78" s="6">
        <f>bkrcast_all!C78</f>
        <v/>
      </c>
      <c r="E78" s="7" t="n">
        <v>67</v>
      </c>
      <c r="F78" s="1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6">
        <f>C78</f>
        <v/>
      </c>
    </row>
    <row r="79">
      <c r="A79" t="n">
        <v>68</v>
      </c>
      <c r="B79" s="11">
        <f>bkrcast_all!B79</f>
        <v/>
      </c>
      <c r="C79" s="6">
        <f>bkrcast_all!C79</f>
        <v/>
      </c>
      <c r="E79" s="7" t="n">
        <v>68</v>
      </c>
      <c r="F79" s="13" t="n">
        <v>19.94888392857143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6">
        <f>C79</f>
        <v/>
      </c>
    </row>
    <row r="80">
      <c r="A80" t="n">
        <v>69</v>
      </c>
      <c r="B80" s="11">
        <f>bkrcast_all!B80</f>
        <v/>
      </c>
      <c r="C80" s="6">
        <f>bkrcast_all!C80</f>
        <v/>
      </c>
      <c r="E80" s="7" t="n">
        <v>69</v>
      </c>
      <c r="F80" s="13" t="n">
        <v>0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6">
        <f>C80</f>
        <v/>
      </c>
    </row>
    <row r="81">
      <c r="A81" t="n">
        <v>70</v>
      </c>
      <c r="B81" s="11">
        <f>bkrcast_all!B81</f>
        <v/>
      </c>
      <c r="C81" s="6">
        <f>bkrcast_all!C81</f>
        <v/>
      </c>
      <c r="E81" s="7" t="n">
        <v>70</v>
      </c>
      <c r="F81" s="13" t="n">
        <v>20.03289050782083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6">
        <f>C81</f>
        <v/>
      </c>
    </row>
    <row r="82">
      <c r="A82" t="n">
        <v>71</v>
      </c>
      <c r="B82" s="11">
        <f>bkrcast_all!B82</f>
        <v/>
      </c>
      <c r="C82" s="6">
        <f>bkrcast_all!C82</f>
        <v/>
      </c>
      <c r="E82" s="7" t="n">
        <v>71</v>
      </c>
      <c r="F82" s="1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6">
        <f>C82</f>
        <v/>
      </c>
    </row>
    <row r="83">
      <c r="A83" t="n">
        <v>72</v>
      </c>
      <c r="B83" s="11">
        <f>bkrcast_all!B83</f>
        <v/>
      </c>
      <c r="C83" s="6">
        <f>bkrcast_all!C83</f>
        <v/>
      </c>
      <c r="E83" s="7" t="n">
        <v>72</v>
      </c>
      <c r="F83" s="13" t="n">
        <v>0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6">
        <f>C83</f>
        <v/>
      </c>
    </row>
    <row r="84">
      <c r="A84" t="n">
        <v>73</v>
      </c>
      <c r="B84" s="11">
        <f>bkrcast_all!B84</f>
        <v/>
      </c>
      <c r="C84" s="6">
        <f>bkrcast_all!C84</f>
        <v/>
      </c>
      <c r="E84" s="7" t="n">
        <v>73</v>
      </c>
      <c r="F84" s="1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6">
        <f>C84</f>
        <v/>
      </c>
    </row>
    <row r="85">
      <c r="A85" t="n">
        <v>74</v>
      </c>
      <c r="B85" s="11">
        <f>bkrcast_all!B85</f>
        <v/>
      </c>
      <c r="C85" s="6">
        <f>bkrcast_all!C85</f>
        <v/>
      </c>
      <c r="E85" s="7" t="n">
        <v>74</v>
      </c>
      <c r="F85" s="1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6">
        <f>C85</f>
        <v/>
      </c>
    </row>
    <row r="86">
      <c r="A86" t="n">
        <v>75</v>
      </c>
      <c r="B86" s="11">
        <f>bkrcast_all!B86</f>
        <v/>
      </c>
      <c r="C86" s="6">
        <f>bkrcast_all!C86</f>
        <v/>
      </c>
      <c r="E86" s="7" t="n">
        <v>75</v>
      </c>
      <c r="F86" s="1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6">
        <f>C86</f>
        <v/>
      </c>
    </row>
    <row r="87">
      <c r="A87" t="n">
        <v>76</v>
      </c>
      <c r="B87" s="11">
        <f>bkrcast_all!B87</f>
        <v/>
      </c>
      <c r="C87" s="6">
        <f>bkrcast_all!C87</f>
        <v/>
      </c>
      <c r="E87" s="7" t="n">
        <v>76</v>
      </c>
      <c r="F87" s="1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6">
        <f>C87</f>
        <v/>
      </c>
    </row>
    <row r="88">
      <c r="A88" t="n">
        <v>77</v>
      </c>
      <c r="B88" s="11">
        <f>bkrcast_all!B88</f>
        <v/>
      </c>
      <c r="C88" s="6">
        <f>bkrcast_all!C88</f>
        <v/>
      </c>
      <c r="E88" s="7" t="n">
        <v>77</v>
      </c>
      <c r="F88" s="1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6">
        <f>C88</f>
        <v/>
      </c>
    </row>
    <row r="89">
      <c r="A89" t="n">
        <v>78</v>
      </c>
      <c r="B89" s="11">
        <f>bkrcast_all!B89</f>
        <v/>
      </c>
      <c r="C89" s="6">
        <f>bkrcast_all!C89</f>
        <v/>
      </c>
      <c r="E89" s="7" t="n">
        <v>78</v>
      </c>
      <c r="F89" s="1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6">
        <f>C89</f>
        <v/>
      </c>
    </row>
    <row r="90">
      <c r="A90" t="n">
        <v>79</v>
      </c>
      <c r="B90" s="11">
        <f>bkrcast_all!B90</f>
        <v/>
      </c>
      <c r="C90" s="6">
        <f>bkrcast_all!C90</f>
        <v/>
      </c>
      <c r="E90" s="7" t="n">
        <v>79</v>
      </c>
      <c r="F90" s="13" t="n">
        <v>0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6">
        <f>C90</f>
        <v/>
      </c>
    </row>
    <row r="91">
      <c r="A91" t="n">
        <v>80</v>
      </c>
      <c r="B91" s="11">
        <f>bkrcast_all!B91</f>
        <v/>
      </c>
      <c r="C91" s="6">
        <f>bkrcast_all!C91</f>
        <v/>
      </c>
      <c r="E91" s="7" t="n">
        <v>80</v>
      </c>
      <c r="F91" s="1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6">
        <f>C91</f>
        <v/>
      </c>
    </row>
    <row r="92">
      <c r="A92" t="n">
        <v>81</v>
      </c>
      <c r="B92" s="11">
        <f>bkrcast_all!B92</f>
        <v/>
      </c>
      <c r="C92" s="6">
        <f>bkrcast_all!C92</f>
        <v/>
      </c>
      <c r="E92" s="7" t="n">
        <v>81</v>
      </c>
      <c r="F92" s="1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6">
        <f>C92</f>
        <v/>
      </c>
    </row>
    <row r="93">
      <c r="A93" t="n">
        <v>82</v>
      </c>
      <c r="B93" s="11">
        <f>bkrcast_all!B93</f>
        <v/>
      </c>
      <c r="C93" s="6">
        <f>bkrcast_all!C93</f>
        <v/>
      </c>
      <c r="E93" s="7" t="n">
        <v>82</v>
      </c>
      <c r="F93" s="1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6">
        <f>C93</f>
        <v/>
      </c>
    </row>
    <row r="94">
      <c r="A94" t="n">
        <v>83</v>
      </c>
      <c r="B94" s="11">
        <f>bkrcast_all!B94</f>
        <v/>
      </c>
      <c r="C94" s="6">
        <f>bkrcast_all!C94</f>
        <v/>
      </c>
      <c r="E94" s="7" t="n">
        <v>83</v>
      </c>
      <c r="F94" s="1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6">
        <f>C94</f>
        <v/>
      </c>
    </row>
    <row r="95">
      <c r="A95" t="n">
        <v>84</v>
      </c>
      <c r="B95" s="11">
        <f>bkrcast_all!B95</f>
        <v/>
      </c>
      <c r="C95" s="6">
        <f>bkrcast_all!C95</f>
        <v/>
      </c>
      <c r="E95" s="7" t="n">
        <v>84</v>
      </c>
      <c r="F95" s="1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6">
        <f>C95</f>
        <v/>
      </c>
    </row>
    <row r="96">
      <c r="A96" t="n">
        <v>85</v>
      </c>
      <c r="B96" s="11">
        <f>bkrcast_all!B96</f>
        <v/>
      </c>
      <c r="C96" s="6">
        <f>bkrcast_all!C96</f>
        <v/>
      </c>
      <c r="E96" s="7" t="n">
        <v>85</v>
      </c>
      <c r="F96" s="1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6">
        <f>C96</f>
        <v/>
      </c>
    </row>
    <row r="97">
      <c r="A97" t="n">
        <v>86</v>
      </c>
      <c r="B97" s="11">
        <f>bkrcast_all!B97</f>
        <v/>
      </c>
      <c r="C97" s="6">
        <f>bkrcast_all!C97</f>
        <v/>
      </c>
      <c r="E97" s="7" t="n">
        <v>86</v>
      </c>
      <c r="F97" s="1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6">
        <f>C97</f>
        <v/>
      </c>
    </row>
    <row r="98">
      <c r="A98" t="n">
        <v>87</v>
      </c>
      <c r="B98" s="11">
        <f>bkrcast_all!B98</f>
        <v/>
      </c>
      <c r="C98" s="6">
        <f>bkrcast_all!C98</f>
        <v/>
      </c>
      <c r="E98" s="7" t="n">
        <v>87</v>
      </c>
      <c r="F98" s="1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6">
        <f>C98</f>
        <v/>
      </c>
    </row>
    <row r="99">
      <c r="A99" t="n">
        <v>88</v>
      </c>
      <c r="B99" s="11">
        <f>bkrcast_all!B99</f>
        <v/>
      </c>
      <c r="C99" s="6">
        <f>bkrcast_all!C99</f>
        <v/>
      </c>
      <c r="E99" s="7" t="n">
        <v>88</v>
      </c>
      <c r="F99" s="1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6">
        <f>C99</f>
        <v/>
      </c>
    </row>
    <row r="100">
      <c r="A100" t="n">
        <v>89</v>
      </c>
      <c r="B100" s="11">
        <f>bkrcast_all!B100</f>
        <v/>
      </c>
      <c r="C100" s="6">
        <f>bkrcast_all!C100</f>
        <v/>
      </c>
      <c r="E100" s="7" t="n">
        <v>89</v>
      </c>
      <c r="F100" s="1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6">
        <f>C100</f>
        <v/>
      </c>
    </row>
    <row r="101" ht="15.75" customHeight="1">
      <c r="A101" s="1" t="n">
        <v>90</v>
      </c>
      <c r="B101" s="11">
        <f>bkrcast_all!B101</f>
        <v/>
      </c>
      <c r="C101" s="6">
        <f>bkrcast_all!C101</f>
        <v/>
      </c>
      <c r="E101" s="8" t="n">
        <v>90</v>
      </c>
      <c r="F101" s="1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6">
        <f>C101</f>
        <v/>
      </c>
    </row>
    <row r="102">
      <c r="B102" s="11">
        <f>bkrcast_all!B102</f>
        <v/>
      </c>
      <c r="C102" s="6">
        <f>bkrcast_all!C102</f>
        <v/>
      </c>
      <c r="F102" s="1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02"/>
  <sheetViews>
    <sheetView workbookViewId="0">
      <selection activeCell="H32" sqref="H32"/>
    </sheetView>
  </sheetViews>
  <sheetFormatPr baseColWidth="10" defaultRowHeight="15"/>
  <cols>
    <col collapsed="1" width="13.5703125" customWidth="1" style="10" min="1" max="1"/>
    <col collapsed="1" width="10.5703125" customWidth="1" style="10" min="2" max="2"/>
    <col collapsed="1" width="10.5703125" customWidth="1" style="10" min="6" max="6"/>
  </cols>
  <sheetData>
    <row r="1">
      <c r="A1" t="inlineStr">
        <is>
          <t>Trip Length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9" t="inlineStr">
        <is>
          <t>Survey</t>
        </is>
      </c>
      <c r="C10" s="9" t="inlineStr">
        <is>
          <t>Survey</t>
        </is>
      </c>
      <c r="E10" s="2" t="inlineStr">
        <is>
          <t>Distance (mi)</t>
        </is>
      </c>
      <c r="F10" s="9" t="inlineStr">
        <is>
          <t>DaySim</t>
        </is>
      </c>
      <c r="G10" s="9" t="inlineStr">
        <is>
          <t>DaySim</t>
        </is>
      </c>
      <c r="J10" s="2" t="n"/>
      <c r="K10" s="9" t="inlineStr">
        <is>
          <t>Survey</t>
        </is>
      </c>
      <c r="L10" s="9" t="inlineStr">
        <is>
          <t>DaySim</t>
        </is>
      </c>
    </row>
    <row r="11">
      <c r="A11" t="n">
        <v>0</v>
      </c>
      <c r="B11" s="11" t="n">
        <v>145296.6759334703</v>
      </c>
      <c r="C11" s="6" t="n">
        <v>0.224258931108467</v>
      </c>
      <c r="E11" s="7" t="n">
        <v>0</v>
      </c>
      <c r="F11" s="13" t="n">
        <v>96440</v>
      </c>
      <c r="G11" s="6" t="n">
        <v>0.1512601615177461</v>
      </c>
      <c r="K11" s="4" t="n">
        <v>4.717772936342971</v>
      </c>
      <c r="L11" s="4" t="n">
        <v>5.139843161737423</v>
      </c>
    </row>
    <row r="12">
      <c r="A12" t="n">
        <v>1</v>
      </c>
      <c r="B12" s="11" t="n">
        <v>95117.45259677179</v>
      </c>
      <c r="C12" s="6" t="n">
        <v>0.1468095406317452</v>
      </c>
      <c r="E12" s="7" t="n">
        <v>1</v>
      </c>
      <c r="F12" s="13" t="n">
        <v>106989</v>
      </c>
      <c r="G12" s="6" t="n">
        <v>0.1678056140670068</v>
      </c>
      <c r="K12" s="4" t="n"/>
      <c r="L12" s="7" t="n"/>
    </row>
    <row r="13">
      <c r="A13" t="n">
        <v>2</v>
      </c>
      <c r="B13" s="11" t="n">
        <v>88454.693512404</v>
      </c>
      <c r="C13" s="6" t="n">
        <v>0.1365258695092364</v>
      </c>
      <c r="E13" s="7" t="n">
        <v>2</v>
      </c>
      <c r="F13" s="13" t="n">
        <v>90207</v>
      </c>
      <c r="G13" s="6" t="n">
        <v>0.1414840874121871</v>
      </c>
    </row>
    <row r="14">
      <c r="A14" t="n">
        <v>3</v>
      </c>
      <c r="B14" s="11" t="n">
        <v>70349.5787863962</v>
      </c>
      <c r="C14" s="6" t="n">
        <v>0.1085814334100251</v>
      </c>
      <c r="E14" s="7" t="n">
        <v>3</v>
      </c>
      <c r="F14" s="13" t="n">
        <v>71477</v>
      </c>
      <c r="G14" s="6" t="n">
        <v>0.1121072435172536</v>
      </c>
    </row>
    <row r="15">
      <c r="A15" t="n">
        <v>4</v>
      </c>
      <c r="B15" s="11" t="n">
        <v>54599.82947474</v>
      </c>
      <c r="C15" s="6" t="n">
        <v>0.08427239864948032</v>
      </c>
      <c r="E15" s="7" t="n">
        <v>4</v>
      </c>
      <c r="F15" s="13" t="n">
        <v>55183</v>
      </c>
      <c r="G15" s="6" t="n">
        <v>0.08655111461047058</v>
      </c>
    </row>
    <row r="16">
      <c r="A16" t="n">
        <v>5</v>
      </c>
      <c r="B16" s="11" t="n">
        <v>32811.3771675072</v>
      </c>
      <c r="C16" s="6" t="n">
        <v>0.05064289547237254</v>
      </c>
      <c r="E16" s="7" t="n">
        <v>5</v>
      </c>
      <c r="F16" s="13" t="n">
        <v>42932</v>
      </c>
      <c r="G16" s="6" t="n">
        <v>0.06733618057113101</v>
      </c>
    </row>
    <row r="17">
      <c r="A17" t="n">
        <v>6</v>
      </c>
      <c r="B17" s="11" t="n">
        <v>28429.7067945662</v>
      </c>
      <c r="C17" s="6" t="n">
        <v>0.04387998291437761</v>
      </c>
      <c r="E17" s="7" t="n">
        <v>6</v>
      </c>
      <c r="F17" s="13" t="n">
        <v>32491</v>
      </c>
      <c r="G17" s="6" t="n">
        <v>0.05096011932676367</v>
      </c>
    </row>
    <row r="18">
      <c r="A18" t="n">
        <v>7</v>
      </c>
      <c r="B18" s="11" t="n">
        <v>16311.7059670372</v>
      </c>
      <c r="C18" s="6" t="n">
        <v>0.02517638976406</v>
      </c>
      <c r="E18" s="7" t="n">
        <v>7</v>
      </c>
      <c r="F18" s="13" t="n">
        <v>24719</v>
      </c>
      <c r="G18" s="6" t="n">
        <v>0.03877021912647414</v>
      </c>
    </row>
    <row r="19">
      <c r="A19" t="n">
        <v>8</v>
      </c>
      <c r="B19" s="11" t="n">
        <v>26462.8010483393</v>
      </c>
      <c r="C19" s="6" t="n">
        <v>0.04084415172687048</v>
      </c>
      <c r="E19" s="7" t="n">
        <v>8</v>
      </c>
      <c r="F19" s="13" t="n">
        <v>18342</v>
      </c>
      <c r="G19" s="6" t="n">
        <v>0.02876828994772396</v>
      </c>
    </row>
    <row r="20">
      <c r="A20" t="n">
        <v>9</v>
      </c>
      <c r="B20" s="11" t="n">
        <v>9102.4040726561</v>
      </c>
      <c r="C20" s="6" t="n">
        <v>0.01404915422005868</v>
      </c>
      <c r="E20" s="7" t="n">
        <v>9</v>
      </c>
      <c r="F20" s="13" t="n">
        <v>13858</v>
      </c>
      <c r="G20" s="6" t="n">
        <v>0.02173541391863257</v>
      </c>
    </row>
    <row r="21">
      <c r="A21" t="n">
        <v>10</v>
      </c>
      <c r="B21" s="11" t="n">
        <v>17253.9297014695</v>
      </c>
      <c r="C21" s="6" t="n">
        <v>0.0266306700233384</v>
      </c>
      <c r="E21" s="7" t="n">
        <v>10</v>
      </c>
      <c r="F21" s="13" t="n">
        <v>10887</v>
      </c>
      <c r="G21" s="6" t="n">
        <v>0.01707558459605663</v>
      </c>
    </row>
    <row r="22">
      <c r="A22" t="n">
        <v>11</v>
      </c>
      <c r="B22" s="11" t="n">
        <v>7752.4702324037</v>
      </c>
      <c r="C22" s="6" t="n">
        <v>0.01196559161866256</v>
      </c>
      <c r="E22" s="7" t="n">
        <v>11</v>
      </c>
      <c r="F22" s="13" t="n">
        <v>9801</v>
      </c>
      <c r="G22" s="6" t="n">
        <v>0.0153722609190733</v>
      </c>
    </row>
    <row r="23">
      <c r="A23" t="n">
        <v>12</v>
      </c>
      <c r="B23" s="11" t="n">
        <v>10656.4395989199</v>
      </c>
      <c r="C23" s="6" t="n">
        <v>0.01644773865969226</v>
      </c>
      <c r="E23" s="7" t="n">
        <v>12</v>
      </c>
      <c r="F23" s="13" t="n">
        <v>8276</v>
      </c>
      <c r="G23" s="6" t="n">
        <v>0.01298039295645859</v>
      </c>
    </row>
    <row r="24">
      <c r="A24" t="n">
        <v>13</v>
      </c>
      <c r="B24" s="11" t="n">
        <v>4992.0081253151</v>
      </c>
      <c r="C24" s="6" t="n">
        <v>0.007704941624270564</v>
      </c>
      <c r="E24" s="7" t="n">
        <v>13</v>
      </c>
      <c r="F24" s="13" t="n">
        <v>7457</v>
      </c>
      <c r="G24" s="6" t="n">
        <v>0.01169584222768387</v>
      </c>
    </row>
    <row r="25">
      <c r="A25" t="n">
        <v>14</v>
      </c>
      <c r="B25" s="11" t="n">
        <v>1202.2808873769</v>
      </c>
      <c r="C25" s="6" t="n">
        <v>0.001855666862046725</v>
      </c>
      <c r="E25" s="7" t="n">
        <v>14</v>
      </c>
      <c r="F25" s="13" t="n">
        <v>6498</v>
      </c>
      <c r="G25" s="6" t="n">
        <v>0.01019171017775108</v>
      </c>
    </row>
    <row r="26">
      <c r="A26" t="n">
        <v>15</v>
      </c>
      <c r="B26" s="11" t="n">
        <v>3015.910189999</v>
      </c>
      <c r="C26" s="6" t="n">
        <v>0.004654922703379669</v>
      </c>
      <c r="E26" s="7" t="n">
        <v>15</v>
      </c>
      <c r="F26" s="13" t="n">
        <v>5798</v>
      </c>
      <c r="G26" s="6" t="n">
        <v>0.009093803571960719</v>
      </c>
    </row>
    <row r="27">
      <c r="A27" t="n">
        <v>16</v>
      </c>
      <c r="B27" s="11" t="n">
        <v>11130.871474491</v>
      </c>
      <c r="C27" s="6" t="n">
        <v>0.01718000307397299</v>
      </c>
      <c r="E27" s="7" t="n">
        <v>16</v>
      </c>
      <c r="F27" s="13" t="n">
        <v>4985</v>
      </c>
      <c r="G27" s="6" t="n">
        <v>0.00781866347123563</v>
      </c>
    </row>
    <row r="28">
      <c r="A28" t="n">
        <v>17</v>
      </c>
      <c r="B28" s="11" t="n">
        <v>1410.6998764252</v>
      </c>
      <c r="C28" s="6" t="n">
        <v>0.002177352264733299</v>
      </c>
      <c r="E28" s="7" t="n">
        <v>17</v>
      </c>
      <c r="F28" s="13" t="n">
        <v>4473</v>
      </c>
      <c r="G28" s="6" t="n">
        <v>0.007015623211000397</v>
      </c>
    </row>
    <row r="29">
      <c r="A29" t="n">
        <v>18</v>
      </c>
      <c r="B29" s="11" t="n">
        <v>3220.030717031</v>
      </c>
      <c r="C29" s="6" t="n">
        <v>0.004969973621891071</v>
      </c>
      <c r="E29" s="7" t="n">
        <v>18</v>
      </c>
      <c r="F29" s="13" t="n">
        <v>3848</v>
      </c>
      <c r="G29" s="6" t="n">
        <v>0.006035349455830433</v>
      </c>
    </row>
    <row r="30">
      <c r="A30" t="n">
        <v>19</v>
      </c>
      <c r="B30" s="11" t="n">
        <v>2233.4976549987</v>
      </c>
      <c r="C30" s="6" t="n">
        <v>0.003447303894086497</v>
      </c>
      <c r="E30" s="7" t="n">
        <v>19</v>
      </c>
      <c r="F30" s="13" t="n">
        <v>3289</v>
      </c>
      <c r="G30" s="6" t="n">
        <v>0.005158592609206417</v>
      </c>
    </row>
    <row r="31">
      <c r="A31" t="n">
        <v>20</v>
      </c>
      <c r="B31" s="11" t="n">
        <v>2056.9226457481</v>
      </c>
      <c r="C31" s="6" t="n">
        <v>0.00317476825223094</v>
      </c>
      <c r="E31" s="7" t="n">
        <v>20</v>
      </c>
      <c r="F31" s="13" t="n">
        <v>2789</v>
      </c>
      <c r="G31" s="6" t="n">
        <v>0.004374373605070446</v>
      </c>
    </row>
    <row r="32">
      <c r="A32" t="n">
        <v>21</v>
      </c>
      <c r="B32" s="11" t="n">
        <v>3831.4351210792</v>
      </c>
      <c r="C32" s="6" t="n">
        <v>0.005913649017394551</v>
      </c>
      <c r="E32" s="7" t="n">
        <v>21</v>
      </c>
      <c r="F32" s="13" t="n">
        <v>2481</v>
      </c>
      <c r="G32" s="6" t="n">
        <v>0.003891294698522688</v>
      </c>
    </row>
    <row r="33">
      <c r="A33" t="n">
        <v>22</v>
      </c>
      <c r="B33" s="11" t="n">
        <v>460.056707408</v>
      </c>
      <c r="C33" s="6" t="n">
        <v>0.0007100769841413304</v>
      </c>
      <c r="E33" s="7" t="n">
        <v>22</v>
      </c>
      <c r="F33" s="13" t="n">
        <v>2169</v>
      </c>
      <c r="G33" s="6" t="n">
        <v>0.003401942039941842</v>
      </c>
    </row>
    <row r="34">
      <c r="A34" t="n">
        <v>23</v>
      </c>
      <c r="B34" s="11" t="n">
        <v>3423.9459510197</v>
      </c>
      <c r="C34" s="6" t="n">
        <v>0.00528470767975746</v>
      </c>
      <c r="E34" s="7" t="n">
        <v>23</v>
      </c>
      <c r="F34" s="13" t="n">
        <v>1780</v>
      </c>
      <c r="G34" s="6" t="n">
        <v>0.002791819654724057</v>
      </c>
    </row>
    <row r="35">
      <c r="A35" t="n">
        <v>24</v>
      </c>
      <c r="B35" s="11" t="n">
        <v>1050.609105803</v>
      </c>
      <c r="C35" s="6" t="n">
        <v>0.001621568240061359</v>
      </c>
      <c r="E35" s="7" t="n">
        <v>24</v>
      </c>
      <c r="F35" s="13" t="n">
        <v>1526</v>
      </c>
      <c r="G35" s="6" t="n">
        <v>0.002393436400622984</v>
      </c>
    </row>
    <row r="36">
      <c r="A36" t="n">
        <v>25</v>
      </c>
      <c r="B36" s="11" t="n">
        <v>0</v>
      </c>
      <c r="C36" s="6" t="n">
        <v>0</v>
      </c>
      <c r="E36" s="7" t="n">
        <v>25</v>
      </c>
      <c r="F36" s="13" t="n">
        <v>1308</v>
      </c>
      <c r="G36" s="6" t="n">
        <v>0.0020515169148197</v>
      </c>
    </row>
    <row r="37">
      <c r="A37" t="n">
        <v>26</v>
      </c>
      <c r="B37" s="11" t="n">
        <v>2098.1460353052</v>
      </c>
      <c r="C37" s="6" t="n">
        <v>0.003238394713189869</v>
      </c>
      <c r="E37" s="7" t="n">
        <v>26</v>
      </c>
      <c r="F37" s="13" t="n">
        <v>1071</v>
      </c>
      <c r="G37" s="6" t="n">
        <v>0.00167979710685925</v>
      </c>
    </row>
    <row r="38">
      <c r="A38" t="n">
        <v>27</v>
      </c>
      <c r="B38" s="11" t="n">
        <v>760.065763762</v>
      </c>
      <c r="C38" s="6" t="n">
        <v>0.001173127565777585</v>
      </c>
      <c r="E38" s="7" t="n">
        <v>27</v>
      </c>
      <c r="F38" s="13" t="n">
        <v>920</v>
      </c>
      <c r="G38" s="6" t="n">
        <v>0.001442962967610187</v>
      </c>
    </row>
    <row r="39">
      <c r="A39" t="n">
        <v>28</v>
      </c>
      <c r="B39" s="11" t="n">
        <v>368.204446166</v>
      </c>
      <c r="C39" s="6" t="n">
        <v>0.0005683071205591898</v>
      </c>
      <c r="E39" s="7" t="n">
        <v>28</v>
      </c>
      <c r="F39" s="13" t="n">
        <v>856</v>
      </c>
      <c r="G39" s="6" t="n">
        <v>0.001342582935080782</v>
      </c>
    </row>
    <row r="40">
      <c r="A40" t="n">
        <v>29</v>
      </c>
      <c r="B40" s="11" t="n">
        <v>371.189902602</v>
      </c>
      <c r="C40" s="6" t="n">
        <v>0.0005729150392531784</v>
      </c>
      <c r="E40" s="7" t="n">
        <v>29</v>
      </c>
      <c r="F40" s="13" t="n">
        <v>686</v>
      </c>
      <c r="G40" s="6" t="n">
        <v>0.001075948473674552</v>
      </c>
    </row>
    <row r="41">
      <c r="A41" t="n">
        <v>30</v>
      </c>
      <c r="B41" s="11" t="n">
        <v>459.495951697</v>
      </c>
      <c r="C41" s="6" t="n">
        <v>0.0007092114827418393</v>
      </c>
      <c r="E41" s="7" t="n">
        <v>30</v>
      </c>
      <c r="F41" s="13" t="n">
        <v>607</v>
      </c>
      <c r="G41" s="6" t="n">
        <v>0.0009520418710210688</v>
      </c>
    </row>
    <row r="42">
      <c r="A42" t="n">
        <v>31</v>
      </c>
      <c r="B42" s="11" t="n">
        <v>572.866861522</v>
      </c>
      <c r="C42" s="6" t="n">
        <v>0.0008841944195007674</v>
      </c>
      <c r="E42" s="7" t="n">
        <v>31</v>
      </c>
      <c r="F42" s="13" t="n">
        <v>505</v>
      </c>
      <c r="G42" s="6" t="n">
        <v>0.0007920611941773307</v>
      </c>
    </row>
    <row r="43">
      <c r="A43" t="n">
        <v>32</v>
      </c>
      <c r="B43" s="11" t="n">
        <v>0</v>
      </c>
      <c r="C43" s="6" t="n">
        <v>0</v>
      </c>
      <c r="E43" s="7" t="n">
        <v>32</v>
      </c>
      <c r="F43" s="13" t="n">
        <v>467</v>
      </c>
      <c r="G43" s="6" t="n">
        <v>0.0007324605498629969</v>
      </c>
    </row>
    <row r="44">
      <c r="A44" t="n">
        <v>33</v>
      </c>
      <c r="B44" s="11" t="n">
        <v>0</v>
      </c>
      <c r="C44" s="6" t="n">
        <v>0</v>
      </c>
      <c r="E44" s="7" t="n">
        <v>33</v>
      </c>
      <c r="F44" s="13" t="n">
        <v>345</v>
      </c>
      <c r="G44" s="6" t="n">
        <v>0.00054111111285382</v>
      </c>
    </row>
    <row r="45">
      <c r="A45" t="n">
        <v>34</v>
      </c>
      <c r="B45" s="11" t="n">
        <v>207.401519182</v>
      </c>
      <c r="C45" s="6" t="n">
        <v>0.0003201149833828592</v>
      </c>
      <c r="E45" s="7" t="n">
        <v>34</v>
      </c>
      <c r="F45" s="13" t="n">
        <v>317</v>
      </c>
      <c r="G45" s="6" t="n">
        <v>0.0004971948486222057</v>
      </c>
    </row>
    <row r="46">
      <c r="A46" t="n">
        <v>35</v>
      </c>
      <c r="B46" s="11" t="n">
        <v>1335.01152099</v>
      </c>
      <c r="C46" s="6" t="n">
        <v>0.00206053066796788</v>
      </c>
      <c r="E46" s="7" t="n">
        <v>35</v>
      </c>
      <c r="F46" s="13" t="n">
        <v>247</v>
      </c>
      <c r="G46" s="6" t="n">
        <v>0.0003874041880431697</v>
      </c>
    </row>
    <row r="47">
      <c r="A47" t="n">
        <v>36</v>
      </c>
      <c r="B47" s="11" t="n">
        <v>0</v>
      </c>
      <c r="C47" s="6" t="n">
        <v>0</v>
      </c>
      <c r="E47" s="7" t="n">
        <v>36</v>
      </c>
      <c r="F47" s="13" t="n">
        <v>233</v>
      </c>
      <c r="G47" s="6" t="n">
        <v>0.0003654460559273625</v>
      </c>
    </row>
    <row r="48">
      <c r="A48" t="n">
        <v>37</v>
      </c>
      <c r="B48" s="11" t="n">
        <v>0</v>
      </c>
      <c r="C48" s="6" t="n">
        <v>0</v>
      </c>
      <c r="E48" s="7" t="n">
        <v>37</v>
      </c>
      <c r="F48" s="13" t="n">
        <v>195</v>
      </c>
      <c r="G48" s="6" t="n">
        <v>0.0003058454116130287</v>
      </c>
    </row>
    <row r="49">
      <c r="A49" t="n">
        <v>38</v>
      </c>
      <c r="B49" s="11" t="n">
        <v>91.6389155216</v>
      </c>
      <c r="C49" s="6" t="n">
        <v>0.000141440573989615</v>
      </c>
      <c r="E49" s="7" t="n">
        <v>38</v>
      </c>
      <c r="F49" s="13" t="n">
        <v>155</v>
      </c>
      <c r="G49" s="6" t="n">
        <v>0.000243107891282151</v>
      </c>
    </row>
    <row r="50">
      <c r="A50" t="n">
        <v>39</v>
      </c>
      <c r="B50" s="11" t="n">
        <v>0</v>
      </c>
      <c r="C50" s="6" t="n">
        <v>0</v>
      </c>
      <c r="E50" s="7" t="n">
        <v>39</v>
      </c>
      <c r="F50" s="13" t="n">
        <v>136</v>
      </c>
      <c r="G50" s="6" t="n">
        <v>0.0002133075691249841</v>
      </c>
    </row>
    <row r="51">
      <c r="A51" t="n">
        <v>40</v>
      </c>
      <c r="B51" s="11" t="n">
        <v>292.681617382</v>
      </c>
      <c r="C51" s="6" t="n">
        <v>0.0004517410067883372</v>
      </c>
      <c r="E51" s="7" t="n">
        <v>40</v>
      </c>
      <c r="F51" s="13" t="n">
        <v>142</v>
      </c>
      <c r="G51" s="6" t="n">
        <v>0.0002227181971746158</v>
      </c>
    </row>
    <row r="52">
      <c r="A52" t="n">
        <v>41</v>
      </c>
      <c r="B52" s="11" t="n">
        <v>0</v>
      </c>
      <c r="C52" s="6" t="n">
        <v>0</v>
      </c>
      <c r="E52" s="7" t="n">
        <v>41</v>
      </c>
      <c r="F52" s="13" t="n">
        <v>105</v>
      </c>
      <c r="G52" s="6" t="n">
        <v>0.0001646859908685539</v>
      </c>
    </row>
    <row r="53">
      <c r="A53" t="n">
        <v>42</v>
      </c>
      <c r="B53" s="11" t="n">
        <v>0</v>
      </c>
      <c r="C53" s="6" t="n">
        <v>0</v>
      </c>
      <c r="E53" s="7" t="n">
        <v>42</v>
      </c>
      <c r="F53" s="13" t="n">
        <v>87</v>
      </c>
      <c r="G53" s="6" t="n">
        <v>0.000136454106719659</v>
      </c>
    </row>
    <row r="54">
      <c r="A54" t="n">
        <v>43</v>
      </c>
      <c r="B54" s="11" t="n">
        <v>0</v>
      </c>
      <c r="C54" s="6" t="n">
        <v>0</v>
      </c>
      <c r="E54" s="7" t="n">
        <v>43</v>
      </c>
      <c r="F54" s="13" t="n">
        <v>81</v>
      </c>
      <c r="G54" s="6" t="n">
        <v>0.0001270434786700273</v>
      </c>
    </row>
    <row r="55">
      <c r="A55" t="n">
        <v>44</v>
      </c>
      <c r="B55" s="11" t="n">
        <v>0</v>
      </c>
      <c r="C55" s="6" t="n">
        <v>0</v>
      </c>
      <c r="E55" s="7" t="n">
        <v>44</v>
      </c>
      <c r="F55" s="13" t="n">
        <v>55</v>
      </c>
      <c r="G55" s="6" t="n">
        <v>8.626409045495681e-05</v>
      </c>
    </row>
    <row r="56">
      <c r="A56" t="n">
        <v>45</v>
      </c>
      <c r="B56" s="11" t="n">
        <v>0</v>
      </c>
      <c r="C56" s="6" t="n">
        <v>0</v>
      </c>
      <c r="E56" s="7" t="n">
        <v>45</v>
      </c>
      <c r="F56" s="13" t="n">
        <v>38</v>
      </c>
      <c r="G56" s="6" t="n">
        <v>5.96006443143338e-05</v>
      </c>
    </row>
    <row r="57">
      <c r="A57" t="n">
        <v>46</v>
      </c>
      <c r="B57" s="11" t="n">
        <v>0</v>
      </c>
      <c r="C57" s="6" t="n">
        <v>0</v>
      </c>
      <c r="E57" s="7" t="n">
        <v>46</v>
      </c>
      <c r="F57" s="13" t="n">
        <v>49</v>
      </c>
      <c r="G57" s="6" t="n">
        <v>7.685346240532516e-05</v>
      </c>
    </row>
    <row r="58">
      <c r="A58" t="n">
        <v>47</v>
      </c>
      <c r="B58" s="11" t="n">
        <v>387.674382174</v>
      </c>
      <c r="C58" s="6" t="n">
        <v>0.0005983580973613268</v>
      </c>
      <c r="E58" s="7" t="n">
        <v>47</v>
      </c>
      <c r="F58" s="13" t="n">
        <v>40</v>
      </c>
      <c r="G58" s="6" t="n">
        <v>6.273752033087769e-05</v>
      </c>
    </row>
    <row r="59">
      <c r="A59" t="n">
        <v>48</v>
      </c>
      <c r="B59" s="11" t="n">
        <v>0</v>
      </c>
      <c r="C59" s="6" t="n">
        <v>0</v>
      </c>
      <c r="E59" s="7" t="n">
        <v>48</v>
      </c>
      <c r="F59" s="13" t="n">
        <v>44</v>
      </c>
      <c r="G59" s="6" t="n">
        <v>6.901127236396545e-05</v>
      </c>
    </row>
    <row r="60">
      <c r="A60" t="n">
        <v>49</v>
      </c>
      <c r="B60" s="11" t="n">
        <v>0</v>
      </c>
      <c r="C60" s="6" t="n">
        <v>0</v>
      </c>
      <c r="E60" s="7" t="n">
        <v>49</v>
      </c>
      <c r="F60" s="13" t="n">
        <v>37</v>
      </c>
      <c r="G60" s="6" t="n">
        <v>5.803220630606186e-05</v>
      </c>
    </row>
    <row r="61">
      <c r="A61" t="n">
        <v>50</v>
      </c>
      <c r="B61" s="11" t="n">
        <v>0</v>
      </c>
      <c r="C61" s="6" t="n">
        <v>0</v>
      </c>
      <c r="E61" s="7" t="n">
        <v>50</v>
      </c>
      <c r="F61" s="13" t="n">
        <v>20</v>
      </c>
      <c r="G61" s="6" t="n">
        <v>3.136876016543884e-05</v>
      </c>
    </row>
    <row r="62">
      <c r="A62" t="n">
        <v>51</v>
      </c>
      <c r="B62" s="11" t="n">
        <v>0</v>
      </c>
      <c r="C62" s="6" t="n">
        <v>0</v>
      </c>
      <c r="E62" s="7" t="n">
        <v>51</v>
      </c>
      <c r="F62" s="13" t="n">
        <v>15</v>
      </c>
      <c r="G62" s="6" t="n">
        <v>2.352657012407913e-05</v>
      </c>
    </row>
    <row r="63">
      <c r="A63" t="n">
        <v>52</v>
      </c>
      <c r="B63" s="11" t="n">
        <v>0</v>
      </c>
      <c r="C63" s="6" t="n">
        <v>0</v>
      </c>
      <c r="E63" s="7" t="n">
        <v>52</v>
      </c>
      <c r="F63" s="13" t="n">
        <v>23</v>
      </c>
      <c r="G63" s="6" t="n">
        <v>3.607407419025467e-05</v>
      </c>
    </row>
    <row r="64">
      <c r="A64" t="n">
        <v>53</v>
      </c>
      <c r="B64" s="11" t="n">
        <v>0</v>
      </c>
      <c r="C64" s="6" t="n">
        <v>0</v>
      </c>
      <c r="E64" s="7" t="n">
        <v>53</v>
      </c>
      <c r="F64" s="13" t="n">
        <v>15</v>
      </c>
      <c r="G64" s="6" t="n">
        <v>2.352657012407913e-05</v>
      </c>
    </row>
    <row r="65">
      <c r="A65" t="n">
        <v>54</v>
      </c>
      <c r="B65" s="11" t="n">
        <v>0</v>
      </c>
      <c r="C65" s="6" t="n">
        <v>0</v>
      </c>
      <c r="E65" s="7" t="n">
        <v>54</v>
      </c>
      <c r="F65" s="13" t="n">
        <v>15</v>
      </c>
      <c r="G65" s="6" t="n">
        <v>2.352657012407913e-05</v>
      </c>
    </row>
    <row r="66">
      <c r="A66" t="n">
        <v>55</v>
      </c>
      <c r="B66" s="11" t="n">
        <v>0</v>
      </c>
      <c r="C66" s="6" t="n">
        <v>0</v>
      </c>
      <c r="E66" s="7" t="n">
        <v>55</v>
      </c>
      <c r="F66" s="13" t="n">
        <v>11</v>
      </c>
      <c r="G66" s="6" t="n">
        <v>1.725281809099136e-05</v>
      </c>
    </row>
    <row r="67">
      <c r="A67" t="n">
        <v>56</v>
      </c>
      <c r="B67" s="11" t="n">
        <v>0</v>
      </c>
      <c r="C67" s="6" t="n">
        <v>0</v>
      </c>
      <c r="E67" s="7" t="n">
        <v>56</v>
      </c>
      <c r="F67" s="13" t="n">
        <v>8</v>
      </c>
      <c r="G67" s="6" t="n">
        <v>1.254750406617554e-05</v>
      </c>
    </row>
    <row r="68">
      <c r="A68" t="n">
        <v>57</v>
      </c>
      <c r="B68" s="11" t="n">
        <v>325.232864493</v>
      </c>
      <c r="C68" s="6" t="n">
        <v>0.000501982403134548</v>
      </c>
      <c r="E68" s="7" t="n">
        <v>57</v>
      </c>
      <c r="F68" s="13" t="n">
        <v>8</v>
      </c>
      <c r="G68" s="6" t="n">
        <v>1.254750406617554e-05</v>
      </c>
    </row>
    <row r="69">
      <c r="A69" t="n">
        <v>58</v>
      </c>
      <c r="B69" s="11" t="n">
        <v>0</v>
      </c>
      <c r="C69" s="6" t="n">
        <v>0</v>
      </c>
      <c r="E69" s="7" t="n">
        <v>58</v>
      </c>
      <c r="F69" s="13" t="n">
        <v>7</v>
      </c>
      <c r="G69" s="6" t="n">
        <v>1.097906605790359e-05</v>
      </c>
    </row>
    <row r="70">
      <c r="A70" t="n">
        <v>59</v>
      </c>
      <c r="B70" s="11" t="n">
        <v>0</v>
      </c>
      <c r="C70" s="6" t="n">
        <v>0</v>
      </c>
      <c r="E70" s="7" t="n">
        <v>59</v>
      </c>
      <c r="F70" s="13" t="n">
        <v>6</v>
      </c>
      <c r="G70" s="6" t="n">
        <v>9.410628049631653e-06</v>
      </c>
    </row>
    <row r="71">
      <c r="A71" t="n">
        <v>60</v>
      </c>
      <c r="B71" s="11" t="n">
        <v>0</v>
      </c>
      <c r="C71" s="6" t="n">
        <v>0</v>
      </c>
      <c r="E71" s="7" t="n">
        <v>60</v>
      </c>
      <c r="F71" s="13" t="n">
        <v>4</v>
      </c>
      <c r="G71" s="6" t="n">
        <v>6.273752033087769e-06</v>
      </c>
    </row>
    <row r="72">
      <c r="A72" t="n">
        <v>61</v>
      </c>
      <c r="B72" s="11" t="n">
        <v>0</v>
      </c>
      <c r="C72" s="6" t="n">
        <v>0</v>
      </c>
      <c r="E72" s="7" t="n">
        <v>61</v>
      </c>
      <c r="F72" s="13" t="n">
        <v>1</v>
      </c>
      <c r="G72" s="6" t="n">
        <v>1.568438008271942e-06</v>
      </c>
    </row>
    <row r="73">
      <c r="A73" t="n">
        <v>62</v>
      </c>
      <c r="B73" s="11" t="n">
        <v>0</v>
      </c>
      <c r="C73" s="6" t="n">
        <v>0</v>
      </c>
      <c r="E73" s="7" t="n">
        <v>62</v>
      </c>
      <c r="F73" s="13" t="n">
        <v>4</v>
      </c>
      <c r="G73" s="6" t="n">
        <v>6.273752033087769e-06</v>
      </c>
    </row>
    <row r="74">
      <c r="A74" t="n">
        <v>63</v>
      </c>
      <c r="B74" s="11" t="n">
        <v>0</v>
      </c>
      <c r="C74" s="6" t="n">
        <v>0</v>
      </c>
      <c r="E74" s="7" t="n">
        <v>63</v>
      </c>
      <c r="F74" s="13" t="n">
        <v>1</v>
      </c>
      <c r="G74" s="6" t="n">
        <v>1.568438008271942e-06</v>
      </c>
    </row>
    <row r="75">
      <c r="A75" t="n">
        <v>64</v>
      </c>
      <c r="B75" s="11" t="n">
        <v>0</v>
      </c>
      <c r="C75" s="6" t="n">
        <v>0</v>
      </c>
      <c r="E75" s="7" t="n">
        <v>64</v>
      </c>
      <c r="F75" s="13" t="n">
        <v>2</v>
      </c>
      <c r="G75" s="6" t="n">
        <v>3.136876016543884e-06</v>
      </c>
    </row>
    <row r="76">
      <c r="A76" t="n">
        <v>65</v>
      </c>
      <c r="B76" s="11" t="n">
        <v>0</v>
      </c>
      <c r="C76" s="6" t="n">
        <v>0</v>
      </c>
      <c r="E76" s="7" t="n">
        <v>65</v>
      </c>
      <c r="F76" s="13" t="n">
        <v>2</v>
      </c>
      <c r="G76" s="6" t="n">
        <v>3.136876016543884e-06</v>
      </c>
    </row>
    <row r="77">
      <c r="A77" t="n">
        <v>66</v>
      </c>
      <c r="B77" s="11" t="n">
        <v>0</v>
      </c>
      <c r="C77" s="6" t="n">
        <v>0</v>
      </c>
      <c r="E77" s="7" t="n">
        <v>66</v>
      </c>
      <c r="F77" s="13" t="n">
        <v>2</v>
      </c>
      <c r="G77" s="6" t="n">
        <v>3.136876016543884e-06</v>
      </c>
    </row>
    <row r="78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>
      <c r="A79" t="n">
        <v>68</v>
      </c>
      <c r="B79" s="11" t="n">
        <v>0</v>
      </c>
      <c r="C79" s="6" t="n">
        <v>0</v>
      </c>
      <c r="E79" s="7" t="n">
        <v>68</v>
      </c>
      <c r="F79" s="13" t="n">
        <v>1</v>
      </c>
      <c r="G79" s="6" t="n">
        <v>1.568438008271942e-06</v>
      </c>
    </row>
    <row r="80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>
      <c r="A81" t="n">
        <v>70</v>
      </c>
      <c r="B81" s="11" t="n">
        <v>0</v>
      </c>
      <c r="C81" s="6" t="n">
        <v>0</v>
      </c>
      <c r="E81" s="7" t="n">
        <v>70</v>
      </c>
      <c r="F81" s="13" t="n">
        <v>2</v>
      </c>
      <c r="G81" s="6" t="n">
        <v>3.136876016543884e-06</v>
      </c>
    </row>
    <row r="82">
      <c r="A82" t="n">
        <v>71</v>
      </c>
      <c r="B82" s="11" t="n">
        <v>0</v>
      </c>
      <c r="C82" s="6" t="n">
        <v>0</v>
      </c>
      <c r="E82" s="7" t="n">
        <v>71</v>
      </c>
      <c r="F82" s="13" t="n">
        <v>2</v>
      </c>
      <c r="G82" s="6" t="n">
        <v>3.136876016543884e-06</v>
      </c>
    </row>
    <row r="83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>
      <c r="A86" t="n">
        <v>75</v>
      </c>
      <c r="B86" s="11" t="n">
        <v>0</v>
      </c>
      <c r="C86" s="6" t="n">
        <v>0</v>
      </c>
      <c r="E86" s="7" t="n">
        <v>75</v>
      </c>
      <c r="F86" s="13" t="n">
        <v>1</v>
      </c>
      <c r="G86" s="6" t="n">
        <v>1.568438008271942e-06</v>
      </c>
    </row>
    <row r="87">
      <c r="A87" t="n">
        <v>76</v>
      </c>
      <c r="B87" s="11" t="n">
        <v>0</v>
      </c>
      <c r="C87" s="6" t="n">
        <v>0</v>
      </c>
      <c r="E87" s="7" t="n">
        <v>76</v>
      </c>
      <c r="F87" s="13" t="n">
        <v>2</v>
      </c>
      <c r="G87" s="6" t="n">
        <v>3.136876016543884e-06</v>
      </c>
    </row>
    <row r="88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>
      <c r="A91" t="n">
        <v>80</v>
      </c>
      <c r="B91" s="11" t="n">
        <v>0</v>
      </c>
      <c r="C91" s="6" t="n">
        <v>0</v>
      </c>
      <c r="E91" s="7" t="n">
        <v>80</v>
      </c>
      <c r="F91" s="13" t="n">
        <v>1</v>
      </c>
      <c r="G91" s="6" t="n">
        <v>1.568438008271942e-06</v>
      </c>
    </row>
    <row r="9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>
      <c r="A94" t="n">
        <v>83</v>
      </c>
      <c r="B94" s="11" t="n">
        <v>0</v>
      </c>
      <c r="C94" s="6" t="n">
        <v>0</v>
      </c>
      <c r="E94" s="7" t="n">
        <v>83</v>
      </c>
      <c r="F94" s="13" t="n">
        <v>1</v>
      </c>
      <c r="G94" s="6" t="n">
        <v>1.568438008271942e-06</v>
      </c>
    </row>
    <row r="95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>
      <c r="A96" t="n">
        <v>85</v>
      </c>
      <c r="B96" s="11" t="n">
        <v>0</v>
      </c>
      <c r="C96" s="6" t="n">
        <v>0</v>
      </c>
      <c r="E96" s="7" t="n">
        <v>85</v>
      </c>
      <c r="F96" s="13" t="n">
        <v>1</v>
      </c>
      <c r="G96" s="6" t="n">
        <v>1.568438008271942e-06</v>
      </c>
    </row>
    <row r="97">
      <c r="A97" t="n">
        <v>86</v>
      </c>
      <c r="B97" s="11" t="n">
        <v>0</v>
      </c>
      <c r="C97" s="6" t="n">
        <v>0</v>
      </c>
      <c r="E97" s="7" t="n">
        <v>86</v>
      </c>
      <c r="F97" s="13" t="n">
        <v>1</v>
      </c>
      <c r="G97" s="6" t="n">
        <v>1.568438008271942e-06</v>
      </c>
    </row>
    <row r="98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r="101" ht="15.75" customHeight="1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>
      <c r="B102" s="11" t="n">
        <v>647896.9431241732</v>
      </c>
      <c r="C102" s="6" t="n">
        <v>1</v>
      </c>
      <c r="F102" s="11" t="n">
        <v>637577</v>
      </c>
      <c r="G102" s="6" t="n">
        <v>1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L102"/>
  <sheetViews>
    <sheetView workbookViewId="0">
      <selection activeCell="F36" sqref="F36"/>
    </sheetView>
  </sheetViews>
  <sheetFormatPr baseColWidth="10" defaultRowHeight="15"/>
  <cols>
    <col collapsed="1" width="13.5703125" customWidth="1" style="10" min="1" max="1"/>
    <col collapsed="1" width="10.5703125" customWidth="1" style="10" min="2" max="2"/>
    <col collapsed="1" width="10.5703125" customWidth="1" style="10" min="6" max="6"/>
  </cols>
  <sheetData>
    <row r="1">
      <c r="A1" t="inlineStr">
        <is>
          <t>Trip Length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9" t="inlineStr">
        <is>
          <t>Survey</t>
        </is>
      </c>
      <c r="C10" s="9" t="inlineStr">
        <is>
          <t>Survey</t>
        </is>
      </c>
      <c r="E10" s="2" t="inlineStr">
        <is>
          <t>Distance (mi)</t>
        </is>
      </c>
      <c r="F10" s="9" t="inlineStr">
        <is>
          <t>DaySim</t>
        </is>
      </c>
      <c r="G10" s="9" t="inlineStr">
        <is>
          <t>DaySim</t>
        </is>
      </c>
      <c r="J10" s="2" t="inlineStr"/>
      <c r="K10" s="9" t="inlineStr">
        <is>
          <t>Survey</t>
        </is>
      </c>
      <c r="L10" s="9" t="inlineStr">
        <is>
          <t>DaySim</t>
        </is>
      </c>
    </row>
    <row r="11">
      <c r="A11" t="n">
        <v>0</v>
      </c>
      <c r="B11" s="11" t="n">
        <v>26340.5274966001</v>
      </c>
      <c r="C11" s="6" t="n">
        <v>0.04066354850544453</v>
      </c>
      <c r="E11" s="7" t="n">
        <v>0</v>
      </c>
      <c r="F11" s="13" t="n">
        <v>98051</v>
      </c>
      <c r="G11" s="6" t="n">
        <v>0.1413278830882437</v>
      </c>
      <c r="K11" s="4" t="n">
        <v>6.156876216054111</v>
      </c>
      <c r="L11" s="4" t="n">
        <v>6.049700770334602</v>
      </c>
    </row>
    <row r="12">
      <c r="A12" t="n">
        <v>1</v>
      </c>
      <c r="B12" s="11" t="n">
        <v>35028.1139516294</v>
      </c>
      <c r="C12" s="6" t="n">
        <v>0.05407512856035896</v>
      </c>
      <c r="E12" s="7" t="n">
        <v>1</v>
      </c>
      <c r="F12" s="13" t="n">
        <v>84780</v>
      </c>
      <c r="G12" s="6" t="n">
        <v>0.1209123161827717</v>
      </c>
      <c r="K12" s="4" t="inlineStr"/>
      <c r="L12" s="7" t="inlineStr"/>
    </row>
    <row r="13">
      <c r="A13" t="n">
        <v>2</v>
      </c>
      <c r="B13" s="11" t="n">
        <v>46161.9692235365</v>
      </c>
      <c r="C13" s="6" t="n">
        <v>0.07126316945894125</v>
      </c>
      <c r="E13" s="7" t="n">
        <v>2</v>
      </c>
      <c r="F13" s="13" t="n">
        <v>56004</v>
      </c>
      <c r="G13" s="6" t="n">
        <v>0.07969412356174088</v>
      </c>
    </row>
    <row r="14">
      <c r="A14" t="n">
        <v>3</v>
      </c>
      <c r="B14" s="11" t="n">
        <v>70369.666580458</v>
      </c>
      <c r="C14" s="6" t="n">
        <v>0.1086341323527313</v>
      </c>
      <c r="E14" s="7" t="n">
        <v>3</v>
      </c>
      <c r="F14" s="13" t="n">
        <v>36935</v>
      </c>
      <c r="G14" s="6" t="n">
        <v>0.05217866977456324</v>
      </c>
    </row>
    <row r="15">
      <c r="A15" t="n">
        <v>4</v>
      </c>
      <c r="B15" s="11" t="n">
        <v>130988.6740456935</v>
      </c>
      <c r="C15" s="6" t="n">
        <v>0.2022155517351896</v>
      </c>
      <c r="E15" s="7" t="n">
        <v>4</v>
      </c>
      <c r="F15" s="13" t="n">
        <v>133244</v>
      </c>
      <c r="G15" s="6" t="n">
        <v>0.1903543801917298</v>
      </c>
    </row>
    <row r="16">
      <c r="A16" t="n">
        <v>5</v>
      </c>
      <c r="B16" s="11" t="n">
        <v>56474.0407615518</v>
      </c>
      <c r="C16" s="6" t="n">
        <v>0.08718257051238724</v>
      </c>
      <c r="E16" s="7" t="n">
        <v>5</v>
      </c>
      <c r="F16" s="13" t="n">
        <v>64088</v>
      </c>
      <c r="G16" s="6" t="n">
        <v>0.09101452256081537</v>
      </c>
    </row>
    <row r="17">
      <c r="A17" t="n">
        <v>6</v>
      </c>
      <c r="B17" s="11" t="n">
        <v>77804.79411229851</v>
      </c>
      <c r="C17" s="6" t="n">
        <v>0.1201122118662941</v>
      </c>
      <c r="E17" s="7" t="n">
        <v>6</v>
      </c>
      <c r="F17" s="13" t="n">
        <v>53989</v>
      </c>
      <c r="G17" s="6" t="n">
        <v>0.07427958500439905</v>
      </c>
    </row>
    <row r="18">
      <c r="A18" t="n">
        <v>7</v>
      </c>
      <c r="B18" s="11" t="n">
        <v>46502.6708685096</v>
      </c>
      <c r="C18" s="6" t="n">
        <v>0.07178913226921665</v>
      </c>
      <c r="E18" s="7" t="n">
        <v>7</v>
      </c>
      <c r="F18" s="13" t="n">
        <v>22761</v>
      </c>
      <c r="G18" s="6" t="n">
        <v>0.05078468675373347</v>
      </c>
    </row>
    <row r="19">
      <c r="A19" t="n">
        <v>8</v>
      </c>
      <c r="B19" s="11" t="n">
        <v>20028.263439688</v>
      </c>
      <c r="C19" s="6" t="n">
        <v>0.03091890479280248</v>
      </c>
      <c r="E19" s="7" t="n">
        <v>8</v>
      </c>
      <c r="F19" s="13" t="n">
        <v>34376</v>
      </c>
      <c r="G19" s="6" t="n">
        <v>0.03027056981912499</v>
      </c>
    </row>
    <row r="20">
      <c r="A20" t="n">
        <v>9</v>
      </c>
      <c r="B20" s="11" t="n">
        <v>15091.1304989621</v>
      </c>
      <c r="C20" s="6" t="n">
        <v>0.02329713849222445</v>
      </c>
      <c r="E20" s="7" t="n">
        <v>9</v>
      </c>
      <c r="F20" s="13" t="n">
        <v>9877</v>
      </c>
      <c r="G20" s="6" t="n">
        <v>0.01661353534661045</v>
      </c>
    </row>
    <row r="21">
      <c r="A21" t="n">
        <v>10</v>
      </c>
      <c r="B21" s="11" t="n">
        <v>45980.6960701886</v>
      </c>
      <c r="C21" s="6" t="n">
        <v>0.07098332655659813</v>
      </c>
      <c r="E21" s="7" t="n">
        <v>10</v>
      </c>
      <c r="F21" s="13" t="n">
        <v>6859</v>
      </c>
      <c r="G21" s="6" t="n">
        <v>0.01028348130120317</v>
      </c>
    </row>
    <row r="22">
      <c r="A22" t="n">
        <v>11</v>
      </c>
      <c r="B22" s="11" t="n">
        <v>8011.779210961</v>
      </c>
      <c r="C22" s="6" t="n">
        <v>0.01236829340649597</v>
      </c>
      <c r="E22" s="7" t="n">
        <v>11</v>
      </c>
      <c r="F22" s="13" t="n">
        <v>10454</v>
      </c>
      <c r="G22" s="6" t="n">
        <v>0.01512385881922782</v>
      </c>
    </row>
    <row r="23">
      <c r="A23" t="n">
        <v>12</v>
      </c>
      <c r="B23" s="11" t="n">
        <v>10736.6294754624</v>
      </c>
      <c r="C23" s="6" t="n">
        <v>0.01657481815870254</v>
      </c>
      <c r="E23" s="7" t="n">
        <v>12</v>
      </c>
      <c r="F23" s="13" t="n">
        <v>7560</v>
      </c>
      <c r="G23" s="6" t="n">
        <v>0.01019207257852581</v>
      </c>
    </row>
    <row r="24">
      <c r="A24" t="n">
        <v>13</v>
      </c>
      <c r="B24" s="11" t="n">
        <v>5157.5807596416</v>
      </c>
      <c r="C24" s="6" t="n">
        <v>0.00796208562708184</v>
      </c>
      <c r="E24" s="7" t="n">
        <v>13</v>
      </c>
      <c r="F24" s="13" t="n">
        <v>10977</v>
      </c>
      <c r="G24" s="6" t="n">
        <v>0.01598795690078726</v>
      </c>
    </row>
    <row r="25">
      <c r="A25" t="n">
        <v>14</v>
      </c>
      <c r="B25" s="11" t="n">
        <v>6116.8280415961</v>
      </c>
      <c r="C25" s="6" t="n">
        <v>0.009442936699009212</v>
      </c>
      <c r="E25" s="7" t="n">
        <v>14</v>
      </c>
      <c r="F25" s="13" t="n">
        <v>5521</v>
      </c>
      <c r="G25" s="6" t="n">
        <v>0.008759526502816532</v>
      </c>
    </row>
    <row r="26">
      <c r="A26" t="n">
        <v>15</v>
      </c>
      <c r="B26" s="11" t="n">
        <v>3379.5703435159</v>
      </c>
      <c r="C26" s="6" t="n">
        <v>0.00521725780202613</v>
      </c>
      <c r="E26" s="7" t="n">
        <v>15</v>
      </c>
      <c r="F26" s="13" t="n">
        <v>12133</v>
      </c>
      <c r="G26" s="6" t="n">
        <v>0.01644928529804957</v>
      </c>
    </row>
    <row r="27">
      <c r="A27" t="n">
        <v>16</v>
      </c>
      <c r="B27" s="11" t="n">
        <v>10081.6643777011</v>
      </c>
      <c r="C27" s="6" t="n">
        <v>0.0155637068578515</v>
      </c>
      <c r="E27" s="7" t="n">
        <v>16</v>
      </c>
      <c r="F27" s="13" t="n">
        <v>5024</v>
      </c>
      <c r="G27" s="6" t="n">
        <v>0.007164158639838206</v>
      </c>
    </row>
    <row r="28">
      <c r="A28" t="n">
        <v>17</v>
      </c>
      <c r="B28" s="11" t="n">
        <v>9325.124494645001</v>
      </c>
      <c r="C28" s="6" t="n">
        <v>0.01439578809711575</v>
      </c>
      <c r="E28" s="7" t="n">
        <v>17</v>
      </c>
      <c r="F28" s="13" t="n">
        <v>5899</v>
      </c>
      <c r="G28" s="6" t="n">
        <v>0.008541002525165963</v>
      </c>
    </row>
    <row r="29">
      <c r="A29" t="n">
        <v>18</v>
      </c>
      <c r="B29" s="11" t="n">
        <v>9083.0298493189</v>
      </c>
      <c r="C29" s="6" t="n">
        <v>0.01402205118716219</v>
      </c>
      <c r="E29" s="7" t="n">
        <v>18</v>
      </c>
      <c r="F29" s="13" t="n">
        <v>4162</v>
      </c>
      <c r="G29" s="6" t="n">
        <v>0.00593156914498566</v>
      </c>
    </row>
    <row r="30">
      <c r="A30" t="n">
        <v>19</v>
      </c>
      <c r="B30" s="11" t="n">
        <v>2071.3150673522</v>
      </c>
      <c r="C30" s="6" t="n">
        <v>0.003197620879923756</v>
      </c>
      <c r="E30" s="7" t="n">
        <v>19</v>
      </c>
      <c r="F30" s="13" t="n">
        <v>3061</v>
      </c>
      <c r="G30" s="6" t="n">
        <v>0.004641849198459763</v>
      </c>
    </row>
    <row r="31">
      <c r="A31" t="n">
        <v>20</v>
      </c>
      <c r="B31" s="11" t="n">
        <v>917.9875877264</v>
      </c>
      <c r="C31" s="6" t="n">
        <v>0.00141715585634064</v>
      </c>
      <c r="E31" s="7" t="n">
        <v>20</v>
      </c>
      <c r="F31" s="13" t="n">
        <v>3535</v>
      </c>
      <c r="G31" s="6" t="n">
        <v>0.00548880814451719</v>
      </c>
    </row>
    <row r="32">
      <c r="A32" t="n">
        <v>21</v>
      </c>
      <c r="B32" s="11" t="n">
        <v>1820.649231762</v>
      </c>
      <c r="C32" s="6" t="n">
        <v>0.002810652078122215</v>
      </c>
      <c r="E32" s="7" t="n">
        <v>21</v>
      </c>
      <c r="F32" s="13" t="n">
        <v>3749</v>
      </c>
      <c r="G32" s="6" t="n">
        <v>0.004473314366023378</v>
      </c>
    </row>
    <row r="33">
      <c r="A33" t="n">
        <v>22</v>
      </c>
      <c r="B33" s="11" t="n">
        <v>1492.4111701456</v>
      </c>
      <c r="C33" s="6" t="n">
        <v>0.002303930094608621</v>
      </c>
      <c r="E33" s="7" t="n">
        <v>22</v>
      </c>
      <c r="F33" s="13" t="n">
        <v>2427</v>
      </c>
      <c r="G33" s="6" t="n">
        <v>0.003357842297101201</v>
      </c>
    </row>
    <row r="34">
      <c r="A34" t="n">
        <v>23</v>
      </c>
      <c r="B34" s="11" t="n">
        <v>754.106479142</v>
      </c>
      <c r="C34" s="6" t="n">
        <v>0.00116416216026117</v>
      </c>
      <c r="E34" s="7" t="n">
        <v>23</v>
      </c>
      <c r="F34" s="13" t="n">
        <v>2146</v>
      </c>
      <c r="G34" s="6" t="n">
        <v>0.003262148790548338</v>
      </c>
    </row>
    <row r="35">
      <c r="A35" t="n">
        <v>24</v>
      </c>
      <c r="B35" s="11" t="n">
        <v>884.5370084260001</v>
      </c>
      <c r="C35" s="6" t="n">
        <v>0.001365516068409567</v>
      </c>
      <c r="E35" s="7" t="n">
        <v>24</v>
      </c>
      <c r="F35" s="13" t="n">
        <v>2853</v>
      </c>
      <c r="G35" s="6" t="n">
        <v>0.003716335881351478</v>
      </c>
    </row>
    <row r="36">
      <c r="A36" t="n">
        <v>25</v>
      </c>
      <c r="B36" s="11" t="n">
        <v>0</v>
      </c>
      <c r="C36" s="6" t="n">
        <v>0</v>
      </c>
      <c r="E36" s="7" t="n">
        <v>25</v>
      </c>
      <c r="F36" s="13" t="n">
        <v>3494</v>
      </c>
      <c r="G36" s="6" t="n">
        <v>0.003256435745381003</v>
      </c>
    </row>
    <row r="37">
      <c r="A37" t="n">
        <v>26</v>
      </c>
      <c r="B37" s="11" t="n">
        <v>247.4515228492</v>
      </c>
      <c r="C37" s="6" t="n">
        <v>0.0003820066626768711</v>
      </c>
      <c r="E37" s="7" t="n">
        <v>26</v>
      </c>
      <c r="F37" s="13" t="n">
        <v>2082</v>
      </c>
      <c r="G37" s="6" t="n">
        <v>0.005287423302368629</v>
      </c>
    </row>
    <row r="38">
      <c r="A38" t="n">
        <v>27</v>
      </c>
      <c r="B38" s="11" t="n">
        <v>1835.678311973</v>
      </c>
      <c r="C38" s="6" t="n">
        <v>0.002833853425636273</v>
      </c>
      <c r="E38" s="7" t="n">
        <v>27</v>
      </c>
      <c r="F38" s="13" t="n">
        <v>1597</v>
      </c>
      <c r="G38" s="6" t="n">
        <v>0.002275220237891201</v>
      </c>
    </row>
    <row r="39">
      <c r="A39" t="n">
        <v>28</v>
      </c>
      <c r="B39" s="11" t="n">
        <v>1281.967247715</v>
      </c>
      <c r="C39" s="6" t="n">
        <v>0.001979054419718008</v>
      </c>
      <c r="E39" s="7" t="n">
        <v>28</v>
      </c>
      <c r="F39" s="13" t="n">
        <v>1462</v>
      </c>
      <c r="G39" s="6" t="n">
        <v>0.002128109324832322</v>
      </c>
    </row>
    <row r="40">
      <c r="A40" t="n">
        <v>29</v>
      </c>
      <c r="B40" s="11" t="n">
        <v>543.221055857</v>
      </c>
      <c r="C40" s="6" t="n">
        <v>0.0008386049124062185</v>
      </c>
      <c r="E40" s="7" t="n">
        <v>29</v>
      </c>
      <c r="F40" s="13" t="n">
        <v>1871</v>
      </c>
      <c r="G40" s="6" t="n">
        <v>0.002266650670140198</v>
      </c>
    </row>
    <row r="41">
      <c r="A41" t="n">
        <v>30</v>
      </c>
      <c r="B41" s="11" t="n">
        <v>0</v>
      </c>
      <c r="C41" s="6" t="n">
        <v>0</v>
      </c>
      <c r="E41" s="7" t="n">
        <v>30</v>
      </c>
      <c r="F41" s="13" t="n">
        <v>1164</v>
      </c>
      <c r="G41" s="6" t="n">
        <v>0.002285218066934037</v>
      </c>
    </row>
    <row r="42">
      <c r="A42" t="n">
        <v>31</v>
      </c>
      <c r="B42" s="11" t="n">
        <v>368.204446166</v>
      </c>
      <c r="C42" s="6" t="n">
        <v>0.0005684206346484161</v>
      </c>
      <c r="E42" s="7" t="n">
        <v>31</v>
      </c>
      <c r="F42" s="13" t="n">
        <v>943</v>
      </c>
      <c r="G42" s="6" t="n">
        <v>0.001341137353031913</v>
      </c>
    </row>
    <row r="43">
      <c r="A43" t="n">
        <v>32</v>
      </c>
      <c r="B43" s="11" t="n">
        <v>0</v>
      </c>
      <c r="C43" s="6" t="n">
        <v>0</v>
      </c>
      <c r="E43" s="7" t="n">
        <v>32</v>
      </c>
      <c r="F43" s="13" t="n">
        <v>687</v>
      </c>
      <c r="G43" s="6" t="n">
        <v>0.001372559101452256</v>
      </c>
    </row>
    <row r="44">
      <c r="A44" t="n">
        <v>33</v>
      </c>
      <c r="B44" s="11" t="n">
        <v>780.268380704</v>
      </c>
      <c r="C44" s="6" t="n">
        <v>0.001204549952544311</v>
      </c>
      <c r="E44" s="7" t="n">
        <v>33</v>
      </c>
      <c r="F44" s="13" t="n">
        <v>778</v>
      </c>
      <c r="G44" s="6" t="n">
        <v>0.00084410242347376</v>
      </c>
    </row>
    <row r="45">
      <c r="A45" t="n">
        <v>34</v>
      </c>
      <c r="B45" s="11" t="n">
        <v>1426.6504365116</v>
      </c>
      <c r="C45" s="6" t="n">
        <v>0.002202411065339942</v>
      </c>
      <c r="E45" s="7" t="n">
        <v>34</v>
      </c>
      <c r="F45" s="13" t="n">
        <v>592</v>
      </c>
      <c r="G45" s="6" t="n">
        <v>0.001246872107770884</v>
      </c>
    </row>
    <row r="46">
      <c r="A46" t="n">
        <v>35</v>
      </c>
      <c r="B46" s="11" t="n">
        <v>0</v>
      </c>
      <c r="C46" s="6" t="n">
        <v>0</v>
      </c>
      <c r="E46" s="7" t="n">
        <v>35</v>
      </c>
      <c r="F46" s="13" t="n">
        <v>581</v>
      </c>
      <c r="G46" s="6" t="n">
        <v>0.0008026828460105806</v>
      </c>
    </row>
    <row r="47">
      <c r="A47" t="n">
        <v>36</v>
      </c>
      <c r="B47" s="11" t="n">
        <v>0</v>
      </c>
      <c r="C47" s="6" t="n">
        <v>0</v>
      </c>
      <c r="E47" s="7" t="n">
        <v>36</v>
      </c>
      <c r="F47" s="13" t="n">
        <v>698</v>
      </c>
      <c r="G47" s="6" t="n">
        <v>0.000831248071847256</v>
      </c>
    </row>
    <row r="48">
      <c r="A48" t="n">
        <v>37</v>
      </c>
      <c r="B48" s="11" t="n">
        <v>0</v>
      </c>
      <c r="C48" s="6" t="n">
        <v>0</v>
      </c>
      <c r="E48" s="7" t="n">
        <v>37</v>
      </c>
      <c r="F48" s="13" t="n">
        <v>528</v>
      </c>
      <c r="G48" s="6" t="n">
        <v>0.0008112524137615832</v>
      </c>
    </row>
    <row r="49">
      <c r="A49" t="n">
        <v>38</v>
      </c>
      <c r="B49" s="11" t="n">
        <v>292.681617382</v>
      </c>
      <c r="C49" s="6" t="n">
        <v>0.0004518312378748336</v>
      </c>
      <c r="E49" s="7" t="n">
        <v>38</v>
      </c>
      <c r="F49" s="13" t="n">
        <v>572</v>
      </c>
      <c r="G49" s="6" t="n">
        <v>0.0009312263622756202</v>
      </c>
    </row>
    <row r="50">
      <c r="A50" t="n">
        <v>39</v>
      </c>
      <c r="B50" s="11" t="n">
        <v>0</v>
      </c>
      <c r="C50" s="6" t="n">
        <v>0</v>
      </c>
      <c r="E50" s="7" t="n">
        <v>39</v>
      </c>
      <c r="F50" s="13" t="n">
        <v>262</v>
      </c>
      <c r="G50" s="6" t="n">
        <v>0.0005541653812315041</v>
      </c>
    </row>
    <row r="51">
      <c r="A51" t="n">
        <v>40</v>
      </c>
      <c r="B51" s="11" t="n">
        <v>0</v>
      </c>
      <c r="C51" s="6" t="n">
        <v>0</v>
      </c>
      <c r="E51" s="7" t="n">
        <v>40</v>
      </c>
      <c r="F51" s="13" t="n">
        <v>274</v>
      </c>
      <c r="G51" s="6" t="n">
        <v>0.0004413327391766359</v>
      </c>
    </row>
    <row r="52">
      <c r="A52" t="n">
        <v>41</v>
      </c>
      <c r="B52" s="11" t="n">
        <v>0</v>
      </c>
      <c r="C52" s="6" t="n">
        <v>0</v>
      </c>
      <c r="E52" s="7" t="n">
        <v>41</v>
      </c>
      <c r="F52" s="13" t="n">
        <v>303</v>
      </c>
      <c r="G52" s="6" t="n">
        <v>0.0002856522583667546</v>
      </c>
    </row>
    <row r="53">
      <c r="A53" t="n">
        <v>42</v>
      </c>
      <c r="B53" s="11" t="n">
        <v>0</v>
      </c>
      <c r="C53" s="6" t="n">
        <v>0</v>
      </c>
      <c r="E53" s="7" t="n">
        <v>42</v>
      </c>
      <c r="F53" s="13" t="n">
        <v>209</v>
      </c>
      <c r="G53" s="6" t="n">
        <v>0.0003156457454952639</v>
      </c>
    </row>
    <row r="54">
      <c r="A54" t="n">
        <v>43</v>
      </c>
      <c r="B54" s="11" t="n">
        <v>0</v>
      </c>
      <c r="C54" s="6" t="n">
        <v>0</v>
      </c>
      <c r="E54" s="7" t="n">
        <v>43</v>
      </c>
      <c r="F54" s="13" t="n">
        <v>202</v>
      </c>
      <c r="G54" s="6" t="n">
        <v>0.000182817445354723</v>
      </c>
    </row>
    <row r="55">
      <c r="A55" t="n">
        <v>44</v>
      </c>
      <c r="B55" s="11" t="n">
        <v>0</v>
      </c>
      <c r="C55" s="6" t="n">
        <v>0</v>
      </c>
      <c r="E55" s="7" t="n">
        <v>44</v>
      </c>
      <c r="F55" s="13" t="n">
        <v>175</v>
      </c>
      <c r="G55" s="6" t="n">
        <v>0.0002099544098995647</v>
      </c>
    </row>
    <row r="56">
      <c r="A56" t="n">
        <v>45</v>
      </c>
      <c r="B56" s="11" t="n">
        <v>0</v>
      </c>
      <c r="C56" s="6" t="n">
        <v>0</v>
      </c>
      <c r="E56" s="7" t="n">
        <v>45</v>
      </c>
      <c r="F56" s="13" t="n">
        <v>152</v>
      </c>
      <c r="G56" s="6" t="n">
        <v>0.0002499457260709103</v>
      </c>
    </row>
    <row r="57">
      <c r="A57" t="n">
        <v>46</v>
      </c>
      <c r="B57" s="11" t="n">
        <v>0</v>
      </c>
      <c r="C57" s="6" t="n">
        <v>0</v>
      </c>
      <c r="E57" s="7" t="n">
        <v>46</v>
      </c>
      <c r="F57" s="13" t="n">
        <v>101</v>
      </c>
      <c r="G57" s="6" t="n">
        <v>0.0001985283195648945</v>
      </c>
    </row>
    <row r="58">
      <c r="A58" t="n">
        <v>47</v>
      </c>
      <c r="B58" s="11" t="n">
        <v>0</v>
      </c>
      <c r="C58" s="6" t="n">
        <v>0</v>
      </c>
      <c r="E58" s="7" t="n">
        <v>47</v>
      </c>
      <c r="F58" s="13" t="n">
        <v>139</v>
      </c>
      <c r="G58" s="6" t="n">
        <v>0.0001456826517670449</v>
      </c>
    </row>
    <row r="59">
      <c r="A59" t="n">
        <v>48</v>
      </c>
      <c r="B59" s="11" t="n">
        <v>0</v>
      </c>
      <c r="C59" s="6" t="n">
        <v>0</v>
      </c>
      <c r="E59" s="7" t="n">
        <v>48</v>
      </c>
      <c r="F59" s="13" t="n">
        <v>63</v>
      </c>
      <c r="G59" s="6" t="n">
        <v>0.0001085478581793668</v>
      </c>
    </row>
    <row r="60">
      <c r="A60" t="n">
        <v>49</v>
      </c>
      <c r="B60" s="11" t="n">
        <v>0</v>
      </c>
      <c r="C60" s="6" t="n">
        <v>0</v>
      </c>
      <c r="E60" s="7" t="n">
        <v>49</v>
      </c>
      <c r="F60" s="13" t="n">
        <v>70</v>
      </c>
      <c r="G60" s="6" t="n">
        <v>0.0001314000388487071</v>
      </c>
    </row>
    <row r="61">
      <c r="A61" t="n">
        <v>50</v>
      </c>
      <c r="B61" s="11" t="n">
        <v>0</v>
      </c>
      <c r="C61" s="6" t="n">
        <v>0</v>
      </c>
      <c r="E61" s="7" t="n">
        <v>50</v>
      </c>
      <c r="F61" s="13" t="n">
        <v>91</v>
      </c>
      <c r="G61" s="6" t="n">
        <v>0.0001185456872222032</v>
      </c>
    </row>
    <row r="62">
      <c r="A62" t="n">
        <v>51</v>
      </c>
      <c r="B62" s="11" t="n">
        <v>387.674382174</v>
      </c>
      <c r="C62" s="6" t="n">
        <v>0.0005984776138551309</v>
      </c>
      <c r="E62" s="7" t="n">
        <v>51</v>
      </c>
      <c r="F62" s="13" t="n">
        <v>66</v>
      </c>
      <c r="G62" s="6" t="n">
        <v>9.426524526102904e-05</v>
      </c>
    </row>
    <row r="63">
      <c r="A63" t="n">
        <v>52</v>
      </c>
      <c r="B63" s="11" t="n">
        <v>0</v>
      </c>
      <c r="C63" s="6" t="n">
        <v>0</v>
      </c>
      <c r="E63" s="7" t="n">
        <v>52</v>
      </c>
      <c r="F63" s="13" t="n">
        <v>61</v>
      </c>
      <c r="G63" s="6" t="n">
        <v>8.712393880186017e-05</v>
      </c>
    </row>
    <row r="64">
      <c r="A64" t="n">
        <v>53</v>
      </c>
      <c r="B64" s="11" t="n">
        <v>0</v>
      </c>
      <c r="C64" s="6" t="n">
        <v>0</v>
      </c>
      <c r="E64" s="7" t="n">
        <v>53</v>
      </c>
      <c r="F64" s="13" t="n">
        <v>46</v>
      </c>
      <c r="G64" s="6" t="n">
        <v>3.142174842034301e-05</v>
      </c>
    </row>
    <row r="65">
      <c r="A65" t="n">
        <v>54</v>
      </c>
      <c r="B65" s="11" t="n">
        <v>0</v>
      </c>
      <c r="C65" s="6" t="n">
        <v>0</v>
      </c>
      <c r="E65" s="7" t="n">
        <v>54</v>
      </c>
      <c r="F65" s="13" t="n">
        <v>54</v>
      </c>
      <c r="G65" s="6" t="n">
        <v>7.284132588352244e-05</v>
      </c>
    </row>
    <row r="66">
      <c r="A66" t="n">
        <v>55</v>
      </c>
      <c r="B66" s="11" t="n">
        <v>0</v>
      </c>
      <c r="C66" s="6" t="n">
        <v>0</v>
      </c>
      <c r="E66" s="7" t="n">
        <v>55</v>
      </c>
      <c r="F66" s="13" t="n">
        <v>33</v>
      </c>
      <c r="G66" s="6" t="n">
        <v>4.28478387550132e-05</v>
      </c>
    </row>
    <row r="67">
      <c r="A67" t="n">
        <v>56</v>
      </c>
      <c r="B67" s="11" t="n">
        <v>0</v>
      </c>
      <c r="C67" s="6" t="n">
        <v>0</v>
      </c>
      <c r="E67" s="7" t="n">
        <v>56</v>
      </c>
      <c r="F67" s="13" t="n">
        <v>18</v>
      </c>
      <c r="G67" s="6" t="n">
        <v>2.999348712850924e-05</v>
      </c>
    </row>
    <row r="68">
      <c r="A68" t="n">
        <v>57</v>
      </c>
      <c r="B68" s="11" t="n">
        <v>0</v>
      </c>
      <c r="C68" s="6" t="n">
        <v>0</v>
      </c>
      <c r="E68" s="7" t="n">
        <v>57</v>
      </c>
      <c r="F68" s="13" t="n">
        <v>26</v>
      </c>
      <c r="G68" s="6" t="n">
        <v>2.856522583667547e-05</v>
      </c>
    </row>
    <row r="69">
      <c r="A69" t="n">
        <v>58</v>
      </c>
      <c r="B69" s="11" t="n">
        <v>0</v>
      </c>
      <c r="C69" s="6" t="n">
        <v>0</v>
      </c>
      <c r="E69" s="7" t="n">
        <v>58</v>
      </c>
      <c r="F69" s="13" t="n">
        <v>20</v>
      </c>
      <c r="G69" s="6" t="n">
        <v>4.856088392234829e-05</v>
      </c>
    </row>
    <row r="70">
      <c r="A70" t="n">
        <v>59</v>
      </c>
      <c r="B70" s="11" t="n">
        <v>0</v>
      </c>
      <c r="C70" s="6" t="n">
        <v>0</v>
      </c>
      <c r="E70" s="7" t="n">
        <v>59</v>
      </c>
      <c r="F70" s="13" t="n">
        <v>11</v>
      </c>
      <c r="G70" s="6" t="n">
        <v>2.285218066934037e-05</v>
      </c>
    </row>
    <row r="71">
      <c r="A71" t="n">
        <v>60</v>
      </c>
      <c r="B71" s="11" t="n">
        <v>0</v>
      </c>
      <c r="C71" s="6" t="n">
        <v>0</v>
      </c>
      <c r="E71" s="7" t="n">
        <v>60</v>
      </c>
      <c r="F71" s="13" t="n">
        <v>20</v>
      </c>
      <c r="G71" s="6" t="n">
        <v>1.57108742101715e-05</v>
      </c>
    </row>
    <row r="72">
      <c r="A72" t="n">
        <v>61</v>
      </c>
      <c r="B72" s="11" t="n">
        <v>0</v>
      </c>
      <c r="C72" s="6" t="n">
        <v>0</v>
      </c>
      <c r="E72" s="7" t="n">
        <v>61</v>
      </c>
      <c r="F72" s="13" t="n">
        <v>18</v>
      </c>
      <c r="G72" s="6" t="n">
        <v>7.141306459168867e-06</v>
      </c>
    </row>
    <row r="73">
      <c r="A73" t="n">
        <v>62</v>
      </c>
      <c r="B73" s="11" t="n">
        <v>0</v>
      </c>
      <c r="C73" s="6" t="n">
        <v>0</v>
      </c>
      <c r="E73" s="7" t="n">
        <v>62</v>
      </c>
      <c r="F73" s="13" t="n">
        <v>6</v>
      </c>
      <c r="G73" s="6" t="n">
        <v>1.57108742101715e-05</v>
      </c>
    </row>
    <row r="74">
      <c r="A74" t="n">
        <v>63</v>
      </c>
      <c r="B74" s="11" t="n">
        <v>0</v>
      </c>
      <c r="C74" s="6" t="n">
        <v>0</v>
      </c>
      <c r="E74" s="7" t="n">
        <v>63</v>
      </c>
      <c r="F74" s="13" t="n">
        <v>7</v>
      </c>
      <c r="G74" s="6" t="n">
        <v>0</v>
      </c>
    </row>
    <row r="75">
      <c r="A75" t="n">
        <v>64</v>
      </c>
      <c r="B75" s="11" t="n">
        <v>0</v>
      </c>
      <c r="C75" s="6" t="n">
        <v>0</v>
      </c>
      <c r="E75" s="7" t="n">
        <v>64</v>
      </c>
      <c r="F75" s="13" t="n">
        <v>1</v>
      </c>
      <c r="G75" s="6" t="n">
        <v>4.28478387550132e-06</v>
      </c>
    </row>
    <row r="76">
      <c r="A76" t="n">
        <v>65</v>
      </c>
      <c r="B76" s="11" t="n">
        <v>0</v>
      </c>
      <c r="C76" s="6" t="n">
        <v>0</v>
      </c>
      <c r="E76" s="7" t="n">
        <v>65</v>
      </c>
      <c r="F76" s="13" t="n">
        <v>2</v>
      </c>
      <c r="G76" s="6" t="n">
        <v>2.428044196117414e-05</v>
      </c>
    </row>
    <row r="77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7.141306459168867e-06</v>
      </c>
    </row>
    <row r="78">
      <c r="A78" t="n">
        <v>67</v>
      </c>
      <c r="B78" s="11" t="n">
        <v>0</v>
      </c>
      <c r="C78" s="6" t="n">
        <v>0</v>
      </c>
      <c r="E78" s="7" t="n">
        <v>67</v>
      </c>
      <c r="F78" s="13" t="n">
        <v>2</v>
      </c>
      <c r="G78" s="6" t="n">
        <v>5.713045167335093e-06</v>
      </c>
    </row>
    <row r="79">
      <c r="A79" t="n">
        <v>68</v>
      </c>
      <c r="B79" s="11" t="n">
        <v>0</v>
      </c>
      <c r="C79" s="6" t="n">
        <v>0</v>
      </c>
      <c r="E79" s="7" t="n">
        <v>68</v>
      </c>
      <c r="F79" s="13" t="n">
        <v>1</v>
      </c>
      <c r="G79" s="6" t="n">
        <v>2.856522583667547e-06</v>
      </c>
    </row>
    <row r="80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1.428261291833773e-06</v>
      </c>
    </row>
    <row r="81">
      <c r="A81" t="n">
        <v>70</v>
      </c>
      <c r="B81" s="11" t="n">
        <v>0</v>
      </c>
      <c r="C81" s="6" t="n">
        <v>0</v>
      </c>
      <c r="E81" s="7" t="n">
        <v>70</v>
      </c>
      <c r="F81" s="13" t="n">
        <v>1</v>
      </c>
      <c r="G81" s="6" t="n">
        <v>8.56956775100264e-06</v>
      </c>
    </row>
    <row r="82">
      <c r="A82" t="n">
        <v>71</v>
      </c>
      <c r="B82" s="11" t="n">
        <v>0</v>
      </c>
      <c r="C82" s="6" t="n">
        <v>0</v>
      </c>
      <c r="E82" s="7" t="n">
        <v>71</v>
      </c>
      <c r="F82" s="13" t="n">
        <v>4</v>
      </c>
      <c r="G82" s="6" t="n">
        <v>5.713045167335093e-06</v>
      </c>
    </row>
    <row r="83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2.856522583667547e-06</v>
      </c>
    </row>
    <row r="84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>
      <c r="A85" t="n">
        <v>74</v>
      </c>
      <c r="B85" s="11" t="n">
        <v>0</v>
      </c>
      <c r="C85" s="6" t="n">
        <v>0</v>
      </c>
      <c r="E85" s="7" t="n">
        <v>74</v>
      </c>
      <c r="F85" s="13" t="n">
        <v>1</v>
      </c>
      <c r="G85" s="6" t="n">
        <v>4.28478387550132e-06</v>
      </c>
    </row>
    <row r="86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1.428261291833773e-06</v>
      </c>
    </row>
    <row r="89">
      <c r="A89" t="n">
        <v>78</v>
      </c>
      <c r="B89" s="11" t="n">
        <v>0</v>
      </c>
      <c r="C89" s="6" t="n">
        <v>0</v>
      </c>
      <c r="E89" s="7" t="n">
        <v>78</v>
      </c>
      <c r="F89" s="13" t="n">
        <v>5</v>
      </c>
      <c r="G89" s="6" t="n">
        <v>7.141306459168867e-06</v>
      </c>
    </row>
    <row r="90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>
      <c r="A96" t="n">
        <v>85</v>
      </c>
      <c r="B96" s="11" t="n">
        <v>0</v>
      </c>
      <c r="C96" s="6" t="n">
        <v>0</v>
      </c>
      <c r="E96" s="7" t="n">
        <v>85</v>
      </c>
      <c r="F96" s="13" t="n">
        <v>1</v>
      </c>
      <c r="G96" s="6" t="n">
        <v>0</v>
      </c>
    </row>
    <row r="97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>
      <c r="A98" t="n">
        <v>87</v>
      </c>
      <c r="B98" s="11" t="n">
        <v>0</v>
      </c>
      <c r="C98" s="6" t="n">
        <v>0</v>
      </c>
      <c r="E98" s="7" t="n">
        <v>87</v>
      </c>
      <c r="F98" s="13" t="n">
        <v>1</v>
      </c>
      <c r="G98" s="6" t="n">
        <v>0</v>
      </c>
    </row>
    <row r="99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1.428261291833773e-06</v>
      </c>
    </row>
    <row r="100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r="101" ht="15.75" customHeight="1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>
      <c r="B102" s="11" t="n">
        <v>647767.5575478442</v>
      </c>
      <c r="C102" s="6" t="n">
        <v>1</v>
      </c>
      <c r="F102" s="11" t="n">
        <v>700152</v>
      </c>
      <c r="G102" s="6" t="n">
        <v>1</v>
      </c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102"/>
  <sheetViews>
    <sheetView workbookViewId="0">
      <selection activeCell="H35" sqref="H35"/>
    </sheetView>
  </sheetViews>
  <sheetFormatPr baseColWidth="10" defaultRowHeight="15"/>
  <cols>
    <col collapsed="1" width="13.5703125" customWidth="1" style="10" min="1" max="1"/>
    <col collapsed="1" width="10.5703125" customWidth="1" style="10" min="2" max="2"/>
    <col collapsed="1" width="10.5703125" customWidth="1" style="10" min="6" max="6"/>
  </cols>
  <sheetData>
    <row r="1">
      <c r="A1" t="inlineStr">
        <is>
          <t>Trip Length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9" t="inlineStr">
        <is>
          <t>Survey</t>
        </is>
      </c>
      <c r="C10" s="9" t="inlineStr">
        <is>
          <t>Survey</t>
        </is>
      </c>
      <c r="E10" s="2" t="inlineStr">
        <is>
          <t>Distance (mi)</t>
        </is>
      </c>
      <c r="F10" s="9" t="inlineStr">
        <is>
          <t>DaySim</t>
        </is>
      </c>
      <c r="G10" s="9" t="inlineStr">
        <is>
          <t>DaySim</t>
        </is>
      </c>
      <c r="J10" s="2" t="inlineStr"/>
      <c r="K10" s="9" t="inlineStr">
        <is>
          <t>Survey</t>
        </is>
      </c>
      <c r="L10" s="9" t="inlineStr">
        <is>
          <t>DaySim</t>
        </is>
      </c>
    </row>
    <row r="11">
      <c r="A11" t="n">
        <v>0</v>
      </c>
      <c r="B11" s="11" t="n">
        <v>21714.3581449434</v>
      </c>
      <c r="C11" s="6" t="n">
        <v>0.2150524176801443</v>
      </c>
      <c r="E11" s="7" t="n">
        <v>0</v>
      </c>
      <c r="F11" s="13" t="n">
        <v>8802</v>
      </c>
      <c r="G11" s="6" t="n">
        <v>0.1096274502407805</v>
      </c>
      <c r="K11" s="4" t="n">
        <v>4.895899174480038</v>
      </c>
      <c r="L11" s="4" t="n">
        <v>5.835013347927598</v>
      </c>
    </row>
    <row r="12">
      <c r="A12" t="n">
        <v>1</v>
      </c>
      <c r="B12" s="11" t="n">
        <v>17532.1341696373</v>
      </c>
      <c r="C12" s="6" t="n">
        <v>0.1736329397860265</v>
      </c>
      <c r="E12" s="7" t="n">
        <v>1</v>
      </c>
      <c r="F12" s="13" t="n">
        <v>11646</v>
      </c>
      <c r="G12" s="6" t="n">
        <v>0.147083600518024</v>
      </c>
      <c r="K12" s="4" t="inlineStr"/>
      <c r="L12" s="7" t="inlineStr"/>
    </row>
    <row r="13">
      <c r="A13" t="n">
        <v>2</v>
      </c>
      <c r="B13" s="11" t="n">
        <v>8419.413432157</v>
      </c>
      <c r="C13" s="6" t="n">
        <v>0.08338331724788656</v>
      </c>
      <c r="E13" s="7" t="n">
        <v>2</v>
      </c>
      <c r="F13" s="13" t="n">
        <v>10767</v>
      </c>
      <c r="G13" s="6" t="n">
        <v>0.1371380433279268</v>
      </c>
    </row>
    <row r="14">
      <c r="A14" t="n">
        <v>3</v>
      </c>
      <c r="B14" s="11" t="n">
        <v>11809.3452406979</v>
      </c>
      <c r="C14" s="6" t="n">
        <v>0.1169561738035066</v>
      </c>
      <c r="E14" s="7" t="n">
        <v>3</v>
      </c>
      <c r="F14" s="13" t="n">
        <v>9952</v>
      </c>
      <c r="G14" s="6" t="n">
        <v>0.1231689990318484</v>
      </c>
    </row>
    <row r="15">
      <c r="A15" t="n">
        <v>4</v>
      </c>
      <c r="B15" s="11" t="n">
        <v>13519.4039174619</v>
      </c>
      <c r="C15" s="6" t="n">
        <v>0.1338920763228562</v>
      </c>
      <c r="E15" s="7" t="n">
        <v>4</v>
      </c>
      <c r="F15" s="13" t="n">
        <v>8456</v>
      </c>
      <c r="G15" s="6" t="n">
        <v>0.1051638942325827</v>
      </c>
    </row>
    <row r="16">
      <c r="A16" t="n">
        <v>5</v>
      </c>
      <c r="B16" s="11" t="n">
        <v>1849.782695403</v>
      </c>
      <c r="C16" s="6" t="n">
        <v>0.0183196868253711</v>
      </c>
      <c r="E16" s="7" t="n">
        <v>5</v>
      </c>
      <c r="F16" s="13" t="n">
        <v>6404</v>
      </c>
      <c r="G16" s="6" t="n">
        <v>0.08077150365257189</v>
      </c>
    </row>
    <row r="17">
      <c r="A17" t="n">
        <v>6</v>
      </c>
      <c r="B17" s="11" t="n">
        <v>996.909822548</v>
      </c>
      <c r="C17" s="6" t="n">
        <v>0.009873092546277051</v>
      </c>
      <c r="E17" s="7" t="n">
        <v>6</v>
      </c>
      <c r="F17" s="13" t="n">
        <v>4367</v>
      </c>
      <c r="G17" s="6" t="n">
        <v>0.05431707593074573</v>
      </c>
    </row>
    <row r="18">
      <c r="A18" t="n">
        <v>7</v>
      </c>
      <c r="B18" s="11" t="n">
        <v>3374.273870721</v>
      </c>
      <c r="C18" s="6" t="n">
        <v>0.03341778508808792</v>
      </c>
      <c r="E18" s="7" t="n">
        <v>7</v>
      </c>
      <c r="F18" s="13" t="n">
        <v>3156</v>
      </c>
      <c r="G18" s="6" t="n">
        <v>0.03935473325537827</v>
      </c>
    </row>
    <row r="19">
      <c r="A19" t="n">
        <v>8</v>
      </c>
      <c r="B19" s="11" t="n">
        <v>2074.465429439</v>
      </c>
      <c r="C19" s="6" t="n">
        <v>0.0205448764829654</v>
      </c>
      <c r="E19" s="7" t="n">
        <v>8</v>
      </c>
      <c r="F19" s="13" t="n">
        <v>2394</v>
      </c>
      <c r="G19" s="6" t="n">
        <v>0.02964807061219871</v>
      </c>
    </row>
    <row r="20">
      <c r="A20" t="n">
        <v>9</v>
      </c>
      <c r="B20" s="11" t="n">
        <v>1207.46655552</v>
      </c>
      <c r="C20" s="6" t="n">
        <v>0.01195838257337397</v>
      </c>
      <c r="E20" s="7" t="n">
        <v>9</v>
      </c>
      <c r="F20" s="13" t="n">
        <v>1371</v>
      </c>
      <c r="G20" s="6" t="n">
        <v>0.0163202695736361</v>
      </c>
    </row>
    <row r="21">
      <c r="A21" t="n">
        <v>10</v>
      </c>
      <c r="B21" s="11" t="n">
        <v>880.055534877</v>
      </c>
      <c r="C21" s="6" t="n">
        <v>0.008715803119981411</v>
      </c>
      <c r="E21" s="7" t="n">
        <v>10</v>
      </c>
      <c r="F21" s="13" t="n">
        <v>1088</v>
      </c>
      <c r="G21" s="6" t="n">
        <v>0.01422051224020218</v>
      </c>
    </row>
    <row r="22">
      <c r="A22" t="n">
        <v>11</v>
      </c>
      <c r="B22" s="11" t="n">
        <v>1112.109726078</v>
      </c>
      <c r="C22" s="6" t="n">
        <v>0.01101399745377094</v>
      </c>
      <c r="E22" s="7" t="n">
        <v>11</v>
      </c>
      <c r="F22" s="13" t="n">
        <v>974</v>
      </c>
      <c r="G22" s="6" t="n">
        <v>0.01295059912237687</v>
      </c>
    </row>
    <row r="23">
      <c r="A23" t="n">
        <v>12</v>
      </c>
      <c r="B23" s="11" t="n">
        <v>942.231922169</v>
      </c>
      <c r="C23" s="6" t="n">
        <v>0.00933157920327657</v>
      </c>
      <c r="E23" s="7" t="n">
        <v>12</v>
      </c>
      <c r="F23" s="13" t="n">
        <v>1110</v>
      </c>
      <c r="G23" s="6" t="n">
        <v>0.01247281002854161</v>
      </c>
    </row>
    <row r="24">
      <c r="A24" t="n">
        <v>13</v>
      </c>
      <c r="B24" s="11" t="n">
        <v>1141.297113071</v>
      </c>
      <c r="C24" s="6" t="n">
        <v>0.01130306048279132</v>
      </c>
      <c r="E24" s="7" t="n">
        <v>13</v>
      </c>
      <c r="F24" s="13" t="n">
        <v>982</v>
      </c>
      <c r="G24" s="6" t="n">
        <v>0.01175612638778872</v>
      </c>
    </row>
    <row r="25">
      <c r="A25" t="n">
        <v>14</v>
      </c>
      <c r="B25" s="11" t="n">
        <v>0</v>
      </c>
      <c r="C25" s="6" t="n">
        <v>0</v>
      </c>
      <c r="E25" s="7" t="n">
        <v>14</v>
      </c>
      <c r="F25" s="13" t="n">
        <v>979</v>
      </c>
      <c r="G25" s="6" t="n">
        <v>0.01158009882690204</v>
      </c>
    </row>
    <row r="26">
      <c r="A26" t="n">
        <v>15</v>
      </c>
      <c r="B26" s="11" t="n">
        <v>1208.4204133333</v>
      </c>
      <c r="C26" s="6" t="n">
        <v>0.01196782929187718</v>
      </c>
      <c r="E26" s="7" t="n">
        <v>15</v>
      </c>
      <c r="F26" s="13" t="n">
        <v>883</v>
      </c>
      <c r="G26" s="6" t="n">
        <v>0.01125319049954107</v>
      </c>
    </row>
    <row r="27">
      <c r="A27" t="n">
        <v>16</v>
      </c>
      <c r="B27" s="11" t="n">
        <v>7325.31987321</v>
      </c>
      <c r="C27" s="6" t="n">
        <v>0.07254774644955665</v>
      </c>
      <c r="E27" s="7" t="n">
        <v>16</v>
      </c>
      <c r="F27" s="13" t="n">
        <v>828</v>
      </c>
      <c r="G27" s="6" t="n">
        <v>0.01061194724202532</v>
      </c>
    </row>
    <row r="28">
      <c r="A28" t="n">
        <v>17</v>
      </c>
      <c r="B28" s="11" t="n">
        <v>0</v>
      </c>
      <c r="C28" s="6" t="n">
        <v>0</v>
      </c>
      <c r="E28" s="7" t="n">
        <v>17</v>
      </c>
      <c r="F28" s="13" t="n">
        <v>718</v>
      </c>
      <c r="G28" s="6" t="n">
        <v>0.009354607521406209</v>
      </c>
    </row>
    <row r="29">
      <c r="A29" t="n">
        <v>18</v>
      </c>
      <c r="B29" s="11" t="n">
        <v>3544.169887275</v>
      </c>
      <c r="C29" s="6" t="n">
        <v>0.03510038371109495</v>
      </c>
      <c r="E29" s="7" t="n">
        <v>18</v>
      </c>
      <c r="F29" s="13" t="n">
        <v>688</v>
      </c>
      <c r="G29" s="6" t="n">
        <v>0.007958960431518992</v>
      </c>
    </row>
    <row r="30">
      <c r="A30" t="n">
        <v>19</v>
      </c>
      <c r="B30" s="11" t="n">
        <v>775.795370025</v>
      </c>
      <c r="C30" s="6" t="n">
        <v>0.00768324206662261</v>
      </c>
      <c r="E30" s="7" t="n">
        <v>19</v>
      </c>
      <c r="F30" s="13" t="n">
        <v>630</v>
      </c>
      <c r="G30" s="6" t="n">
        <v>0.008059547609168521</v>
      </c>
    </row>
    <row r="31">
      <c r="A31" t="n">
        <v>20</v>
      </c>
      <c r="B31" s="11" t="n">
        <v>0</v>
      </c>
      <c r="C31" s="6" t="n">
        <v>0</v>
      </c>
      <c r="E31" s="7" t="n">
        <v>20</v>
      </c>
      <c r="F31" s="13" t="n">
        <v>609</v>
      </c>
      <c r="G31" s="6" t="n">
        <v>0.007116542818704186</v>
      </c>
    </row>
    <row r="32">
      <c r="A32" t="n">
        <v>21</v>
      </c>
      <c r="B32" s="11" t="n">
        <v>280.724871177</v>
      </c>
      <c r="C32" s="6" t="n">
        <v>0.002780213987748901</v>
      </c>
      <c r="E32" s="7" t="n">
        <v>21</v>
      </c>
      <c r="F32" s="13" t="n">
        <v>475</v>
      </c>
      <c r="G32" s="6" t="n">
        <v>0.007091396024291804</v>
      </c>
    </row>
    <row r="33">
      <c r="A33" t="n">
        <v>22</v>
      </c>
      <c r="B33" s="11" t="n">
        <v>145.892226826</v>
      </c>
      <c r="C33" s="6" t="n">
        <v>0.001444872369252022</v>
      </c>
      <c r="E33" s="7" t="n">
        <v>22</v>
      </c>
      <c r="F33" s="13" t="n">
        <v>415</v>
      </c>
      <c r="G33" s="6" t="n">
        <v>0.005708322331610778</v>
      </c>
    </row>
    <row r="34">
      <c r="A34" t="n">
        <v>23</v>
      </c>
      <c r="B34" s="11" t="n">
        <v>0</v>
      </c>
      <c r="C34" s="6" t="n">
        <v>0</v>
      </c>
      <c r="E34" s="7" t="n">
        <v>23</v>
      </c>
      <c r="F34" s="13" t="n">
        <v>407</v>
      </c>
      <c r="G34" s="6" t="n">
        <v>0.004438409213785473</v>
      </c>
    </row>
    <row r="35">
      <c r="A35" t="n">
        <v>24</v>
      </c>
      <c r="B35" s="11" t="n">
        <v>0</v>
      </c>
      <c r="C35" s="6" t="n">
        <v>0</v>
      </c>
      <c r="E35" s="7" t="n">
        <v>24</v>
      </c>
      <c r="F35" s="13" t="n">
        <v>305</v>
      </c>
      <c r="G35" s="6" t="n">
        <v>0.003545698012145902</v>
      </c>
    </row>
    <row r="36">
      <c r="A36" t="n">
        <v>25</v>
      </c>
      <c r="B36" s="11" t="n">
        <v>0</v>
      </c>
      <c r="C36" s="6" t="n">
        <v>0</v>
      </c>
      <c r="E36" s="7" t="n">
        <v>25</v>
      </c>
      <c r="F36" s="13" t="n">
        <v>272</v>
      </c>
      <c r="G36" s="6" t="n">
        <v>0.00330680346522827</v>
      </c>
    </row>
    <row r="37">
      <c r="A37" t="n">
        <v>26</v>
      </c>
      <c r="B37" s="11" t="n">
        <v>0</v>
      </c>
      <c r="C37" s="6" t="n">
        <v>0</v>
      </c>
      <c r="E37" s="7" t="n">
        <v>26</v>
      </c>
      <c r="F37" s="13" t="n">
        <v>243</v>
      </c>
      <c r="G37" s="6" t="n">
        <v>0.002514679441238228</v>
      </c>
    </row>
    <row r="38">
      <c r="A38" t="n">
        <v>27</v>
      </c>
      <c r="B38" s="11" t="n">
        <v>0</v>
      </c>
      <c r="C38" s="6" t="n">
        <v>0</v>
      </c>
      <c r="E38" s="7" t="n">
        <v>27</v>
      </c>
      <c r="F38" s="13" t="n">
        <v>198</v>
      </c>
      <c r="G38" s="6" t="n">
        <v>0.002439239058001081</v>
      </c>
    </row>
    <row r="39">
      <c r="A39" t="n">
        <v>28</v>
      </c>
      <c r="B39" s="11" t="n">
        <v>0</v>
      </c>
      <c r="C39" s="6" t="n">
        <v>0</v>
      </c>
      <c r="E39" s="7" t="n">
        <v>28</v>
      </c>
      <c r="F39" s="13" t="n">
        <v>144</v>
      </c>
      <c r="G39" s="6" t="n">
        <v>0.001634541636804848</v>
      </c>
    </row>
    <row r="40">
      <c r="A40" t="n">
        <v>29</v>
      </c>
      <c r="B40" s="11" t="n">
        <v>543.221055857</v>
      </c>
      <c r="C40" s="6" t="n">
        <v>0.005379896592707373</v>
      </c>
      <c r="E40" s="7" t="n">
        <v>29</v>
      </c>
      <c r="F40" s="13" t="n">
        <v>124</v>
      </c>
      <c r="G40" s="6" t="n">
        <v>0.001772849006072951</v>
      </c>
    </row>
    <row r="41">
      <c r="A41" t="n">
        <v>30</v>
      </c>
      <c r="B41" s="11" t="n">
        <v>0</v>
      </c>
      <c r="C41" s="6" t="n">
        <v>0</v>
      </c>
      <c r="E41" s="7" t="n">
        <v>30</v>
      </c>
      <c r="F41" s="13" t="n">
        <v>81</v>
      </c>
      <c r="G41" s="6" t="n">
        <v>0.001031018570907674</v>
      </c>
    </row>
    <row r="42">
      <c r="A42" t="n">
        <v>31</v>
      </c>
      <c r="B42" s="11" t="n">
        <v>368.204446166</v>
      </c>
      <c r="C42" s="6" t="n">
        <v>0.003646585168211209</v>
      </c>
      <c r="E42" s="7" t="n">
        <v>31</v>
      </c>
      <c r="F42" s="13" t="n">
        <v>74</v>
      </c>
      <c r="G42" s="6" t="n">
        <v>0.001031018570907674</v>
      </c>
    </row>
    <row r="43">
      <c r="A43" t="n">
        <v>32</v>
      </c>
      <c r="B43" s="11" t="n">
        <v>0</v>
      </c>
      <c r="C43" s="6" t="n">
        <v>0</v>
      </c>
      <c r="E43" s="7" t="n">
        <v>32</v>
      </c>
      <c r="F43" s="13" t="n">
        <v>52</v>
      </c>
      <c r="G43" s="6" t="n">
        <v>0.0008549910100209975</v>
      </c>
    </row>
    <row r="44">
      <c r="A44" t="n">
        <v>33</v>
      </c>
      <c r="B44" s="11" t="n">
        <v>207.401519182</v>
      </c>
      <c r="C44" s="6" t="n">
        <v>0.002054041746613192</v>
      </c>
      <c r="E44" s="7" t="n">
        <v>33</v>
      </c>
      <c r="F44" s="13" t="n">
        <v>66</v>
      </c>
      <c r="G44" s="6" t="n">
        <v>0.0007418304351652773</v>
      </c>
    </row>
    <row r="45">
      <c r="A45" t="n">
        <v>34</v>
      </c>
      <c r="B45" s="11" t="n">
        <v>0</v>
      </c>
      <c r="C45" s="6" t="n">
        <v>0</v>
      </c>
      <c r="E45" s="7" t="n">
        <v>34</v>
      </c>
      <c r="F45" s="13" t="n">
        <v>39</v>
      </c>
      <c r="G45" s="6" t="n">
        <v>0.0005532294770724102</v>
      </c>
    </row>
    <row r="46">
      <c r="A46" t="n">
        <v>35</v>
      </c>
      <c r="B46" s="11" t="n">
        <v>0</v>
      </c>
      <c r="C46" s="6" t="n">
        <v>0</v>
      </c>
      <c r="E46" s="7" t="n">
        <v>35</v>
      </c>
      <c r="F46" s="13" t="n">
        <v>35</v>
      </c>
      <c r="G46" s="6" t="n">
        <v>0.0004652156966290722</v>
      </c>
    </row>
    <row r="47">
      <c r="A47" t="n">
        <v>36</v>
      </c>
      <c r="B47" s="11" t="n">
        <v>0</v>
      </c>
      <c r="C47" s="6" t="n">
        <v>0</v>
      </c>
      <c r="E47" s="7" t="n">
        <v>36</v>
      </c>
      <c r="F47" s="13" t="n">
        <v>19</v>
      </c>
      <c r="G47" s="6" t="n">
        <v>0.0005280826826600279</v>
      </c>
    </row>
    <row r="48">
      <c r="A48" t="n">
        <v>37</v>
      </c>
      <c r="B48" s="11" t="n">
        <v>0</v>
      </c>
      <c r="C48" s="6" t="n">
        <v>0</v>
      </c>
      <c r="E48" s="7" t="n">
        <v>37</v>
      </c>
      <c r="F48" s="13" t="n">
        <v>35</v>
      </c>
      <c r="G48" s="6" t="n">
        <v>0.0002388945469176317</v>
      </c>
    </row>
    <row r="49">
      <c r="A49" t="n">
        <v>38</v>
      </c>
      <c r="B49" s="11" t="n">
        <v>0</v>
      </c>
      <c r="C49" s="6" t="n">
        <v>0</v>
      </c>
      <c r="E49" s="7" t="n">
        <v>38</v>
      </c>
      <c r="F49" s="13" t="n">
        <v>35</v>
      </c>
      <c r="G49" s="6" t="n">
        <v>0.0003143349301547785</v>
      </c>
    </row>
    <row r="50">
      <c r="A50" t="n">
        <v>39</v>
      </c>
      <c r="B50" s="11" t="n">
        <v>0</v>
      </c>
      <c r="C50" s="6" t="n">
        <v>0</v>
      </c>
      <c r="E50" s="7" t="n">
        <v>39</v>
      </c>
      <c r="F50" s="13" t="n">
        <v>20</v>
      </c>
      <c r="G50" s="6" t="n">
        <v>0.0003520551217733519</v>
      </c>
    </row>
    <row r="51">
      <c r="A51" t="n">
        <v>40</v>
      </c>
      <c r="B51" s="11" t="n">
        <v>0</v>
      </c>
      <c r="C51" s="6" t="n">
        <v>0</v>
      </c>
      <c r="E51" s="7" t="n">
        <v>40</v>
      </c>
      <c r="F51" s="13" t="n">
        <v>23</v>
      </c>
      <c r="G51" s="6" t="n">
        <v>0.0002766147385362051</v>
      </c>
    </row>
    <row r="52">
      <c r="A52" t="n">
        <v>41</v>
      </c>
      <c r="B52" s="11" t="n">
        <v>0</v>
      </c>
      <c r="C52" s="6" t="n">
        <v>0</v>
      </c>
      <c r="E52" s="7" t="n">
        <v>41</v>
      </c>
      <c r="F52" s="13" t="n">
        <v>18</v>
      </c>
      <c r="G52" s="6" t="n">
        <v>0.000176027560886676</v>
      </c>
    </row>
    <row r="53">
      <c r="A53" t="n">
        <v>42</v>
      </c>
      <c r="B53" s="11" t="n">
        <v>0</v>
      </c>
      <c r="C53" s="6" t="n">
        <v>0</v>
      </c>
      <c r="E53" s="7" t="n">
        <v>42</v>
      </c>
      <c r="F53" s="13" t="n">
        <v>15</v>
      </c>
      <c r="G53" s="6" t="n">
        <v>0.0001886009580928671</v>
      </c>
    </row>
    <row r="54">
      <c r="A54" t="n">
        <v>43</v>
      </c>
      <c r="B54" s="11" t="n">
        <v>0</v>
      </c>
      <c r="C54" s="6" t="n">
        <v>0</v>
      </c>
      <c r="E54" s="7" t="n">
        <v>43</v>
      </c>
      <c r="F54" s="13" t="n">
        <v>7</v>
      </c>
      <c r="G54" s="6" t="n">
        <v>0.0001257339720619114</v>
      </c>
    </row>
    <row r="55">
      <c r="A55" t="n">
        <v>44</v>
      </c>
      <c r="B55" s="11" t="n">
        <v>0</v>
      </c>
      <c r="C55" s="6" t="n">
        <v>0</v>
      </c>
      <c r="E55" s="7" t="n">
        <v>44</v>
      </c>
      <c r="F55" s="13" t="n">
        <v>5</v>
      </c>
      <c r="G55" s="6" t="n">
        <v>6.28669860309557e-05</v>
      </c>
    </row>
    <row r="56">
      <c r="A56" t="n">
        <v>45</v>
      </c>
      <c r="B56" s="11" t="n">
        <v>0</v>
      </c>
      <c r="C56" s="6" t="n">
        <v>0</v>
      </c>
      <c r="E56" s="7" t="n">
        <v>45</v>
      </c>
      <c r="F56" s="13" t="n">
        <v>7</v>
      </c>
      <c r="G56" s="6" t="n">
        <v>8.801378044333798e-05</v>
      </c>
    </row>
    <row r="57">
      <c r="A57" t="n">
        <v>46</v>
      </c>
      <c r="B57" s="11" t="n">
        <v>0</v>
      </c>
      <c r="C57" s="6" t="n">
        <v>0</v>
      </c>
      <c r="E57" s="7" t="n">
        <v>46</v>
      </c>
      <c r="F57" s="13" t="n">
        <v>7</v>
      </c>
      <c r="G57" s="6" t="n">
        <v>0.0001383073692681026</v>
      </c>
    </row>
    <row r="58">
      <c r="A58" t="n">
        <v>47</v>
      </c>
      <c r="B58" s="11" t="n">
        <v>0</v>
      </c>
      <c r="C58" s="6" t="n">
        <v>0</v>
      </c>
      <c r="E58" s="7" t="n">
        <v>47</v>
      </c>
      <c r="F58" s="13" t="n">
        <v>1</v>
      </c>
      <c r="G58" s="6" t="n">
        <v>0.0001257339720619114</v>
      </c>
    </row>
    <row r="59">
      <c r="A59" t="n">
        <v>48</v>
      </c>
      <c r="B59" s="11" t="n">
        <v>0</v>
      </c>
      <c r="C59" s="6" t="n">
        <v>0</v>
      </c>
      <c r="E59" s="7" t="n">
        <v>48</v>
      </c>
      <c r="F59" s="13" t="n">
        <v>2</v>
      </c>
      <c r="G59" s="6" t="n">
        <v>7.544038323714685e-05</v>
      </c>
    </row>
    <row r="60">
      <c r="A60" t="n">
        <v>49</v>
      </c>
      <c r="B60" s="11" t="n">
        <v>0</v>
      </c>
      <c r="C60" s="6" t="n">
        <v>0</v>
      </c>
      <c r="E60" s="7" t="n">
        <v>49</v>
      </c>
      <c r="F60" s="13" t="n">
        <v>4</v>
      </c>
      <c r="G60" s="6" t="n">
        <v>8.801378044333798e-05</v>
      </c>
    </row>
    <row r="61">
      <c r="A61" t="n">
        <v>50</v>
      </c>
      <c r="B61" s="11" t="n">
        <v>0</v>
      </c>
      <c r="C61" s="6" t="n">
        <v>0</v>
      </c>
      <c r="E61" s="7" t="n">
        <v>50</v>
      </c>
      <c r="F61" s="13" t="n">
        <v>4</v>
      </c>
      <c r="G61" s="6" t="n">
        <v>2.514679441238228e-05</v>
      </c>
    </row>
    <row r="62">
      <c r="A62" t="n">
        <v>51</v>
      </c>
      <c r="B62" s="11" t="n">
        <v>0</v>
      </c>
      <c r="C62" s="6" t="n">
        <v>0</v>
      </c>
      <c r="E62" s="7" t="n">
        <v>51</v>
      </c>
      <c r="F62" s="13" t="n">
        <v>1</v>
      </c>
      <c r="G62" s="6" t="n">
        <v>0</v>
      </c>
    </row>
    <row r="63">
      <c r="A63" t="n">
        <v>52</v>
      </c>
      <c r="B63" s="11" t="n">
        <v>0</v>
      </c>
      <c r="C63" s="6" t="n">
        <v>0</v>
      </c>
      <c r="E63" s="7" t="n">
        <v>52</v>
      </c>
      <c r="F63" s="13" t="n">
        <v>2</v>
      </c>
      <c r="G63" s="6" t="n">
        <v>1.257339720619114e-05</v>
      </c>
    </row>
    <row r="64">
      <c r="A64" t="n">
        <v>53</v>
      </c>
      <c r="B64" s="11" t="n">
        <v>0</v>
      </c>
      <c r="C64" s="6" t="n">
        <v>0</v>
      </c>
      <c r="E64" s="7" t="n">
        <v>53</v>
      </c>
      <c r="F64" s="13" t="n">
        <v>1</v>
      </c>
      <c r="G64" s="6" t="n">
        <v>1.257339720619114e-05</v>
      </c>
    </row>
    <row r="65">
      <c r="A65" t="n">
        <v>54</v>
      </c>
      <c r="B65" s="11" t="n">
        <v>0</v>
      </c>
      <c r="C65" s="6" t="n">
        <v>0</v>
      </c>
      <c r="E65" s="7" t="n">
        <v>54</v>
      </c>
      <c r="F65" s="13" t="n">
        <v>0</v>
      </c>
      <c r="G65" s="6" t="n">
        <v>2.514679441238228e-05</v>
      </c>
    </row>
    <row r="66">
      <c r="A66" t="n">
        <v>55</v>
      </c>
      <c r="B66" s="11" t="n">
        <v>0</v>
      </c>
      <c r="C66" s="6" t="n">
        <v>0</v>
      </c>
      <c r="E66" s="7" t="n">
        <v>55</v>
      </c>
      <c r="F66" s="13" t="n">
        <v>5</v>
      </c>
      <c r="G66" s="6" t="n">
        <v>3.772019161857342e-05</v>
      </c>
    </row>
    <row r="67">
      <c r="A67" t="n">
        <v>56</v>
      </c>
      <c r="B67" s="11" t="n">
        <v>0</v>
      </c>
      <c r="C67" s="6" t="n">
        <v>0</v>
      </c>
      <c r="E67" s="7" t="n">
        <v>56</v>
      </c>
      <c r="F67" s="13" t="n">
        <v>1</v>
      </c>
      <c r="G67" s="6" t="n">
        <v>0</v>
      </c>
    </row>
    <row r="68">
      <c r="A68" t="n">
        <v>57</v>
      </c>
      <c r="B68" s="11" t="n">
        <v>0</v>
      </c>
      <c r="C68" s="6" t="n">
        <v>0</v>
      </c>
      <c r="E68" s="7" t="n">
        <v>57</v>
      </c>
      <c r="F68" s="13" t="n">
        <v>1</v>
      </c>
      <c r="G68" s="6" t="n">
        <v>1.257339720619114e-05</v>
      </c>
    </row>
    <row r="69">
      <c r="A69" t="n">
        <v>58</v>
      </c>
      <c r="B69" s="11" t="n">
        <v>0</v>
      </c>
      <c r="C69" s="6" t="n">
        <v>0</v>
      </c>
      <c r="E69" s="7" t="n">
        <v>58</v>
      </c>
      <c r="F69" s="13" t="n">
        <v>0</v>
      </c>
      <c r="G69" s="6" t="n">
        <v>3.772019161857342e-05</v>
      </c>
    </row>
    <row r="70">
      <c r="A70" t="n">
        <v>59</v>
      </c>
      <c r="B70" s="11" t="n">
        <v>0</v>
      </c>
      <c r="C70" s="6" t="n">
        <v>0</v>
      </c>
      <c r="E70" s="7" t="n">
        <v>59</v>
      </c>
      <c r="F70" s="13" t="n">
        <v>0</v>
      </c>
      <c r="G70" s="6" t="n">
        <v>0</v>
      </c>
    </row>
    <row r="71">
      <c r="A71" t="n">
        <v>60</v>
      </c>
      <c r="B71" s="11" t="n">
        <v>0</v>
      </c>
      <c r="C71" s="6" t="n">
        <v>0</v>
      </c>
      <c r="E71" s="7" t="n">
        <v>60</v>
      </c>
      <c r="F71" s="13" t="n">
        <v>0</v>
      </c>
      <c r="G71" s="6" t="n">
        <v>0</v>
      </c>
    </row>
    <row r="72">
      <c r="A72" t="n">
        <v>61</v>
      </c>
      <c r="B72" s="11" t="n">
        <v>0</v>
      </c>
      <c r="C72" s="6" t="n">
        <v>0</v>
      </c>
      <c r="E72" s="7" t="n">
        <v>61</v>
      </c>
      <c r="F72" s="13" t="n">
        <v>0</v>
      </c>
      <c r="G72" s="6" t="n">
        <v>0</v>
      </c>
    </row>
    <row r="73">
      <c r="A73" t="n">
        <v>62</v>
      </c>
      <c r="B73" s="11" t="n">
        <v>0</v>
      </c>
      <c r="C73" s="6" t="n">
        <v>0</v>
      </c>
      <c r="E73" s="7" t="n">
        <v>62</v>
      </c>
      <c r="F73" s="13" t="n">
        <v>0</v>
      </c>
      <c r="G73" s="6" t="n">
        <v>0</v>
      </c>
    </row>
    <row r="74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>
      <c r="A75" t="n">
        <v>64</v>
      </c>
      <c r="B75" s="11" t="n">
        <v>0</v>
      </c>
      <c r="C75" s="6" t="n">
        <v>0</v>
      </c>
      <c r="E75" s="7" t="n">
        <v>64</v>
      </c>
      <c r="F75" s="13" t="n">
        <v>0</v>
      </c>
      <c r="G75" s="6" t="n">
        <v>0</v>
      </c>
    </row>
    <row r="76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0</v>
      </c>
    </row>
    <row r="78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r="101" ht="15.75" customHeight="1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>
      <c r="B102" s="11" t="n">
        <v>100972.3972377748</v>
      </c>
      <c r="C102" s="6" t="n">
        <v>1</v>
      </c>
      <c r="F102" s="11" t="n">
        <v>79533</v>
      </c>
      <c r="G102" s="6" t="n">
        <v>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L102"/>
  <sheetViews>
    <sheetView workbookViewId="0">
      <selection activeCell="J30" sqref="J30"/>
    </sheetView>
  </sheetViews>
  <sheetFormatPr baseColWidth="10" defaultRowHeight="15"/>
  <cols>
    <col collapsed="1" width="13.5703125" customWidth="1" style="10" min="1" max="1"/>
    <col collapsed="1" width="10.5703125" customWidth="1" style="10" min="2" max="2"/>
    <col collapsed="1" width="10.5703125" customWidth="1" style="10" min="6" max="6"/>
  </cols>
  <sheetData>
    <row r="1">
      <c r="A1" t="inlineStr">
        <is>
          <t>Trip Length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6"/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8"/>
    <row r="9" ht="15.75" customHeight="1">
      <c r="A9" s="3" t="inlineStr">
        <is>
          <t>Table X. Observed Trip Lengths: Survey</t>
        </is>
      </c>
      <c r="B9" s="1" t="inlineStr"/>
      <c r="E9" s="3" t="inlineStr">
        <is>
          <t>Table X. Estimated Trip Lengths</t>
        </is>
      </c>
      <c r="F9" s="1" t="inlineStr"/>
      <c r="J9" s="5" t="inlineStr">
        <is>
          <t>Table X. Average Trip Length</t>
        </is>
      </c>
    </row>
    <row r="10">
      <c r="A10" s="2" t="inlineStr">
        <is>
          <t>Distance (mi)</t>
        </is>
      </c>
      <c r="B10" s="9" t="inlineStr">
        <is>
          <t>Survey</t>
        </is>
      </c>
      <c r="C10" s="9" t="inlineStr">
        <is>
          <t>Survey</t>
        </is>
      </c>
      <c r="E10" s="2" t="inlineStr">
        <is>
          <t>Distance (mi)</t>
        </is>
      </c>
      <c r="F10" s="9" t="inlineStr">
        <is>
          <t>DaySim</t>
        </is>
      </c>
      <c r="G10" s="9" t="inlineStr">
        <is>
          <t>DaySim</t>
        </is>
      </c>
      <c r="J10" s="2" t="inlineStr"/>
      <c r="K10" s="9" t="inlineStr">
        <is>
          <t>Survey</t>
        </is>
      </c>
      <c r="L10" s="9" t="inlineStr">
        <is>
          <t>DaySim</t>
        </is>
      </c>
    </row>
    <row r="11">
      <c r="A11" t="n">
        <v>0</v>
      </c>
      <c r="B11" s="11" t="n">
        <v>4626.1693516567</v>
      </c>
      <c r="C11" s="6" t="n">
        <v>0.008460516272736128</v>
      </c>
      <c r="E11" s="7" t="n">
        <v>0</v>
      </c>
      <c r="F11" s="13" t="n">
        <v>89249</v>
      </c>
      <c r="G11" s="6" t="n">
        <v>0.1453903280434534</v>
      </c>
      <c r="K11" s="4" t="n">
        <v>6.389731010667382</v>
      </c>
      <c r="L11" s="4" t="n">
        <v>6.077383440470829</v>
      </c>
    </row>
    <row r="12">
      <c r="A12" t="n">
        <v>1</v>
      </c>
      <c r="B12" s="11" t="n">
        <v>17495.9797819921</v>
      </c>
      <c r="C12" s="6" t="n">
        <v>0.03199732011539882</v>
      </c>
      <c r="E12" s="7" t="n">
        <v>1</v>
      </c>
      <c r="F12" s="13" t="n">
        <v>73134</v>
      </c>
      <c r="G12" s="6" t="n">
        <v>0.1175584376243718</v>
      </c>
      <c r="K12" s="4" t="inlineStr"/>
      <c r="L12" s="7" t="inlineStr"/>
    </row>
    <row r="13">
      <c r="A13" t="n">
        <v>2</v>
      </c>
      <c r="B13" s="11" t="n">
        <v>37742.5557913795</v>
      </c>
      <c r="C13" s="6" t="n">
        <v>0.06902503630422946</v>
      </c>
      <c r="E13" s="7" t="n">
        <v>2</v>
      </c>
      <c r="F13" s="13" t="n">
        <v>45237</v>
      </c>
      <c r="G13" s="6" t="n">
        <v>0.07233262275244554</v>
      </c>
    </row>
    <row r="14">
      <c r="A14" t="n">
        <v>3</v>
      </c>
      <c r="B14" s="11" t="n">
        <v>58560.3213397601</v>
      </c>
      <c r="C14" s="6" t="n">
        <v>0.1070973658701597</v>
      </c>
      <c r="E14" s="7" t="n">
        <v>3</v>
      </c>
      <c r="F14" s="13" t="n">
        <v>26983</v>
      </c>
      <c r="G14" s="6" t="n">
        <v>0.04308118185231197</v>
      </c>
    </row>
    <row r="15">
      <c r="A15" t="n">
        <v>4</v>
      </c>
      <c r="B15" s="11" t="n">
        <v>117469.2701282316</v>
      </c>
      <c r="C15" s="6" t="n">
        <v>0.2148323150146733</v>
      </c>
      <c r="E15" s="7" t="n">
        <v>4</v>
      </c>
      <c r="F15" s="13" t="n">
        <v>124788</v>
      </c>
      <c r="G15" s="6" t="n">
        <v>0.2012716336431853</v>
      </c>
    </row>
    <row r="16">
      <c r="A16" t="n">
        <v>5</v>
      </c>
      <c r="B16" s="11" t="n">
        <v>54624.2580661488</v>
      </c>
      <c r="C16" s="6" t="n">
        <v>0.09989894211055785</v>
      </c>
      <c r="E16" s="7" t="n">
        <v>5</v>
      </c>
      <c r="F16" s="13" t="n">
        <v>57684</v>
      </c>
      <c r="G16" s="6" t="n">
        <v>0.09232717657693368</v>
      </c>
    </row>
    <row r="17">
      <c r="A17" t="n">
        <v>6</v>
      </c>
      <c r="B17" s="11" t="n">
        <v>76807.88428975049</v>
      </c>
      <c r="C17" s="6" t="n">
        <v>0.1404692101630807</v>
      </c>
      <c r="E17" s="7" t="n">
        <v>6</v>
      </c>
      <c r="F17" s="13" t="n">
        <v>49622</v>
      </c>
      <c r="G17" s="6" t="n">
        <v>0.07683780225871267</v>
      </c>
    </row>
    <row r="18">
      <c r="A18" t="n">
        <v>7</v>
      </c>
      <c r="B18" s="11" t="n">
        <v>43128.3969977886</v>
      </c>
      <c r="C18" s="6" t="n">
        <v>0.07887486965563473</v>
      </c>
      <c r="E18" s="7" t="n">
        <v>7</v>
      </c>
      <c r="F18" s="13" t="n">
        <v>19605</v>
      </c>
      <c r="G18" s="6" t="n">
        <v>0.0522494477287998</v>
      </c>
    </row>
    <row r="19">
      <c r="A19" t="n">
        <v>8</v>
      </c>
      <c r="B19" s="11" t="n">
        <v>17953.798010249</v>
      </c>
      <c r="C19" s="6" t="n">
        <v>0.03283459568308542</v>
      </c>
      <c r="E19" s="7" t="n">
        <v>8</v>
      </c>
      <c r="F19" s="13" t="n">
        <v>31982</v>
      </c>
      <c r="G19" s="6" t="n">
        <v>0.03035034376968801</v>
      </c>
    </row>
    <row r="20">
      <c r="A20" t="n">
        <v>9</v>
      </c>
      <c r="B20" s="11" t="n">
        <v>13883.6639434421</v>
      </c>
      <c r="C20" s="6" t="n">
        <v>0.02539097810516307</v>
      </c>
      <c r="E20" s="7" t="n">
        <v>9</v>
      </c>
      <c r="F20" s="13" t="n">
        <v>8506</v>
      </c>
      <c r="G20" s="6" t="n">
        <v>0.01665111767445083</v>
      </c>
    </row>
    <row r="21">
      <c r="A21" t="n">
        <v>10</v>
      </c>
      <c r="B21" s="11" t="n">
        <v>45100.6405353116</v>
      </c>
      <c r="C21" s="6" t="n">
        <v>0.08248178442131152</v>
      </c>
      <c r="E21" s="7" t="n">
        <v>10</v>
      </c>
      <c r="F21" s="13" t="n">
        <v>5771</v>
      </c>
      <c r="G21" s="6" t="n">
        <v>0.009778946503410305</v>
      </c>
    </row>
    <row r="22">
      <c r="A22" t="n">
        <v>11</v>
      </c>
      <c r="B22" s="11" t="n">
        <v>6899.669484883</v>
      </c>
      <c r="C22" s="6" t="n">
        <v>0.01261838067654152</v>
      </c>
      <c r="E22" s="7" t="n">
        <v>11</v>
      </c>
      <c r="F22" s="13" t="n">
        <v>9480</v>
      </c>
      <c r="G22" s="6" t="n">
        <v>0.01540236441359353</v>
      </c>
    </row>
    <row r="23">
      <c r="A23" t="n">
        <v>12</v>
      </c>
      <c r="B23" s="11" t="n">
        <v>9794.3975532934</v>
      </c>
      <c r="C23" s="6" t="n">
        <v>0.01791237059914599</v>
      </c>
      <c r="E23" s="7" t="n">
        <v>12</v>
      </c>
      <c r="F23" s="13" t="n">
        <v>6450</v>
      </c>
      <c r="G23" s="6" t="n">
        <v>0.009899793593170688</v>
      </c>
    </row>
    <row r="24">
      <c r="A24" t="n">
        <v>13</v>
      </c>
      <c r="B24" s="11" t="n">
        <v>4016.2836465706</v>
      </c>
      <c r="C24" s="6" t="n">
        <v>0.00734513386017005</v>
      </c>
      <c r="E24" s="7" t="n">
        <v>13</v>
      </c>
      <c r="F24" s="13" t="n">
        <v>9995</v>
      </c>
      <c r="G24" s="6" t="n">
        <v>0.01653027058469045</v>
      </c>
    </row>
    <row r="25">
      <c r="A25" t="n">
        <v>14</v>
      </c>
      <c r="B25" s="11" t="n">
        <v>6116.8280415961</v>
      </c>
      <c r="C25" s="6" t="n">
        <v>0.0111866901640597</v>
      </c>
      <c r="E25" s="7" t="n">
        <v>14</v>
      </c>
      <c r="F25" s="13" t="n">
        <v>4542</v>
      </c>
      <c r="G25" s="6" t="n">
        <v>0.008398067091081646</v>
      </c>
    </row>
    <row r="26">
      <c r="A26" t="n">
        <v>15</v>
      </c>
      <c r="B26" s="11" t="n">
        <v>2171.1499301826</v>
      </c>
      <c r="C26" s="6" t="n">
        <v>0.003970682419631172</v>
      </c>
      <c r="E26" s="7" t="n">
        <v>15</v>
      </c>
      <c r="F26" s="13" t="n">
        <v>11250</v>
      </c>
      <c r="G26" s="6" t="n">
        <v>0.01711517049913071</v>
      </c>
    </row>
    <row r="27">
      <c r="A27" t="n">
        <v>16</v>
      </c>
      <c r="B27" s="11" t="n">
        <v>2756.3445044911</v>
      </c>
      <c r="C27" s="6" t="n">
        <v>0.005040908743464498</v>
      </c>
      <c r="E27" s="7" t="n">
        <v>16</v>
      </c>
      <c r="F27" s="13" t="n">
        <v>4196</v>
      </c>
      <c r="G27" s="6" t="n">
        <v>0.006722320779737649</v>
      </c>
    </row>
    <row r="28">
      <c r="A28" t="n">
        <v>17</v>
      </c>
      <c r="B28" s="11" t="n">
        <v>9325.124494645001</v>
      </c>
      <c r="C28" s="6" t="n">
        <v>0.01705414599748292</v>
      </c>
      <c r="E28" s="7" t="n">
        <v>17</v>
      </c>
      <c r="F28" s="13" t="n">
        <v>5181</v>
      </c>
      <c r="G28" s="6" t="n">
        <v>0.008436738159804969</v>
      </c>
    </row>
    <row r="29">
      <c r="A29" t="n">
        <v>18</v>
      </c>
      <c r="B29" s="11" t="n">
        <v>5538.8599620439</v>
      </c>
      <c r="C29" s="6" t="n">
        <v>0.01012967993151768</v>
      </c>
      <c r="E29" s="7" t="n">
        <v>18</v>
      </c>
      <c r="F29" s="13" t="n">
        <v>3474</v>
      </c>
      <c r="G29" s="6" t="n">
        <v>0.005671756746087374</v>
      </c>
    </row>
    <row r="30">
      <c r="A30" t="n">
        <v>19</v>
      </c>
      <c r="B30" s="11" t="n">
        <v>1295.5196973272</v>
      </c>
      <c r="C30" s="6" t="n">
        <v>0.002369296203339756</v>
      </c>
      <c r="E30" s="7" t="n">
        <v>19</v>
      </c>
      <c r="F30" s="13" t="n">
        <v>2431</v>
      </c>
      <c r="G30" s="6" t="n">
        <v>0.004203867429131238</v>
      </c>
    </row>
    <row r="31">
      <c r="A31" t="n">
        <v>20</v>
      </c>
      <c r="B31" s="11" t="n">
        <v>917.9875877264</v>
      </c>
      <c r="C31" s="6" t="n">
        <v>0.001678850974477974</v>
      </c>
      <c r="E31" s="7" t="n">
        <v>20</v>
      </c>
      <c r="F31" s="13" t="n">
        <v>2926</v>
      </c>
      <c r="G31" s="6" t="n">
        <v>0.005280212175263728</v>
      </c>
    </row>
    <row r="32">
      <c r="A32" t="n">
        <v>21</v>
      </c>
      <c r="B32" s="11" t="n">
        <v>1539.924360585</v>
      </c>
      <c r="C32" s="6" t="n">
        <v>0.002816272842853548</v>
      </c>
      <c r="E32" s="7" t="n">
        <v>21</v>
      </c>
      <c r="F32" s="13" t="n">
        <v>3274</v>
      </c>
      <c r="G32" s="6" t="n">
        <v>0.004137804353395561</v>
      </c>
    </row>
    <row r="33">
      <c r="A33" t="n">
        <v>22</v>
      </c>
      <c r="B33" s="11" t="n">
        <v>1346.5189433196</v>
      </c>
      <c r="C33" s="6" t="n">
        <v>0.002462565584077288</v>
      </c>
      <c r="E33" s="7" t="n">
        <v>22</v>
      </c>
      <c r="F33" s="13" t="n">
        <v>2012</v>
      </c>
      <c r="G33" s="6" t="n">
        <v>0.003056625723672656</v>
      </c>
    </row>
    <row r="34">
      <c r="A34" t="n">
        <v>23</v>
      </c>
      <c r="B34" s="11" t="n">
        <v>754.106479142</v>
      </c>
      <c r="C34" s="6" t="n">
        <v>0.001379138905901017</v>
      </c>
      <c r="E34" s="7" t="n">
        <v>23</v>
      </c>
      <c r="F34" s="13" t="n">
        <v>1739</v>
      </c>
      <c r="G34" s="6" t="n">
        <v>0.003111409737697364</v>
      </c>
    </row>
    <row r="35">
      <c r="A35" t="n">
        <v>24</v>
      </c>
      <c r="B35" s="11" t="n">
        <v>884.5370084260001</v>
      </c>
      <c r="C35" s="6" t="n">
        <v>0.001617675269701379</v>
      </c>
      <c r="E35" s="7" t="n">
        <v>24</v>
      </c>
      <c r="F35" s="13" t="n">
        <v>2548</v>
      </c>
      <c r="G35" s="6" t="n">
        <v>0.003738203309921224</v>
      </c>
    </row>
    <row r="36">
      <c r="A36" t="n">
        <v>25</v>
      </c>
      <c r="B36" s="11" t="n">
        <v>0</v>
      </c>
      <c r="C36" s="6" t="n">
        <v>0</v>
      </c>
      <c r="E36" s="7" t="n">
        <v>25</v>
      </c>
      <c r="F36" s="13" t="n">
        <v>3222</v>
      </c>
      <c r="G36" s="6" t="n">
        <v>0.003249981067289271</v>
      </c>
    </row>
    <row r="37">
      <c r="A37" t="n">
        <v>26</v>
      </c>
      <c r="B37" s="11" t="n">
        <v>247.4515228492</v>
      </c>
      <c r="C37" s="6" t="n">
        <v>0.0004525488534113552</v>
      </c>
      <c r="E37" s="7" t="n">
        <v>26</v>
      </c>
      <c r="F37" s="13" t="n">
        <v>1839</v>
      </c>
      <c r="G37" s="6" t="n">
        <v>0.005642753444544882</v>
      </c>
    </row>
    <row r="38">
      <c r="A38" t="n">
        <v>27</v>
      </c>
      <c r="B38" s="11" t="n">
        <v>1835.678311973</v>
      </c>
      <c r="C38" s="6" t="n">
        <v>0.003357159033616992</v>
      </c>
      <c r="E38" s="7" t="n">
        <v>27</v>
      </c>
      <c r="F38" s="13" t="n">
        <v>1399</v>
      </c>
      <c r="G38" s="6" t="n">
        <v>0.002254201047663704</v>
      </c>
    </row>
    <row r="39">
      <c r="A39" t="n">
        <v>28</v>
      </c>
      <c r="B39" s="11" t="n">
        <v>1281.967247715</v>
      </c>
      <c r="C39" s="6" t="n">
        <v>0.002344510962730612</v>
      </c>
      <c r="E39" s="7" t="n">
        <v>28</v>
      </c>
      <c r="F39" s="13" t="n">
        <v>1318</v>
      </c>
      <c r="G39" s="6" t="n">
        <v>0.002191360560988304</v>
      </c>
    </row>
    <row r="40">
      <c r="A40" t="n">
        <v>29</v>
      </c>
      <c r="B40" s="11" t="n">
        <v>0</v>
      </c>
      <c r="C40" s="6" t="n">
        <v>0</v>
      </c>
      <c r="E40" s="7" t="n">
        <v>29</v>
      </c>
      <c r="F40" s="13" t="n">
        <v>1747</v>
      </c>
      <c r="G40" s="6" t="n">
        <v>0.002329931890580211</v>
      </c>
    </row>
    <row r="41">
      <c r="A41" t="n">
        <v>30</v>
      </c>
      <c r="B41" s="11" t="n">
        <v>0</v>
      </c>
      <c r="C41" s="6" t="n">
        <v>0</v>
      </c>
      <c r="E41" s="7" t="n">
        <v>30</v>
      </c>
      <c r="F41" s="13" t="n">
        <v>1083</v>
      </c>
      <c r="G41" s="6" t="n">
        <v>0.00244594509675018</v>
      </c>
    </row>
    <row r="42">
      <c r="A42" t="n">
        <v>31</v>
      </c>
      <c r="B42" s="11" t="n">
        <v>0</v>
      </c>
      <c r="C42" s="6" t="n">
        <v>0</v>
      </c>
      <c r="E42" s="7" t="n">
        <v>31</v>
      </c>
      <c r="F42" s="13" t="n">
        <v>869</v>
      </c>
      <c r="G42" s="6" t="n">
        <v>0.001380879412328659</v>
      </c>
    </row>
    <row r="43">
      <c r="A43" t="n">
        <v>32</v>
      </c>
      <c r="B43" s="11" t="n">
        <v>0</v>
      </c>
      <c r="C43" s="6" t="n">
        <v>0</v>
      </c>
      <c r="E43" s="7" t="n">
        <v>32</v>
      </c>
      <c r="F43" s="13" t="n">
        <v>635</v>
      </c>
      <c r="G43" s="6" t="n">
        <v>0.001438886015413644</v>
      </c>
    </row>
    <row r="44">
      <c r="A44" t="n">
        <v>33</v>
      </c>
      <c r="B44" s="11" t="n">
        <v>572.866861522</v>
      </c>
      <c r="C44" s="6" t="n">
        <v>0.001047680928992031</v>
      </c>
      <c r="E44" s="7" t="n">
        <v>33</v>
      </c>
      <c r="F44" s="13" t="n">
        <v>712</v>
      </c>
      <c r="G44" s="6" t="n">
        <v>0.0008572086900336599</v>
      </c>
    </row>
    <row r="45">
      <c r="A45" t="n">
        <v>34</v>
      </c>
      <c r="B45" s="11" t="n">
        <v>1426.6504365116</v>
      </c>
      <c r="C45" s="6" t="n">
        <v>0.002609113137911818</v>
      </c>
      <c r="E45" s="7" t="n">
        <v>34</v>
      </c>
      <c r="F45" s="13" t="n">
        <v>553</v>
      </c>
      <c r="G45" s="6" t="n">
        <v>0.001335763165484782</v>
      </c>
    </row>
    <row r="46">
      <c r="A46" t="n">
        <v>35</v>
      </c>
      <c r="B46" s="11" t="n">
        <v>0</v>
      </c>
      <c r="C46" s="6" t="n">
        <v>0</v>
      </c>
      <c r="E46" s="7" t="n">
        <v>35</v>
      </c>
      <c r="F46" s="13" t="n">
        <v>546</v>
      </c>
      <c r="G46" s="6" t="n">
        <v>0.0008459296283226907</v>
      </c>
    </row>
    <row r="47">
      <c r="A47" t="n">
        <v>36</v>
      </c>
      <c r="B47" s="11" t="n">
        <v>0</v>
      </c>
      <c r="C47" s="6" t="n">
        <v>0</v>
      </c>
      <c r="E47" s="7" t="n">
        <v>36</v>
      </c>
      <c r="F47" s="13" t="n">
        <v>679</v>
      </c>
      <c r="G47" s="6" t="n">
        <v>0.0008700990462747676</v>
      </c>
    </row>
    <row r="48">
      <c r="A48" t="n">
        <v>37</v>
      </c>
      <c r="B48" s="11" t="n">
        <v>0</v>
      </c>
      <c r="C48" s="6" t="n">
        <v>0</v>
      </c>
      <c r="E48" s="7" t="n">
        <v>37</v>
      </c>
      <c r="F48" s="13" t="n">
        <v>493</v>
      </c>
      <c r="G48" s="6" t="n">
        <v>0.0008846006970460137</v>
      </c>
    </row>
    <row r="49">
      <c r="A49" t="n">
        <v>38</v>
      </c>
      <c r="B49" s="11" t="n">
        <v>292.681617382</v>
      </c>
      <c r="C49" s="6" t="n">
        <v>0.0005352673882775957</v>
      </c>
      <c r="E49" s="7" t="n">
        <v>38</v>
      </c>
      <c r="F49" s="13" t="n">
        <v>537</v>
      </c>
      <c r="G49" s="6" t="n">
        <v>0.001010281670396814</v>
      </c>
    </row>
    <row r="50">
      <c r="A50" t="n">
        <v>39</v>
      </c>
      <c r="B50" s="11" t="n">
        <v>0</v>
      </c>
      <c r="C50" s="6" t="n">
        <v>0</v>
      </c>
      <c r="E50" s="7" t="n">
        <v>39</v>
      </c>
      <c r="F50" s="13" t="n">
        <v>242</v>
      </c>
      <c r="G50" s="6" t="n">
        <v>0.0005800660308498451</v>
      </c>
    </row>
    <row r="51">
      <c r="A51" t="n">
        <v>40</v>
      </c>
      <c r="B51" s="11" t="n">
        <v>0</v>
      </c>
      <c r="C51" s="6" t="n">
        <v>0</v>
      </c>
      <c r="E51" s="7" t="n">
        <v>40</v>
      </c>
      <c r="F51" s="13" t="n">
        <v>251</v>
      </c>
      <c r="G51" s="6" t="n">
        <v>0.0004624415301497376</v>
      </c>
    </row>
    <row r="52">
      <c r="A52" t="n">
        <v>41</v>
      </c>
      <c r="B52" s="11" t="n">
        <v>0</v>
      </c>
      <c r="C52" s="6" t="n">
        <v>0</v>
      </c>
      <c r="E52" s="7" t="n">
        <v>41</v>
      </c>
      <c r="F52" s="13" t="n">
        <v>285</v>
      </c>
      <c r="G52" s="6" t="n">
        <v>0.0002997007826057533</v>
      </c>
    </row>
    <row r="53">
      <c r="A53" t="n">
        <v>42</v>
      </c>
      <c r="B53" s="11" t="n">
        <v>0</v>
      </c>
      <c r="C53" s="6" t="n">
        <v>0</v>
      </c>
      <c r="E53" s="7" t="n">
        <v>42</v>
      </c>
      <c r="F53" s="13" t="n">
        <v>194</v>
      </c>
      <c r="G53" s="6" t="n">
        <v>0.0003319266732085225</v>
      </c>
    </row>
    <row r="54">
      <c r="A54" t="n">
        <v>43</v>
      </c>
      <c r="B54" s="11" t="n">
        <v>0</v>
      </c>
      <c r="C54" s="6" t="n">
        <v>0</v>
      </c>
      <c r="E54" s="7" t="n">
        <v>43</v>
      </c>
      <c r="F54" s="13" t="n">
        <v>195</v>
      </c>
      <c r="G54" s="6" t="n">
        <v>0.0001901327545563381</v>
      </c>
    </row>
    <row r="55">
      <c r="A55" t="n">
        <v>44</v>
      </c>
      <c r="B55" s="11" t="n">
        <v>0</v>
      </c>
      <c r="C55" s="6" t="n">
        <v>0</v>
      </c>
      <c r="E55" s="7" t="n">
        <v>44</v>
      </c>
      <c r="F55" s="13" t="n">
        <v>170</v>
      </c>
      <c r="G55" s="6" t="n">
        <v>0.0002288038232796611</v>
      </c>
    </row>
    <row r="56">
      <c r="A56" t="n">
        <v>45</v>
      </c>
      <c r="B56" s="11" t="n">
        <v>0</v>
      </c>
      <c r="C56" s="6" t="n">
        <v>0</v>
      </c>
      <c r="E56" s="7" t="n">
        <v>45</v>
      </c>
      <c r="F56" s="13" t="n">
        <v>145</v>
      </c>
      <c r="G56" s="6" t="n">
        <v>0.000270697481063261</v>
      </c>
    </row>
    <row r="57">
      <c r="A57" t="n">
        <v>46</v>
      </c>
      <c r="B57" s="11" t="n">
        <v>0</v>
      </c>
      <c r="C57" s="6" t="n">
        <v>0</v>
      </c>
      <c r="E57" s="7" t="n">
        <v>46</v>
      </c>
      <c r="F57" s="13" t="n">
        <v>94</v>
      </c>
      <c r="G57" s="6" t="n">
        <v>0.0002062456998577227</v>
      </c>
    </row>
    <row r="58">
      <c r="A58" t="n">
        <v>47</v>
      </c>
      <c r="B58" s="11" t="n">
        <v>0</v>
      </c>
      <c r="C58" s="6" t="n">
        <v>0</v>
      </c>
      <c r="E58" s="7" t="n">
        <v>47</v>
      </c>
      <c r="F58" s="13" t="n">
        <v>138</v>
      </c>
      <c r="G58" s="6" t="n">
        <v>0.0001482390967727382</v>
      </c>
    </row>
    <row r="59">
      <c r="A59" t="n">
        <v>48</v>
      </c>
      <c r="B59" s="11" t="n">
        <v>0</v>
      </c>
      <c r="C59" s="6" t="n">
        <v>0</v>
      </c>
      <c r="E59" s="7" t="n">
        <v>48</v>
      </c>
      <c r="F59" s="13" t="n">
        <v>61</v>
      </c>
      <c r="G59" s="6" t="n">
        <v>0.0001127906171096921</v>
      </c>
    </row>
    <row r="60">
      <c r="A60" t="n">
        <v>49</v>
      </c>
      <c r="B60" s="11" t="n">
        <v>0</v>
      </c>
      <c r="C60" s="6" t="n">
        <v>0</v>
      </c>
      <c r="E60" s="7" t="n">
        <v>49</v>
      </c>
      <c r="F60" s="13" t="n">
        <v>66</v>
      </c>
      <c r="G60" s="6" t="n">
        <v>0.000136960035061769</v>
      </c>
    </row>
    <row r="61">
      <c r="A61" t="n">
        <v>50</v>
      </c>
      <c r="B61" s="11" t="n">
        <v>0</v>
      </c>
      <c r="C61" s="6" t="n">
        <v>0</v>
      </c>
      <c r="E61" s="7" t="n">
        <v>50</v>
      </c>
      <c r="F61" s="13" t="n">
        <v>87</v>
      </c>
      <c r="G61" s="6" t="n">
        <v>0.0001305148569412151</v>
      </c>
    </row>
    <row r="62">
      <c r="A62" t="n">
        <v>51</v>
      </c>
      <c r="B62" s="11" t="n">
        <v>387.674382174</v>
      </c>
      <c r="C62" s="6" t="n">
        <v>0.0007089938066645704</v>
      </c>
      <c r="E62" s="7" t="n">
        <v>51</v>
      </c>
      <c r="F62" s="13" t="n">
        <v>65</v>
      </c>
      <c r="G62" s="6" t="n">
        <v>0.0001063454389891383</v>
      </c>
    </row>
    <row r="63">
      <c r="A63" t="n">
        <v>52</v>
      </c>
      <c r="B63" s="11" t="n">
        <v>0</v>
      </c>
      <c r="C63" s="6" t="n">
        <v>0</v>
      </c>
      <c r="E63" s="7" t="n">
        <v>52</v>
      </c>
      <c r="F63" s="13" t="n">
        <v>59</v>
      </c>
      <c r="G63" s="6" t="n">
        <v>9.667767180830751e-05</v>
      </c>
    </row>
    <row r="64">
      <c r="A64" t="n">
        <v>53</v>
      </c>
      <c r="B64" s="11" t="n">
        <v>0</v>
      </c>
      <c r="C64" s="6" t="n">
        <v>0</v>
      </c>
      <c r="E64" s="7" t="n">
        <v>53</v>
      </c>
      <c r="F64" s="13" t="n">
        <v>45</v>
      </c>
      <c r="G64" s="6" t="n">
        <v>3.383718513290763e-05</v>
      </c>
    </row>
    <row r="65">
      <c r="A65" t="n">
        <v>54</v>
      </c>
      <c r="B65" s="11" t="n">
        <v>0</v>
      </c>
      <c r="C65" s="6" t="n">
        <v>0</v>
      </c>
      <c r="E65" s="7" t="n">
        <v>54</v>
      </c>
      <c r="F65" s="13" t="n">
        <v>54</v>
      </c>
      <c r="G65" s="6" t="n">
        <v>7.895343197678446e-05</v>
      </c>
    </row>
    <row r="66">
      <c r="A66" t="n">
        <v>55</v>
      </c>
      <c r="B66" s="11" t="n">
        <v>0</v>
      </c>
      <c r="C66" s="6" t="n">
        <v>0</v>
      </c>
      <c r="E66" s="7" t="n">
        <v>55</v>
      </c>
      <c r="F66" s="13" t="n">
        <v>28</v>
      </c>
      <c r="G66" s="6" t="n">
        <v>4.350495231373838e-05</v>
      </c>
    </row>
    <row r="67">
      <c r="A67" t="n">
        <v>56</v>
      </c>
      <c r="B67" s="11" t="n">
        <v>0</v>
      </c>
      <c r="C67" s="6" t="n">
        <v>0</v>
      </c>
      <c r="E67" s="7" t="n">
        <v>56</v>
      </c>
      <c r="F67" s="13" t="n">
        <v>17</v>
      </c>
      <c r="G67" s="6" t="n">
        <v>3.383718513290763e-05</v>
      </c>
    </row>
    <row r="68">
      <c r="A68" t="n">
        <v>57</v>
      </c>
      <c r="B68" s="11" t="n">
        <v>0</v>
      </c>
      <c r="C68" s="6" t="n">
        <v>0</v>
      </c>
      <c r="E68" s="7" t="n">
        <v>57</v>
      </c>
      <c r="F68" s="13" t="n">
        <v>25</v>
      </c>
      <c r="G68" s="6" t="n">
        <v>3.061459607263071e-05</v>
      </c>
    </row>
    <row r="69">
      <c r="A69" t="n">
        <v>58</v>
      </c>
      <c r="B69" s="11" t="n">
        <v>0</v>
      </c>
      <c r="C69" s="6" t="n">
        <v>0</v>
      </c>
      <c r="E69" s="7" t="n">
        <v>58</v>
      </c>
      <c r="F69" s="13" t="n">
        <v>20</v>
      </c>
      <c r="G69" s="6" t="n">
        <v>4.995013043429221e-05</v>
      </c>
    </row>
    <row r="70">
      <c r="A70" t="n">
        <v>59</v>
      </c>
      <c r="B70" s="11" t="n">
        <v>0</v>
      </c>
      <c r="C70" s="6" t="n">
        <v>0</v>
      </c>
      <c r="E70" s="7" t="n">
        <v>59</v>
      </c>
      <c r="F70" s="13" t="n">
        <v>11</v>
      </c>
      <c r="G70" s="6" t="n">
        <v>2.578071248221534e-05</v>
      </c>
    </row>
    <row r="71">
      <c r="A71" t="n">
        <v>60</v>
      </c>
      <c r="B71" s="11" t="n">
        <v>0</v>
      </c>
      <c r="C71" s="6" t="n">
        <v>0</v>
      </c>
      <c r="E71" s="7" t="n">
        <v>60</v>
      </c>
      <c r="F71" s="13" t="n">
        <v>20</v>
      </c>
      <c r="G71" s="6" t="n">
        <v>1.772423983152304e-05</v>
      </c>
    </row>
    <row r="72">
      <c r="A72" t="n">
        <v>61</v>
      </c>
      <c r="B72" s="11" t="n">
        <v>0</v>
      </c>
      <c r="C72" s="6" t="n">
        <v>0</v>
      </c>
      <c r="E72" s="7" t="n">
        <v>61</v>
      </c>
      <c r="F72" s="13" t="n">
        <v>18</v>
      </c>
      <c r="G72" s="6" t="n">
        <v>8.056472650692292e-06</v>
      </c>
    </row>
    <row r="73">
      <c r="A73" t="n">
        <v>62</v>
      </c>
      <c r="B73" s="11" t="n">
        <v>0</v>
      </c>
      <c r="C73" s="6" t="n">
        <v>0</v>
      </c>
      <c r="E73" s="7" t="n">
        <v>62</v>
      </c>
      <c r="F73" s="13" t="n">
        <v>6</v>
      </c>
      <c r="G73" s="6" t="n">
        <v>1.772423983152304e-05</v>
      </c>
    </row>
    <row r="74">
      <c r="A74" t="n">
        <v>63</v>
      </c>
      <c r="B74" s="11" t="n">
        <v>0</v>
      </c>
      <c r="C74" s="6" t="n">
        <v>0</v>
      </c>
      <c r="E74" s="7" t="n">
        <v>63</v>
      </c>
      <c r="F74" s="13" t="n">
        <v>7</v>
      </c>
      <c r="G74" s="6" t="n">
        <v>0</v>
      </c>
    </row>
    <row r="75">
      <c r="A75" t="n">
        <v>64</v>
      </c>
      <c r="B75" s="11" t="n">
        <v>0</v>
      </c>
      <c r="C75" s="6" t="n">
        <v>0</v>
      </c>
      <c r="E75" s="7" t="n">
        <v>64</v>
      </c>
      <c r="F75" s="13" t="n">
        <v>1</v>
      </c>
      <c r="G75" s="6" t="n">
        <v>4.833883590415375e-06</v>
      </c>
    </row>
    <row r="76">
      <c r="A76" t="n">
        <v>65</v>
      </c>
      <c r="B76" s="11" t="n">
        <v>0</v>
      </c>
      <c r="C76" s="6" t="n">
        <v>0</v>
      </c>
      <c r="E76" s="7" t="n">
        <v>65</v>
      </c>
      <c r="F76" s="13" t="n">
        <v>2</v>
      </c>
      <c r="G76" s="6" t="n">
        <v>2.73920070123538e-05</v>
      </c>
    </row>
    <row r="77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8.056472650692292e-06</v>
      </c>
    </row>
    <row r="78">
      <c r="A78" t="n">
        <v>67</v>
      </c>
      <c r="B78" s="11" t="n">
        <v>0</v>
      </c>
      <c r="C78" s="6" t="n">
        <v>0</v>
      </c>
      <c r="E78" s="7" t="n">
        <v>67</v>
      </c>
      <c r="F78" s="13" t="n">
        <v>2</v>
      </c>
      <c r="G78" s="6" t="n">
        <v>6.445178120553834e-06</v>
      </c>
    </row>
    <row r="79">
      <c r="A79" t="n">
        <v>68</v>
      </c>
      <c r="B79" s="11" t="n">
        <v>0</v>
      </c>
      <c r="C79" s="6" t="n">
        <v>0</v>
      </c>
      <c r="E79" s="7" t="n">
        <v>68</v>
      </c>
      <c r="F79" s="13" t="n">
        <v>1</v>
      </c>
      <c r="G79" s="6" t="n">
        <v>3.222589060276917e-06</v>
      </c>
    </row>
    <row r="80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1.611294530138459e-06</v>
      </c>
    </row>
    <row r="81">
      <c r="A81" t="n">
        <v>70</v>
      </c>
      <c r="B81" s="11" t="n">
        <v>0</v>
      </c>
      <c r="C81" s="6" t="n">
        <v>0</v>
      </c>
      <c r="E81" s="7" t="n">
        <v>70</v>
      </c>
      <c r="F81" s="13" t="n">
        <v>1</v>
      </c>
      <c r="G81" s="6" t="n">
        <v>9.66776718083075e-06</v>
      </c>
    </row>
    <row r="82">
      <c r="A82" t="n">
        <v>71</v>
      </c>
      <c r="B82" s="11" t="n">
        <v>0</v>
      </c>
      <c r="C82" s="6" t="n">
        <v>0</v>
      </c>
      <c r="E82" s="7" t="n">
        <v>71</v>
      </c>
      <c r="F82" s="13" t="n">
        <v>4</v>
      </c>
      <c r="G82" s="6" t="n">
        <v>6.445178120553834e-06</v>
      </c>
    </row>
    <row r="83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3.222589060276917e-06</v>
      </c>
    </row>
    <row r="84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>
      <c r="A85" t="n">
        <v>74</v>
      </c>
      <c r="B85" s="11" t="n">
        <v>0</v>
      </c>
      <c r="C85" s="6" t="n">
        <v>0</v>
      </c>
      <c r="E85" s="7" t="n">
        <v>74</v>
      </c>
      <c r="F85" s="13" t="n">
        <v>1</v>
      </c>
      <c r="G85" s="6" t="n">
        <v>4.833883590415375e-06</v>
      </c>
    </row>
    <row r="86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1.611294530138459e-06</v>
      </c>
    </row>
    <row r="89">
      <c r="A89" t="n">
        <v>78</v>
      </c>
      <c r="B89" s="11" t="n">
        <v>0</v>
      </c>
      <c r="C89" s="6" t="n">
        <v>0</v>
      </c>
      <c r="E89" s="7" t="n">
        <v>78</v>
      </c>
      <c r="F89" s="13" t="n">
        <v>5</v>
      </c>
      <c r="G89" s="6" t="n">
        <v>8.056472650692292e-06</v>
      </c>
    </row>
    <row r="90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>
      <c r="A96" t="n">
        <v>85</v>
      </c>
      <c r="B96" s="11" t="n">
        <v>0</v>
      </c>
      <c r="C96" s="6" t="n">
        <v>0</v>
      </c>
      <c r="E96" s="7" t="n">
        <v>85</v>
      </c>
      <c r="F96" s="13" t="n">
        <v>1</v>
      </c>
      <c r="G96" s="6" t="n">
        <v>0</v>
      </c>
    </row>
    <row r="97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>
      <c r="A98" t="n">
        <v>87</v>
      </c>
      <c r="B98" s="11" t="n">
        <v>0</v>
      </c>
      <c r="C98" s="6" t="n">
        <v>0</v>
      </c>
      <c r="E98" s="7" t="n">
        <v>87</v>
      </c>
      <c r="F98" s="13" t="n">
        <v>1</v>
      </c>
      <c r="G98" s="6" t="n">
        <v>0</v>
      </c>
    </row>
    <row r="99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1.611294530138459e-06</v>
      </c>
    </row>
    <row r="100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r="101" ht="15.75" customHeight="1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>
      <c r="B102" s="11" t="n">
        <v>546795.1603100692</v>
      </c>
      <c r="C102" s="6" t="n">
        <v>1</v>
      </c>
      <c r="F102" s="11" t="n">
        <v>620619</v>
      </c>
      <c r="G102" s="6" t="n">
        <v>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2017-07-06T17:41:32Z</dcterms:modified>
  <cp:lastModifiedBy>Nagendra Dhakar</cp:lastModifiedBy>
</cp:coreProperties>
</file>