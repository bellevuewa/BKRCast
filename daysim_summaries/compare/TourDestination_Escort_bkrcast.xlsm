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localSheetId="2" name="AVGD">'bkrcast_all'!$L$11:$L$13</definedName>
    <definedName localSheetId="3" name="AVGD">'bkrcast_inbkr'!$L$11:$L$13</definedName>
    <definedName localSheetId="4" name="AVGD">'bkrcast_outbkr'!$L$11:$L$13</definedName>
    <definedName localSheetId="1" name="AVGD">'soundcast'!$L$11:$L$13</definedName>
    <definedName name="AVGD">'TLFD'!$O$12:$O$13</definedName>
    <definedName localSheetId="2" name="out1">'bkrcast_all'!$B$11:$B$101</definedName>
    <definedName localSheetId="3" name="out1">'bkrcast_inbkr'!$B$11:$B$101</definedName>
    <definedName localSheetId="4" name="out1">'bkrcast_outbkr'!$B$11:$B$101</definedName>
    <definedName localSheetId="1" name="out1">'soundcast'!$B$11:$B$101</definedName>
    <definedName name="out1">'TLFD'!$B$11:$B$101</definedName>
    <definedName localSheetId="2" name="out2">'bkrcast_all'!$F$11:$F$101</definedName>
    <definedName localSheetId="3" name="out2">'bkrcast_inbkr'!$F$11:$F$101</definedName>
    <definedName localSheetId="4" name="out2">'bkrcast_outbkr'!$F$11:$F$101</definedName>
    <definedName localSheetId="1" name="out2">'soundcast'!$F$11:$F$101</definedName>
    <definedName name="out2">'TLFD'!$F$11:$F$101</definedName>
    <definedName localSheetId="2" name="out5">'bkrcast_all'!$K$11:$K$11</definedName>
    <definedName localSheetId="3" name="out5">'bkrcast_inbkr'!$K$11:$K$11</definedName>
    <definedName localSheetId="4" name="out5">'bkrcast_outbkr'!$K$11:$K$11</definedName>
    <definedName localSheetId="1" name="out5">'soundcast'!$K$11:$K$11</definedName>
    <definedName name="out5">'TLFD'!$N$11:$N$11</definedName>
    <definedName localSheetId="2" name="out6">'bkrcast_all'!$L$11:$L$11</definedName>
    <definedName localSheetId="3" name="out6">'bkrcast_inbkr'!$L$11:$L$11</definedName>
    <definedName localSheetId="4" name="out6">'bkrcast_outbkr'!$L$11:$L$11</definedName>
    <definedName localSheetId="1" name="out6">'soundcast'!$L$11:$L$11</definedName>
    <definedName name="out6">'TLFD'!$P$11:$P$11</definedName>
    <definedName localSheetId="2" name="TLFD">'bkrcast_all'!$E$11:$F$102</definedName>
    <definedName localSheetId="3" name="TLFD">'bkrcast_inbkr'!$E$11:$F$102</definedName>
    <definedName localSheetId="4" name="TLFD">'bkrcast_outbkr'!$E$11:$F$102</definedName>
    <definedName localSheetId="1" name="TLFD">'soundcast'!$E$11:$F$102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<sst xmlns="http://schemas.openxmlformats.org/spreadsheetml/2006/main" uniqueCount="17">
  <si>
    <t>Trip Length Frequency Distribution</t>
  </si>
  <si>
    <t xml:space="preserve">Observed Sources: Survey 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</si>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</sst>
</file>

<file path=xl/styles.xml><?xml version="1.0" encoding="utf-8"?>
<styleSheet xmlns="http://schemas.openxmlformats.org/spreadsheetml/2006/main">
  <numFmts count="1">
    <numFmt formatCode="_(* #,##0_);_(* \(#,##0\);_(* &quot;-&quot;??_);_(@_)" numFmtId="164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8">
    <xf borderId="0" fillId="0" fontId="0" numFmtId="0" pivotButton="0" quotePrefix="0" xfId="0"/>
    <xf borderId="1" fillId="0" fontId="0" numFmtId="0" pivotButton="0" quotePrefix="0" xfId="5"/>
    <xf borderId="2" fillId="0" fontId="0" numFmtId="0" pivotButton="0" quotePrefix="0" xfId="5"/>
    <xf borderId="1" fillId="0" fontId="1" numFmtId="0" pivotButton="0" quotePrefix="0" xfId="5"/>
    <xf borderId="0" fillId="0" fontId="0" numFmtId="2" pivotButton="0" quotePrefix="0" xfId="5"/>
    <xf borderId="0" fillId="0" fontId="1" numFmtId="0" pivotButton="0" quotePrefix="0" xfId="5"/>
    <xf borderId="0" fillId="0" fontId="0" numFmtId="10" pivotButton="0" quotePrefix="0" xfId="5"/>
    <xf borderId="0" fillId="0" fontId="2" numFmtId="0" pivotButton="0" quotePrefix="0" xfId="1"/>
    <xf borderId="1" fillId="0" fontId="2" numFmtId="0" pivotButton="0" quotePrefix="0" xfId="1"/>
    <xf applyAlignment="1" borderId="2" fillId="0" fontId="0" numFmtId="0" pivotButton="0" quotePrefix="0" xfId="5">
      <alignment horizontal="center" vertical="top"/>
    </xf>
    <xf borderId="0" fillId="0" fontId="0" numFmtId="0" pivotButton="0" quotePrefix="0" xfId="5"/>
    <xf borderId="0" fillId="0" fontId="0" numFmtId="164" pivotButton="0" quotePrefix="0" xfId="4"/>
    <xf borderId="1" fillId="0" fontId="0" numFmtId="164" pivotButton="0" quotePrefix="0" xfId="4"/>
    <xf borderId="0" fillId="0" fontId="2" numFmtId="164" pivotButton="0" quotePrefix="0" xfId="4"/>
    <xf borderId="1" fillId="0" fontId="2" numFmtId="164" pivotButton="0" quotePrefix="0" xfId="4"/>
    <xf borderId="0" fillId="3" fontId="0" numFmtId="0" pivotButton="0" quotePrefix="0" xfId="5"/>
    <xf applyAlignment="1" borderId="2" fillId="3" fontId="0" numFmtId="0" pivotButton="0" quotePrefix="0" xfId="5">
      <alignment horizontal="center" vertical="top"/>
    </xf>
    <xf borderId="0" fillId="3" fontId="0" numFmtId="2" pivotButton="0" quotePrefix="0" xfId="5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S2" sqref="S2"/>
    </sheetView>
  </sheetViews>
  <sheetFormatPr baseColWidth="10" defaultRowHeight="15" outlineLevelCol="0"/>
  <cols>
    <col collapsed="1" customWidth="1" max="1" min="1" style="10" width="13.5703125"/>
    <col bestFit="1" collapsed="1" customWidth="1" max="2" min="2" style="10" width="10.5703125"/>
    <col bestFit="1" collapsed="1" customWidth="1" max="6" min="6" style="10" width="10.5703125"/>
    <col bestFit="1" customWidth="1" max="7" min="7" style="10" width="12.140625"/>
    <col bestFit="1" customWidth="1" max="8" min="8" style="10" width="15.7109375"/>
    <col bestFit="1" customWidth="1" max="9" min="9" style="10" width="17.42578125"/>
    <col bestFit="1" customWidth="1" max="10" min="10" style="10" width="10.28515625"/>
    <col customWidth="1" max="13" min="13" style="10" width="7.7109375"/>
    <col bestFit="1" customWidth="1" max="14" min="14" style="10" width="7"/>
    <col bestFit="1" customWidth="1" max="15" min="15" style="10" width="10.28515625"/>
    <col bestFit="1" customWidth="1" max="16" min="16" style="10" width="12.140625"/>
    <col bestFit="1" customWidth="1" max="17" min="17" style="10" width="15.7109375"/>
    <col bestFit="1" customWidth="1" max="18" min="18" style="10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pans="1:18">
      <c r="A9" s="3" t="s">
        <v>6</v>
      </c>
      <c r="B9" s="1" t="n"/>
      <c r="E9" s="3" t="s">
        <v>7</v>
      </c>
      <c r="F9" s="1" t="n"/>
      <c r="M9" s="5" t="s">
        <v>8</v>
      </c>
      <c r="N9" s="15" t="n"/>
      <c r="O9" s="15" t="n"/>
      <c r="P9" s="15" t="n"/>
      <c r="Q9" s="15" t="n"/>
      <c r="R9" s="15" t="n"/>
    </row>
    <row r="10" spans="1:18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12</v>
      </c>
      <c r="H10" s="9" t="s">
        <v>13</v>
      </c>
      <c r="I10" s="9" t="s">
        <v>14</v>
      </c>
      <c r="J10" s="9" t="s">
        <v>15</v>
      </c>
      <c r="K10">
        <f>C10</f>
        <v/>
      </c>
      <c r="M10" s="2" t="n"/>
      <c r="N10" s="16" t="s">
        <v>10</v>
      </c>
      <c r="O10" s="16" t="s">
        <v>15</v>
      </c>
      <c r="P10" s="16" t="s">
        <v>12</v>
      </c>
      <c r="Q10" s="16" t="s">
        <v>13</v>
      </c>
      <c r="R10" s="16" t="s">
        <v>14</v>
      </c>
    </row>
    <row r="11" spans="1:18">
      <c r="A11" t="n">
        <v>0</v>
      </c>
      <c r="B11" s="11">
        <f>bkrcast_all!B11</f>
        <v/>
      </c>
      <c r="C11" s="6">
        <f>bkrcast_all!C11</f>
        <v/>
      </c>
      <c r="E11" s="7" t="n">
        <v>0</v>
      </c>
      <c r="F11" s="13" t="n">
        <v>55422.00707505151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17">
        <f>bkrcast_all!K11</f>
        <v/>
      </c>
      <c r="O11" s="17">
        <f>soundcast!L11</f>
        <v/>
      </c>
      <c r="P11" s="17">
        <f>bkrcast_all!L11</f>
        <v/>
      </c>
      <c r="Q11" s="17">
        <f>bkrcast_inbkr!L11</f>
        <v/>
      </c>
      <c r="R11" s="17">
        <f>bkrcast_outbkr!L11</f>
        <v/>
      </c>
    </row>
    <row r="12" spans="1:18">
      <c r="A12" t="n">
        <v>1</v>
      </c>
      <c r="B12" s="11">
        <f>bkrcast_all!B12</f>
        <v/>
      </c>
      <c r="C12" s="6">
        <f>bkrcast_all!C12</f>
        <v/>
      </c>
      <c r="E12" s="7" t="n">
        <v>1</v>
      </c>
      <c r="F12" s="13" t="n">
        <v>46482.17539260309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 spans="1:18">
      <c r="A13" t="n">
        <v>2</v>
      </c>
      <c r="B13" s="11">
        <f>bkrcast_all!B13</f>
        <v/>
      </c>
      <c r="C13" s="6">
        <f>bkrcast_all!C13</f>
        <v/>
      </c>
      <c r="E13" s="7" t="n">
        <v>2</v>
      </c>
      <c r="F13" s="13" t="n">
        <v>31339.59607372017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 spans="1:18">
      <c r="A14" t="n">
        <v>3</v>
      </c>
      <c r="B14" s="11">
        <f>bkrcast_all!B14</f>
        <v/>
      </c>
      <c r="C14" s="6">
        <f>bkrcast_all!C14</f>
        <v/>
      </c>
      <c r="E14" s="7" t="n">
        <v>3</v>
      </c>
      <c r="F14" s="13" t="n">
        <v>20874.03331497723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 spans="1:18">
      <c r="A15" t="n">
        <v>4</v>
      </c>
      <c r="B15" s="11">
        <f>bkrcast_all!B15</f>
        <v/>
      </c>
      <c r="C15" s="6">
        <f>bkrcast_all!C15</f>
        <v/>
      </c>
      <c r="E15" s="7" t="n">
        <v>4</v>
      </c>
      <c r="F15" s="13" t="n">
        <v>79222.38871795457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 spans="1:18">
      <c r="A16" t="n">
        <v>5</v>
      </c>
      <c r="B16" s="11">
        <f>bkrcast_all!B16</f>
        <v/>
      </c>
      <c r="C16" s="6">
        <f>bkrcast_all!C16</f>
        <v/>
      </c>
      <c r="E16" s="7" t="n">
        <v>5</v>
      </c>
      <c r="F16" s="13" t="n">
        <v>44799.10294992446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 spans="1:18">
      <c r="A17" t="n">
        <v>6</v>
      </c>
      <c r="B17" s="11">
        <f>bkrcast_all!B17</f>
        <v/>
      </c>
      <c r="C17" s="6">
        <f>bkrcast_all!C17</f>
        <v/>
      </c>
      <c r="E17" s="7" t="n">
        <v>6</v>
      </c>
      <c r="F17" s="13" t="n">
        <v>39220.0232642142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 spans="1:18">
      <c r="A18" t="n">
        <v>7</v>
      </c>
      <c r="B18" s="11">
        <f>bkrcast_all!B18</f>
        <v/>
      </c>
      <c r="C18" s="6">
        <f>bkrcast_all!C18</f>
        <v/>
      </c>
      <c r="E18" s="7" t="n">
        <v>7</v>
      </c>
      <c r="F18" s="13" t="n">
        <v>20104.23111613754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 spans="1:18">
      <c r="A19" t="n">
        <v>8</v>
      </c>
      <c r="B19" s="11">
        <f>bkrcast_all!B19</f>
        <v/>
      </c>
      <c r="C19" s="6">
        <f>bkrcast_all!C19</f>
        <v/>
      </c>
      <c r="E19" s="7" t="n">
        <v>8</v>
      </c>
      <c r="F19" s="13" t="n">
        <v>36538.31382238567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 spans="1:18">
      <c r="A20" t="n">
        <v>9</v>
      </c>
      <c r="B20" s="11">
        <f>bkrcast_all!B20</f>
        <v/>
      </c>
      <c r="C20" s="6">
        <f>bkrcast_all!C20</f>
        <v/>
      </c>
      <c r="E20" s="7" t="n">
        <v>9</v>
      </c>
      <c r="F20" s="13" t="n">
        <v>12384.83798384682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 spans="1:18">
      <c r="A21" t="n">
        <v>10</v>
      </c>
      <c r="B21" s="11">
        <f>bkrcast_all!B21</f>
        <v/>
      </c>
      <c r="C21" s="6">
        <f>bkrcast_all!C21</f>
        <v/>
      </c>
      <c r="E21" s="7" t="n">
        <v>10</v>
      </c>
      <c r="F21" s="13" t="n">
        <v>10494.11324835616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 spans="1:18">
      <c r="A22" t="n">
        <v>11</v>
      </c>
      <c r="B22" s="11">
        <f>bkrcast_all!B22</f>
        <v/>
      </c>
      <c r="C22" s="6">
        <f>bkrcast_all!C22</f>
        <v/>
      </c>
      <c r="E22" s="7" t="n">
        <v>11</v>
      </c>
      <c r="F22" s="13" t="n">
        <v>12685.08307608961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 spans="1:18">
      <c r="A23" t="n">
        <v>12</v>
      </c>
      <c r="B23" s="11">
        <f>bkrcast_all!B23</f>
        <v/>
      </c>
      <c r="C23" s="6">
        <f>bkrcast_all!C23</f>
        <v/>
      </c>
      <c r="E23" s="7" t="n">
        <v>12</v>
      </c>
      <c r="F23" s="13" t="n">
        <v>9808.245669675864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 spans="1:18">
      <c r="A24" t="n">
        <v>13</v>
      </c>
      <c r="B24" s="11">
        <f>bkrcast_all!B24</f>
        <v/>
      </c>
      <c r="C24" s="6">
        <f>bkrcast_all!C24</f>
        <v/>
      </c>
      <c r="E24" s="7" t="n">
        <v>13</v>
      </c>
      <c r="F24" s="13" t="n">
        <v>8745.085483717576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 spans="1:18">
      <c r="A25" t="n">
        <v>14</v>
      </c>
      <c r="B25" s="11">
        <f>bkrcast_all!B25</f>
        <v/>
      </c>
      <c r="C25" s="6">
        <f>bkrcast_all!C25</f>
        <v/>
      </c>
      <c r="E25" s="7" t="n">
        <v>14</v>
      </c>
      <c r="F25" s="13" t="n">
        <v>13489.80702510625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 spans="1:18">
      <c r="A26" t="n">
        <v>15</v>
      </c>
      <c r="B26" s="11">
        <f>bkrcast_all!B26</f>
        <v/>
      </c>
      <c r="C26" s="6">
        <f>bkrcast_all!C26</f>
        <v/>
      </c>
      <c r="E26" s="7" t="n">
        <v>15</v>
      </c>
      <c r="F26" s="13" t="n">
        <v>16664.66609125341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 spans="1:18">
      <c r="A27" t="n">
        <v>16</v>
      </c>
      <c r="B27" s="11">
        <f>bkrcast_all!B27</f>
        <v/>
      </c>
      <c r="C27" s="6">
        <f>bkrcast_all!C27</f>
        <v/>
      </c>
      <c r="E27" s="7" t="n">
        <v>16</v>
      </c>
      <c r="F27" s="13" t="n">
        <v>6342.597931685169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 spans="1:18">
      <c r="A28" t="n">
        <v>17</v>
      </c>
      <c r="B28" s="11">
        <f>bkrcast_all!B28</f>
        <v/>
      </c>
      <c r="C28" s="6">
        <f>bkrcast_all!C28</f>
        <v/>
      </c>
      <c r="E28" s="7" t="n">
        <v>17</v>
      </c>
      <c r="F28" s="13" t="n">
        <v>8073.188042954156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 spans="1:18">
      <c r="A29" t="n">
        <v>18</v>
      </c>
      <c r="B29" s="11">
        <f>bkrcast_all!B29</f>
        <v/>
      </c>
      <c r="C29" s="6">
        <f>bkrcast_all!C29</f>
        <v/>
      </c>
      <c r="E29" s="7" t="n">
        <v>18</v>
      </c>
      <c r="F29" s="13" t="n">
        <v>6089.490537125844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 spans="1:18">
      <c r="A30" t="n">
        <v>19</v>
      </c>
      <c r="B30" s="11">
        <f>bkrcast_all!B30</f>
        <v/>
      </c>
      <c r="C30" s="6">
        <f>bkrcast_all!C30</f>
        <v/>
      </c>
      <c r="E30" s="7" t="n">
        <v>19</v>
      </c>
      <c r="F30" s="13" t="n">
        <v>5068.303025108557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 spans="1:18">
      <c r="A31" t="n">
        <v>20</v>
      </c>
      <c r="B31" s="11">
        <f>bkrcast_all!B31</f>
        <v/>
      </c>
      <c r="C31" s="6">
        <f>bkrcast_all!C31</f>
        <v/>
      </c>
      <c r="E31" s="7" t="n">
        <v>20</v>
      </c>
      <c r="F31" s="13" t="n">
        <v>4699.903469522978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 spans="1:18">
      <c r="A32" t="n">
        <v>21</v>
      </c>
      <c r="B32" s="11">
        <f>bkrcast_all!B32</f>
        <v/>
      </c>
      <c r="C32" s="6">
        <f>bkrcast_all!C32</f>
        <v/>
      </c>
      <c r="E32" s="7" t="n">
        <v>21</v>
      </c>
      <c r="F32" s="13" t="n">
        <v>5058.812904883817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 spans="1:18">
      <c r="A33" t="n">
        <v>22</v>
      </c>
      <c r="B33" s="11">
        <f>bkrcast_all!B33</f>
        <v/>
      </c>
      <c r="C33" s="6">
        <f>bkrcast_all!C33</f>
        <v/>
      </c>
      <c r="E33" s="7" t="n">
        <v>22</v>
      </c>
      <c r="F33" s="13" t="n">
        <v>3578.942003722183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 spans="1:18">
      <c r="A34" t="n">
        <v>23</v>
      </c>
      <c r="B34" s="11">
        <f>bkrcast_all!B34</f>
        <v/>
      </c>
      <c r="C34" s="6">
        <f>bkrcast_all!C34</f>
        <v/>
      </c>
      <c r="E34" s="7" t="n">
        <v>23</v>
      </c>
      <c r="F34" s="13" t="n">
        <v>4472.308767824732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 spans="1:18">
      <c r="A35" t="n">
        <v>24</v>
      </c>
      <c r="B35" s="11">
        <f>bkrcast_all!B35</f>
        <v/>
      </c>
      <c r="C35" s="6">
        <f>bkrcast_all!C35</f>
        <v/>
      </c>
      <c r="E35" s="7" t="n">
        <v>24</v>
      </c>
      <c r="F35" s="13" t="n">
        <v>3680.845523133414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 spans="1:18">
      <c r="A36" t="n">
        <v>25</v>
      </c>
      <c r="B36" s="11">
        <f>bkrcast_all!B36</f>
        <v/>
      </c>
      <c r="C36" s="6">
        <f>bkrcast_all!C36</f>
        <v/>
      </c>
      <c r="E36" s="7" t="n">
        <v>25</v>
      </c>
      <c r="F36" s="13" t="n">
        <v>2670.348354298481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 spans="1:18">
      <c r="A37" t="n">
        <v>26</v>
      </c>
      <c r="B37" s="11">
        <f>bkrcast_all!B37</f>
        <v/>
      </c>
      <c r="C37" s="6">
        <f>bkrcast_all!C37</f>
        <v/>
      </c>
      <c r="E37" s="7" t="n">
        <v>26</v>
      </c>
      <c r="F37" s="13" t="n">
        <v>2462.684124882305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 spans="1:18">
      <c r="A38" t="n">
        <v>27</v>
      </c>
      <c r="B38" s="11">
        <f>bkrcast_all!B38</f>
        <v/>
      </c>
      <c r="C38" s="6">
        <f>bkrcast_all!C38</f>
        <v/>
      </c>
      <c r="E38" s="7" t="n">
        <v>27</v>
      </c>
      <c r="F38" s="13" t="n">
        <v>4084.720431008281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 spans="1:18">
      <c r="A39" t="n">
        <v>28</v>
      </c>
      <c r="B39" s="11">
        <f>bkrcast_all!B39</f>
        <v/>
      </c>
      <c r="C39" s="6">
        <f>bkrcast_all!C39</f>
        <v/>
      </c>
      <c r="E39" s="7" t="n">
        <v>28</v>
      </c>
      <c r="F39" s="13" t="n">
        <v>1905.5280600202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 spans="1:18">
      <c r="A40" t="n">
        <v>29</v>
      </c>
      <c r="B40" s="11">
        <f>bkrcast_all!B40</f>
        <v/>
      </c>
      <c r="C40" s="6">
        <f>bkrcast_all!C40</f>
        <v/>
      </c>
      <c r="E40" s="7" t="n">
        <v>29</v>
      </c>
      <c r="F40" s="13" t="n">
        <v>2264.7062506918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 spans="1:18">
      <c r="A41" t="n">
        <v>30</v>
      </c>
      <c r="B41" s="11">
        <f>bkrcast_all!B41</f>
        <v/>
      </c>
      <c r="C41" s="6">
        <f>bkrcast_all!C41</f>
        <v/>
      </c>
      <c r="E41" s="7" t="n">
        <v>30</v>
      </c>
      <c r="F41" s="13" t="n">
        <v>1408.35079529226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 spans="1:18">
      <c r="A42" t="n">
        <v>31</v>
      </c>
      <c r="B42" s="11">
        <f>bkrcast_all!B42</f>
        <v/>
      </c>
      <c r="C42" s="6">
        <f>bkrcast_all!C42</f>
        <v/>
      </c>
      <c r="E42" s="7" t="n">
        <v>31</v>
      </c>
      <c r="F42" s="13" t="n">
        <v>1332.164924456266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 spans="1:18">
      <c r="A43" t="n">
        <v>32</v>
      </c>
      <c r="B43" s="11">
        <f>bkrcast_all!B43</f>
        <v/>
      </c>
      <c r="C43" s="6">
        <f>bkrcast_all!C43</f>
        <v/>
      </c>
      <c r="E43" s="7" t="n">
        <v>32</v>
      </c>
      <c r="F43" s="13" t="n">
        <v>1469.130189880613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 spans="1:18">
      <c r="A44" t="n">
        <v>33</v>
      </c>
      <c r="B44" s="11">
        <f>bkrcast_all!B44</f>
        <v/>
      </c>
      <c r="C44" s="6">
        <f>bkrcast_all!C44</f>
        <v/>
      </c>
      <c r="E44" s="7" t="n">
        <v>33</v>
      </c>
      <c r="F44" s="13" t="n">
        <v>1248.655488551392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 spans="1:18">
      <c r="A45" t="n">
        <v>34</v>
      </c>
      <c r="B45" s="11">
        <f>bkrcast_all!B45</f>
        <v/>
      </c>
      <c r="C45" s="6">
        <f>bkrcast_all!C45</f>
        <v/>
      </c>
      <c r="E45" s="7" t="n">
        <v>34</v>
      </c>
      <c r="F45" s="13" t="n">
        <v>1074.383177116206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 spans="1:18">
      <c r="A46" t="n">
        <v>35</v>
      </c>
      <c r="B46" s="11">
        <f>bkrcast_all!B46</f>
        <v/>
      </c>
      <c r="C46" s="6">
        <f>bkrcast_all!C46</f>
        <v/>
      </c>
      <c r="E46" s="7" t="n">
        <v>35</v>
      </c>
      <c r="F46" s="13" t="n">
        <v>806.6026549224923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 spans="1:18">
      <c r="A47" t="n">
        <v>36</v>
      </c>
      <c r="B47" s="11">
        <f>bkrcast_all!B47</f>
        <v/>
      </c>
      <c r="C47" s="6">
        <f>bkrcast_all!C47</f>
        <v/>
      </c>
      <c r="E47" s="7" t="n">
        <v>36</v>
      </c>
      <c r="F47" s="13" t="n">
        <v>1107.023536000168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 spans="1:18">
      <c r="A48" t="n">
        <v>37</v>
      </c>
      <c r="B48" s="11">
        <f>bkrcast_all!B48</f>
        <v/>
      </c>
      <c r="C48" s="6">
        <f>bkrcast_all!C48</f>
        <v/>
      </c>
      <c r="E48" s="7" t="n">
        <v>37</v>
      </c>
      <c r="F48" s="13" t="n">
        <v>692.2286453446804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 spans="1:18">
      <c r="A49" t="n">
        <v>38</v>
      </c>
      <c r="B49" s="11">
        <f>bkrcast_all!B49</f>
        <v/>
      </c>
      <c r="C49" s="6">
        <f>bkrcast_all!C49</f>
        <v/>
      </c>
      <c r="E49" s="7" t="n">
        <v>38</v>
      </c>
      <c r="F49" s="13" t="n">
        <v>588.1296984649593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 spans="1:18">
      <c r="A50" t="n">
        <v>39</v>
      </c>
      <c r="B50" s="11">
        <f>bkrcast_all!B50</f>
        <v/>
      </c>
      <c r="C50" s="6">
        <f>bkrcast_all!C50</f>
        <v/>
      </c>
      <c r="E50" s="7" t="n">
        <v>39</v>
      </c>
      <c r="F50" s="13" t="n">
        <v>641.45847192753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 spans="1:18">
      <c r="A51" t="n">
        <v>40</v>
      </c>
      <c r="B51" s="11">
        <f>bkrcast_all!B51</f>
        <v/>
      </c>
      <c r="C51" s="6">
        <f>bkrcast_all!C51</f>
        <v/>
      </c>
      <c r="E51" s="7" t="n">
        <v>40</v>
      </c>
      <c r="F51" s="13" t="n">
        <v>403.4074138863926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 spans="1:18">
      <c r="A52" t="n">
        <v>41</v>
      </c>
      <c r="B52" s="11">
        <f>bkrcast_all!B52</f>
        <v/>
      </c>
      <c r="C52" s="6">
        <f>bkrcast_all!C52</f>
        <v/>
      </c>
      <c r="E52" s="7" t="n">
        <v>41</v>
      </c>
      <c r="F52" s="13" t="n">
        <v>385.0005359254176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 spans="1:18">
      <c r="A53" t="n">
        <v>42</v>
      </c>
      <c r="B53" s="11">
        <f>bkrcast_all!B53</f>
        <v/>
      </c>
      <c r="C53" s="6">
        <f>bkrcast_all!C53</f>
        <v/>
      </c>
      <c r="E53" s="7" t="n">
        <v>42</v>
      </c>
      <c r="F53" s="13" t="n">
        <v>247.3308377700336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 spans="1:18">
      <c r="A54" t="n">
        <v>43</v>
      </c>
      <c r="B54" s="11">
        <f>bkrcast_all!B54</f>
        <v/>
      </c>
      <c r="C54" s="6">
        <f>bkrcast_all!C54</f>
        <v/>
      </c>
      <c r="E54" s="7" t="n">
        <v>43</v>
      </c>
      <c r="F54" s="13" t="n">
        <v>261.6327398107243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 spans="1:18">
      <c r="A55" t="n">
        <v>44</v>
      </c>
      <c r="B55" s="11">
        <f>bkrcast_all!B55</f>
        <v/>
      </c>
      <c r="C55" s="6">
        <f>bkrcast_all!C55</f>
        <v/>
      </c>
      <c r="E55" s="7" t="n">
        <v>44</v>
      </c>
      <c r="F55" s="13" t="n">
        <v>112.1572089471126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 spans="1:18">
      <c r="A56" t="n">
        <v>45</v>
      </c>
      <c r="B56" s="11">
        <f>bkrcast_all!B56</f>
        <v/>
      </c>
      <c r="C56" s="6">
        <f>bkrcast_all!C56</f>
        <v/>
      </c>
      <c r="E56" s="7" t="n">
        <v>45</v>
      </c>
      <c r="F56" s="13" t="n">
        <v>300.649811096042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 spans="1:18">
      <c r="A57" t="n">
        <v>46</v>
      </c>
      <c r="B57" s="11">
        <f>bkrcast_all!B57</f>
        <v/>
      </c>
      <c r="C57" s="6">
        <f>bkrcast_all!C57</f>
        <v/>
      </c>
      <c r="E57" s="7" t="n">
        <v>46</v>
      </c>
      <c r="F57" s="13" t="n">
        <v>248.0800968991771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 spans="1:18">
      <c r="A58" t="n">
        <v>47</v>
      </c>
      <c r="B58" s="11">
        <f>bkrcast_all!B58</f>
        <v/>
      </c>
      <c r="C58" s="6">
        <f>bkrcast_all!C58</f>
        <v/>
      </c>
      <c r="E58" s="7" t="n">
        <v>47</v>
      </c>
      <c r="F58" s="13" t="n">
        <v>75.35760050395319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 spans="1:18">
      <c r="A59" t="n">
        <v>48</v>
      </c>
      <c r="B59" s="11">
        <f>bkrcast_all!B59</f>
        <v/>
      </c>
      <c r="C59" s="6">
        <f>bkrcast_all!C59</f>
        <v/>
      </c>
      <c r="E59" s="7" t="n">
        <v>48</v>
      </c>
      <c r="F59" s="13" t="n">
        <v>122.3005653184223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 spans="1:18">
      <c r="A60" t="n">
        <v>49</v>
      </c>
      <c r="B60" s="11">
        <f>bkrcast_all!B60</f>
        <v/>
      </c>
      <c r="C60" s="6">
        <f>bkrcast_all!C60</f>
        <v/>
      </c>
      <c r="E60" s="7" t="n">
        <v>49</v>
      </c>
      <c r="F60" s="13" t="n">
        <v>72.25373985152123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 spans="1:18">
      <c r="A61" t="n">
        <v>50</v>
      </c>
      <c r="B61" s="11">
        <f>bkrcast_all!B61</f>
        <v/>
      </c>
      <c r="C61" s="6">
        <f>bkrcast_all!C61</f>
        <v/>
      </c>
      <c r="E61" s="7" t="n">
        <v>50</v>
      </c>
      <c r="F61" s="13" t="n">
        <v>220.6961237383645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 spans="1:18">
      <c r="A62" t="n">
        <v>51</v>
      </c>
      <c r="B62" s="11">
        <f>bkrcast_all!B62</f>
        <v/>
      </c>
      <c r="C62" s="6">
        <f>bkrcast_all!C62</f>
        <v/>
      </c>
      <c r="E62" s="7" t="n">
        <v>51</v>
      </c>
      <c r="F62" s="13" t="n">
        <v>150.6707424681559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 spans="1:18">
      <c r="A63" t="n">
        <v>52</v>
      </c>
      <c r="B63" s="11">
        <f>bkrcast_all!B63</f>
        <v/>
      </c>
      <c r="C63" s="6">
        <f>bkrcast_all!C63</f>
        <v/>
      </c>
      <c r="E63" s="7" t="n">
        <v>52</v>
      </c>
      <c r="F63" s="13" t="n">
        <v>94.90709194931036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 spans="1:18">
      <c r="A64" t="n">
        <v>53</v>
      </c>
      <c r="B64" s="11">
        <f>bkrcast_all!B64</f>
        <v/>
      </c>
      <c r="C64" s="6">
        <f>bkrcast_all!C64</f>
        <v/>
      </c>
      <c r="E64" s="7" t="n">
        <v>53</v>
      </c>
      <c r="F64" s="13" t="n">
        <v>60.77369873431462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 spans="1:18">
      <c r="A65" t="n">
        <v>54</v>
      </c>
      <c r="B65" s="11">
        <f>bkrcast_all!B65</f>
        <v/>
      </c>
      <c r="C65" s="6">
        <f>bkrcast_all!C65</f>
        <v/>
      </c>
      <c r="E65" s="7" t="n">
        <v>54</v>
      </c>
      <c r="F65" s="13" t="n">
        <v>42.29821049482422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 spans="1:18">
      <c r="A66" t="n">
        <v>55</v>
      </c>
      <c r="B66" s="11">
        <f>bkrcast_all!B66</f>
        <v/>
      </c>
      <c r="C66" s="6">
        <f>bkrcast_all!C66</f>
        <v/>
      </c>
      <c r="E66" s="7" t="n">
        <v>55</v>
      </c>
      <c r="F66" s="13" t="n">
        <v>35.49254426840631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 spans="1:18">
      <c r="A67" t="n">
        <v>56</v>
      </c>
      <c r="B67" s="11">
        <f>bkrcast_all!B67</f>
        <v/>
      </c>
      <c r="C67" s="6">
        <f>bkrcast_all!C67</f>
        <v/>
      </c>
      <c r="E67" s="7" t="n">
        <v>56</v>
      </c>
      <c r="F67" s="13" t="n">
        <v>30.43983178491929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 spans="1:18">
      <c r="A68" t="n">
        <v>57</v>
      </c>
      <c r="B68" s="11">
        <f>bkrcast_all!B68</f>
        <v/>
      </c>
      <c r="C68" s="6">
        <f>bkrcast_all!C68</f>
        <v/>
      </c>
      <c r="E68" s="7" t="n">
        <v>57</v>
      </c>
      <c r="F68" s="13" t="n">
        <v>34.98964896321214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 spans="1:18">
      <c r="A69" t="n">
        <v>58</v>
      </c>
      <c r="B69" s="11">
        <f>bkrcast_all!B69</f>
        <v/>
      </c>
      <c r="C69" s="6">
        <f>bkrcast_all!C69</f>
        <v/>
      </c>
      <c r="E69" s="7" t="n">
        <v>58</v>
      </c>
      <c r="F69" s="13" t="n">
        <v>10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 spans="1:18">
      <c r="A70" t="n">
        <v>59</v>
      </c>
      <c r="B70" s="11">
        <f>bkrcast_all!B70</f>
        <v/>
      </c>
      <c r="C70" s="6">
        <f>bkrcast_all!C70</f>
        <v/>
      </c>
      <c r="E70" s="7" t="n">
        <v>59</v>
      </c>
      <c r="F70" s="13" t="n">
        <v>34.9635493202498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 spans="1:18">
      <c r="A71" t="n">
        <v>60</v>
      </c>
      <c r="B71" s="11">
        <f>bkrcast_all!B71</f>
        <v/>
      </c>
      <c r="C71" s="6">
        <f>bkrcast_all!C71</f>
        <v/>
      </c>
      <c r="E71" s="7" t="n">
        <v>60</v>
      </c>
      <c r="F71" s="13" t="n">
        <v>9.90909090909091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 spans="1:18">
      <c r="A72" t="n">
        <v>61</v>
      </c>
      <c r="B72" s="11">
        <f>bkrcast_all!B72</f>
        <v/>
      </c>
      <c r="C72" s="6">
        <f>bkrcast_all!C72</f>
        <v/>
      </c>
      <c r="E72" s="7" t="n">
        <v>61</v>
      </c>
      <c r="F72" s="13" t="n">
        <v>50.01934937505836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 spans="1:18">
      <c r="A73" t="n">
        <v>62</v>
      </c>
      <c r="B73" s="11">
        <f>bkrcast_all!B73</f>
        <v/>
      </c>
      <c r="C73" s="6">
        <f>bkrcast_all!C73</f>
        <v/>
      </c>
      <c r="E73" s="7" t="n">
        <v>62</v>
      </c>
      <c r="F73" s="13" t="n">
        <v>20.025487012987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 spans="1:18">
      <c r="A74" t="n">
        <v>63</v>
      </c>
      <c r="B74" s="11">
        <f>bkrcast_all!B74</f>
        <v/>
      </c>
      <c r="C74" s="6">
        <f>bkrcast_all!C74</f>
        <v/>
      </c>
      <c r="E74" s="7" t="n">
        <v>63</v>
      </c>
      <c r="F74" s="13" t="n">
        <v>10.0240963855422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 spans="1:18">
      <c r="A75" t="n">
        <v>64</v>
      </c>
      <c r="B75" s="11">
        <f>bkrcast_all!B75</f>
        <v/>
      </c>
      <c r="C75" s="6">
        <f>bkrcast_all!C75</f>
        <v/>
      </c>
      <c r="E75" s="7" t="n">
        <v>64</v>
      </c>
      <c r="F75" s="1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 spans="1:18">
      <c r="A76" t="n">
        <v>65</v>
      </c>
      <c r="B76" s="11">
        <f>bkrcast_all!B76</f>
        <v/>
      </c>
      <c r="C76" s="6">
        <f>bkrcast_all!C76</f>
        <v/>
      </c>
      <c r="E76" s="7" t="n">
        <v>65</v>
      </c>
      <c r="F76" s="13" t="n">
        <v>24.86047780015343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 spans="1:18">
      <c r="A77" t="n">
        <v>66</v>
      </c>
      <c r="B77" s="11">
        <f>bkrcast_all!B77</f>
        <v/>
      </c>
      <c r="C77" s="6">
        <f>bkrcast_all!C77</f>
        <v/>
      </c>
      <c r="E77" s="7" t="n">
        <v>66</v>
      </c>
      <c r="F77" s="1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 spans="1:18">
      <c r="A78" t="n">
        <v>67</v>
      </c>
      <c r="B78" s="11">
        <f>bkrcast_all!B78</f>
        <v/>
      </c>
      <c r="C78" s="6">
        <f>bkrcast_all!C78</f>
        <v/>
      </c>
      <c r="E78" s="7" t="n">
        <v>67</v>
      </c>
      <c r="F78" s="1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 spans="1:18">
      <c r="A79" t="n">
        <v>68</v>
      </c>
      <c r="B79" s="11">
        <f>bkrcast_all!B79</f>
        <v/>
      </c>
      <c r="C79" s="6">
        <f>bkrcast_all!C79</f>
        <v/>
      </c>
      <c r="E79" s="7" t="n">
        <v>68</v>
      </c>
      <c r="F79" s="13" t="n">
        <v>19.94888392857143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 spans="1:18">
      <c r="A80" t="n">
        <v>69</v>
      </c>
      <c r="B80" s="11">
        <f>bkrcast_all!B80</f>
        <v/>
      </c>
      <c r="C80" s="6">
        <f>bkrcast_all!C80</f>
        <v/>
      </c>
      <c r="E80" s="7" t="n">
        <v>69</v>
      </c>
      <c r="F80" s="13" t="n">
        <v>0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 spans="1:18">
      <c r="A81" t="n">
        <v>70</v>
      </c>
      <c r="B81" s="11">
        <f>bkrcast_all!B81</f>
        <v/>
      </c>
      <c r="C81" s="6">
        <f>bkrcast_all!C81</f>
        <v/>
      </c>
      <c r="E81" s="7" t="n">
        <v>70</v>
      </c>
      <c r="F81" s="13" t="n">
        <v>20.03289050782083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 spans="1:18">
      <c r="A82" t="n">
        <v>71</v>
      </c>
      <c r="B82" s="11">
        <f>bkrcast_all!B82</f>
        <v/>
      </c>
      <c r="C82" s="6">
        <f>bkrcast_all!C82</f>
        <v/>
      </c>
      <c r="E82" s="7" t="n">
        <v>71</v>
      </c>
      <c r="F82" s="1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 spans="1:18">
      <c r="A83" t="n">
        <v>72</v>
      </c>
      <c r="B83" s="11">
        <f>bkrcast_all!B83</f>
        <v/>
      </c>
      <c r="C83" s="6">
        <f>bkrcast_all!C83</f>
        <v/>
      </c>
      <c r="E83" s="7" t="n">
        <v>72</v>
      </c>
      <c r="F83" s="1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 spans="1:18">
      <c r="A84" t="n">
        <v>73</v>
      </c>
      <c r="B84" s="11">
        <f>bkrcast_all!B84</f>
        <v/>
      </c>
      <c r="C84" s="6">
        <f>bkrcast_all!C84</f>
        <v/>
      </c>
      <c r="E84" s="7" t="n">
        <v>73</v>
      </c>
      <c r="F84" s="1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 spans="1:18">
      <c r="A85" t="n">
        <v>74</v>
      </c>
      <c r="B85" s="11">
        <f>bkrcast_all!B85</f>
        <v/>
      </c>
      <c r="C85" s="6">
        <f>bkrcast_all!C85</f>
        <v/>
      </c>
      <c r="E85" s="7" t="n">
        <v>74</v>
      </c>
      <c r="F85" s="1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 spans="1:18">
      <c r="A86" t="n">
        <v>75</v>
      </c>
      <c r="B86" s="11">
        <f>bkrcast_all!B86</f>
        <v/>
      </c>
      <c r="C86" s="6">
        <f>bkrcast_all!C86</f>
        <v/>
      </c>
      <c r="E86" s="7" t="n">
        <v>75</v>
      </c>
      <c r="F86" s="1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 spans="1:18">
      <c r="A87" t="n">
        <v>76</v>
      </c>
      <c r="B87" s="11">
        <f>bkrcast_all!B87</f>
        <v/>
      </c>
      <c r="C87" s="6">
        <f>bkrcast_all!C87</f>
        <v/>
      </c>
      <c r="E87" s="7" t="n">
        <v>76</v>
      </c>
      <c r="F87" s="1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 spans="1:18">
      <c r="A88" t="n">
        <v>77</v>
      </c>
      <c r="B88" s="11">
        <f>bkrcast_all!B88</f>
        <v/>
      </c>
      <c r="C88" s="6">
        <f>bkrcast_all!C88</f>
        <v/>
      </c>
      <c r="E88" s="7" t="n">
        <v>77</v>
      </c>
      <c r="F88" s="1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 spans="1:18">
      <c r="A89" t="n">
        <v>78</v>
      </c>
      <c r="B89" s="11">
        <f>bkrcast_all!B89</f>
        <v/>
      </c>
      <c r="C89" s="6">
        <f>bkrcast_all!C89</f>
        <v/>
      </c>
      <c r="E89" s="7" t="n">
        <v>78</v>
      </c>
      <c r="F89" s="1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 spans="1:18">
      <c r="A90" t="n">
        <v>79</v>
      </c>
      <c r="B90" s="11">
        <f>bkrcast_all!B90</f>
        <v/>
      </c>
      <c r="C90" s="6">
        <f>bkrcast_all!C90</f>
        <v/>
      </c>
      <c r="E90" s="7" t="n">
        <v>79</v>
      </c>
      <c r="F90" s="1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 spans="1:18">
      <c r="A91" t="n">
        <v>80</v>
      </c>
      <c r="B91" s="11">
        <f>bkrcast_all!B91</f>
        <v/>
      </c>
      <c r="C91" s="6">
        <f>bkrcast_all!C91</f>
        <v/>
      </c>
      <c r="E91" s="7" t="n">
        <v>80</v>
      </c>
      <c r="F91" s="1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 spans="1:18">
      <c r="A92" t="n">
        <v>81</v>
      </c>
      <c r="B92" s="11">
        <f>bkrcast_all!B92</f>
        <v/>
      </c>
      <c r="C92" s="6">
        <f>bkrcast_all!C92</f>
        <v/>
      </c>
      <c r="E92" s="7" t="n">
        <v>81</v>
      </c>
      <c r="F92" s="1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 spans="1:18">
      <c r="A93" t="n">
        <v>82</v>
      </c>
      <c r="B93" s="11">
        <f>bkrcast_all!B93</f>
        <v/>
      </c>
      <c r="C93" s="6">
        <f>bkrcast_all!C93</f>
        <v/>
      </c>
      <c r="E93" s="7" t="n">
        <v>82</v>
      </c>
      <c r="F93" s="1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 spans="1:18">
      <c r="A94" t="n">
        <v>83</v>
      </c>
      <c r="B94" s="11">
        <f>bkrcast_all!B94</f>
        <v/>
      </c>
      <c r="C94" s="6">
        <f>bkrcast_all!C94</f>
        <v/>
      </c>
      <c r="E94" s="7" t="n">
        <v>83</v>
      </c>
      <c r="F94" s="1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 spans="1:18">
      <c r="A95" t="n">
        <v>84</v>
      </c>
      <c r="B95" s="11">
        <f>bkrcast_all!B95</f>
        <v/>
      </c>
      <c r="C95" s="6">
        <f>bkrcast_all!C95</f>
        <v/>
      </c>
      <c r="E95" s="7" t="n">
        <v>84</v>
      </c>
      <c r="F95" s="1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 spans="1:18">
      <c r="A96" t="n">
        <v>85</v>
      </c>
      <c r="B96" s="11">
        <f>bkrcast_all!B96</f>
        <v/>
      </c>
      <c r="C96" s="6">
        <f>bkrcast_all!C96</f>
        <v/>
      </c>
      <c r="E96" s="7" t="n">
        <v>85</v>
      </c>
      <c r="F96" s="1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 spans="1:18">
      <c r="A97" t="n">
        <v>86</v>
      </c>
      <c r="B97" s="11">
        <f>bkrcast_all!B97</f>
        <v/>
      </c>
      <c r="C97" s="6">
        <f>bkrcast_all!C97</f>
        <v/>
      </c>
      <c r="E97" s="7" t="n">
        <v>86</v>
      </c>
      <c r="F97" s="1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 spans="1:18">
      <c r="A98" t="n">
        <v>87</v>
      </c>
      <c r="B98" s="11">
        <f>bkrcast_all!B98</f>
        <v/>
      </c>
      <c r="C98" s="6">
        <f>bkrcast_all!C98</f>
        <v/>
      </c>
      <c r="E98" s="7" t="n">
        <v>87</v>
      </c>
      <c r="F98" s="1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 spans="1:18">
      <c r="A99" t="n">
        <v>88</v>
      </c>
      <c r="B99" s="11">
        <f>bkrcast_all!B99</f>
        <v/>
      </c>
      <c r="C99" s="6">
        <f>bkrcast_all!C99</f>
        <v/>
      </c>
      <c r="E99" s="7" t="n">
        <v>88</v>
      </c>
      <c r="F99" s="1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 spans="1:18">
      <c r="A100" t="n">
        <v>89</v>
      </c>
      <c r="B100" s="11">
        <f>bkrcast_all!B100</f>
        <v/>
      </c>
      <c r="C100" s="6">
        <f>bkrcast_all!C100</f>
        <v/>
      </c>
      <c r="E100" s="7" t="n">
        <v>89</v>
      </c>
      <c r="F100" s="1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customHeight="1" ht="15.75" r="101" spans="1:18">
      <c r="A101" s="1" t="n">
        <v>90</v>
      </c>
      <c r="B101" s="11">
        <f>bkrcast_all!B101</f>
        <v/>
      </c>
      <c r="C101" s="6">
        <f>bkrcast_all!C101</f>
        <v/>
      </c>
      <c r="E101" s="8" t="n">
        <v>90</v>
      </c>
      <c r="F101" s="1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 spans="1:18">
      <c r="B102" s="11">
        <f>bkrcast_all!B102</f>
        <v/>
      </c>
      <c r="C102" s="6">
        <f>bkrcast_all!C102</f>
        <v/>
      </c>
      <c r="F102" s="1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2"/>
  <sheetViews>
    <sheetView workbookViewId="0">
      <selection activeCell="H32" sqref="H32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145296.6759334703</v>
      </c>
      <c r="C11" s="6" t="n">
        <v>0.224258931108467</v>
      </c>
      <c r="E11" s="7" t="n">
        <v>0</v>
      </c>
      <c r="F11" s="13" t="n">
        <v>96440</v>
      </c>
      <c r="G11" s="6" t="n">
        <v>0.1512601615177461</v>
      </c>
      <c r="K11" s="4" t="n">
        <v>4.717772936342971</v>
      </c>
      <c r="L11" s="4" t="n">
        <v>5.139843161737423</v>
      </c>
    </row>
    <row r="12" spans="1:12">
      <c r="A12" t="n">
        <v>1</v>
      </c>
      <c r="B12" s="11" t="n">
        <v>95117.45259677179</v>
      </c>
      <c r="C12" s="6" t="n">
        <v>0.1468095406317452</v>
      </c>
      <c r="E12" s="7" t="n">
        <v>1</v>
      </c>
      <c r="F12" s="13" t="n">
        <v>106989</v>
      </c>
      <c r="G12" s="6" t="n">
        <v>0.1678056140670068</v>
      </c>
      <c r="K12" s="4" t="n"/>
      <c r="L12" s="7" t="n"/>
    </row>
    <row r="13" spans="1:12">
      <c r="A13" t="n">
        <v>2</v>
      </c>
      <c r="B13" s="11" t="n">
        <v>88454.693512404</v>
      </c>
      <c r="C13" s="6" t="n">
        <v>0.1365258695092364</v>
      </c>
      <c r="E13" s="7" t="n">
        <v>2</v>
      </c>
      <c r="F13" s="13" t="n">
        <v>90207</v>
      </c>
      <c r="G13" s="6" t="n">
        <v>0.1414840874121871</v>
      </c>
    </row>
    <row r="14" spans="1:12">
      <c r="A14" t="n">
        <v>3</v>
      </c>
      <c r="B14" s="11" t="n">
        <v>70349.5787863962</v>
      </c>
      <c r="C14" s="6" t="n">
        <v>0.1085814334100251</v>
      </c>
      <c r="E14" s="7" t="n">
        <v>3</v>
      </c>
      <c r="F14" s="13" t="n">
        <v>71477</v>
      </c>
      <c r="G14" s="6" t="n">
        <v>0.1121072435172536</v>
      </c>
    </row>
    <row r="15" spans="1:12">
      <c r="A15" t="n">
        <v>4</v>
      </c>
      <c r="B15" s="11" t="n">
        <v>54599.82947474</v>
      </c>
      <c r="C15" s="6" t="n">
        <v>0.08427239864948032</v>
      </c>
      <c r="E15" s="7" t="n">
        <v>4</v>
      </c>
      <c r="F15" s="13" t="n">
        <v>55183</v>
      </c>
      <c r="G15" s="6" t="n">
        <v>0.08655111461047058</v>
      </c>
    </row>
    <row r="16" spans="1:12">
      <c r="A16" t="n">
        <v>5</v>
      </c>
      <c r="B16" s="11" t="n">
        <v>32811.3771675072</v>
      </c>
      <c r="C16" s="6" t="n">
        <v>0.05064289547237254</v>
      </c>
      <c r="E16" s="7" t="n">
        <v>5</v>
      </c>
      <c r="F16" s="13" t="n">
        <v>42932</v>
      </c>
      <c r="G16" s="6" t="n">
        <v>0.06733618057113101</v>
      </c>
    </row>
    <row r="17" spans="1:12">
      <c r="A17" t="n">
        <v>6</v>
      </c>
      <c r="B17" s="11" t="n">
        <v>28429.7067945662</v>
      </c>
      <c r="C17" s="6" t="n">
        <v>0.04387998291437761</v>
      </c>
      <c r="E17" s="7" t="n">
        <v>6</v>
      </c>
      <c r="F17" s="13" t="n">
        <v>32491</v>
      </c>
      <c r="G17" s="6" t="n">
        <v>0.05096011932676367</v>
      </c>
    </row>
    <row r="18" spans="1:12">
      <c r="A18" t="n">
        <v>7</v>
      </c>
      <c r="B18" s="11" t="n">
        <v>16311.7059670372</v>
      </c>
      <c r="C18" s="6" t="n">
        <v>0.02517638976406</v>
      </c>
      <c r="E18" s="7" t="n">
        <v>7</v>
      </c>
      <c r="F18" s="13" t="n">
        <v>24719</v>
      </c>
      <c r="G18" s="6" t="n">
        <v>0.03877021912647414</v>
      </c>
    </row>
    <row r="19" spans="1:12">
      <c r="A19" t="n">
        <v>8</v>
      </c>
      <c r="B19" s="11" t="n">
        <v>26462.8010483393</v>
      </c>
      <c r="C19" s="6" t="n">
        <v>0.04084415172687048</v>
      </c>
      <c r="E19" s="7" t="n">
        <v>8</v>
      </c>
      <c r="F19" s="13" t="n">
        <v>18342</v>
      </c>
      <c r="G19" s="6" t="n">
        <v>0.02876828994772396</v>
      </c>
    </row>
    <row r="20" spans="1:12">
      <c r="A20" t="n">
        <v>9</v>
      </c>
      <c r="B20" s="11" t="n">
        <v>9102.4040726561</v>
      </c>
      <c r="C20" s="6" t="n">
        <v>0.01404915422005868</v>
      </c>
      <c r="E20" s="7" t="n">
        <v>9</v>
      </c>
      <c r="F20" s="13" t="n">
        <v>13858</v>
      </c>
      <c r="G20" s="6" t="n">
        <v>0.02173541391863257</v>
      </c>
    </row>
    <row r="21" spans="1:12">
      <c r="A21" t="n">
        <v>10</v>
      </c>
      <c r="B21" s="11" t="n">
        <v>17253.9297014695</v>
      </c>
      <c r="C21" s="6" t="n">
        <v>0.0266306700233384</v>
      </c>
      <c r="E21" s="7" t="n">
        <v>10</v>
      </c>
      <c r="F21" s="13" t="n">
        <v>10887</v>
      </c>
      <c r="G21" s="6" t="n">
        <v>0.01707558459605663</v>
      </c>
    </row>
    <row r="22" spans="1:12">
      <c r="A22" t="n">
        <v>11</v>
      </c>
      <c r="B22" s="11" t="n">
        <v>7752.4702324037</v>
      </c>
      <c r="C22" s="6" t="n">
        <v>0.01196559161866256</v>
      </c>
      <c r="E22" s="7" t="n">
        <v>11</v>
      </c>
      <c r="F22" s="13" t="n">
        <v>9801</v>
      </c>
      <c r="G22" s="6" t="n">
        <v>0.0153722609190733</v>
      </c>
    </row>
    <row r="23" spans="1:12">
      <c r="A23" t="n">
        <v>12</v>
      </c>
      <c r="B23" s="11" t="n">
        <v>10656.4395989199</v>
      </c>
      <c r="C23" s="6" t="n">
        <v>0.01644773865969226</v>
      </c>
      <c r="E23" s="7" t="n">
        <v>12</v>
      </c>
      <c r="F23" s="13" t="n">
        <v>8276</v>
      </c>
      <c r="G23" s="6" t="n">
        <v>0.01298039295645859</v>
      </c>
    </row>
    <row r="24" spans="1:12">
      <c r="A24" t="n">
        <v>13</v>
      </c>
      <c r="B24" s="11" t="n">
        <v>4992.0081253151</v>
      </c>
      <c r="C24" s="6" t="n">
        <v>0.007704941624270564</v>
      </c>
      <c r="E24" s="7" t="n">
        <v>13</v>
      </c>
      <c r="F24" s="13" t="n">
        <v>7457</v>
      </c>
      <c r="G24" s="6" t="n">
        <v>0.01169584222768387</v>
      </c>
    </row>
    <row r="25" spans="1:12">
      <c r="A25" t="n">
        <v>14</v>
      </c>
      <c r="B25" s="11" t="n">
        <v>1202.2808873769</v>
      </c>
      <c r="C25" s="6" t="n">
        <v>0.001855666862046725</v>
      </c>
      <c r="E25" s="7" t="n">
        <v>14</v>
      </c>
      <c r="F25" s="13" t="n">
        <v>6498</v>
      </c>
      <c r="G25" s="6" t="n">
        <v>0.01019171017775108</v>
      </c>
    </row>
    <row r="26" spans="1:12">
      <c r="A26" t="n">
        <v>15</v>
      </c>
      <c r="B26" s="11" t="n">
        <v>3015.910189999</v>
      </c>
      <c r="C26" s="6" t="n">
        <v>0.004654922703379669</v>
      </c>
      <c r="E26" s="7" t="n">
        <v>15</v>
      </c>
      <c r="F26" s="13" t="n">
        <v>5798</v>
      </c>
      <c r="G26" s="6" t="n">
        <v>0.009093803571960719</v>
      </c>
    </row>
    <row r="27" spans="1:12">
      <c r="A27" t="n">
        <v>16</v>
      </c>
      <c r="B27" s="11" t="n">
        <v>11130.871474491</v>
      </c>
      <c r="C27" s="6" t="n">
        <v>0.01718000307397299</v>
      </c>
      <c r="E27" s="7" t="n">
        <v>16</v>
      </c>
      <c r="F27" s="13" t="n">
        <v>4985</v>
      </c>
      <c r="G27" s="6" t="n">
        <v>0.00781866347123563</v>
      </c>
    </row>
    <row r="28" spans="1:12">
      <c r="A28" t="n">
        <v>17</v>
      </c>
      <c r="B28" s="11" t="n">
        <v>1410.6998764252</v>
      </c>
      <c r="C28" s="6" t="n">
        <v>0.002177352264733299</v>
      </c>
      <c r="E28" s="7" t="n">
        <v>17</v>
      </c>
      <c r="F28" s="13" t="n">
        <v>4473</v>
      </c>
      <c r="G28" s="6" t="n">
        <v>0.007015623211000397</v>
      </c>
    </row>
    <row r="29" spans="1:12">
      <c r="A29" t="n">
        <v>18</v>
      </c>
      <c r="B29" s="11" t="n">
        <v>3220.030717031</v>
      </c>
      <c r="C29" s="6" t="n">
        <v>0.004969973621891071</v>
      </c>
      <c r="E29" s="7" t="n">
        <v>18</v>
      </c>
      <c r="F29" s="13" t="n">
        <v>3848</v>
      </c>
      <c r="G29" s="6" t="n">
        <v>0.006035349455830433</v>
      </c>
    </row>
    <row r="30" spans="1:12">
      <c r="A30" t="n">
        <v>19</v>
      </c>
      <c r="B30" s="11" t="n">
        <v>2233.4976549987</v>
      </c>
      <c r="C30" s="6" t="n">
        <v>0.003447303894086497</v>
      </c>
      <c r="E30" s="7" t="n">
        <v>19</v>
      </c>
      <c r="F30" s="13" t="n">
        <v>3289</v>
      </c>
      <c r="G30" s="6" t="n">
        <v>0.005158592609206417</v>
      </c>
    </row>
    <row r="31" spans="1:12">
      <c r="A31" t="n">
        <v>20</v>
      </c>
      <c r="B31" s="11" t="n">
        <v>2056.9226457481</v>
      </c>
      <c r="C31" s="6" t="n">
        <v>0.00317476825223094</v>
      </c>
      <c r="E31" s="7" t="n">
        <v>20</v>
      </c>
      <c r="F31" s="13" t="n">
        <v>2789</v>
      </c>
      <c r="G31" s="6" t="n">
        <v>0.004374373605070446</v>
      </c>
    </row>
    <row r="32" spans="1:12">
      <c r="A32" t="n">
        <v>21</v>
      </c>
      <c r="B32" s="11" t="n">
        <v>3831.4351210792</v>
      </c>
      <c r="C32" s="6" t="n">
        <v>0.005913649017394551</v>
      </c>
      <c r="E32" s="7" t="n">
        <v>21</v>
      </c>
      <c r="F32" s="13" t="n">
        <v>2481</v>
      </c>
      <c r="G32" s="6" t="n">
        <v>0.003891294698522688</v>
      </c>
    </row>
    <row r="33" spans="1:12">
      <c r="A33" t="n">
        <v>22</v>
      </c>
      <c r="B33" s="11" t="n">
        <v>460.056707408</v>
      </c>
      <c r="C33" s="6" t="n">
        <v>0.0007100769841413304</v>
      </c>
      <c r="E33" s="7" t="n">
        <v>22</v>
      </c>
      <c r="F33" s="13" t="n">
        <v>2169</v>
      </c>
      <c r="G33" s="6" t="n">
        <v>0.003401942039941842</v>
      </c>
    </row>
    <row r="34" spans="1:12">
      <c r="A34" t="n">
        <v>23</v>
      </c>
      <c r="B34" s="11" t="n">
        <v>3423.9459510197</v>
      </c>
      <c r="C34" s="6" t="n">
        <v>0.00528470767975746</v>
      </c>
      <c r="E34" s="7" t="n">
        <v>23</v>
      </c>
      <c r="F34" s="13" t="n">
        <v>1780</v>
      </c>
      <c r="G34" s="6" t="n">
        <v>0.002791819654724057</v>
      </c>
    </row>
    <row r="35" spans="1:12">
      <c r="A35" t="n">
        <v>24</v>
      </c>
      <c r="B35" s="11" t="n">
        <v>1050.609105803</v>
      </c>
      <c r="C35" s="6" t="n">
        <v>0.001621568240061359</v>
      </c>
      <c r="E35" s="7" t="n">
        <v>24</v>
      </c>
      <c r="F35" s="13" t="n">
        <v>1526</v>
      </c>
      <c r="G35" s="6" t="n">
        <v>0.002393436400622984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1308</v>
      </c>
      <c r="G36" s="6" t="n">
        <v>0.0020515169148197</v>
      </c>
    </row>
    <row r="37" spans="1:12">
      <c r="A37" t="n">
        <v>26</v>
      </c>
      <c r="B37" s="11" t="n">
        <v>2098.1460353052</v>
      </c>
      <c r="C37" s="6" t="n">
        <v>0.003238394713189869</v>
      </c>
      <c r="E37" s="7" t="n">
        <v>26</v>
      </c>
      <c r="F37" s="13" t="n">
        <v>1071</v>
      </c>
      <c r="G37" s="6" t="n">
        <v>0.00167979710685925</v>
      </c>
    </row>
    <row r="38" spans="1:12">
      <c r="A38" t="n">
        <v>27</v>
      </c>
      <c r="B38" s="11" t="n">
        <v>760.065763762</v>
      </c>
      <c r="C38" s="6" t="n">
        <v>0.001173127565777585</v>
      </c>
      <c r="E38" s="7" t="n">
        <v>27</v>
      </c>
      <c r="F38" s="13" t="n">
        <v>920</v>
      </c>
      <c r="G38" s="6" t="n">
        <v>0.001442962967610187</v>
      </c>
    </row>
    <row r="39" spans="1:12">
      <c r="A39" t="n">
        <v>28</v>
      </c>
      <c r="B39" s="11" t="n">
        <v>368.204446166</v>
      </c>
      <c r="C39" s="6" t="n">
        <v>0.0005683071205591898</v>
      </c>
      <c r="E39" s="7" t="n">
        <v>28</v>
      </c>
      <c r="F39" s="13" t="n">
        <v>856</v>
      </c>
      <c r="G39" s="6" t="n">
        <v>0.001342582935080782</v>
      </c>
    </row>
    <row r="40" spans="1:12">
      <c r="A40" t="n">
        <v>29</v>
      </c>
      <c r="B40" s="11" t="n">
        <v>371.189902602</v>
      </c>
      <c r="C40" s="6" t="n">
        <v>0.0005729150392531784</v>
      </c>
      <c r="E40" s="7" t="n">
        <v>29</v>
      </c>
      <c r="F40" s="13" t="n">
        <v>686</v>
      </c>
      <c r="G40" s="6" t="n">
        <v>0.001075948473674552</v>
      </c>
    </row>
    <row r="41" spans="1:12">
      <c r="A41" t="n">
        <v>30</v>
      </c>
      <c r="B41" s="11" t="n">
        <v>459.495951697</v>
      </c>
      <c r="C41" s="6" t="n">
        <v>0.0007092114827418393</v>
      </c>
      <c r="E41" s="7" t="n">
        <v>30</v>
      </c>
      <c r="F41" s="13" t="n">
        <v>607</v>
      </c>
      <c r="G41" s="6" t="n">
        <v>0.0009520418710210688</v>
      </c>
    </row>
    <row r="42" spans="1:12">
      <c r="A42" t="n">
        <v>31</v>
      </c>
      <c r="B42" s="11" t="n">
        <v>572.866861522</v>
      </c>
      <c r="C42" s="6" t="n">
        <v>0.0008841944195007674</v>
      </c>
      <c r="E42" s="7" t="n">
        <v>31</v>
      </c>
      <c r="F42" s="13" t="n">
        <v>505</v>
      </c>
      <c r="G42" s="6" t="n">
        <v>0.0007920611941773307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467</v>
      </c>
      <c r="G43" s="6" t="n">
        <v>0.0007324605498629969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345</v>
      </c>
      <c r="G44" s="6" t="n">
        <v>0.00054111111285382</v>
      </c>
    </row>
    <row r="45" spans="1:12">
      <c r="A45" t="n">
        <v>34</v>
      </c>
      <c r="B45" s="11" t="n">
        <v>207.401519182</v>
      </c>
      <c r="C45" s="6" t="n">
        <v>0.0003201149833828592</v>
      </c>
      <c r="E45" s="7" t="n">
        <v>34</v>
      </c>
      <c r="F45" s="13" t="n">
        <v>317</v>
      </c>
      <c r="G45" s="6" t="n">
        <v>0.0004971948486222057</v>
      </c>
    </row>
    <row r="46" spans="1:12">
      <c r="A46" t="n">
        <v>35</v>
      </c>
      <c r="B46" s="11" t="n">
        <v>1335.01152099</v>
      </c>
      <c r="C46" s="6" t="n">
        <v>0.00206053066796788</v>
      </c>
      <c r="E46" s="7" t="n">
        <v>35</v>
      </c>
      <c r="F46" s="13" t="n">
        <v>247</v>
      </c>
      <c r="G46" s="6" t="n">
        <v>0.0003874041880431697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233</v>
      </c>
      <c r="G47" s="6" t="n">
        <v>0.0003654460559273625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195</v>
      </c>
      <c r="G48" s="6" t="n">
        <v>0.0003058454116130287</v>
      </c>
    </row>
    <row r="49" spans="1:12">
      <c r="A49" t="n">
        <v>38</v>
      </c>
      <c r="B49" s="11" t="n">
        <v>91.6389155216</v>
      </c>
      <c r="C49" s="6" t="n">
        <v>0.000141440573989615</v>
      </c>
      <c r="E49" s="7" t="n">
        <v>38</v>
      </c>
      <c r="F49" s="13" t="n">
        <v>155</v>
      </c>
      <c r="G49" s="6" t="n">
        <v>0.000243107891282151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136</v>
      </c>
      <c r="G50" s="6" t="n">
        <v>0.0002133075691249841</v>
      </c>
    </row>
    <row r="51" spans="1:12">
      <c r="A51" t="n">
        <v>40</v>
      </c>
      <c r="B51" s="11" t="n">
        <v>292.681617382</v>
      </c>
      <c r="C51" s="6" t="n">
        <v>0.0004517410067883372</v>
      </c>
      <c r="E51" s="7" t="n">
        <v>40</v>
      </c>
      <c r="F51" s="13" t="n">
        <v>142</v>
      </c>
      <c r="G51" s="6" t="n">
        <v>0.0002227181971746158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105</v>
      </c>
      <c r="G52" s="6" t="n">
        <v>0.0001646859908685539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87</v>
      </c>
      <c r="G53" s="6" t="n">
        <v>0.000136454106719659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81</v>
      </c>
      <c r="G54" s="6" t="n">
        <v>0.0001270434786700273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55</v>
      </c>
      <c r="G55" s="6" t="n">
        <v>8.626409045495681e-05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38</v>
      </c>
      <c r="G56" s="6" t="n">
        <v>5.96006443143338e-05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49</v>
      </c>
      <c r="G57" s="6" t="n">
        <v>7.685346240532516e-05</v>
      </c>
    </row>
    <row r="58" spans="1:12">
      <c r="A58" t="n">
        <v>47</v>
      </c>
      <c r="B58" s="11" t="n">
        <v>387.674382174</v>
      </c>
      <c r="C58" s="6" t="n">
        <v>0.0005983580973613268</v>
      </c>
      <c r="E58" s="7" t="n">
        <v>47</v>
      </c>
      <c r="F58" s="13" t="n">
        <v>40</v>
      </c>
      <c r="G58" s="6" t="n">
        <v>6.273752033087769e-05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44</v>
      </c>
      <c r="G59" s="6" t="n">
        <v>6.901127236396545e-05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37</v>
      </c>
      <c r="G60" s="6" t="n">
        <v>5.803220630606186e-05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20</v>
      </c>
      <c r="G61" s="6" t="n">
        <v>3.136876016543884e-05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15</v>
      </c>
      <c r="G62" s="6" t="n">
        <v>2.352657012407913e-05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23</v>
      </c>
      <c r="G63" s="6" t="n">
        <v>3.607407419025467e-05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15</v>
      </c>
      <c r="G64" s="6" t="n">
        <v>2.352657012407913e-05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15</v>
      </c>
      <c r="G65" s="6" t="n">
        <v>2.352657012407913e-05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11</v>
      </c>
      <c r="G66" s="6" t="n">
        <v>1.725281809099136e-05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8</v>
      </c>
      <c r="G67" s="6" t="n">
        <v>1.254750406617554e-05</v>
      </c>
    </row>
    <row r="68" spans="1:12">
      <c r="A68" t="n">
        <v>57</v>
      </c>
      <c r="B68" s="11" t="n">
        <v>325.232864493</v>
      </c>
      <c r="C68" s="6" t="n">
        <v>0.000501982403134548</v>
      </c>
      <c r="E68" s="7" t="n">
        <v>57</v>
      </c>
      <c r="F68" s="13" t="n">
        <v>8</v>
      </c>
      <c r="G68" s="6" t="n">
        <v>1.254750406617554e-05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7</v>
      </c>
      <c r="G69" s="6" t="n">
        <v>1.097906605790359e-05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6</v>
      </c>
      <c r="G70" s="6" t="n">
        <v>9.410628049631653e-06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4</v>
      </c>
      <c r="G71" s="6" t="n">
        <v>6.273752033087769e-06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1</v>
      </c>
      <c r="G72" s="6" t="n">
        <v>1.568438008271942e-06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4</v>
      </c>
      <c r="G73" s="6" t="n">
        <v>6.273752033087769e-06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1</v>
      </c>
      <c r="G74" s="6" t="n">
        <v>1.568438008271942e-06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3.136876016543884e-06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2</v>
      </c>
      <c r="G76" s="6" t="n">
        <v>3.136876016543884e-06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2</v>
      </c>
      <c r="G77" s="6" t="n">
        <v>3.136876016543884e-06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1</v>
      </c>
      <c r="G79" s="6" t="n">
        <v>1.568438008271942e-06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2</v>
      </c>
      <c r="G81" s="6" t="n">
        <v>3.136876016543884e-06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2</v>
      </c>
      <c r="G82" s="6" t="n">
        <v>3.136876016543884e-06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1</v>
      </c>
      <c r="G86" s="6" t="n">
        <v>1.568438008271942e-06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2</v>
      </c>
      <c r="G87" s="6" t="n">
        <v>3.136876016543884e-06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1</v>
      </c>
      <c r="G91" s="6" t="n">
        <v>1.568438008271942e-06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1</v>
      </c>
      <c r="G94" s="6" t="n">
        <v>1.568438008271942e-06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1</v>
      </c>
      <c r="G96" s="6" t="n">
        <v>1.568438008271942e-06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1</v>
      </c>
      <c r="G97" s="6" t="n">
        <v>1.568438008271942e-06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647896.9431241732</v>
      </c>
      <c r="C102" s="6" t="n">
        <v>1</v>
      </c>
      <c r="F102" s="11" t="n">
        <v>637577</v>
      </c>
      <c r="G102" s="6" t="n">
        <v>1</v>
      </c>
    </row>
  </sheetData>
  <pageMargins bottom="0.75" footer="0.3" header="0.3" left="0.7" right="0.7" top="0.75"/>
  <pageSetup orientation="portrait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L102"/>
  <sheetViews>
    <sheetView workbookViewId="0">
      <selection activeCell="F36" sqref="F36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26340.5274966001</v>
      </c>
      <c r="C11" s="6" t="n">
        <v>0.04066354850544453</v>
      </c>
      <c r="E11" s="7" t="n">
        <v>0</v>
      </c>
      <c r="F11" s="13" t="n">
        <v>90169</v>
      </c>
      <c r="G11" s="6" t="n">
        <v>0.1319093345504763</v>
      </c>
      <c r="K11" s="4" t="n">
        <v>6.156876216054111</v>
      </c>
      <c r="L11" s="4" t="n">
        <v>6.141995015148493</v>
      </c>
    </row>
    <row r="12" spans="1:12">
      <c r="A12" t="n">
        <v>1</v>
      </c>
      <c r="B12" s="11" t="n">
        <v>35028.1139516294</v>
      </c>
      <c r="C12" s="6" t="n">
        <v>0.05407512856035896</v>
      </c>
      <c r="E12" s="7" t="n">
        <v>1</v>
      </c>
      <c r="F12" s="13" t="n">
        <v>82787</v>
      </c>
      <c r="G12" s="6" t="n">
        <v>0.121110116330782</v>
      </c>
      <c r="K12" s="4" t="n"/>
      <c r="L12" s="7" t="n"/>
    </row>
    <row r="13" spans="1:12">
      <c r="A13" t="n">
        <v>2</v>
      </c>
      <c r="B13" s="11" t="n">
        <v>46161.9692235365</v>
      </c>
      <c r="C13" s="6" t="n">
        <v>0.07126316945894125</v>
      </c>
      <c r="E13" s="7" t="n">
        <v>2</v>
      </c>
      <c r="F13" s="13" t="n">
        <v>55252</v>
      </c>
      <c r="G13" s="6" t="n">
        <v>0.08082882756360743</v>
      </c>
    </row>
    <row r="14" spans="1:12">
      <c r="A14" t="n">
        <v>3</v>
      </c>
      <c r="B14" s="11" t="n">
        <v>70369.666580458</v>
      </c>
      <c r="C14" s="6" t="n">
        <v>0.1086341323527313</v>
      </c>
      <c r="E14" s="7" t="n">
        <v>3</v>
      </c>
      <c r="F14" s="13" t="n">
        <v>37331</v>
      </c>
      <c r="G14" s="6" t="n">
        <v>0.05461197715516233</v>
      </c>
    </row>
    <row r="15" spans="1:12">
      <c r="A15" t="n">
        <v>4</v>
      </c>
      <c r="B15" s="11" t="n">
        <v>130988.6740456935</v>
      </c>
      <c r="C15" s="6" t="n">
        <v>0.2022155517351896</v>
      </c>
      <c r="E15" s="7" t="n">
        <v>4</v>
      </c>
      <c r="F15" s="13" t="n">
        <v>130913</v>
      </c>
      <c r="G15" s="6" t="n">
        <v>0.1915142312103551</v>
      </c>
    </row>
    <row r="16" spans="1:12">
      <c r="A16" t="n">
        <v>5</v>
      </c>
      <c r="B16" s="11" t="n">
        <v>56474.0407615518</v>
      </c>
      <c r="C16" s="6" t="n">
        <v>0.08718257051238724</v>
      </c>
      <c r="E16" s="7" t="n">
        <v>5</v>
      </c>
      <c r="F16" s="13" t="n">
        <v>58139</v>
      </c>
      <c r="G16" s="6" t="n">
        <v>0.08505225522552255</v>
      </c>
    </row>
    <row r="17" spans="1:12">
      <c r="A17" t="n">
        <v>6</v>
      </c>
      <c r="B17" s="11" t="n">
        <v>77804.79411229851</v>
      </c>
      <c r="C17" s="6" t="n">
        <v>0.1201122118662941</v>
      </c>
      <c r="E17" s="7" t="n">
        <v>6</v>
      </c>
      <c r="F17" s="13" t="n">
        <v>56474</v>
      </c>
      <c r="G17" s="6" t="n">
        <v>0.08261650633148421</v>
      </c>
    </row>
    <row r="18" spans="1:12">
      <c r="A18" t="n">
        <v>7</v>
      </c>
      <c r="B18" s="11" t="n">
        <v>46502.6708685096</v>
      </c>
      <c r="C18" s="6" t="n">
        <v>0.07178913226921665</v>
      </c>
      <c r="E18" s="7" t="n">
        <v>7</v>
      </c>
      <c r="F18" s="13" t="n">
        <v>21349</v>
      </c>
      <c r="G18" s="6" t="n">
        <v>0.0312317135968916</v>
      </c>
    </row>
    <row r="19" spans="1:12">
      <c r="A19" t="n">
        <v>8</v>
      </c>
      <c r="B19" s="11" t="n">
        <v>20028.263439688</v>
      </c>
      <c r="C19" s="6" t="n">
        <v>0.03091890479280248</v>
      </c>
      <c r="E19" s="7" t="n">
        <v>8</v>
      </c>
      <c r="F19" s="13" t="n">
        <v>34927</v>
      </c>
      <c r="G19" s="6" t="n">
        <v>0.05109513610935561</v>
      </c>
    </row>
    <row r="20" spans="1:12">
      <c r="A20" t="n">
        <v>9</v>
      </c>
      <c r="B20" s="11" t="n">
        <v>15091.1304989621</v>
      </c>
      <c r="C20" s="6" t="n">
        <v>0.02329713849222445</v>
      </c>
      <c r="E20" s="7" t="n">
        <v>9</v>
      </c>
      <c r="F20" s="13" t="n">
        <v>11526</v>
      </c>
      <c r="G20" s="6" t="n">
        <v>0.01686152657818973</v>
      </c>
    </row>
    <row r="21" spans="1:12">
      <c r="A21" t="n">
        <v>10</v>
      </c>
      <c r="B21" s="11" t="n">
        <v>45980.6960701886</v>
      </c>
      <c r="C21" s="6" t="n">
        <v>0.07098332655659813</v>
      </c>
      <c r="E21" s="7" t="n">
        <v>10</v>
      </c>
      <c r="F21" s="13" t="n">
        <v>6660</v>
      </c>
      <c r="G21" s="6" t="n">
        <v>0.00974299557615336</v>
      </c>
    </row>
    <row r="22" spans="1:12">
      <c r="A22" t="n">
        <v>11</v>
      </c>
      <c r="B22" s="11" t="n">
        <v>8011.779210961</v>
      </c>
      <c r="C22" s="6" t="n">
        <v>0.01236829340649597</v>
      </c>
      <c r="E22" s="7" t="n">
        <v>11</v>
      </c>
      <c r="F22" s="13" t="n">
        <v>8255</v>
      </c>
      <c r="G22" s="6" t="n">
        <v>0.01207634061278468</v>
      </c>
    </row>
    <row r="23" spans="1:12">
      <c r="A23" t="n">
        <v>12</v>
      </c>
      <c r="B23" s="11" t="n">
        <v>10736.6294754624</v>
      </c>
      <c r="C23" s="6" t="n">
        <v>0.01657481815870254</v>
      </c>
      <c r="E23" s="7" t="n">
        <v>12</v>
      </c>
      <c r="F23" s="13" t="n">
        <v>8388</v>
      </c>
      <c r="G23" s="6" t="n">
        <v>0.01227090794185802</v>
      </c>
    </row>
    <row r="24" spans="1:12">
      <c r="A24" t="n">
        <v>13</v>
      </c>
      <c r="B24" s="11" t="n">
        <v>5157.5807596416</v>
      </c>
      <c r="C24" s="6" t="n">
        <v>0.00796208562708184</v>
      </c>
      <c r="E24" s="7" t="n">
        <v>13</v>
      </c>
      <c r="F24" s="13" t="n">
        <v>12388</v>
      </c>
      <c r="G24" s="6" t="n">
        <v>0.01812255693654472</v>
      </c>
    </row>
    <row r="25" spans="1:12">
      <c r="A25" t="n">
        <v>14</v>
      </c>
      <c r="B25" s="11" t="n">
        <v>6116.8280415961</v>
      </c>
      <c r="C25" s="6" t="n">
        <v>0.009442936699009212</v>
      </c>
      <c r="E25" s="7" t="n">
        <v>14</v>
      </c>
      <c r="F25" s="13" t="n">
        <v>5575</v>
      </c>
      <c r="G25" s="6" t="n">
        <v>0.008155735786344593</v>
      </c>
    </row>
    <row r="26" spans="1:12">
      <c r="A26" t="n">
        <v>15</v>
      </c>
      <c r="B26" s="11" t="n">
        <v>3379.5703435159</v>
      </c>
      <c r="C26" s="6" t="n">
        <v>0.00521725780202613</v>
      </c>
      <c r="E26" s="7" t="n">
        <v>15</v>
      </c>
      <c r="F26" s="13" t="n">
        <v>10809</v>
      </c>
      <c r="G26" s="6" t="n">
        <v>0.01581261849589214</v>
      </c>
    </row>
    <row r="27" spans="1:12">
      <c r="A27" t="n">
        <v>16</v>
      </c>
      <c r="B27" s="11" t="n">
        <v>10081.6643777011</v>
      </c>
      <c r="C27" s="6" t="n">
        <v>0.0155637068578515</v>
      </c>
      <c r="E27" s="7" t="n">
        <v>16</v>
      </c>
      <c r="F27" s="13" t="n">
        <v>5611</v>
      </c>
      <c r="G27" s="6" t="n">
        <v>0.008208400627296773</v>
      </c>
    </row>
    <row r="28" spans="1:12">
      <c r="A28" t="n">
        <v>17</v>
      </c>
      <c r="B28" s="11" t="n">
        <v>9325.124494645001</v>
      </c>
      <c r="C28" s="6" t="n">
        <v>0.01439578809711575</v>
      </c>
      <c r="E28" s="7" t="n">
        <v>17</v>
      </c>
      <c r="F28" s="13" t="n">
        <v>5649</v>
      </c>
      <c r="G28" s="6" t="n">
        <v>0.008263991292746296</v>
      </c>
    </row>
    <row r="29" spans="1:12">
      <c r="A29" t="n">
        <v>18</v>
      </c>
      <c r="B29" s="11" t="n">
        <v>9083.0298493189</v>
      </c>
      <c r="C29" s="6" t="n">
        <v>0.01402205118716219</v>
      </c>
      <c r="E29" s="7" t="n">
        <v>18</v>
      </c>
      <c r="F29" s="13" t="n">
        <v>3949</v>
      </c>
      <c r="G29" s="6" t="n">
        <v>0.005777040470004447</v>
      </c>
    </row>
    <row r="30" spans="1:12">
      <c r="A30" t="n">
        <v>19</v>
      </c>
      <c r="B30" s="11" t="n">
        <v>2071.3150673522</v>
      </c>
      <c r="C30" s="6" t="n">
        <v>0.003197620879923756</v>
      </c>
      <c r="E30" s="7" t="n">
        <v>19</v>
      </c>
      <c r="F30" s="13" t="n">
        <v>3014</v>
      </c>
      <c r="G30" s="6" t="n">
        <v>0.00440921751749643</v>
      </c>
    </row>
    <row r="31" spans="1:12">
      <c r="A31" t="n">
        <v>20</v>
      </c>
      <c r="B31" s="11" t="n">
        <v>917.9875877264</v>
      </c>
      <c r="C31" s="6" t="n">
        <v>0.00141715585634064</v>
      </c>
      <c r="E31" s="7" t="n">
        <v>20</v>
      </c>
      <c r="F31" s="13" t="n">
        <v>2964</v>
      </c>
      <c r="G31" s="6" t="n">
        <v>0.004336071905062847</v>
      </c>
    </row>
    <row r="32" spans="1:12">
      <c r="A32" t="n">
        <v>21</v>
      </c>
      <c r="B32" s="11" t="n">
        <v>1820.649231762</v>
      </c>
      <c r="C32" s="6" t="n">
        <v>0.002810652078122215</v>
      </c>
      <c r="E32" s="7" t="n">
        <v>21</v>
      </c>
      <c r="F32" s="13" t="n">
        <v>4258</v>
      </c>
      <c r="G32" s="6" t="n">
        <v>0.006229080354843995</v>
      </c>
    </row>
    <row r="33" spans="1:12">
      <c r="A33" t="n">
        <v>22</v>
      </c>
      <c r="B33" s="11" t="n">
        <v>1492.4111701456</v>
      </c>
      <c r="C33" s="6" t="n">
        <v>0.002303930094608621</v>
      </c>
      <c r="E33" s="7" t="n">
        <v>22</v>
      </c>
      <c r="F33" s="13" t="n">
        <v>2320</v>
      </c>
      <c r="G33" s="6" t="n">
        <v>0.003393956416918288</v>
      </c>
    </row>
    <row r="34" spans="1:12">
      <c r="A34" t="n">
        <v>23</v>
      </c>
      <c r="B34" s="11" t="n">
        <v>754.106479142</v>
      </c>
      <c r="C34" s="6" t="n">
        <v>0.00116416216026117</v>
      </c>
      <c r="E34" s="7" t="n">
        <v>23</v>
      </c>
      <c r="F34" s="13" t="n">
        <v>2306</v>
      </c>
      <c r="G34" s="6" t="n">
        <v>0.003373475645436884</v>
      </c>
    </row>
    <row r="35" spans="1:12">
      <c r="A35" t="n">
        <v>24</v>
      </c>
      <c r="B35" s="11" t="n">
        <v>884.5370084260001</v>
      </c>
      <c r="C35" s="6" t="n">
        <v>0.001365516068409567</v>
      </c>
      <c r="E35" s="7" t="n">
        <v>24</v>
      </c>
      <c r="F35" s="13" t="n">
        <v>2495</v>
      </c>
      <c r="G35" s="6" t="n">
        <v>0.003649966060435831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2151</v>
      </c>
      <c r="G36" s="6" t="n">
        <v>0.003146724246892775</v>
      </c>
    </row>
    <row r="37" spans="1:12">
      <c r="A37" t="n">
        <v>26</v>
      </c>
      <c r="B37" s="11" t="n">
        <v>247.4515228492</v>
      </c>
      <c r="C37" s="6" t="n">
        <v>0.0003820066626768711</v>
      </c>
      <c r="E37" s="7" t="n">
        <v>26</v>
      </c>
      <c r="F37" s="13" t="n">
        <v>1626</v>
      </c>
      <c r="G37" s="6" t="n">
        <v>0.002378695316340145</v>
      </c>
    </row>
    <row r="38" spans="1:12">
      <c r="A38" t="n">
        <v>27</v>
      </c>
      <c r="B38" s="11" t="n">
        <v>1835.678311973</v>
      </c>
      <c r="C38" s="6" t="n">
        <v>0.002833853425636273</v>
      </c>
      <c r="E38" s="7" t="n">
        <v>27</v>
      </c>
      <c r="F38" s="13" t="n">
        <v>4061</v>
      </c>
      <c r="G38" s="6" t="n">
        <v>0.005940886641855675</v>
      </c>
    </row>
    <row r="39" spans="1:12">
      <c r="A39" t="n">
        <v>28</v>
      </c>
      <c r="B39" s="11" t="n">
        <v>1281.967247715</v>
      </c>
      <c r="C39" s="6" t="n">
        <v>0.001979054419718008</v>
      </c>
      <c r="E39" s="7" t="n">
        <v>28</v>
      </c>
      <c r="F39" s="13" t="n">
        <v>1355</v>
      </c>
      <c r="G39" s="6" t="n">
        <v>0.001982246096950121</v>
      </c>
    </row>
    <row r="40" spans="1:12">
      <c r="A40" t="n">
        <v>29</v>
      </c>
      <c r="B40" s="11" t="n">
        <v>543.221055857</v>
      </c>
      <c r="C40" s="6" t="n">
        <v>0.0008386049124062185</v>
      </c>
      <c r="E40" s="7" t="n">
        <v>29</v>
      </c>
      <c r="F40" s="13" t="n">
        <v>1741</v>
      </c>
      <c r="G40" s="6" t="n">
        <v>0.002546930224937387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1506</v>
      </c>
      <c r="G41" s="6" t="n">
        <v>0.002203145846499544</v>
      </c>
    </row>
    <row r="42" spans="1:12">
      <c r="A42" t="n">
        <v>31</v>
      </c>
      <c r="B42" s="11" t="n">
        <v>368.204446166</v>
      </c>
      <c r="C42" s="6" t="n">
        <v>0.0005684206346484161</v>
      </c>
      <c r="E42" s="7" t="n">
        <v>31</v>
      </c>
      <c r="F42" s="13" t="n">
        <v>916</v>
      </c>
      <c r="G42" s="6" t="n">
        <v>0.001340027619783255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766</v>
      </c>
      <c r="G43" s="6" t="n">
        <v>0.001120590782482504</v>
      </c>
    </row>
    <row r="44" spans="1:12">
      <c r="A44" t="n">
        <v>33</v>
      </c>
      <c r="B44" s="11" t="n">
        <v>780.268380704</v>
      </c>
      <c r="C44" s="6" t="n">
        <v>0.001204549952544311</v>
      </c>
      <c r="E44" s="7" t="n">
        <v>33</v>
      </c>
      <c r="F44" s="13" t="n">
        <v>723</v>
      </c>
      <c r="G44" s="6" t="n">
        <v>0.001057685555789622</v>
      </c>
    </row>
    <row r="45" spans="1:12">
      <c r="A45" t="n">
        <v>34</v>
      </c>
      <c r="B45" s="11" t="n">
        <v>1426.6504365116</v>
      </c>
      <c r="C45" s="6" t="n">
        <v>0.002202411065339942</v>
      </c>
      <c r="E45" s="7" t="n">
        <v>34</v>
      </c>
      <c r="F45" s="13" t="n">
        <v>721</v>
      </c>
      <c r="G45" s="6" t="n">
        <v>0.001054759731292278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509</v>
      </c>
      <c r="G46" s="6" t="n">
        <v>0.0007446223345738829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546</v>
      </c>
      <c r="G47" s="6" t="n">
        <v>0.0007987500877747349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569</v>
      </c>
      <c r="G48" s="6" t="n">
        <v>0.0008323970694941834</v>
      </c>
    </row>
    <row r="49" spans="1:12">
      <c r="A49" t="n">
        <v>38</v>
      </c>
      <c r="B49" s="11" t="n">
        <v>292.681617382</v>
      </c>
      <c r="C49" s="6" t="n">
        <v>0.0004518312378748336</v>
      </c>
      <c r="E49" s="7" t="n">
        <v>38</v>
      </c>
      <c r="F49" s="13" t="n">
        <v>510</v>
      </c>
      <c r="G49" s="6" t="n">
        <v>0.0007460852468225546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331</v>
      </c>
      <c r="G50" s="6" t="n">
        <v>0.0004842239543103247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269</v>
      </c>
      <c r="G51" s="6" t="n">
        <v>0.0003935233948926807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225</v>
      </c>
      <c r="G52" s="6" t="n">
        <v>0.000329155255951127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165</v>
      </c>
      <c r="G53" s="6" t="n">
        <v>0.0002413805210308265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121</v>
      </c>
      <c r="G54" s="6" t="n">
        <v>0.0001770123820892728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181</v>
      </c>
      <c r="G55" s="6" t="n">
        <v>0.0002647871170095733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225</v>
      </c>
      <c r="G56" s="6" t="n">
        <v>0.000329155255951127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116</v>
      </c>
      <c r="G57" s="6" t="n">
        <v>0.0001696978208459144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124</v>
      </c>
      <c r="G58" s="6" t="n">
        <v>0.0001814011188352878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71</v>
      </c>
      <c r="G59" s="6" t="n">
        <v>0.000103866769655689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42</v>
      </c>
      <c r="G60" s="6" t="n">
        <v>6.144231444421037e-05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70</v>
      </c>
      <c r="G61" s="6" t="n">
        <v>0.0001024038574070173</v>
      </c>
    </row>
    <row r="62" spans="1:12">
      <c r="A62" t="n">
        <v>51</v>
      </c>
      <c r="B62" s="11" t="n">
        <v>387.674382174</v>
      </c>
      <c r="C62" s="6" t="n">
        <v>0.0005984776138551309</v>
      </c>
      <c r="E62" s="7" t="n">
        <v>51</v>
      </c>
      <c r="F62" s="13" t="n">
        <v>80</v>
      </c>
      <c r="G62" s="6" t="n">
        <v>0.0001170329798937341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52</v>
      </c>
      <c r="G63" s="6" t="n">
        <v>7.607143693092713e-05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26</v>
      </c>
      <c r="G64" s="6" t="n">
        <v>3.803571846546357e-05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30</v>
      </c>
      <c r="G65" s="6" t="n">
        <v>4.388736746015027e-05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44</v>
      </c>
      <c r="G66" s="6" t="n">
        <v>6.436813894155373e-05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33</v>
      </c>
      <c r="G67" s="6" t="n">
        <v>4.82761042061653e-05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32</v>
      </c>
      <c r="G68" s="6" t="n">
        <v>4.681319195749362e-05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19</v>
      </c>
      <c r="G69" s="6" t="n">
        <v>2.779533272476184e-05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8</v>
      </c>
      <c r="G70" s="6" t="n">
        <v>1.170329798937341e-05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23</v>
      </c>
      <c r="G71" s="6" t="n">
        <v>3.364698171944854e-05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11</v>
      </c>
      <c r="G72" s="6" t="n">
        <v>1.609203473538843e-05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22</v>
      </c>
      <c r="G73" s="6" t="n">
        <v>3.218406947077686e-05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5</v>
      </c>
      <c r="G74" s="6" t="n">
        <v>7.314561243358378e-06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2.925824497343351e-06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2</v>
      </c>
      <c r="G76" s="6" t="n">
        <v>2.925824497343351e-06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2</v>
      </c>
      <c r="G77" s="6" t="n">
        <v>2.925824497343351e-06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2</v>
      </c>
      <c r="G79" s="6" t="n">
        <v>2.925824497343351e-06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5</v>
      </c>
      <c r="G80" s="6" t="n">
        <v>7.314561243358378e-06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4</v>
      </c>
      <c r="G81" s="6" t="n">
        <v>5.851648994686703e-06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4</v>
      </c>
      <c r="G82" s="6" t="n">
        <v>5.851648994686703e-06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6</v>
      </c>
      <c r="G83" s="6" t="n">
        <v>8.777473492030055e-06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4</v>
      </c>
      <c r="G84" s="6" t="n">
        <v>5.851648994686703e-06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1</v>
      </c>
      <c r="G89" s="6" t="n">
        <v>1.462912248671676e-06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2</v>
      </c>
      <c r="G91" s="6" t="n">
        <v>2.925824497343351e-06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1</v>
      </c>
      <c r="G93" s="6" t="n">
        <v>1.462912248671676e-06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647767.5575478442</v>
      </c>
      <c r="C102" s="6" t="n">
        <v>1</v>
      </c>
      <c r="F102" s="11" t="n">
        <v>683568</v>
      </c>
      <c r="G102" s="6" t="n">
        <v>1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21714.3581449434</v>
      </c>
      <c r="C11" s="6" t="n">
        <v>0.2150524176801443</v>
      </c>
      <c r="E11" s="7" t="n">
        <v>0</v>
      </c>
      <c r="F11" s="13" t="n">
        <v>28064</v>
      </c>
      <c r="G11" s="6" t="n">
        <v>0.1295546558704453</v>
      </c>
      <c r="K11" s="4" t="n">
        <v>4.895899174480038</v>
      </c>
      <c r="L11" s="4" t="n">
        <v>6.860515802427</v>
      </c>
    </row>
    <row r="12" spans="1:12">
      <c r="A12" t="n">
        <v>1</v>
      </c>
      <c r="B12" s="11" t="n">
        <v>17532.1341696373</v>
      </c>
      <c r="C12" s="6" t="n">
        <v>0.1736329397860265</v>
      </c>
      <c r="E12" s="7" t="n">
        <v>1</v>
      </c>
      <c r="F12" s="13" t="n">
        <v>27101</v>
      </c>
      <c r="G12" s="6" t="n">
        <v>0.1251090624552786</v>
      </c>
      <c r="K12" s="4" t="n"/>
      <c r="L12" s="7" t="n"/>
    </row>
    <row r="13" spans="1:12">
      <c r="A13" t="n">
        <v>2</v>
      </c>
      <c r="B13" s="11" t="n">
        <v>8419.413432157</v>
      </c>
      <c r="C13" s="6" t="n">
        <v>0.08338331724788656</v>
      </c>
      <c r="E13" s="7" t="n">
        <v>2</v>
      </c>
      <c r="F13" s="13" t="n">
        <v>18863</v>
      </c>
      <c r="G13" s="6" t="n">
        <v>0.08707915741463122</v>
      </c>
    </row>
    <row r="14" spans="1:12">
      <c r="A14" t="n">
        <v>3</v>
      </c>
      <c r="B14" s="11" t="n">
        <v>11809.3452406979</v>
      </c>
      <c r="C14" s="6" t="n">
        <v>0.1169561738035066</v>
      </c>
      <c r="E14" s="7" t="n">
        <v>3</v>
      </c>
      <c r="F14" s="13" t="n">
        <v>15523</v>
      </c>
      <c r="G14" s="6" t="n">
        <v>0.07166038066836243</v>
      </c>
    </row>
    <row r="15" spans="1:12">
      <c r="A15" t="n">
        <v>4</v>
      </c>
      <c r="B15" s="11" t="n">
        <v>13519.4039174619</v>
      </c>
      <c r="C15" s="6" t="n">
        <v>0.1338920763228562</v>
      </c>
      <c r="E15" s="7" t="n">
        <v>4</v>
      </c>
      <c r="F15" s="13" t="n">
        <v>31973</v>
      </c>
      <c r="G15" s="6" t="n">
        <v>0.147600164343848</v>
      </c>
    </row>
    <row r="16" spans="1:12">
      <c r="A16" t="n">
        <v>5</v>
      </c>
      <c r="B16" s="11" t="n">
        <v>1849.782695403</v>
      </c>
      <c r="C16" s="6" t="n">
        <v>0.0183196868253711</v>
      </c>
      <c r="E16" s="7" t="n">
        <v>5</v>
      </c>
      <c r="F16" s="13" t="n">
        <v>16979</v>
      </c>
      <c r="G16" s="6" t="n">
        <v>0.07838185939368199</v>
      </c>
    </row>
    <row r="17" spans="1:12">
      <c r="A17" t="n">
        <v>6</v>
      </c>
      <c r="B17" s="11" t="n">
        <v>996.909822548</v>
      </c>
      <c r="C17" s="6" t="n">
        <v>0.009873092546277051</v>
      </c>
      <c r="E17" s="7" t="n">
        <v>6</v>
      </c>
      <c r="F17" s="13" t="n">
        <v>16996</v>
      </c>
      <c r="G17" s="6" t="n">
        <v>0.07846033819748037</v>
      </c>
    </row>
    <row r="18" spans="1:12">
      <c r="A18" t="n">
        <v>7</v>
      </c>
      <c r="B18" s="11" t="n">
        <v>3374.273870721</v>
      </c>
      <c r="C18" s="6" t="n">
        <v>0.03341778508808792</v>
      </c>
      <c r="E18" s="7" t="n">
        <v>7</v>
      </c>
      <c r="F18" s="13" t="n">
        <v>7312</v>
      </c>
      <c r="G18" s="6" t="n">
        <v>0.03375511843374773</v>
      </c>
    </row>
    <row r="19" spans="1:12">
      <c r="A19" t="n">
        <v>8</v>
      </c>
      <c r="B19" s="11" t="n">
        <v>2074.465429439</v>
      </c>
      <c r="C19" s="6" t="n">
        <v>0.0205448764829654</v>
      </c>
      <c r="E19" s="7" t="n">
        <v>8</v>
      </c>
      <c r="F19" s="13" t="n">
        <v>6905</v>
      </c>
      <c r="G19" s="6" t="n">
        <v>0.03187624354281018</v>
      </c>
    </row>
    <row r="20" spans="1:12">
      <c r="A20" t="n">
        <v>9</v>
      </c>
      <c r="B20" s="11" t="n">
        <v>1207.46655552</v>
      </c>
      <c r="C20" s="6" t="n">
        <v>0.01195838257337397</v>
      </c>
      <c r="E20" s="7" t="n">
        <v>9</v>
      </c>
      <c r="F20" s="13" t="n">
        <v>3850</v>
      </c>
      <c r="G20" s="6" t="n">
        <v>0.01777314086022002</v>
      </c>
    </row>
    <row r="21" spans="1:12">
      <c r="A21" t="n">
        <v>10</v>
      </c>
      <c r="B21" s="11" t="n">
        <v>880.055534877</v>
      </c>
      <c r="C21" s="6" t="n">
        <v>0.008715803119981411</v>
      </c>
      <c r="E21" s="7" t="n">
        <v>10</v>
      </c>
      <c r="F21" s="13" t="n">
        <v>2834</v>
      </c>
      <c r="G21" s="6" t="n">
        <v>0.01308287823321131</v>
      </c>
    </row>
    <row r="22" spans="1:12">
      <c r="A22" t="n">
        <v>11</v>
      </c>
      <c r="B22" s="11" t="n">
        <v>1112.109726078</v>
      </c>
      <c r="C22" s="6" t="n">
        <v>0.01101399745377094</v>
      </c>
      <c r="E22" s="7" t="n">
        <v>11</v>
      </c>
      <c r="F22" s="13" t="n">
        <v>3187</v>
      </c>
      <c r="G22" s="6" t="n">
        <v>0.01471246751208343</v>
      </c>
    </row>
    <row r="23" spans="1:12">
      <c r="A23" t="n">
        <v>12</v>
      </c>
      <c r="B23" s="11" t="n">
        <v>942.231922169</v>
      </c>
      <c r="C23" s="6" t="n">
        <v>0.00933157920327657</v>
      </c>
      <c r="E23" s="7" t="n">
        <v>12</v>
      </c>
      <c r="F23" s="13" t="n">
        <v>3040</v>
      </c>
      <c r="G23" s="6" t="n">
        <v>0.01403385667923866</v>
      </c>
    </row>
    <row r="24" spans="1:12">
      <c r="A24" t="n">
        <v>13</v>
      </c>
      <c r="B24" s="11" t="n">
        <v>1141.297113071</v>
      </c>
      <c r="C24" s="6" t="n">
        <v>0.01130306048279132</v>
      </c>
      <c r="E24" s="7" t="n">
        <v>13</v>
      </c>
      <c r="F24" s="13" t="n">
        <v>3134</v>
      </c>
      <c r="G24" s="6" t="n">
        <v>0.01446779830024144</v>
      </c>
    </row>
    <row r="25" spans="1:12">
      <c r="A25" t="n">
        <v>14</v>
      </c>
      <c r="B25" s="11" t="n">
        <v>0</v>
      </c>
      <c r="C25" s="6" t="n">
        <v>0</v>
      </c>
      <c r="E25" s="7" t="n">
        <v>14</v>
      </c>
      <c r="F25" s="13" t="n">
        <v>2682</v>
      </c>
      <c r="G25" s="6" t="n">
        <v>0.01238118539924937</v>
      </c>
    </row>
    <row r="26" spans="1:12">
      <c r="A26" t="n">
        <v>15</v>
      </c>
      <c r="B26" s="11" t="n">
        <v>1208.4204133333</v>
      </c>
      <c r="C26" s="6" t="n">
        <v>0.01196782929187718</v>
      </c>
      <c r="E26" s="7" t="n">
        <v>15</v>
      </c>
      <c r="F26" s="13" t="n">
        <v>3080</v>
      </c>
      <c r="G26" s="6" t="n">
        <v>0.01421851268817601</v>
      </c>
    </row>
    <row r="27" spans="1:12">
      <c r="A27" t="n">
        <v>16</v>
      </c>
      <c r="B27" s="11" t="n">
        <v>7325.31987321</v>
      </c>
      <c r="C27" s="6" t="n">
        <v>0.07254774644955665</v>
      </c>
      <c r="E27" s="7" t="n">
        <v>16</v>
      </c>
      <c r="F27" s="13" t="n">
        <v>2564</v>
      </c>
      <c r="G27" s="6" t="n">
        <v>0.01183645017288419</v>
      </c>
    </row>
    <row r="28" spans="1:12">
      <c r="A28" t="n">
        <v>17</v>
      </c>
      <c r="B28" s="11" t="n">
        <v>0</v>
      </c>
      <c r="C28" s="6" t="n">
        <v>0</v>
      </c>
      <c r="E28" s="7" t="n">
        <v>17</v>
      </c>
      <c r="F28" s="13" t="n">
        <v>2472</v>
      </c>
      <c r="G28" s="6" t="n">
        <v>0.01141174135232828</v>
      </c>
    </row>
    <row r="29" spans="1:12">
      <c r="A29" t="n">
        <v>18</v>
      </c>
      <c r="B29" s="11" t="n">
        <v>3544.169887275</v>
      </c>
      <c r="C29" s="6" t="n">
        <v>0.03510038371109495</v>
      </c>
      <c r="E29" s="7" t="n">
        <v>18</v>
      </c>
      <c r="F29" s="13" t="n">
        <v>2220</v>
      </c>
      <c r="G29" s="6" t="n">
        <v>0.01024840849602297</v>
      </c>
    </row>
    <row r="30" spans="1:12">
      <c r="A30" t="n">
        <v>19</v>
      </c>
      <c r="B30" s="11" t="n">
        <v>775.795370025</v>
      </c>
      <c r="C30" s="6" t="n">
        <v>0.00768324206662261</v>
      </c>
      <c r="E30" s="7" t="n">
        <v>19</v>
      </c>
      <c r="F30" s="13" t="n">
        <v>1772</v>
      </c>
      <c r="G30" s="6" t="n">
        <v>0.008180261195924642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1663</v>
      </c>
      <c r="G31" s="6" t="n">
        <v>0.007677073571570361</v>
      </c>
    </row>
    <row r="32" spans="1:12">
      <c r="A32" t="n">
        <v>21</v>
      </c>
      <c r="B32" s="11" t="n">
        <v>280.724871177</v>
      </c>
      <c r="C32" s="6" t="n">
        <v>0.002780213987748901</v>
      </c>
      <c r="E32" s="7" t="n">
        <v>21</v>
      </c>
      <c r="F32" s="13" t="n">
        <v>1560</v>
      </c>
      <c r="G32" s="6" t="n">
        <v>0.007201584348556682</v>
      </c>
    </row>
    <row r="33" spans="1:12">
      <c r="A33" t="n">
        <v>22</v>
      </c>
      <c r="B33" s="11" t="n">
        <v>145.892226826</v>
      </c>
      <c r="C33" s="6" t="n">
        <v>0.001444872369252022</v>
      </c>
      <c r="E33" s="7" t="n">
        <v>22</v>
      </c>
      <c r="F33" s="13" t="n">
        <v>1456</v>
      </c>
      <c r="G33" s="6" t="n">
        <v>0.00672147872531957</v>
      </c>
    </row>
    <row r="34" spans="1:12">
      <c r="A34" t="n">
        <v>23</v>
      </c>
      <c r="B34" s="11" t="n">
        <v>0</v>
      </c>
      <c r="C34" s="6" t="n">
        <v>0</v>
      </c>
      <c r="E34" s="7" t="n">
        <v>23</v>
      </c>
      <c r="F34" s="13" t="n">
        <v>1337</v>
      </c>
      <c r="G34" s="6" t="n">
        <v>0.006172127098730952</v>
      </c>
    </row>
    <row r="35" spans="1:12">
      <c r="A35" t="n">
        <v>24</v>
      </c>
      <c r="B35" s="11" t="n">
        <v>0</v>
      </c>
      <c r="C35" s="6" t="n">
        <v>0</v>
      </c>
      <c r="E35" s="7" t="n">
        <v>24</v>
      </c>
      <c r="F35" s="13" t="n">
        <v>1463</v>
      </c>
      <c r="G35" s="6" t="n">
        <v>0.006753793526883606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1023</v>
      </c>
      <c r="G36" s="6" t="n">
        <v>0.004722577428572748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899</v>
      </c>
      <c r="G37" s="6" t="n">
        <v>0.00415014380086696</v>
      </c>
    </row>
    <row r="38" spans="1:12">
      <c r="A38" t="n">
        <v>27</v>
      </c>
      <c r="B38" s="11" t="n">
        <v>0</v>
      </c>
      <c r="C38" s="6" t="n">
        <v>0</v>
      </c>
      <c r="E38" s="7" t="n">
        <v>27</v>
      </c>
      <c r="F38" s="13" t="n">
        <v>784</v>
      </c>
      <c r="G38" s="6" t="n">
        <v>0.003619257775172076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716</v>
      </c>
      <c r="G39" s="6" t="n">
        <v>0.00330534255997858</v>
      </c>
    </row>
    <row r="40" spans="1:12">
      <c r="A40" t="n">
        <v>29</v>
      </c>
      <c r="B40" s="11" t="n">
        <v>543.221055857</v>
      </c>
      <c r="C40" s="6" t="n">
        <v>0.005379896592707373</v>
      </c>
      <c r="E40" s="7" t="n">
        <v>29</v>
      </c>
      <c r="F40" s="13" t="n">
        <v>818</v>
      </c>
      <c r="G40" s="6" t="n">
        <v>0.003776215382768824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629</v>
      </c>
      <c r="G41" s="6" t="n">
        <v>0.002903715740539842</v>
      </c>
    </row>
    <row r="42" spans="1:12">
      <c r="A42" t="n">
        <v>31</v>
      </c>
      <c r="B42" s="11" t="n">
        <v>368.204446166</v>
      </c>
      <c r="C42" s="6" t="n">
        <v>0.003646585168211209</v>
      </c>
      <c r="E42" s="7" t="n">
        <v>31</v>
      </c>
      <c r="F42" s="13" t="n">
        <v>502</v>
      </c>
      <c r="G42" s="6" t="n">
        <v>0.002317432912163753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412</v>
      </c>
      <c r="G43" s="6" t="n">
        <v>0.001901956892054714</v>
      </c>
    </row>
    <row r="44" spans="1:12">
      <c r="A44" t="n">
        <v>33</v>
      </c>
      <c r="B44" s="11" t="n">
        <v>207.401519182</v>
      </c>
      <c r="C44" s="6" t="n">
        <v>0.002054041746613192</v>
      </c>
      <c r="E44" s="7" t="n">
        <v>33</v>
      </c>
      <c r="F44" s="13" t="n">
        <v>386</v>
      </c>
      <c r="G44" s="6" t="n">
        <v>0.001781930486245436</v>
      </c>
    </row>
    <row r="45" spans="1:12">
      <c r="A45" t="n">
        <v>34</v>
      </c>
      <c r="B45" s="11" t="n">
        <v>0</v>
      </c>
      <c r="C45" s="6" t="n">
        <v>0</v>
      </c>
      <c r="E45" s="7" t="n">
        <v>34</v>
      </c>
      <c r="F45" s="13" t="n">
        <v>327</v>
      </c>
      <c r="G45" s="6" t="n">
        <v>0.001509562873062843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244</v>
      </c>
      <c r="G46" s="6" t="n">
        <v>0.00112640165451784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287</v>
      </c>
      <c r="G47" s="6" t="n">
        <v>0.001324906864125492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251</v>
      </c>
      <c r="G48" s="6" t="n">
        <v>0.001158716456081876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236</v>
      </c>
      <c r="G49" s="6" t="n">
        <v>0.00108947045273037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149</v>
      </c>
      <c r="G50" s="6" t="n">
        <v>0.0006878436332916319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158</v>
      </c>
      <c r="G51" s="6" t="n">
        <v>0.0007293912353025358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113</v>
      </c>
      <c r="G52" s="6" t="n">
        <v>0.0005216532252480161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75</v>
      </c>
      <c r="G53" s="6" t="n">
        <v>0.0003462300167575328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51</v>
      </c>
      <c r="G54" s="6" t="n">
        <v>0.0002354364113951223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67</v>
      </c>
      <c r="G55" s="6" t="n">
        <v>0.0003092988149700626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99</v>
      </c>
      <c r="G56" s="6" t="n">
        <v>0.0004570236221199433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57</v>
      </c>
      <c r="G57" s="6" t="n">
        <v>0.000263134812735725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59</v>
      </c>
      <c r="G58" s="6" t="n">
        <v>0.0002723676131825925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33</v>
      </c>
      <c r="G59" s="6" t="n">
        <v>0.0001523412073733144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17</v>
      </c>
      <c r="G60" s="6" t="n">
        <v>7.847880379837411e-05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33</v>
      </c>
      <c r="G61" s="6" t="n">
        <v>0.0001523412073733144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40</v>
      </c>
      <c r="G62" s="6" t="n">
        <v>0.0001846560089373508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19</v>
      </c>
      <c r="G63" s="6" t="n">
        <v>8.771160424524164e-05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11</v>
      </c>
      <c r="G64" s="6" t="n">
        <v>5.078040245777148e-05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14</v>
      </c>
      <c r="G65" s="6" t="n">
        <v>6.462960312807279e-05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14</v>
      </c>
      <c r="G66" s="6" t="n">
        <v>6.462960312807279e-05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7</v>
      </c>
      <c r="G67" s="6" t="n">
        <v>3.231480156403639e-05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12</v>
      </c>
      <c r="G68" s="6" t="n">
        <v>5.539680268120525e-05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8</v>
      </c>
      <c r="G69" s="6" t="n">
        <v>3.693120178747017e-05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1</v>
      </c>
      <c r="G70" s="6" t="n">
        <v>4.616400223433771e-06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8</v>
      </c>
      <c r="G71" s="6" t="n">
        <v>3.693120178747017e-05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8</v>
      </c>
      <c r="G72" s="6" t="n">
        <v>3.693120178747017e-05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4</v>
      </c>
      <c r="G73" s="6" t="n">
        <v>1.846560089373508e-05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4</v>
      </c>
      <c r="G74" s="6" t="n">
        <v>1.846560089373508e-05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1</v>
      </c>
      <c r="G75" s="6" t="n">
        <v>4.616400223433771e-06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1</v>
      </c>
      <c r="G77" s="6" t="n">
        <v>4.616400223433771e-06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1</v>
      </c>
      <c r="G79" s="6" t="n">
        <v>4.616400223433771e-06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2</v>
      </c>
      <c r="G81" s="6" t="n">
        <v>9.232800446867541e-06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3</v>
      </c>
      <c r="G82" s="6" t="n">
        <v>1.384920067030131e-05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2</v>
      </c>
      <c r="G83" s="6" t="n">
        <v>9.232800446867541e-06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2</v>
      </c>
      <c r="G84" s="6" t="n">
        <v>9.232800446867541e-06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1</v>
      </c>
      <c r="G91" s="6" t="n">
        <v>4.616400223433771e-06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1</v>
      </c>
      <c r="G93" s="6" t="n">
        <v>4.616400223433771e-06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100972.3972377748</v>
      </c>
      <c r="C102" s="6" t="n">
        <v>1</v>
      </c>
      <c r="F102" s="11" t="n">
        <v>216619</v>
      </c>
      <c r="G102" s="6" t="n">
        <v>1</v>
      </c>
    </row>
  </sheetData>
  <pageMargins bottom="0.75" footer="0.3" header="0.3" left="0.7" right="0.7" top="0.75"/>
  <pageSetup orientation="portrait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L102"/>
  <sheetViews>
    <sheetView workbookViewId="0">
      <selection activeCell="J30" sqref="J30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6" min="6" style="10" width="10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4626.1693516567</v>
      </c>
      <c r="C11" s="6" t="n">
        <v>0.008460516272736128</v>
      </c>
      <c r="E11" s="7" t="n">
        <v>0</v>
      </c>
      <c r="F11" s="13" t="n">
        <v>62105</v>
      </c>
      <c r="G11" s="6" t="n">
        <v>0.133001676842653</v>
      </c>
      <c r="K11" s="4" t="n">
        <v>6.389731010667382</v>
      </c>
      <c r="L11" s="4" t="n">
        <v>5.80867113091385</v>
      </c>
    </row>
    <row r="12" spans="1:12">
      <c r="A12" t="n">
        <v>1</v>
      </c>
      <c r="B12" s="11" t="n">
        <v>17495.9797819921</v>
      </c>
      <c r="C12" s="6" t="n">
        <v>0.03199732011539882</v>
      </c>
      <c r="E12" s="7" t="n">
        <v>1</v>
      </c>
      <c r="F12" s="13" t="n">
        <v>55686</v>
      </c>
      <c r="G12" s="6" t="n">
        <v>0.1192549935860233</v>
      </c>
      <c r="K12" s="4" t="n"/>
      <c r="L12" s="7" t="n"/>
    </row>
    <row r="13" spans="1:12">
      <c r="A13" t="n">
        <v>2</v>
      </c>
      <c r="B13" s="11" t="n">
        <v>37742.5557913795</v>
      </c>
      <c r="C13" s="6" t="n">
        <v>0.06902503630422946</v>
      </c>
      <c r="E13" s="7" t="n">
        <v>2</v>
      </c>
      <c r="F13" s="13" t="n">
        <v>36389</v>
      </c>
      <c r="G13" s="6" t="n">
        <v>0.07792928135620807</v>
      </c>
    </row>
    <row r="14" spans="1:12">
      <c r="A14" t="n">
        <v>3</v>
      </c>
      <c r="B14" s="11" t="n">
        <v>58560.3213397601</v>
      </c>
      <c r="C14" s="6" t="n">
        <v>0.1070973658701597</v>
      </c>
      <c r="E14" s="7" t="n">
        <v>3</v>
      </c>
      <c r="F14" s="13" t="n">
        <v>21808</v>
      </c>
      <c r="G14" s="6" t="n">
        <v>0.04670317315167181</v>
      </c>
    </row>
    <row r="15" spans="1:12">
      <c r="A15" t="n">
        <v>4</v>
      </c>
      <c r="B15" s="11" t="n">
        <v>117469.2701282316</v>
      </c>
      <c r="C15" s="6" t="n">
        <v>0.2148323150146733</v>
      </c>
      <c r="E15" s="7" t="n">
        <v>4</v>
      </c>
      <c r="F15" s="13" t="n">
        <v>98940</v>
      </c>
      <c r="G15" s="6" t="n">
        <v>0.2118860946270364</v>
      </c>
    </row>
    <row r="16" spans="1:12">
      <c r="A16" t="n">
        <v>5</v>
      </c>
      <c r="B16" s="11" t="n">
        <v>54624.2580661488</v>
      </c>
      <c r="C16" s="6" t="n">
        <v>0.09989894211055785</v>
      </c>
      <c r="E16" s="7" t="n">
        <v>5</v>
      </c>
      <c r="F16" s="13" t="n">
        <v>41160</v>
      </c>
      <c r="G16" s="6" t="n">
        <v>0.08814667126388535</v>
      </c>
    </row>
    <row r="17" spans="1:12">
      <c r="A17" t="n">
        <v>6</v>
      </c>
      <c r="B17" s="11" t="n">
        <v>76807.88428975049</v>
      </c>
      <c r="C17" s="6" t="n">
        <v>0.1404692101630807</v>
      </c>
      <c r="E17" s="7" t="n">
        <v>6</v>
      </c>
      <c r="F17" s="13" t="n">
        <v>39478</v>
      </c>
      <c r="G17" s="6" t="n">
        <v>0.08454456482399576</v>
      </c>
    </row>
    <row r="18" spans="1:12">
      <c r="A18" t="n">
        <v>7</v>
      </c>
      <c r="B18" s="11" t="n">
        <v>43128.3969977886</v>
      </c>
      <c r="C18" s="6" t="n">
        <v>0.07887486965563473</v>
      </c>
      <c r="E18" s="7" t="n">
        <v>7</v>
      </c>
      <c r="F18" s="13" t="n">
        <v>14037</v>
      </c>
      <c r="G18" s="6" t="n">
        <v>0.03006109874954224</v>
      </c>
    </row>
    <row r="19" spans="1:12">
      <c r="A19" t="n">
        <v>8</v>
      </c>
      <c r="B19" s="11" t="n">
        <v>17953.798010249</v>
      </c>
      <c r="C19" s="6" t="n">
        <v>0.03283459568308542</v>
      </c>
      <c r="E19" s="7" t="n">
        <v>8</v>
      </c>
      <c r="F19" s="13" t="n">
        <v>28022</v>
      </c>
      <c r="G19" s="6" t="n">
        <v>0.06001083630118064</v>
      </c>
    </row>
    <row r="20" spans="1:12">
      <c r="A20" t="n">
        <v>9</v>
      </c>
      <c r="B20" s="11" t="n">
        <v>13883.6639434421</v>
      </c>
      <c r="C20" s="6" t="n">
        <v>0.02539097810516307</v>
      </c>
      <c r="E20" s="7" t="n">
        <v>9</v>
      </c>
      <c r="F20" s="13" t="n">
        <v>7676</v>
      </c>
      <c r="G20" s="6" t="n">
        <v>0.01643862605980525</v>
      </c>
    </row>
    <row r="21" spans="1:12">
      <c r="A21" t="n">
        <v>10</v>
      </c>
      <c r="B21" s="11" t="n">
        <v>45100.6405353116</v>
      </c>
      <c r="C21" s="6" t="n">
        <v>0.08248178442131152</v>
      </c>
      <c r="E21" s="7" t="n">
        <v>10</v>
      </c>
      <c r="F21" s="13" t="n">
        <v>3826</v>
      </c>
      <c r="G21" s="6" t="n">
        <v>0.008193614291924814</v>
      </c>
    </row>
    <row r="22" spans="1:12">
      <c r="A22" t="n">
        <v>11</v>
      </c>
      <c r="B22" s="11" t="n">
        <v>6899.669484883</v>
      </c>
      <c r="C22" s="6" t="n">
        <v>0.01261838067654152</v>
      </c>
      <c r="E22" s="7" t="n">
        <v>11</v>
      </c>
      <c r="F22" s="13" t="n">
        <v>5068</v>
      </c>
      <c r="G22" s="6" t="n">
        <v>0.01085343367262806</v>
      </c>
    </row>
    <row r="23" spans="1:12">
      <c r="A23" t="n">
        <v>12</v>
      </c>
      <c r="B23" s="11" t="n">
        <v>9794.3975532934</v>
      </c>
      <c r="C23" s="6" t="n">
        <v>0.01791237059914599</v>
      </c>
      <c r="E23" s="7" t="n">
        <v>12</v>
      </c>
      <c r="F23" s="13" t="n">
        <v>5348</v>
      </c>
      <c r="G23" s="6" t="n">
        <v>0.01145307089211027</v>
      </c>
    </row>
    <row r="24" spans="1:12">
      <c r="A24" t="n">
        <v>13</v>
      </c>
      <c r="B24" s="11" t="n">
        <v>4016.2836465706</v>
      </c>
      <c r="C24" s="6" t="n">
        <v>0.00734513386017005</v>
      </c>
      <c r="E24" s="7" t="n">
        <v>13</v>
      </c>
      <c r="F24" s="13" t="n">
        <v>9254</v>
      </c>
      <c r="G24" s="6" t="n">
        <v>0.01981801010388715</v>
      </c>
    </row>
    <row r="25" spans="1:12">
      <c r="A25" t="n">
        <v>14</v>
      </c>
      <c r="B25" s="11" t="n">
        <v>6116.8280415961</v>
      </c>
      <c r="C25" s="6" t="n">
        <v>0.0111866901640597</v>
      </c>
      <c r="E25" s="7" t="n">
        <v>14</v>
      </c>
      <c r="F25" s="13" t="n">
        <v>2893</v>
      </c>
      <c r="G25" s="6" t="n">
        <v>0.006195537414150154</v>
      </c>
    </row>
    <row r="26" spans="1:12">
      <c r="A26" t="n">
        <v>15</v>
      </c>
      <c r="B26" s="11" t="n">
        <v>2171.1499301826</v>
      </c>
      <c r="C26" s="6" t="n">
        <v>0.003970682419631172</v>
      </c>
      <c r="E26" s="7" t="n">
        <v>15</v>
      </c>
      <c r="F26" s="13" t="n">
        <v>7729</v>
      </c>
      <c r="G26" s="6" t="n">
        <v>0.01655212881920724</v>
      </c>
    </row>
    <row r="27" spans="1:12">
      <c r="A27" t="n">
        <v>16</v>
      </c>
      <c r="B27" s="11" t="n">
        <v>2756.3445044911</v>
      </c>
      <c r="C27" s="6" t="n">
        <v>0.005040908743464498</v>
      </c>
      <c r="E27" s="7" t="n">
        <v>16</v>
      </c>
      <c r="F27" s="13" t="n">
        <v>3047</v>
      </c>
      <c r="G27" s="6" t="n">
        <v>0.006525337884865371</v>
      </c>
    </row>
    <row r="28" spans="1:12">
      <c r="A28" t="n">
        <v>17</v>
      </c>
      <c r="B28" s="11" t="n">
        <v>9325.124494645001</v>
      </c>
      <c r="C28" s="6" t="n">
        <v>0.01705414599748292</v>
      </c>
      <c r="E28" s="7" t="n">
        <v>17</v>
      </c>
      <c r="F28" s="13" t="n">
        <v>3177</v>
      </c>
      <c r="G28" s="6" t="n">
        <v>0.00680374087962497</v>
      </c>
    </row>
    <row r="29" spans="1:12">
      <c r="A29" t="n">
        <v>18</v>
      </c>
      <c r="B29" s="11" t="n">
        <v>5538.8599620439</v>
      </c>
      <c r="C29" s="6" t="n">
        <v>0.01012967993151768</v>
      </c>
      <c r="E29" s="7" t="n">
        <v>18</v>
      </c>
      <c r="F29" s="13" t="n">
        <v>1729</v>
      </c>
      <c r="G29" s="6" t="n">
        <v>0.003702759830302667</v>
      </c>
    </row>
    <row r="30" spans="1:12">
      <c r="A30" t="n">
        <v>19</v>
      </c>
      <c r="B30" s="11" t="n">
        <v>1295.5196973272</v>
      </c>
      <c r="C30" s="6" t="n">
        <v>0.002369296203339756</v>
      </c>
      <c r="E30" s="7" t="n">
        <v>19</v>
      </c>
      <c r="F30" s="13" t="n">
        <v>1242</v>
      </c>
      <c r="G30" s="6" t="n">
        <v>0.002659819380703246</v>
      </c>
    </row>
    <row r="31" spans="1:12">
      <c r="A31" t="n">
        <v>20</v>
      </c>
      <c r="B31" s="11" t="n">
        <v>917.9875877264</v>
      </c>
      <c r="C31" s="6" t="n">
        <v>0.001678850974477974</v>
      </c>
      <c r="E31" s="7" t="n">
        <v>20</v>
      </c>
      <c r="F31" s="13" t="n">
        <v>1301</v>
      </c>
      <c r="G31" s="6" t="n">
        <v>0.002786171509094141</v>
      </c>
    </row>
    <row r="32" spans="1:12">
      <c r="A32" t="n">
        <v>21</v>
      </c>
      <c r="B32" s="11" t="n">
        <v>1539.924360585</v>
      </c>
      <c r="C32" s="6" t="n">
        <v>0.002816272842853548</v>
      </c>
      <c r="E32" s="7" t="n">
        <v>21</v>
      </c>
      <c r="F32" s="13" t="n">
        <v>2698</v>
      </c>
      <c r="G32" s="6" t="n">
        <v>0.005777932922010755</v>
      </c>
    </row>
    <row r="33" spans="1:12">
      <c r="A33" t="n">
        <v>22</v>
      </c>
      <c r="B33" s="11" t="n">
        <v>1346.5189433196</v>
      </c>
      <c r="C33" s="6" t="n">
        <v>0.002462565584077288</v>
      </c>
      <c r="E33" s="7" t="n">
        <v>22</v>
      </c>
      <c r="F33" s="13" t="n">
        <v>864</v>
      </c>
      <c r="G33" s="6" t="n">
        <v>0.001850309134402258</v>
      </c>
    </row>
    <row r="34" spans="1:12">
      <c r="A34" t="n">
        <v>23</v>
      </c>
      <c r="B34" s="11" t="n">
        <v>754.106479142</v>
      </c>
      <c r="C34" s="6" t="n">
        <v>0.001379138905901017</v>
      </c>
      <c r="E34" s="7" t="n">
        <v>23</v>
      </c>
      <c r="F34" s="13" t="n">
        <v>969</v>
      </c>
      <c r="G34" s="6" t="n">
        <v>0.002075173091708088</v>
      </c>
    </row>
    <row r="35" spans="1:12">
      <c r="A35" t="n">
        <v>24</v>
      </c>
      <c r="B35" s="11" t="n">
        <v>884.5370084260001</v>
      </c>
      <c r="C35" s="6" t="n">
        <v>0.001617675269701379</v>
      </c>
      <c r="E35" s="7" t="n">
        <v>24</v>
      </c>
      <c r="F35" s="13" t="n">
        <v>1032</v>
      </c>
      <c r="G35" s="6" t="n">
        <v>0.002210091466091586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1128</v>
      </c>
      <c r="G36" s="6" t="n">
        <v>0.002415681369914059</v>
      </c>
    </row>
    <row r="37" spans="1:12">
      <c r="A37" t="n">
        <v>26</v>
      </c>
      <c r="B37" s="11" t="n">
        <v>247.4515228492</v>
      </c>
      <c r="C37" s="6" t="n">
        <v>0.0004525488534113552</v>
      </c>
      <c r="E37" s="7" t="n">
        <v>26</v>
      </c>
      <c r="F37" s="13" t="n">
        <v>727</v>
      </c>
      <c r="G37" s="6" t="n">
        <v>0.001556915209155604</v>
      </c>
    </row>
    <row r="38" spans="1:12">
      <c r="A38" t="n">
        <v>27</v>
      </c>
      <c r="B38" s="11" t="n">
        <v>1835.678311973</v>
      </c>
      <c r="C38" s="6" t="n">
        <v>0.003357159033616992</v>
      </c>
      <c r="E38" s="7" t="n">
        <v>27</v>
      </c>
      <c r="F38" s="13" t="n">
        <v>3277</v>
      </c>
      <c r="G38" s="6" t="n">
        <v>0.007017897029440046</v>
      </c>
    </row>
    <row r="39" spans="1:12">
      <c r="A39" t="n">
        <v>28</v>
      </c>
      <c r="B39" s="11" t="n">
        <v>1281.967247715</v>
      </c>
      <c r="C39" s="6" t="n">
        <v>0.002344510962730612</v>
      </c>
      <c r="E39" s="7" t="n">
        <v>28</v>
      </c>
      <c r="F39" s="13" t="n">
        <v>639</v>
      </c>
      <c r="G39" s="6" t="n">
        <v>0.001368457797318337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923</v>
      </c>
      <c r="G40" s="6" t="n">
        <v>0.001976661262793153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877</v>
      </c>
      <c r="G41" s="6" t="n">
        <v>0.001878149433878218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414</v>
      </c>
      <c r="G42" s="6" t="n">
        <v>0.0008866064602344153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354</v>
      </c>
      <c r="G43" s="6" t="n">
        <v>0.0007581127703453697</v>
      </c>
    </row>
    <row r="44" spans="1:12">
      <c r="A44" t="n">
        <v>33</v>
      </c>
      <c r="B44" s="11" t="n">
        <v>572.866861522</v>
      </c>
      <c r="C44" s="6" t="n">
        <v>0.001047680928992031</v>
      </c>
      <c r="E44" s="7" t="n">
        <v>33</v>
      </c>
      <c r="F44" s="13" t="n">
        <v>337</v>
      </c>
      <c r="G44" s="6" t="n">
        <v>0.0007217062248768066</v>
      </c>
    </row>
    <row r="45" spans="1:12">
      <c r="A45" t="n">
        <v>34</v>
      </c>
      <c r="B45" s="11" t="n">
        <v>1426.6504365116</v>
      </c>
      <c r="C45" s="6" t="n">
        <v>0.002609113137911818</v>
      </c>
      <c r="E45" s="7" t="n">
        <v>34</v>
      </c>
      <c r="F45" s="13" t="n">
        <v>394</v>
      </c>
      <c r="G45" s="6" t="n">
        <v>0.0008437752302714001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265</v>
      </c>
      <c r="G46" s="6" t="n">
        <v>0.0005675137970099518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259</v>
      </c>
      <c r="G47" s="6" t="n">
        <v>0.0005546644280210473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318</v>
      </c>
      <c r="G48" s="6" t="n">
        <v>0.0006810165564119422</v>
      </c>
    </row>
    <row r="49" spans="1:12">
      <c r="A49" t="n">
        <v>38</v>
      </c>
      <c r="B49" s="11" t="n">
        <v>292.681617382</v>
      </c>
      <c r="C49" s="6" t="n">
        <v>0.0005352673882775957</v>
      </c>
      <c r="E49" s="7" t="n">
        <v>38</v>
      </c>
      <c r="F49" s="13" t="n">
        <v>274</v>
      </c>
      <c r="G49" s="6" t="n">
        <v>0.0005867878504933087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182</v>
      </c>
      <c r="G50" s="6" t="n">
        <v>0.0003897641926634386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111</v>
      </c>
      <c r="G51" s="6" t="n">
        <v>0.0002377133262947346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112</v>
      </c>
      <c r="G52" s="6" t="n">
        <v>0.0002398548877928853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90</v>
      </c>
      <c r="G53" s="6" t="n">
        <v>0.0001927405348335685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70</v>
      </c>
      <c r="G54" s="6" t="n">
        <v>0.0001499093048705533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114</v>
      </c>
      <c r="G55" s="6" t="n">
        <v>0.0002441380107891868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126</v>
      </c>
      <c r="G56" s="6" t="n">
        <v>0.000269836748766996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59</v>
      </c>
      <c r="G57" s="6" t="n">
        <v>0.0001263521283908949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65</v>
      </c>
      <c r="G58" s="6" t="n">
        <v>0.0001392014973797995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38</v>
      </c>
      <c r="G59" s="6" t="n">
        <v>8.137933692972894e-05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25</v>
      </c>
      <c r="G60" s="6" t="n">
        <v>5.353903745376904e-05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37</v>
      </c>
      <c r="G61" s="6" t="n">
        <v>7.923777543157817e-05</v>
      </c>
    </row>
    <row r="62" spans="1:12">
      <c r="A62" t="n">
        <v>51</v>
      </c>
      <c r="B62" s="11" t="n">
        <v>387.674382174</v>
      </c>
      <c r="C62" s="6" t="n">
        <v>0.0007089938066645704</v>
      </c>
      <c r="E62" s="7" t="n">
        <v>51</v>
      </c>
      <c r="F62" s="13" t="n">
        <v>40</v>
      </c>
      <c r="G62" s="6" t="n">
        <v>8.566245992603047e-05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33</v>
      </c>
      <c r="G63" s="6" t="n">
        <v>7.067152943897514e-05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15</v>
      </c>
      <c r="G64" s="6" t="n">
        <v>3.212342247226142e-05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16</v>
      </c>
      <c r="G65" s="6" t="n">
        <v>3.426498397041218e-05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30</v>
      </c>
      <c r="G66" s="6" t="n">
        <v>6.424684494452284e-05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26</v>
      </c>
      <c r="G67" s="6" t="n">
        <v>5.56805989519198e-05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20</v>
      </c>
      <c r="G68" s="6" t="n">
        <v>4.283122996301523e-05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11</v>
      </c>
      <c r="G69" s="6" t="n">
        <v>2.355717647965838e-05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7</v>
      </c>
      <c r="G70" s="6" t="n">
        <v>1.499093048705533e-05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15</v>
      </c>
      <c r="G71" s="6" t="n">
        <v>3.212342247226142e-05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3</v>
      </c>
      <c r="G72" s="6" t="n">
        <v>6.424684494452285e-06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18</v>
      </c>
      <c r="G73" s="6" t="n">
        <v>3.854810696671371e-05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1</v>
      </c>
      <c r="G74" s="6" t="n">
        <v>2.141561498150762e-06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1</v>
      </c>
      <c r="G75" s="6" t="n">
        <v>2.141561498150762e-06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2</v>
      </c>
      <c r="G76" s="6" t="n">
        <v>4.283122996301523e-06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1</v>
      </c>
      <c r="G77" s="6" t="n">
        <v>2.141561498150762e-06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1</v>
      </c>
      <c r="G79" s="6" t="n">
        <v>2.141561498150762e-06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5</v>
      </c>
      <c r="G80" s="6" t="n">
        <v>1.070780749075381e-05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2</v>
      </c>
      <c r="G81" s="6" t="n">
        <v>4.283122996301523e-06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1</v>
      </c>
      <c r="G82" s="6" t="n">
        <v>2.141561498150762e-06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4</v>
      </c>
      <c r="G83" s="6" t="n">
        <v>8.566245992603046e-06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2</v>
      </c>
      <c r="G84" s="6" t="n">
        <v>4.283122996301523e-06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1</v>
      </c>
      <c r="G89" s="6" t="n">
        <v>2.141561498150762e-06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1</v>
      </c>
      <c r="G91" s="6" t="n">
        <v>2.141561498150762e-06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546795.1603100692</v>
      </c>
      <c r="C102" s="6" t="n">
        <v>1</v>
      </c>
      <c r="F102" s="11" t="n">
        <v>466949</v>
      </c>
      <c r="G102" s="6" t="n">
        <v>1</v>
      </c>
    </row>
  </sheetData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2017-07-06T17:41:32Z</dcterms:modified>
  <cp:lastModifiedBy>Nagendra Dhakar</cp:lastModifiedBy>
</cp:coreProperties>
</file>