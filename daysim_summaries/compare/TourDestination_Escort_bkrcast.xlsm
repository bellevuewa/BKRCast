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drawing+xml" PartName="/xl/drawings/drawing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drawingml.chart+xml" PartName="/xl/charts/chart1.xml"/>
  <Override ContentType="application/vnd.ms-excel.sheet.macroEnabled.main+xml" PartName="/xl/workbook.xml"/>
  <Override ContentType="application/vnd.openxmlformats-officedocument.spreadsheetml.calcChain+xml" PartName="/xl/calcChain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0"/>
  </bookViews>
  <sheets>
    <sheet xmlns:r="http://schemas.openxmlformats.org/officeDocument/2006/relationships" name="TLFD" sheetId="1" state="visible" r:id="rId1"/>
    <sheet xmlns:r="http://schemas.openxmlformats.org/officeDocument/2006/relationships" name="soundcast" sheetId="2" state="visible" r:id="rId2"/>
    <sheet xmlns:r="http://schemas.openxmlformats.org/officeDocument/2006/relationships" name="bkrcast_all" sheetId="3" state="visible" r:id="rId3"/>
    <sheet xmlns:r="http://schemas.openxmlformats.org/officeDocument/2006/relationships" name="bkrcast_inbkr" sheetId="4" state="visible" r:id="rId4"/>
    <sheet xmlns:r="http://schemas.openxmlformats.org/officeDocument/2006/relationships" name="bkrcast_outbkr" sheetId="5" state="visible" r:id="rId5"/>
  </sheets>
  <definedNames>
    <definedName localSheetId="2" name="AVGD">'bkrcast_all'!$L$11:$L$13</definedName>
    <definedName localSheetId="3" name="AVGD">'bkrcast_inbkr'!$L$11:$L$13</definedName>
    <definedName localSheetId="4" name="AVGD">'bkrcast_outbkr'!$L$11:$L$13</definedName>
    <definedName localSheetId="1" name="AVGD">'soundcast'!$L$11:$L$13</definedName>
    <definedName name="AVGD">'TLFD'!$O$12:$O$13</definedName>
    <definedName localSheetId="2" name="out1">'bkrcast_all'!$B$11:$B$101</definedName>
    <definedName localSheetId="3" name="out1">'bkrcast_inbkr'!$B$11:$B$101</definedName>
    <definedName localSheetId="4" name="out1">'bkrcast_outbkr'!$B$11:$B$101</definedName>
    <definedName localSheetId="1" name="out1">'soundcast'!$B$11:$B$101</definedName>
    <definedName name="out1">'TLFD'!$B$11:$B$101</definedName>
    <definedName localSheetId="2" name="out2">'bkrcast_all'!$F$11:$F$101</definedName>
    <definedName localSheetId="3" name="out2">'bkrcast_inbkr'!$F$11:$F$101</definedName>
    <definedName localSheetId="4" name="out2">'bkrcast_outbkr'!$F$11:$F$101</definedName>
    <definedName localSheetId="1" name="out2">'soundcast'!$F$11:$F$101</definedName>
    <definedName name="out2">'TLFD'!$F$11:$F$101</definedName>
    <definedName localSheetId="2" name="out5">'bkrcast_all'!$K$11:$K$11</definedName>
    <definedName localSheetId="3" name="out5">'bkrcast_inbkr'!$K$11:$K$11</definedName>
    <definedName localSheetId="4" name="out5">'bkrcast_outbkr'!$K$11:$K$11</definedName>
    <definedName localSheetId="1" name="out5">'soundcast'!$K$11:$K$11</definedName>
    <definedName name="out5">'TLFD'!$N$11:$N$11</definedName>
    <definedName localSheetId="2" name="out6">'bkrcast_all'!$L$11:$L$11</definedName>
    <definedName localSheetId="3" name="out6">'bkrcast_inbkr'!$L$11:$L$11</definedName>
    <definedName localSheetId="4" name="out6">'bkrcast_outbkr'!$L$11:$L$11</definedName>
    <definedName localSheetId="1" name="out6">'soundcast'!$L$11:$L$11</definedName>
    <definedName name="out6">'TLFD'!$P$11:$P$11</definedName>
    <definedName localSheetId="2" name="TLFD">'bkrcast_all'!$E$11:$F$102</definedName>
    <definedName localSheetId="3" name="TLFD">'bkrcast_inbkr'!$E$11:$F$102</definedName>
    <definedName localSheetId="4" name="TLFD">'bkrcast_outbkr'!$E$11:$F$102</definedName>
    <definedName localSheetId="1" name="TLFD">'soundcast'!$E$11:$F$102</definedName>
    <definedName name="TLFD">'TLFD'!$E$11:$F$102</definedName>
  </definedNames>
  <calcPr calcId="124519" fullCalcOnLoad="1"/>
</workbook>
</file>

<file path=xl/sharedStrings.xml><?xml version="1.0" encoding="utf-8"?>
<sst xmlns="http://schemas.openxmlformats.org/spreadsheetml/2006/main" uniqueCount="17">
  <si>
    <t>Trip Length Frequency Distribution</t>
  </si>
  <si>
    <t xml:space="preserve">Observed Sources: Survey </t>
  </si>
  <si>
    <t>Observed distance (in miles) based on joining AM peak SOV skim values to HH survey</t>
  </si>
  <si>
    <t>Frequency of trips by 1-mile increment</t>
  </si>
  <si>
    <t>Distance values reflect low end of each range (ie. 0 refers to 0-1 miles)</t>
  </si>
  <si>
    <t>Model coefficients are segmented by HH income and person type, but most distance measures segmented only by person type, FT/PT status may not be available in Census</t>
  </si>
  <si>
    <t>Table X. Observed Trip Lengths: Survey</t>
  </si>
  <si>
    <t>Table X. Estimated Trip Lengths</t>
  </si>
  <si>
    <t>Table X. Average Half Tour Length (miles)</t>
  </si>
  <si>
    <t>Distance (mi)</t>
  </si>
  <si>
    <t>Survey</t>
  </si>
  <si>
    <t>DaySim</t>
  </si>
  <si>
    <t>BKRCast (all)</t>
  </si>
  <si>
    <t>BKRCast (In BKR)</t>
  </si>
  <si>
    <t>BKRCast (Out BKR)</t>
  </si>
  <si>
    <t>SoundCast</t>
  </si>
  <si>
    <t>Table X. Average Trip Length</t>
  </si>
</sst>
</file>

<file path=xl/styles.xml><?xml version="1.0" encoding="utf-8"?>
<styleSheet xmlns="http://schemas.openxmlformats.org/spreadsheetml/2006/main">
  <numFmts count="1">
    <numFmt formatCode="_(* #,##0_);_(* \(#,##0\);_(* &quot;-&quot;??_);_(@_)" numFmtId="164"/>
  </numFmts>
  <fonts count="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indexed="8"/>
      <sz val="11"/>
      <scheme val="minor"/>
    </font>
    <font>
      <name val="Calibri"/>
      <family val="2"/>
      <color theme="1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22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8">
    <xf borderId="0" fillId="0" fontId="0" numFmtId="0"/>
    <xf borderId="0" fillId="0" fontId="0" numFmtId="0"/>
    <xf borderId="0" fillId="0" fontId="1" numFmtId="0"/>
    <xf borderId="0" fillId="0" fontId="0" numFmtId="0"/>
    <xf borderId="0" fillId="2" fontId="0" numFmtId="0"/>
    <xf borderId="0" fillId="0" fontId="0" numFmtId="0"/>
    <xf borderId="0" fillId="0" fontId="0" numFmtId="0"/>
    <xf borderId="0" fillId="0" fontId="0" numFmtId="0"/>
  </cellStyleXfs>
  <cellXfs count="18">
    <xf borderId="0" fillId="0" fontId="0" numFmtId="0" pivotButton="0" quotePrefix="0" xfId="0"/>
    <xf borderId="1" fillId="0" fontId="0" numFmtId="0" pivotButton="0" quotePrefix="0" xfId="5"/>
    <xf borderId="2" fillId="0" fontId="0" numFmtId="0" pivotButton="0" quotePrefix="0" xfId="5"/>
    <xf borderId="1" fillId="0" fontId="1" numFmtId="0" pivotButton="0" quotePrefix="0" xfId="5"/>
    <xf borderId="0" fillId="0" fontId="0" numFmtId="2" pivotButton="0" quotePrefix="0" xfId="5"/>
    <xf borderId="0" fillId="0" fontId="1" numFmtId="0" pivotButton="0" quotePrefix="0" xfId="5"/>
    <xf borderId="0" fillId="0" fontId="0" numFmtId="10" pivotButton="0" quotePrefix="0" xfId="5"/>
    <xf borderId="0" fillId="0" fontId="2" numFmtId="0" pivotButton="0" quotePrefix="0" xfId="1"/>
    <xf borderId="1" fillId="0" fontId="2" numFmtId="0" pivotButton="0" quotePrefix="0" xfId="1"/>
    <xf applyAlignment="1" borderId="2" fillId="0" fontId="0" numFmtId="0" pivotButton="0" quotePrefix="0" xfId="5">
      <alignment horizontal="center" vertical="top"/>
    </xf>
    <xf borderId="0" fillId="0" fontId="0" numFmtId="0" pivotButton="0" quotePrefix="0" xfId="5"/>
    <xf borderId="0" fillId="0" fontId="0" numFmtId="164" pivotButton="0" quotePrefix="0" xfId="4"/>
    <xf borderId="1" fillId="0" fontId="0" numFmtId="164" pivotButton="0" quotePrefix="0" xfId="4"/>
    <xf borderId="0" fillId="0" fontId="2" numFmtId="164" pivotButton="0" quotePrefix="0" xfId="4"/>
    <xf borderId="1" fillId="0" fontId="2" numFmtId="164" pivotButton="0" quotePrefix="0" xfId="4"/>
    <xf borderId="0" fillId="3" fontId="0" numFmtId="0" pivotButton="0" quotePrefix="0" xfId="5"/>
    <xf applyAlignment="1" borderId="2" fillId="3" fontId="0" numFmtId="0" pivotButton="0" quotePrefix="0" xfId="5">
      <alignment horizontal="center" vertical="top"/>
    </xf>
    <xf borderId="0" fillId="3" fontId="0" numFmtId="2" pivotButton="0" quotePrefix="0" xfId="5"/>
  </cellXfs>
  <cellStyles count="8">
    <cellStyle name="XLConnect.String" xfId="0"/>
    <cellStyle name="XLConnect.DateTime" xfId="1"/>
    <cellStyle name="XLConnect.General" xfId="2"/>
    <cellStyle builtinId="0" name="Normal" xfId="3"/>
    <cellStyle name="XLConnect.Header" xfId="4"/>
    <cellStyle name="XLConnect.Date" xfId="5"/>
    <cellStyle name="XLConnect.Boolean" xfId="6"/>
    <cellStyle name="XLConnect.Numeric" xfId="7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/xl/worksheets/sheet3.xml" Type="http://schemas.openxmlformats.org/officeDocument/2006/relationships/worksheet"/><Relationship Id="rId4" Target="/xl/worksheets/sheet4.xml" Type="http://schemas.openxmlformats.org/officeDocument/2006/relationships/worksheet"/><Relationship Id="rId5" Target="/xl/worksheets/sheet5.xml" Type="http://schemas.openxmlformats.org/officeDocument/2006/relationships/worksheet"/><Relationship Id="rId6" Target="sharedStrings.xml" Type="http://schemas.openxmlformats.org/officeDocument/2006/relationships/sharedStrings"/><Relationship Id="rId7" Target="styles.xml" Type="http://schemas.openxmlformats.org/officeDocument/2006/relationships/styles"/><Relationship Id="rId8" Target="theme/theme1.xml" Type="http://schemas.openxmlformats.org/officeDocument/2006/relationships/theme"/><Relationship Id="rId9" Target="vbaProject.bin" Type="http://schemas.microsoft.com/office/2006/relationships/vbaProject"/></Relationships>
</file>

<file path=xl/charts/chart1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TLFD!G10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TLFD!$G$11:$G$100</f>
            </numRef>
          </val>
        </ser>
        <ser>
          <idx val="1"/>
          <order val="1"/>
          <tx>
            <strRef>
              <f>TLFD!H10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TLFD!$H$11:$H$100</f>
            </numRef>
          </val>
        </ser>
        <ser>
          <idx val="2"/>
          <order val="2"/>
          <tx>
            <strRef>
              <f>TLFD!I10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TLFD!$I$11:$I$100</f>
            </numRef>
          </val>
        </ser>
        <ser>
          <idx val="3"/>
          <order val="3"/>
          <tx>
            <strRef>
              <f>TLFD!J10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TLFD!$J$11:$J$100</f>
            </numRef>
          </val>
        </ser>
        <ser>
          <idx val="4"/>
          <order val="4"/>
          <tx>
            <strRef>
              <f>TLFD!K10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TLFD!$K$11:$K$100</f>
            </numRef>
          </val>
        </ser>
        <axId val="10"/>
        <axId val="100"/>
      </lineChart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Tours</a:t>
                </a:r>
              </a:p>
            </rich>
          </tx>
        </title>
        <crossAx val="10"/>
      </valAx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Tour Length (mile)</a:t>
                </a:r>
              </a:p>
            </rich>
          </tx>
        </title>
        <crossAx val="100"/>
        <lblOffset val="100"/>
      </catAx>
    </plotArea>
    <legend>
      <legendPos val="r"/>
    </legend>
    <dispBlanksAs val="gap"/>
  </chart>
</chartSpace>
</file>

<file path=xl/drawings/_rels/drawing1.xml.rels><Relationships xmlns="http://schemas.openxmlformats.org/package/2006/relationships"><Relationship Id="rId1" Target="/xl/charts/chart1.xml" Type="http://schemas.openxmlformats.org/officeDocument/2006/relationships/chart"/></Relationships>
</file>

<file path=xl/drawings/drawing1.xml><?xml version="1.0" encoding="utf-8"?>
<wsDr xmlns="http://schemas.openxmlformats.org/drawingml/2006/spreadsheetDrawing">
  <oneCellAnchor>
    <from>
      <col>12</col>
      <colOff>0</colOff>
      <row>14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Id="rId1" Target="/xl/drawings/drawing1.xml" Type="http://schemas.openxmlformats.org/officeDocument/2006/relationships/drawing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R102"/>
  <sheetViews>
    <sheetView tabSelected="1" workbookViewId="0">
      <selection activeCell="S2" sqref="S2"/>
    </sheetView>
  </sheetViews>
  <sheetFormatPr baseColWidth="10" defaultRowHeight="15" outlineLevelCol="0"/>
  <cols>
    <col collapsed="1" customWidth="1" max="1" min="1" style="10" width="13.5703125"/>
    <col bestFit="1" collapsed="1" customWidth="1" max="2" min="2" style="10" width="10.5703125"/>
    <col bestFit="1" collapsed="1" customWidth="1" max="6" min="6" style="10" width="10.5703125"/>
    <col bestFit="1" customWidth="1" max="7" min="7" style="10" width="12.140625"/>
    <col bestFit="1" customWidth="1" max="8" min="8" style="10" width="15.7109375"/>
    <col bestFit="1" customWidth="1" max="9" min="9" style="10" width="17.42578125"/>
    <col bestFit="1" customWidth="1" max="10" min="10" style="10" width="10.28515625"/>
    <col customWidth="1" max="13" min="13" style="10" width="7.7109375"/>
    <col bestFit="1" customWidth="1" max="14" min="14" style="10" width="7"/>
    <col bestFit="1" customWidth="1" max="15" min="15" style="10" width="10.28515625"/>
    <col bestFit="1" customWidth="1" max="16" min="16" style="10" width="12.140625"/>
    <col bestFit="1" customWidth="1" max="17" min="17" style="10" width="15.7109375"/>
    <col bestFit="1" customWidth="1" max="18" min="18" style="10" width="17.42578125"/>
  </cols>
  <sheetData>
    <row r="1" spans="1:18">
      <c r="A1" t="s">
        <v>0</v>
      </c>
    </row>
    <row r="2" spans="1:18">
      <c r="A2" t="s">
        <v>1</v>
      </c>
    </row>
    <row r="3" spans="1:18">
      <c r="A3" t="s">
        <v>2</v>
      </c>
    </row>
    <row r="4" spans="1:18">
      <c r="A4" t="s">
        <v>3</v>
      </c>
    </row>
    <row r="5" spans="1:18">
      <c r="A5" t="s">
        <v>4</v>
      </c>
    </row>
    <row r="7" spans="1:18">
      <c r="A7" t="s">
        <v>5</v>
      </c>
    </row>
    <row customHeight="1" ht="15.75" r="9" spans="1:18">
      <c r="A9" s="3" t="s">
        <v>6</v>
      </c>
      <c r="B9" s="1" t="n"/>
      <c r="E9" s="3" t="s">
        <v>7</v>
      </c>
      <c r="F9" s="1" t="n"/>
      <c r="M9" s="5" t="s">
        <v>8</v>
      </c>
      <c r="N9" s="15" t="n"/>
      <c r="O9" s="15" t="n"/>
      <c r="P9" s="15" t="n"/>
      <c r="Q9" s="15" t="n"/>
      <c r="R9" s="15" t="n"/>
    </row>
    <row r="10" spans="1:18">
      <c r="A10" s="2" t="s">
        <v>9</v>
      </c>
      <c r="B10" s="9" t="s">
        <v>10</v>
      </c>
      <c r="C10" s="9" t="s">
        <v>10</v>
      </c>
      <c r="E10" s="2" t="s">
        <v>9</v>
      </c>
      <c r="F10" s="9" t="s">
        <v>11</v>
      </c>
      <c r="G10" s="9" t="s">
        <v>12</v>
      </c>
      <c r="H10" s="9" t="s">
        <v>13</v>
      </c>
      <c r="I10" s="9" t="s">
        <v>14</v>
      </c>
      <c r="J10" s="9" t="s">
        <v>15</v>
      </c>
      <c r="K10">
        <f>C10</f>
        <v/>
      </c>
      <c r="M10" s="2" t="n"/>
      <c r="N10" s="16" t="s">
        <v>10</v>
      </c>
      <c r="O10" s="16" t="s">
        <v>15</v>
      </c>
      <c r="P10" s="16" t="s">
        <v>12</v>
      </c>
      <c r="Q10" s="16" t="s">
        <v>13</v>
      </c>
      <c r="R10" s="16" t="s">
        <v>14</v>
      </c>
    </row>
    <row r="11" spans="1:18">
      <c r="A11" t="n">
        <v>0</v>
      </c>
      <c r="B11" s="11">
        <f>bkrcast_all!B11</f>
        <v/>
      </c>
      <c r="C11" s="6">
        <f>bkrcast_all!C11</f>
        <v/>
      </c>
      <c r="E11" s="7" t="n">
        <v>0</v>
      </c>
      <c r="F11" s="13" t="n">
        <v>55422.00707505151</v>
      </c>
      <c r="G11" s="6">
        <f>bkrcast_all!G11</f>
        <v/>
      </c>
      <c r="H11" s="6">
        <f>bkrcast_inbkr!G11</f>
        <v/>
      </c>
      <c r="I11" s="6">
        <f>bkrcast_outbkr!G11</f>
        <v/>
      </c>
      <c r="J11" s="6">
        <f>soundcast!G11</f>
        <v/>
      </c>
      <c r="K11" s="6">
        <f>C11</f>
        <v/>
      </c>
      <c r="N11" s="17">
        <f>bkrcast_all!K11</f>
        <v/>
      </c>
      <c r="O11" s="17">
        <f>soundcast!L11</f>
        <v/>
      </c>
      <c r="P11" s="17">
        <f>bkrcast_all!L11</f>
        <v/>
      </c>
      <c r="Q11" s="17">
        <f>bkrcast_inbkr!L11</f>
        <v/>
      </c>
      <c r="R11" s="17">
        <f>bkrcast_outbkr!L11</f>
        <v/>
      </c>
    </row>
    <row r="12" spans="1:18">
      <c r="A12" t="n">
        <v>1</v>
      </c>
      <c r="B12" s="11">
        <f>bkrcast_all!B12</f>
        <v/>
      </c>
      <c r="C12" s="6">
        <f>bkrcast_all!C12</f>
        <v/>
      </c>
      <c r="E12" s="7" t="n">
        <v>1</v>
      </c>
      <c r="F12" s="13" t="n">
        <v>46482.17539260309</v>
      </c>
      <c r="G12" s="6">
        <f>bkrcast_all!G12</f>
        <v/>
      </c>
      <c r="H12" s="6">
        <f>bkrcast_inbkr!G12</f>
        <v/>
      </c>
      <c r="I12" s="6">
        <f>bkrcast_outbkr!G12</f>
        <v/>
      </c>
      <c r="J12" s="6">
        <f>soundcast!G12</f>
        <v/>
      </c>
      <c r="K12" s="6">
        <f>C12</f>
        <v/>
      </c>
      <c r="N12" s="4" t="n"/>
      <c r="O12" s="7" t="n"/>
    </row>
    <row r="13" spans="1:18">
      <c r="A13" t="n">
        <v>2</v>
      </c>
      <c r="B13" s="11">
        <f>bkrcast_all!B13</f>
        <v/>
      </c>
      <c r="C13" s="6">
        <f>bkrcast_all!C13</f>
        <v/>
      </c>
      <c r="E13" s="7" t="n">
        <v>2</v>
      </c>
      <c r="F13" s="13" t="n">
        <v>31339.59607372017</v>
      </c>
      <c r="G13" s="6">
        <f>bkrcast_all!G13</f>
        <v/>
      </c>
      <c r="H13" s="6">
        <f>bkrcast_inbkr!G13</f>
        <v/>
      </c>
      <c r="I13" s="6">
        <f>bkrcast_outbkr!G13</f>
        <v/>
      </c>
      <c r="J13" s="6">
        <f>soundcast!G13</f>
        <v/>
      </c>
      <c r="K13" s="6">
        <f>C13</f>
        <v/>
      </c>
    </row>
    <row r="14" spans="1:18">
      <c r="A14" t="n">
        <v>3</v>
      </c>
      <c r="B14" s="11">
        <f>bkrcast_all!B14</f>
        <v/>
      </c>
      <c r="C14" s="6">
        <f>bkrcast_all!C14</f>
        <v/>
      </c>
      <c r="E14" s="7" t="n">
        <v>3</v>
      </c>
      <c r="F14" s="13" t="n">
        <v>20874.03331497723</v>
      </c>
      <c r="G14" s="6">
        <f>bkrcast_all!G14</f>
        <v/>
      </c>
      <c r="H14" s="6">
        <f>bkrcast_inbkr!G14</f>
        <v/>
      </c>
      <c r="I14" s="6">
        <f>bkrcast_outbkr!G14</f>
        <v/>
      </c>
      <c r="J14" s="6">
        <f>soundcast!G14</f>
        <v/>
      </c>
      <c r="K14" s="6">
        <f>C14</f>
        <v/>
      </c>
    </row>
    <row r="15" spans="1:18">
      <c r="A15" t="n">
        <v>4</v>
      </c>
      <c r="B15" s="11">
        <f>bkrcast_all!B15</f>
        <v/>
      </c>
      <c r="C15" s="6">
        <f>bkrcast_all!C15</f>
        <v/>
      </c>
      <c r="E15" s="7" t="n">
        <v>4</v>
      </c>
      <c r="F15" s="13" t="n">
        <v>79222.38871795457</v>
      </c>
      <c r="G15" s="6">
        <f>bkrcast_all!G15</f>
        <v/>
      </c>
      <c r="H15" s="6">
        <f>bkrcast_inbkr!G15</f>
        <v/>
      </c>
      <c r="I15" s="6">
        <f>bkrcast_outbkr!G15</f>
        <v/>
      </c>
      <c r="J15" s="6">
        <f>soundcast!G15</f>
        <v/>
      </c>
      <c r="K15" s="6">
        <f>C15</f>
        <v/>
      </c>
    </row>
    <row r="16" spans="1:18">
      <c r="A16" t="n">
        <v>5</v>
      </c>
      <c r="B16" s="11">
        <f>bkrcast_all!B16</f>
        <v/>
      </c>
      <c r="C16" s="6">
        <f>bkrcast_all!C16</f>
        <v/>
      </c>
      <c r="E16" s="7" t="n">
        <v>5</v>
      </c>
      <c r="F16" s="13" t="n">
        <v>44799.10294992446</v>
      </c>
      <c r="G16" s="6">
        <f>bkrcast_all!G16</f>
        <v/>
      </c>
      <c r="H16" s="6">
        <f>bkrcast_inbkr!G16</f>
        <v/>
      </c>
      <c r="I16" s="6">
        <f>bkrcast_outbkr!G16</f>
        <v/>
      </c>
      <c r="J16" s="6">
        <f>soundcast!G16</f>
        <v/>
      </c>
      <c r="K16" s="6">
        <f>C16</f>
        <v/>
      </c>
    </row>
    <row r="17" spans="1:18">
      <c r="A17" t="n">
        <v>6</v>
      </c>
      <c r="B17" s="11">
        <f>bkrcast_all!B17</f>
        <v/>
      </c>
      <c r="C17" s="6">
        <f>bkrcast_all!C17</f>
        <v/>
      </c>
      <c r="E17" s="7" t="n">
        <v>6</v>
      </c>
      <c r="F17" s="13" t="n">
        <v>39220.0232642142</v>
      </c>
      <c r="G17" s="6">
        <f>bkrcast_all!G17</f>
        <v/>
      </c>
      <c r="H17" s="6">
        <f>bkrcast_inbkr!G17</f>
        <v/>
      </c>
      <c r="I17" s="6">
        <f>bkrcast_outbkr!G17</f>
        <v/>
      </c>
      <c r="J17" s="6">
        <f>soundcast!G17</f>
        <v/>
      </c>
      <c r="K17" s="6">
        <f>C17</f>
        <v/>
      </c>
    </row>
    <row r="18" spans="1:18">
      <c r="A18" t="n">
        <v>7</v>
      </c>
      <c r="B18" s="11">
        <f>bkrcast_all!B18</f>
        <v/>
      </c>
      <c r="C18" s="6">
        <f>bkrcast_all!C18</f>
        <v/>
      </c>
      <c r="E18" s="7" t="n">
        <v>7</v>
      </c>
      <c r="F18" s="13" t="n">
        <v>20104.23111613754</v>
      </c>
      <c r="G18" s="6">
        <f>bkrcast_all!G18</f>
        <v/>
      </c>
      <c r="H18" s="6">
        <f>bkrcast_inbkr!G18</f>
        <v/>
      </c>
      <c r="I18" s="6">
        <f>bkrcast_outbkr!G18</f>
        <v/>
      </c>
      <c r="J18" s="6">
        <f>soundcast!G18</f>
        <v/>
      </c>
      <c r="K18" s="6">
        <f>C18</f>
        <v/>
      </c>
    </row>
    <row r="19" spans="1:18">
      <c r="A19" t="n">
        <v>8</v>
      </c>
      <c r="B19" s="11">
        <f>bkrcast_all!B19</f>
        <v/>
      </c>
      <c r="C19" s="6">
        <f>bkrcast_all!C19</f>
        <v/>
      </c>
      <c r="E19" s="7" t="n">
        <v>8</v>
      </c>
      <c r="F19" s="13" t="n">
        <v>36538.31382238567</v>
      </c>
      <c r="G19" s="6">
        <f>bkrcast_all!G19</f>
        <v/>
      </c>
      <c r="H19" s="6">
        <f>bkrcast_inbkr!G19</f>
        <v/>
      </c>
      <c r="I19" s="6">
        <f>bkrcast_outbkr!G19</f>
        <v/>
      </c>
      <c r="J19" s="6">
        <f>soundcast!G19</f>
        <v/>
      </c>
      <c r="K19" s="6">
        <f>C19</f>
        <v/>
      </c>
    </row>
    <row r="20" spans="1:18">
      <c r="A20" t="n">
        <v>9</v>
      </c>
      <c r="B20" s="11">
        <f>bkrcast_all!B20</f>
        <v/>
      </c>
      <c r="C20" s="6">
        <f>bkrcast_all!C20</f>
        <v/>
      </c>
      <c r="E20" s="7" t="n">
        <v>9</v>
      </c>
      <c r="F20" s="13" t="n">
        <v>12384.83798384682</v>
      </c>
      <c r="G20" s="6">
        <f>bkrcast_all!G20</f>
        <v/>
      </c>
      <c r="H20" s="6">
        <f>bkrcast_inbkr!G20</f>
        <v/>
      </c>
      <c r="I20" s="6">
        <f>bkrcast_outbkr!G20</f>
        <v/>
      </c>
      <c r="J20" s="6">
        <f>soundcast!G20</f>
        <v/>
      </c>
      <c r="K20" s="6">
        <f>C20</f>
        <v/>
      </c>
    </row>
    <row r="21" spans="1:18">
      <c r="A21" t="n">
        <v>10</v>
      </c>
      <c r="B21" s="11">
        <f>bkrcast_all!B21</f>
        <v/>
      </c>
      <c r="C21" s="6">
        <f>bkrcast_all!C21</f>
        <v/>
      </c>
      <c r="E21" s="7" t="n">
        <v>10</v>
      </c>
      <c r="F21" s="13" t="n">
        <v>10494.11324835616</v>
      </c>
      <c r="G21" s="6">
        <f>bkrcast_all!G21</f>
        <v/>
      </c>
      <c r="H21" s="6">
        <f>bkrcast_inbkr!G21</f>
        <v/>
      </c>
      <c r="I21" s="6">
        <f>bkrcast_outbkr!G21</f>
        <v/>
      </c>
      <c r="J21" s="6">
        <f>soundcast!G21</f>
        <v/>
      </c>
      <c r="K21" s="6">
        <f>C21</f>
        <v/>
      </c>
    </row>
    <row r="22" spans="1:18">
      <c r="A22" t="n">
        <v>11</v>
      </c>
      <c r="B22" s="11">
        <f>bkrcast_all!B22</f>
        <v/>
      </c>
      <c r="C22" s="6">
        <f>bkrcast_all!C22</f>
        <v/>
      </c>
      <c r="E22" s="7" t="n">
        <v>11</v>
      </c>
      <c r="F22" s="13" t="n">
        <v>12685.08307608961</v>
      </c>
      <c r="G22" s="6">
        <f>bkrcast_all!G22</f>
        <v/>
      </c>
      <c r="H22" s="6">
        <f>bkrcast_inbkr!G22</f>
        <v/>
      </c>
      <c r="I22" s="6">
        <f>bkrcast_outbkr!G22</f>
        <v/>
      </c>
      <c r="J22" s="6">
        <f>soundcast!G22</f>
        <v/>
      </c>
      <c r="K22" s="6">
        <f>C22</f>
        <v/>
      </c>
    </row>
    <row r="23" spans="1:18">
      <c r="A23" t="n">
        <v>12</v>
      </c>
      <c r="B23" s="11">
        <f>bkrcast_all!B23</f>
        <v/>
      </c>
      <c r="C23" s="6">
        <f>bkrcast_all!C23</f>
        <v/>
      </c>
      <c r="E23" s="7" t="n">
        <v>12</v>
      </c>
      <c r="F23" s="13" t="n">
        <v>9808.245669675864</v>
      </c>
      <c r="G23" s="6">
        <f>bkrcast_all!G23</f>
        <v/>
      </c>
      <c r="H23" s="6">
        <f>bkrcast_inbkr!G23</f>
        <v/>
      </c>
      <c r="I23" s="6">
        <f>bkrcast_outbkr!G23</f>
        <v/>
      </c>
      <c r="J23" s="6">
        <f>soundcast!G23</f>
        <v/>
      </c>
      <c r="K23" s="6">
        <f>C23</f>
        <v/>
      </c>
    </row>
    <row r="24" spans="1:18">
      <c r="A24" t="n">
        <v>13</v>
      </c>
      <c r="B24" s="11">
        <f>bkrcast_all!B24</f>
        <v/>
      </c>
      <c r="C24" s="6">
        <f>bkrcast_all!C24</f>
        <v/>
      </c>
      <c r="E24" s="7" t="n">
        <v>13</v>
      </c>
      <c r="F24" s="13" t="n">
        <v>8745.085483717576</v>
      </c>
      <c r="G24" s="6">
        <f>bkrcast_all!G24</f>
        <v/>
      </c>
      <c r="H24" s="6">
        <f>bkrcast_inbkr!G24</f>
        <v/>
      </c>
      <c r="I24" s="6">
        <f>bkrcast_outbkr!G24</f>
        <v/>
      </c>
      <c r="J24" s="6">
        <f>soundcast!G24</f>
        <v/>
      </c>
      <c r="K24" s="6">
        <f>C24</f>
        <v/>
      </c>
    </row>
    <row r="25" spans="1:18">
      <c r="A25" t="n">
        <v>14</v>
      </c>
      <c r="B25" s="11">
        <f>bkrcast_all!B25</f>
        <v/>
      </c>
      <c r="C25" s="6">
        <f>bkrcast_all!C25</f>
        <v/>
      </c>
      <c r="E25" s="7" t="n">
        <v>14</v>
      </c>
      <c r="F25" s="13" t="n">
        <v>13489.80702510625</v>
      </c>
      <c r="G25" s="6">
        <f>bkrcast_all!G25</f>
        <v/>
      </c>
      <c r="H25" s="6">
        <f>bkrcast_inbkr!G25</f>
        <v/>
      </c>
      <c r="I25" s="6">
        <f>bkrcast_outbkr!G25</f>
        <v/>
      </c>
      <c r="J25" s="6">
        <f>soundcast!G25</f>
        <v/>
      </c>
      <c r="K25" s="6">
        <f>C25</f>
        <v/>
      </c>
    </row>
    <row r="26" spans="1:18">
      <c r="A26" t="n">
        <v>15</v>
      </c>
      <c r="B26" s="11">
        <f>bkrcast_all!B26</f>
        <v/>
      </c>
      <c r="C26" s="6">
        <f>bkrcast_all!C26</f>
        <v/>
      </c>
      <c r="E26" s="7" t="n">
        <v>15</v>
      </c>
      <c r="F26" s="13" t="n">
        <v>16664.66609125341</v>
      </c>
      <c r="G26" s="6">
        <f>bkrcast_all!G26</f>
        <v/>
      </c>
      <c r="H26" s="6">
        <f>bkrcast_inbkr!G26</f>
        <v/>
      </c>
      <c r="I26" s="6">
        <f>bkrcast_outbkr!G26</f>
        <v/>
      </c>
      <c r="J26" s="6">
        <f>soundcast!G26</f>
        <v/>
      </c>
      <c r="K26" s="6">
        <f>C26</f>
        <v/>
      </c>
    </row>
    <row r="27" spans="1:18">
      <c r="A27" t="n">
        <v>16</v>
      </c>
      <c r="B27" s="11">
        <f>bkrcast_all!B27</f>
        <v/>
      </c>
      <c r="C27" s="6">
        <f>bkrcast_all!C27</f>
        <v/>
      </c>
      <c r="E27" s="7" t="n">
        <v>16</v>
      </c>
      <c r="F27" s="13" t="n">
        <v>6342.597931685169</v>
      </c>
      <c r="G27" s="6">
        <f>bkrcast_all!G27</f>
        <v/>
      </c>
      <c r="H27" s="6">
        <f>bkrcast_inbkr!G27</f>
        <v/>
      </c>
      <c r="I27" s="6">
        <f>bkrcast_outbkr!G27</f>
        <v/>
      </c>
      <c r="J27" s="6">
        <f>soundcast!G27</f>
        <v/>
      </c>
      <c r="K27" s="6">
        <f>C27</f>
        <v/>
      </c>
    </row>
    <row r="28" spans="1:18">
      <c r="A28" t="n">
        <v>17</v>
      </c>
      <c r="B28" s="11">
        <f>bkrcast_all!B28</f>
        <v/>
      </c>
      <c r="C28" s="6">
        <f>bkrcast_all!C28</f>
        <v/>
      </c>
      <c r="E28" s="7" t="n">
        <v>17</v>
      </c>
      <c r="F28" s="13" t="n">
        <v>8073.188042954156</v>
      </c>
      <c r="G28" s="6">
        <f>bkrcast_all!G28</f>
        <v/>
      </c>
      <c r="H28" s="6">
        <f>bkrcast_inbkr!G28</f>
        <v/>
      </c>
      <c r="I28" s="6">
        <f>bkrcast_outbkr!G28</f>
        <v/>
      </c>
      <c r="J28" s="6">
        <f>soundcast!G28</f>
        <v/>
      </c>
      <c r="K28" s="6">
        <f>C28</f>
        <v/>
      </c>
    </row>
    <row r="29" spans="1:18">
      <c r="A29" t="n">
        <v>18</v>
      </c>
      <c r="B29" s="11">
        <f>bkrcast_all!B29</f>
        <v/>
      </c>
      <c r="C29" s="6">
        <f>bkrcast_all!C29</f>
        <v/>
      </c>
      <c r="E29" s="7" t="n">
        <v>18</v>
      </c>
      <c r="F29" s="13" t="n">
        <v>6089.490537125844</v>
      </c>
      <c r="G29" s="6">
        <f>bkrcast_all!G29</f>
        <v/>
      </c>
      <c r="H29" s="6">
        <f>bkrcast_inbkr!G29</f>
        <v/>
      </c>
      <c r="I29" s="6">
        <f>bkrcast_outbkr!G29</f>
        <v/>
      </c>
      <c r="J29" s="6">
        <f>soundcast!G29</f>
        <v/>
      </c>
      <c r="K29" s="6">
        <f>C29</f>
        <v/>
      </c>
    </row>
    <row r="30" spans="1:18">
      <c r="A30" t="n">
        <v>19</v>
      </c>
      <c r="B30" s="11">
        <f>bkrcast_all!B30</f>
        <v/>
      </c>
      <c r="C30" s="6">
        <f>bkrcast_all!C30</f>
        <v/>
      </c>
      <c r="E30" s="7" t="n">
        <v>19</v>
      </c>
      <c r="F30" s="13" t="n">
        <v>5068.303025108557</v>
      </c>
      <c r="G30" s="6">
        <f>bkrcast_all!G30</f>
        <v/>
      </c>
      <c r="H30" s="6">
        <f>bkrcast_inbkr!G30</f>
        <v/>
      </c>
      <c r="I30" s="6">
        <f>bkrcast_outbkr!G30</f>
        <v/>
      </c>
      <c r="J30" s="6">
        <f>soundcast!G30</f>
        <v/>
      </c>
      <c r="K30" s="6">
        <f>C30</f>
        <v/>
      </c>
    </row>
    <row r="31" spans="1:18">
      <c r="A31" t="n">
        <v>20</v>
      </c>
      <c r="B31" s="11">
        <f>bkrcast_all!B31</f>
        <v/>
      </c>
      <c r="C31" s="6">
        <f>bkrcast_all!C31</f>
        <v/>
      </c>
      <c r="E31" s="7" t="n">
        <v>20</v>
      </c>
      <c r="F31" s="13" t="n">
        <v>4699.903469522978</v>
      </c>
      <c r="G31" s="6">
        <f>bkrcast_all!G31</f>
        <v/>
      </c>
      <c r="H31" s="6">
        <f>bkrcast_inbkr!G31</f>
        <v/>
      </c>
      <c r="I31" s="6">
        <f>bkrcast_outbkr!G31</f>
        <v/>
      </c>
      <c r="J31" s="6">
        <f>soundcast!G31</f>
        <v/>
      </c>
      <c r="K31" s="6">
        <f>C31</f>
        <v/>
      </c>
    </row>
    <row r="32" spans="1:18">
      <c r="A32" t="n">
        <v>21</v>
      </c>
      <c r="B32" s="11">
        <f>bkrcast_all!B32</f>
        <v/>
      </c>
      <c r="C32" s="6">
        <f>bkrcast_all!C32</f>
        <v/>
      </c>
      <c r="E32" s="7" t="n">
        <v>21</v>
      </c>
      <c r="F32" s="13" t="n">
        <v>5058.812904883817</v>
      </c>
      <c r="G32" s="6">
        <f>bkrcast_all!G32</f>
        <v/>
      </c>
      <c r="H32" s="6">
        <f>bkrcast_inbkr!G32</f>
        <v/>
      </c>
      <c r="I32" s="6">
        <f>bkrcast_outbkr!G32</f>
        <v/>
      </c>
      <c r="J32" s="6">
        <f>soundcast!G32</f>
        <v/>
      </c>
      <c r="K32" s="6">
        <f>C32</f>
        <v/>
      </c>
    </row>
    <row r="33" spans="1:18">
      <c r="A33" t="n">
        <v>22</v>
      </c>
      <c r="B33" s="11">
        <f>bkrcast_all!B33</f>
        <v/>
      </c>
      <c r="C33" s="6">
        <f>bkrcast_all!C33</f>
        <v/>
      </c>
      <c r="E33" s="7" t="n">
        <v>22</v>
      </c>
      <c r="F33" s="13" t="n">
        <v>3578.942003722183</v>
      </c>
      <c r="G33" s="6">
        <f>bkrcast_all!G33</f>
        <v/>
      </c>
      <c r="H33" s="6">
        <f>bkrcast_inbkr!G33</f>
        <v/>
      </c>
      <c r="I33" s="6">
        <f>bkrcast_outbkr!G33</f>
        <v/>
      </c>
      <c r="J33" s="6">
        <f>soundcast!G33</f>
        <v/>
      </c>
      <c r="K33" s="6">
        <f>C33</f>
        <v/>
      </c>
    </row>
    <row r="34" spans="1:18">
      <c r="A34" t="n">
        <v>23</v>
      </c>
      <c r="B34" s="11">
        <f>bkrcast_all!B34</f>
        <v/>
      </c>
      <c r="C34" s="6">
        <f>bkrcast_all!C34</f>
        <v/>
      </c>
      <c r="E34" s="7" t="n">
        <v>23</v>
      </c>
      <c r="F34" s="13" t="n">
        <v>4472.308767824732</v>
      </c>
      <c r="G34" s="6">
        <f>bkrcast_all!G34</f>
        <v/>
      </c>
      <c r="H34" s="6">
        <f>bkrcast_inbkr!G34</f>
        <v/>
      </c>
      <c r="I34" s="6">
        <f>bkrcast_outbkr!G34</f>
        <v/>
      </c>
      <c r="J34" s="6">
        <f>soundcast!G34</f>
        <v/>
      </c>
      <c r="K34" s="6">
        <f>C34</f>
        <v/>
      </c>
    </row>
    <row r="35" spans="1:18">
      <c r="A35" t="n">
        <v>24</v>
      </c>
      <c r="B35" s="11">
        <f>bkrcast_all!B35</f>
        <v/>
      </c>
      <c r="C35" s="6">
        <f>bkrcast_all!C35</f>
        <v/>
      </c>
      <c r="E35" s="7" t="n">
        <v>24</v>
      </c>
      <c r="F35" s="13" t="n">
        <v>3680.845523133414</v>
      </c>
      <c r="G35" s="6">
        <f>bkrcast_all!G35</f>
        <v/>
      </c>
      <c r="H35" s="6">
        <f>bkrcast_inbkr!G35</f>
        <v/>
      </c>
      <c r="I35" s="6">
        <f>bkrcast_outbkr!G35</f>
        <v/>
      </c>
      <c r="J35" s="6">
        <f>soundcast!G35</f>
        <v/>
      </c>
      <c r="K35" s="6">
        <f>C35</f>
        <v/>
      </c>
    </row>
    <row r="36" spans="1:18">
      <c r="A36" t="n">
        <v>25</v>
      </c>
      <c r="B36" s="11">
        <f>bkrcast_all!B36</f>
        <v/>
      </c>
      <c r="C36" s="6">
        <f>bkrcast_all!C36</f>
        <v/>
      </c>
      <c r="E36" s="7" t="n">
        <v>25</v>
      </c>
      <c r="F36" s="13" t="n">
        <v>2670.348354298481</v>
      </c>
      <c r="G36" s="6">
        <f>bkrcast_all!G36</f>
        <v/>
      </c>
      <c r="H36" s="6">
        <f>bkrcast_inbkr!G36</f>
        <v/>
      </c>
      <c r="I36" s="6">
        <f>bkrcast_outbkr!G36</f>
        <v/>
      </c>
      <c r="J36" s="6">
        <f>soundcast!G36</f>
        <v/>
      </c>
      <c r="K36" s="6">
        <f>C36</f>
        <v/>
      </c>
    </row>
    <row r="37" spans="1:18">
      <c r="A37" t="n">
        <v>26</v>
      </c>
      <c r="B37" s="11">
        <f>bkrcast_all!B37</f>
        <v/>
      </c>
      <c r="C37" s="6">
        <f>bkrcast_all!C37</f>
        <v/>
      </c>
      <c r="E37" s="7" t="n">
        <v>26</v>
      </c>
      <c r="F37" s="13" t="n">
        <v>2462.684124882305</v>
      </c>
      <c r="G37" s="6">
        <f>bkrcast_all!G37</f>
        <v/>
      </c>
      <c r="H37" s="6">
        <f>bkrcast_inbkr!G37</f>
        <v/>
      </c>
      <c r="I37" s="6">
        <f>bkrcast_outbkr!G37</f>
        <v/>
      </c>
      <c r="J37" s="6">
        <f>soundcast!G37</f>
        <v/>
      </c>
      <c r="K37" s="6">
        <f>C37</f>
        <v/>
      </c>
    </row>
    <row r="38" spans="1:18">
      <c r="A38" t="n">
        <v>27</v>
      </c>
      <c r="B38" s="11">
        <f>bkrcast_all!B38</f>
        <v/>
      </c>
      <c r="C38" s="6">
        <f>bkrcast_all!C38</f>
        <v/>
      </c>
      <c r="E38" s="7" t="n">
        <v>27</v>
      </c>
      <c r="F38" s="13" t="n">
        <v>4084.720431008281</v>
      </c>
      <c r="G38" s="6">
        <f>bkrcast_all!G38</f>
        <v/>
      </c>
      <c r="H38" s="6">
        <f>bkrcast_inbkr!G38</f>
        <v/>
      </c>
      <c r="I38" s="6">
        <f>bkrcast_outbkr!G38</f>
        <v/>
      </c>
      <c r="J38" s="6">
        <f>soundcast!G38</f>
        <v/>
      </c>
      <c r="K38" s="6">
        <f>C38</f>
        <v/>
      </c>
    </row>
    <row r="39" spans="1:18">
      <c r="A39" t="n">
        <v>28</v>
      </c>
      <c r="B39" s="11">
        <f>bkrcast_all!B39</f>
        <v/>
      </c>
      <c r="C39" s="6">
        <f>bkrcast_all!C39</f>
        <v/>
      </c>
      <c r="E39" s="7" t="n">
        <v>28</v>
      </c>
      <c r="F39" s="13" t="n">
        <v>1905.5280600202</v>
      </c>
      <c r="G39" s="6">
        <f>bkrcast_all!G39</f>
        <v/>
      </c>
      <c r="H39" s="6">
        <f>bkrcast_inbkr!G39</f>
        <v/>
      </c>
      <c r="I39" s="6">
        <f>bkrcast_outbkr!G39</f>
        <v/>
      </c>
      <c r="J39" s="6">
        <f>soundcast!G39</f>
        <v/>
      </c>
      <c r="K39" s="6">
        <f>C39</f>
        <v/>
      </c>
    </row>
    <row r="40" spans="1:18">
      <c r="A40" t="n">
        <v>29</v>
      </c>
      <c r="B40" s="11">
        <f>bkrcast_all!B40</f>
        <v/>
      </c>
      <c r="C40" s="6">
        <f>bkrcast_all!C40</f>
        <v/>
      </c>
      <c r="E40" s="7" t="n">
        <v>29</v>
      </c>
      <c r="F40" s="13" t="n">
        <v>2264.7062506918</v>
      </c>
      <c r="G40" s="6">
        <f>bkrcast_all!G40</f>
        <v/>
      </c>
      <c r="H40" s="6">
        <f>bkrcast_inbkr!G40</f>
        <v/>
      </c>
      <c r="I40" s="6">
        <f>bkrcast_outbkr!G40</f>
        <v/>
      </c>
      <c r="J40" s="6">
        <f>soundcast!G40</f>
        <v/>
      </c>
      <c r="K40" s="6">
        <f>C40</f>
        <v/>
      </c>
    </row>
    <row r="41" spans="1:18">
      <c r="A41" t="n">
        <v>30</v>
      </c>
      <c r="B41" s="11">
        <f>bkrcast_all!B41</f>
        <v/>
      </c>
      <c r="C41" s="6">
        <f>bkrcast_all!C41</f>
        <v/>
      </c>
      <c r="E41" s="7" t="n">
        <v>30</v>
      </c>
      <c r="F41" s="13" t="n">
        <v>1408.35079529226</v>
      </c>
      <c r="G41" s="6">
        <f>bkrcast_all!G41</f>
        <v/>
      </c>
      <c r="H41" s="6">
        <f>bkrcast_inbkr!G41</f>
        <v/>
      </c>
      <c r="I41" s="6">
        <f>bkrcast_outbkr!G41</f>
        <v/>
      </c>
      <c r="J41" s="6">
        <f>soundcast!G41</f>
        <v/>
      </c>
      <c r="K41" s="6">
        <f>C41</f>
        <v/>
      </c>
    </row>
    <row r="42" spans="1:18">
      <c r="A42" t="n">
        <v>31</v>
      </c>
      <c r="B42" s="11">
        <f>bkrcast_all!B42</f>
        <v/>
      </c>
      <c r="C42" s="6">
        <f>bkrcast_all!C42</f>
        <v/>
      </c>
      <c r="E42" s="7" t="n">
        <v>31</v>
      </c>
      <c r="F42" s="13" t="n">
        <v>1332.164924456266</v>
      </c>
      <c r="G42" s="6">
        <f>bkrcast_all!G42</f>
        <v/>
      </c>
      <c r="H42" s="6">
        <f>bkrcast_inbkr!G42</f>
        <v/>
      </c>
      <c r="I42" s="6">
        <f>bkrcast_outbkr!G42</f>
        <v/>
      </c>
      <c r="J42" s="6">
        <f>soundcast!G42</f>
        <v/>
      </c>
      <c r="K42" s="6">
        <f>C42</f>
        <v/>
      </c>
    </row>
    <row r="43" spans="1:18">
      <c r="A43" t="n">
        <v>32</v>
      </c>
      <c r="B43" s="11">
        <f>bkrcast_all!B43</f>
        <v/>
      </c>
      <c r="C43" s="6">
        <f>bkrcast_all!C43</f>
        <v/>
      </c>
      <c r="E43" s="7" t="n">
        <v>32</v>
      </c>
      <c r="F43" s="13" t="n">
        <v>1469.130189880613</v>
      </c>
      <c r="G43" s="6">
        <f>bkrcast_all!G43</f>
        <v/>
      </c>
      <c r="H43" s="6">
        <f>bkrcast_inbkr!G43</f>
        <v/>
      </c>
      <c r="I43" s="6">
        <f>bkrcast_outbkr!G43</f>
        <v/>
      </c>
      <c r="J43" s="6">
        <f>soundcast!G43</f>
        <v/>
      </c>
      <c r="K43" s="6">
        <f>C43</f>
        <v/>
      </c>
    </row>
    <row r="44" spans="1:18">
      <c r="A44" t="n">
        <v>33</v>
      </c>
      <c r="B44" s="11">
        <f>bkrcast_all!B44</f>
        <v/>
      </c>
      <c r="C44" s="6">
        <f>bkrcast_all!C44</f>
        <v/>
      </c>
      <c r="E44" s="7" t="n">
        <v>33</v>
      </c>
      <c r="F44" s="13" t="n">
        <v>1248.655488551392</v>
      </c>
      <c r="G44" s="6">
        <f>bkrcast_all!G44</f>
        <v/>
      </c>
      <c r="H44" s="6">
        <f>bkrcast_inbkr!G44</f>
        <v/>
      </c>
      <c r="I44" s="6">
        <f>bkrcast_outbkr!G44</f>
        <v/>
      </c>
      <c r="J44" s="6">
        <f>soundcast!G44</f>
        <v/>
      </c>
      <c r="K44" s="6">
        <f>C44</f>
        <v/>
      </c>
    </row>
    <row r="45" spans="1:18">
      <c r="A45" t="n">
        <v>34</v>
      </c>
      <c r="B45" s="11">
        <f>bkrcast_all!B45</f>
        <v/>
      </c>
      <c r="C45" s="6">
        <f>bkrcast_all!C45</f>
        <v/>
      </c>
      <c r="E45" s="7" t="n">
        <v>34</v>
      </c>
      <c r="F45" s="13" t="n">
        <v>1074.383177116206</v>
      </c>
      <c r="G45" s="6">
        <f>bkrcast_all!G45</f>
        <v/>
      </c>
      <c r="H45" s="6">
        <f>bkrcast_inbkr!G45</f>
        <v/>
      </c>
      <c r="I45" s="6">
        <f>bkrcast_outbkr!G45</f>
        <v/>
      </c>
      <c r="J45" s="6">
        <f>soundcast!G45</f>
        <v/>
      </c>
      <c r="K45" s="6">
        <f>C45</f>
        <v/>
      </c>
    </row>
    <row r="46" spans="1:18">
      <c r="A46" t="n">
        <v>35</v>
      </c>
      <c r="B46" s="11">
        <f>bkrcast_all!B46</f>
        <v/>
      </c>
      <c r="C46" s="6">
        <f>bkrcast_all!C46</f>
        <v/>
      </c>
      <c r="E46" s="7" t="n">
        <v>35</v>
      </c>
      <c r="F46" s="13" t="n">
        <v>806.6026549224923</v>
      </c>
      <c r="G46" s="6">
        <f>bkrcast_all!G46</f>
        <v/>
      </c>
      <c r="H46" s="6">
        <f>bkrcast_inbkr!G46</f>
        <v/>
      </c>
      <c r="I46" s="6">
        <f>bkrcast_outbkr!G46</f>
        <v/>
      </c>
      <c r="J46" s="6">
        <f>soundcast!G46</f>
        <v/>
      </c>
      <c r="K46" s="6">
        <f>C46</f>
        <v/>
      </c>
    </row>
    <row r="47" spans="1:18">
      <c r="A47" t="n">
        <v>36</v>
      </c>
      <c r="B47" s="11">
        <f>bkrcast_all!B47</f>
        <v/>
      </c>
      <c r="C47" s="6">
        <f>bkrcast_all!C47</f>
        <v/>
      </c>
      <c r="E47" s="7" t="n">
        <v>36</v>
      </c>
      <c r="F47" s="13" t="n">
        <v>1107.023536000168</v>
      </c>
      <c r="G47" s="6">
        <f>bkrcast_all!G47</f>
        <v/>
      </c>
      <c r="H47" s="6">
        <f>bkrcast_inbkr!G47</f>
        <v/>
      </c>
      <c r="I47" s="6">
        <f>bkrcast_outbkr!G47</f>
        <v/>
      </c>
      <c r="J47" s="6">
        <f>soundcast!G47</f>
        <v/>
      </c>
      <c r="K47" s="6">
        <f>C47</f>
        <v/>
      </c>
    </row>
    <row r="48" spans="1:18">
      <c r="A48" t="n">
        <v>37</v>
      </c>
      <c r="B48" s="11">
        <f>bkrcast_all!B48</f>
        <v/>
      </c>
      <c r="C48" s="6">
        <f>bkrcast_all!C48</f>
        <v/>
      </c>
      <c r="E48" s="7" t="n">
        <v>37</v>
      </c>
      <c r="F48" s="13" t="n">
        <v>692.2286453446804</v>
      </c>
      <c r="G48" s="6">
        <f>bkrcast_all!G48</f>
        <v/>
      </c>
      <c r="H48" s="6">
        <f>bkrcast_inbkr!G48</f>
        <v/>
      </c>
      <c r="I48" s="6">
        <f>bkrcast_outbkr!G48</f>
        <v/>
      </c>
      <c r="J48" s="6">
        <f>soundcast!G48</f>
        <v/>
      </c>
      <c r="K48" s="6">
        <f>C48</f>
        <v/>
      </c>
    </row>
    <row r="49" spans="1:18">
      <c r="A49" t="n">
        <v>38</v>
      </c>
      <c r="B49" s="11">
        <f>bkrcast_all!B49</f>
        <v/>
      </c>
      <c r="C49" s="6">
        <f>bkrcast_all!C49</f>
        <v/>
      </c>
      <c r="E49" s="7" t="n">
        <v>38</v>
      </c>
      <c r="F49" s="13" t="n">
        <v>588.1296984649593</v>
      </c>
      <c r="G49" s="6">
        <f>bkrcast_all!G49</f>
        <v/>
      </c>
      <c r="H49" s="6">
        <f>bkrcast_inbkr!G49</f>
        <v/>
      </c>
      <c r="I49" s="6">
        <f>bkrcast_outbkr!G49</f>
        <v/>
      </c>
      <c r="J49" s="6">
        <f>soundcast!G49</f>
        <v/>
      </c>
      <c r="K49" s="6">
        <f>C49</f>
        <v/>
      </c>
    </row>
    <row r="50" spans="1:18">
      <c r="A50" t="n">
        <v>39</v>
      </c>
      <c r="B50" s="11">
        <f>bkrcast_all!B50</f>
        <v/>
      </c>
      <c r="C50" s="6">
        <f>bkrcast_all!C50</f>
        <v/>
      </c>
      <c r="E50" s="7" t="n">
        <v>39</v>
      </c>
      <c r="F50" s="13" t="n">
        <v>641.45847192753</v>
      </c>
      <c r="G50" s="6">
        <f>bkrcast_all!G50</f>
        <v/>
      </c>
      <c r="H50" s="6">
        <f>bkrcast_inbkr!G50</f>
        <v/>
      </c>
      <c r="I50" s="6">
        <f>bkrcast_outbkr!G50</f>
        <v/>
      </c>
      <c r="J50" s="6">
        <f>soundcast!G50</f>
        <v/>
      </c>
      <c r="K50" s="6">
        <f>C50</f>
        <v/>
      </c>
    </row>
    <row r="51" spans="1:18">
      <c r="A51" t="n">
        <v>40</v>
      </c>
      <c r="B51" s="11">
        <f>bkrcast_all!B51</f>
        <v/>
      </c>
      <c r="C51" s="6">
        <f>bkrcast_all!C51</f>
        <v/>
      </c>
      <c r="E51" s="7" t="n">
        <v>40</v>
      </c>
      <c r="F51" s="13" t="n">
        <v>403.4074138863926</v>
      </c>
      <c r="G51" s="6">
        <f>bkrcast_all!G51</f>
        <v/>
      </c>
      <c r="H51" s="6">
        <f>bkrcast_inbkr!G51</f>
        <v/>
      </c>
      <c r="I51" s="6">
        <f>bkrcast_outbkr!G51</f>
        <v/>
      </c>
      <c r="J51" s="6">
        <f>soundcast!G51</f>
        <v/>
      </c>
      <c r="K51" s="6">
        <f>C51</f>
        <v/>
      </c>
    </row>
    <row r="52" spans="1:18">
      <c r="A52" t="n">
        <v>41</v>
      </c>
      <c r="B52" s="11">
        <f>bkrcast_all!B52</f>
        <v/>
      </c>
      <c r="C52" s="6">
        <f>bkrcast_all!C52</f>
        <v/>
      </c>
      <c r="E52" s="7" t="n">
        <v>41</v>
      </c>
      <c r="F52" s="13" t="n">
        <v>385.0005359254176</v>
      </c>
      <c r="G52" s="6">
        <f>bkrcast_all!G52</f>
        <v/>
      </c>
      <c r="H52" s="6">
        <f>bkrcast_inbkr!G52</f>
        <v/>
      </c>
      <c r="I52" s="6">
        <f>bkrcast_outbkr!G52</f>
        <v/>
      </c>
      <c r="J52" s="6">
        <f>soundcast!G52</f>
        <v/>
      </c>
      <c r="K52" s="6">
        <f>C52</f>
        <v/>
      </c>
    </row>
    <row r="53" spans="1:18">
      <c r="A53" t="n">
        <v>42</v>
      </c>
      <c r="B53" s="11">
        <f>bkrcast_all!B53</f>
        <v/>
      </c>
      <c r="C53" s="6">
        <f>bkrcast_all!C53</f>
        <v/>
      </c>
      <c r="E53" s="7" t="n">
        <v>42</v>
      </c>
      <c r="F53" s="13" t="n">
        <v>247.3308377700336</v>
      </c>
      <c r="G53" s="6">
        <f>bkrcast_all!G53</f>
        <v/>
      </c>
      <c r="H53" s="6">
        <f>bkrcast_inbkr!G53</f>
        <v/>
      </c>
      <c r="I53" s="6">
        <f>bkrcast_outbkr!G53</f>
        <v/>
      </c>
      <c r="J53" s="6">
        <f>soundcast!G53</f>
        <v/>
      </c>
      <c r="K53" s="6">
        <f>C53</f>
        <v/>
      </c>
    </row>
    <row r="54" spans="1:18">
      <c r="A54" t="n">
        <v>43</v>
      </c>
      <c r="B54" s="11">
        <f>bkrcast_all!B54</f>
        <v/>
      </c>
      <c r="C54" s="6">
        <f>bkrcast_all!C54</f>
        <v/>
      </c>
      <c r="E54" s="7" t="n">
        <v>43</v>
      </c>
      <c r="F54" s="13" t="n">
        <v>261.6327398107243</v>
      </c>
      <c r="G54" s="6">
        <f>bkrcast_all!G54</f>
        <v/>
      </c>
      <c r="H54" s="6">
        <f>bkrcast_inbkr!G54</f>
        <v/>
      </c>
      <c r="I54" s="6">
        <f>bkrcast_outbkr!G54</f>
        <v/>
      </c>
      <c r="J54" s="6">
        <f>soundcast!G54</f>
        <v/>
      </c>
      <c r="K54" s="6">
        <f>C54</f>
        <v/>
      </c>
    </row>
    <row r="55" spans="1:18">
      <c r="A55" t="n">
        <v>44</v>
      </c>
      <c r="B55" s="11">
        <f>bkrcast_all!B55</f>
        <v/>
      </c>
      <c r="C55" s="6">
        <f>bkrcast_all!C55</f>
        <v/>
      </c>
      <c r="E55" s="7" t="n">
        <v>44</v>
      </c>
      <c r="F55" s="13" t="n">
        <v>112.1572089471126</v>
      </c>
      <c r="G55" s="6">
        <f>bkrcast_all!G55</f>
        <v/>
      </c>
      <c r="H55" s="6">
        <f>bkrcast_inbkr!G55</f>
        <v/>
      </c>
      <c r="I55" s="6">
        <f>bkrcast_outbkr!G55</f>
        <v/>
      </c>
      <c r="J55" s="6">
        <f>soundcast!G55</f>
        <v/>
      </c>
      <c r="K55" s="6">
        <f>C55</f>
        <v/>
      </c>
    </row>
    <row r="56" spans="1:18">
      <c r="A56" t="n">
        <v>45</v>
      </c>
      <c r="B56" s="11">
        <f>bkrcast_all!B56</f>
        <v/>
      </c>
      <c r="C56" s="6">
        <f>bkrcast_all!C56</f>
        <v/>
      </c>
      <c r="E56" s="7" t="n">
        <v>45</v>
      </c>
      <c r="F56" s="13" t="n">
        <v>300.649811096042</v>
      </c>
      <c r="G56" s="6">
        <f>bkrcast_all!G56</f>
        <v/>
      </c>
      <c r="H56" s="6">
        <f>bkrcast_inbkr!G56</f>
        <v/>
      </c>
      <c r="I56" s="6">
        <f>bkrcast_outbkr!G56</f>
        <v/>
      </c>
      <c r="J56" s="6">
        <f>soundcast!G56</f>
        <v/>
      </c>
      <c r="K56" s="6">
        <f>C56</f>
        <v/>
      </c>
    </row>
    <row r="57" spans="1:18">
      <c r="A57" t="n">
        <v>46</v>
      </c>
      <c r="B57" s="11">
        <f>bkrcast_all!B57</f>
        <v/>
      </c>
      <c r="C57" s="6">
        <f>bkrcast_all!C57</f>
        <v/>
      </c>
      <c r="E57" s="7" t="n">
        <v>46</v>
      </c>
      <c r="F57" s="13" t="n">
        <v>248.0800968991771</v>
      </c>
      <c r="G57" s="6">
        <f>bkrcast_all!G57</f>
        <v/>
      </c>
      <c r="H57" s="6">
        <f>bkrcast_inbkr!G57</f>
        <v/>
      </c>
      <c r="I57" s="6">
        <f>bkrcast_outbkr!G57</f>
        <v/>
      </c>
      <c r="J57" s="6">
        <f>soundcast!G57</f>
        <v/>
      </c>
      <c r="K57" s="6">
        <f>C57</f>
        <v/>
      </c>
    </row>
    <row r="58" spans="1:18">
      <c r="A58" t="n">
        <v>47</v>
      </c>
      <c r="B58" s="11">
        <f>bkrcast_all!B58</f>
        <v/>
      </c>
      <c r="C58" s="6">
        <f>bkrcast_all!C58</f>
        <v/>
      </c>
      <c r="E58" s="7" t="n">
        <v>47</v>
      </c>
      <c r="F58" s="13" t="n">
        <v>75.35760050395319</v>
      </c>
      <c r="G58" s="6">
        <f>bkrcast_all!G58</f>
        <v/>
      </c>
      <c r="H58" s="6">
        <f>bkrcast_inbkr!G58</f>
        <v/>
      </c>
      <c r="I58" s="6">
        <f>bkrcast_outbkr!G58</f>
        <v/>
      </c>
      <c r="J58" s="6">
        <f>soundcast!G58</f>
        <v/>
      </c>
      <c r="K58" s="6">
        <f>C58</f>
        <v/>
      </c>
    </row>
    <row r="59" spans="1:18">
      <c r="A59" t="n">
        <v>48</v>
      </c>
      <c r="B59" s="11">
        <f>bkrcast_all!B59</f>
        <v/>
      </c>
      <c r="C59" s="6">
        <f>bkrcast_all!C59</f>
        <v/>
      </c>
      <c r="E59" s="7" t="n">
        <v>48</v>
      </c>
      <c r="F59" s="13" t="n">
        <v>122.3005653184223</v>
      </c>
      <c r="G59" s="6">
        <f>bkrcast_all!G59</f>
        <v/>
      </c>
      <c r="H59" s="6">
        <f>bkrcast_inbkr!G59</f>
        <v/>
      </c>
      <c r="I59" s="6">
        <f>bkrcast_outbkr!G59</f>
        <v/>
      </c>
      <c r="J59" s="6">
        <f>soundcast!G59</f>
        <v/>
      </c>
      <c r="K59" s="6">
        <f>C59</f>
        <v/>
      </c>
    </row>
    <row r="60" spans="1:18">
      <c r="A60" t="n">
        <v>49</v>
      </c>
      <c r="B60" s="11">
        <f>bkrcast_all!B60</f>
        <v/>
      </c>
      <c r="C60" s="6">
        <f>bkrcast_all!C60</f>
        <v/>
      </c>
      <c r="E60" s="7" t="n">
        <v>49</v>
      </c>
      <c r="F60" s="13" t="n">
        <v>72.25373985152123</v>
      </c>
      <c r="G60" s="6">
        <f>bkrcast_all!G60</f>
        <v/>
      </c>
      <c r="H60" s="6">
        <f>bkrcast_inbkr!G60</f>
        <v/>
      </c>
      <c r="I60" s="6">
        <f>bkrcast_outbkr!G60</f>
        <v/>
      </c>
      <c r="J60" s="6">
        <f>soundcast!G60</f>
        <v/>
      </c>
      <c r="K60" s="6">
        <f>C60</f>
        <v/>
      </c>
    </row>
    <row r="61" spans="1:18">
      <c r="A61" t="n">
        <v>50</v>
      </c>
      <c r="B61" s="11">
        <f>bkrcast_all!B61</f>
        <v/>
      </c>
      <c r="C61" s="6">
        <f>bkrcast_all!C61</f>
        <v/>
      </c>
      <c r="E61" s="7" t="n">
        <v>50</v>
      </c>
      <c r="F61" s="13" t="n">
        <v>220.6961237383645</v>
      </c>
      <c r="G61" s="6">
        <f>bkrcast_all!G61</f>
        <v/>
      </c>
      <c r="H61" s="6">
        <f>bkrcast_inbkr!G61</f>
        <v/>
      </c>
      <c r="I61" s="6">
        <f>bkrcast_outbkr!G61</f>
        <v/>
      </c>
      <c r="J61" s="6">
        <f>soundcast!G61</f>
        <v/>
      </c>
      <c r="K61" s="6">
        <f>C61</f>
        <v/>
      </c>
    </row>
    <row r="62" spans="1:18">
      <c r="A62" t="n">
        <v>51</v>
      </c>
      <c r="B62" s="11">
        <f>bkrcast_all!B62</f>
        <v/>
      </c>
      <c r="C62" s="6">
        <f>bkrcast_all!C62</f>
        <v/>
      </c>
      <c r="E62" s="7" t="n">
        <v>51</v>
      </c>
      <c r="F62" s="13" t="n">
        <v>150.6707424681559</v>
      </c>
      <c r="G62" s="6">
        <f>bkrcast_all!G62</f>
        <v/>
      </c>
      <c r="H62" s="6">
        <f>bkrcast_inbkr!G62</f>
        <v/>
      </c>
      <c r="I62" s="6">
        <f>bkrcast_outbkr!G62</f>
        <v/>
      </c>
      <c r="J62" s="6">
        <f>soundcast!G62</f>
        <v/>
      </c>
      <c r="K62" s="6">
        <f>C62</f>
        <v/>
      </c>
    </row>
    <row r="63" spans="1:18">
      <c r="A63" t="n">
        <v>52</v>
      </c>
      <c r="B63" s="11">
        <f>bkrcast_all!B63</f>
        <v/>
      </c>
      <c r="C63" s="6">
        <f>bkrcast_all!C63</f>
        <v/>
      </c>
      <c r="E63" s="7" t="n">
        <v>52</v>
      </c>
      <c r="F63" s="13" t="n">
        <v>94.90709194931036</v>
      </c>
      <c r="G63" s="6">
        <f>bkrcast_all!G63</f>
        <v/>
      </c>
      <c r="H63" s="6">
        <f>bkrcast_inbkr!G63</f>
        <v/>
      </c>
      <c r="I63" s="6">
        <f>bkrcast_outbkr!G63</f>
        <v/>
      </c>
      <c r="J63" s="6">
        <f>soundcast!G63</f>
        <v/>
      </c>
      <c r="K63" s="6">
        <f>C63</f>
        <v/>
      </c>
    </row>
    <row r="64" spans="1:18">
      <c r="A64" t="n">
        <v>53</v>
      </c>
      <c r="B64" s="11">
        <f>bkrcast_all!B64</f>
        <v/>
      </c>
      <c r="C64" s="6">
        <f>bkrcast_all!C64</f>
        <v/>
      </c>
      <c r="E64" s="7" t="n">
        <v>53</v>
      </c>
      <c r="F64" s="13" t="n">
        <v>60.77369873431462</v>
      </c>
      <c r="G64" s="6">
        <f>bkrcast_all!G64</f>
        <v/>
      </c>
      <c r="H64" s="6">
        <f>bkrcast_inbkr!G64</f>
        <v/>
      </c>
      <c r="I64" s="6">
        <f>bkrcast_outbkr!G64</f>
        <v/>
      </c>
      <c r="J64" s="6">
        <f>soundcast!G64</f>
        <v/>
      </c>
      <c r="K64" s="6">
        <f>C64</f>
        <v/>
      </c>
    </row>
    <row r="65" spans="1:18">
      <c r="A65" t="n">
        <v>54</v>
      </c>
      <c r="B65" s="11">
        <f>bkrcast_all!B65</f>
        <v/>
      </c>
      <c r="C65" s="6">
        <f>bkrcast_all!C65</f>
        <v/>
      </c>
      <c r="E65" s="7" t="n">
        <v>54</v>
      </c>
      <c r="F65" s="13" t="n">
        <v>42.29821049482422</v>
      </c>
      <c r="G65" s="6">
        <f>bkrcast_all!G65</f>
        <v/>
      </c>
      <c r="H65" s="6">
        <f>bkrcast_inbkr!G65</f>
        <v/>
      </c>
      <c r="I65" s="6">
        <f>bkrcast_outbkr!G65</f>
        <v/>
      </c>
      <c r="J65" s="6">
        <f>soundcast!G65</f>
        <v/>
      </c>
      <c r="K65" s="6">
        <f>C65</f>
        <v/>
      </c>
    </row>
    <row r="66" spans="1:18">
      <c r="A66" t="n">
        <v>55</v>
      </c>
      <c r="B66" s="11">
        <f>bkrcast_all!B66</f>
        <v/>
      </c>
      <c r="C66" s="6">
        <f>bkrcast_all!C66</f>
        <v/>
      </c>
      <c r="E66" s="7" t="n">
        <v>55</v>
      </c>
      <c r="F66" s="13" t="n">
        <v>35.49254426840631</v>
      </c>
      <c r="G66" s="6">
        <f>bkrcast_all!G66</f>
        <v/>
      </c>
      <c r="H66" s="6">
        <f>bkrcast_inbkr!G66</f>
        <v/>
      </c>
      <c r="I66" s="6">
        <f>bkrcast_outbkr!G66</f>
        <v/>
      </c>
      <c r="J66" s="6">
        <f>soundcast!G66</f>
        <v/>
      </c>
      <c r="K66" s="6">
        <f>C66</f>
        <v/>
      </c>
    </row>
    <row r="67" spans="1:18">
      <c r="A67" t="n">
        <v>56</v>
      </c>
      <c r="B67" s="11">
        <f>bkrcast_all!B67</f>
        <v/>
      </c>
      <c r="C67" s="6">
        <f>bkrcast_all!C67</f>
        <v/>
      </c>
      <c r="E67" s="7" t="n">
        <v>56</v>
      </c>
      <c r="F67" s="13" t="n">
        <v>30.43983178491929</v>
      </c>
      <c r="G67" s="6">
        <f>bkrcast_all!G67</f>
        <v/>
      </c>
      <c r="H67" s="6">
        <f>bkrcast_inbkr!G67</f>
        <v/>
      </c>
      <c r="I67" s="6">
        <f>bkrcast_outbkr!G67</f>
        <v/>
      </c>
      <c r="J67" s="6">
        <f>soundcast!G67</f>
        <v/>
      </c>
      <c r="K67" s="6">
        <f>C67</f>
        <v/>
      </c>
    </row>
    <row r="68" spans="1:18">
      <c r="A68" t="n">
        <v>57</v>
      </c>
      <c r="B68" s="11">
        <f>bkrcast_all!B68</f>
        <v/>
      </c>
      <c r="C68" s="6">
        <f>bkrcast_all!C68</f>
        <v/>
      </c>
      <c r="E68" s="7" t="n">
        <v>57</v>
      </c>
      <c r="F68" s="13" t="n">
        <v>34.98964896321214</v>
      </c>
      <c r="G68" s="6">
        <f>bkrcast_all!G68</f>
        <v/>
      </c>
      <c r="H68" s="6">
        <f>bkrcast_inbkr!G68</f>
        <v/>
      </c>
      <c r="I68" s="6">
        <f>bkrcast_outbkr!G68</f>
        <v/>
      </c>
      <c r="J68" s="6">
        <f>soundcast!G68</f>
        <v/>
      </c>
      <c r="K68" s="6">
        <f>C68</f>
        <v/>
      </c>
    </row>
    <row r="69" spans="1:18">
      <c r="A69" t="n">
        <v>58</v>
      </c>
      <c r="B69" s="11">
        <f>bkrcast_all!B69</f>
        <v/>
      </c>
      <c r="C69" s="6">
        <f>bkrcast_all!C69</f>
        <v/>
      </c>
      <c r="E69" s="7" t="n">
        <v>58</v>
      </c>
      <c r="F69" s="13" t="n">
        <v>10</v>
      </c>
      <c r="G69" s="6">
        <f>bkrcast_all!G69</f>
        <v/>
      </c>
      <c r="H69" s="6">
        <f>bkrcast_inbkr!G69</f>
        <v/>
      </c>
      <c r="I69" s="6">
        <f>bkrcast_outbkr!G69</f>
        <v/>
      </c>
      <c r="J69" s="6">
        <f>soundcast!G69</f>
        <v/>
      </c>
      <c r="K69" s="6">
        <f>C69</f>
        <v/>
      </c>
    </row>
    <row r="70" spans="1:18">
      <c r="A70" t="n">
        <v>59</v>
      </c>
      <c r="B70" s="11">
        <f>bkrcast_all!B70</f>
        <v/>
      </c>
      <c r="C70" s="6">
        <f>bkrcast_all!C70</f>
        <v/>
      </c>
      <c r="E70" s="7" t="n">
        <v>59</v>
      </c>
      <c r="F70" s="13" t="n">
        <v>34.9635493202498</v>
      </c>
      <c r="G70" s="6">
        <f>bkrcast_all!G70</f>
        <v/>
      </c>
      <c r="H70" s="6">
        <f>bkrcast_inbkr!G70</f>
        <v/>
      </c>
      <c r="I70" s="6">
        <f>bkrcast_outbkr!G70</f>
        <v/>
      </c>
      <c r="J70" s="6">
        <f>soundcast!G70</f>
        <v/>
      </c>
      <c r="K70" s="6">
        <f>C70</f>
        <v/>
      </c>
    </row>
    <row r="71" spans="1:18">
      <c r="A71" t="n">
        <v>60</v>
      </c>
      <c r="B71" s="11">
        <f>bkrcast_all!B71</f>
        <v/>
      </c>
      <c r="C71" s="6">
        <f>bkrcast_all!C71</f>
        <v/>
      </c>
      <c r="E71" s="7" t="n">
        <v>60</v>
      </c>
      <c r="F71" s="13" t="n">
        <v>9.90909090909091</v>
      </c>
      <c r="G71" s="6">
        <f>bkrcast_all!G71</f>
        <v/>
      </c>
      <c r="H71" s="6">
        <f>bkrcast_inbkr!G71</f>
        <v/>
      </c>
      <c r="I71" s="6">
        <f>bkrcast_outbkr!G71</f>
        <v/>
      </c>
      <c r="J71" s="6">
        <f>soundcast!G71</f>
        <v/>
      </c>
      <c r="K71" s="6">
        <f>C71</f>
        <v/>
      </c>
    </row>
    <row r="72" spans="1:18">
      <c r="A72" t="n">
        <v>61</v>
      </c>
      <c r="B72" s="11">
        <f>bkrcast_all!B72</f>
        <v/>
      </c>
      <c r="C72" s="6">
        <f>bkrcast_all!C72</f>
        <v/>
      </c>
      <c r="E72" s="7" t="n">
        <v>61</v>
      </c>
      <c r="F72" s="13" t="n">
        <v>50.01934937505836</v>
      </c>
      <c r="G72" s="6">
        <f>bkrcast_all!G72</f>
        <v/>
      </c>
      <c r="H72" s="6">
        <f>bkrcast_inbkr!G72</f>
        <v/>
      </c>
      <c r="I72" s="6">
        <f>bkrcast_outbkr!G72</f>
        <v/>
      </c>
      <c r="J72" s="6">
        <f>soundcast!G72</f>
        <v/>
      </c>
      <c r="K72" s="6">
        <f>C72</f>
        <v/>
      </c>
    </row>
    <row r="73" spans="1:18">
      <c r="A73" t="n">
        <v>62</v>
      </c>
      <c r="B73" s="11">
        <f>bkrcast_all!B73</f>
        <v/>
      </c>
      <c r="C73" s="6">
        <f>bkrcast_all!C73</f>
        <v/>
      </c>
      <c r="E73" s="7" t="n">
        <v>62</v>
      </c>
      <c r="F73" s="13" t="n">
        <v>20.025487012987</v>
      </c>
      <c r="G73" s="6">
        <f>bkrcast_all!G73</f>
        <v/>
      </c>
      <c r="H73" s="6">
        <f>bkrcast_inbkr!G73</f>
        <v/>
      </c>
      <c r="I73" s="6">
        <f>bkrcast_outbkr!G73</f>
        <v/>
      </c>
      <c r="J73" s="6">
        <f>soundcast!G73</f>
        <v/>
      </c>
      <c r="K73" s="6">
        <f>C73</f>
        <v/>
      </c>
    </row>
    <row r="74" spans="1:18">
      <c r="A74" t="n">
        <v>63</v>
      </c>
      <c r="B74" s="11">
        <f>bkrcast_all!B74</f>
        <v/>
      </c>
      <c r="C74" s="6">
        <f>bkrcast_all!C74</f>
        <v/>
      </c>
      <c r="E74" s="7" t="n">
        <v>63</v>
      </c>
      <c r="F74" s="13" t="n">
        <v>10.0240963855422</v>
      </c>
      <c r="G74" s="6">
        <f>bkrcast_all!G74</f>
        <v/>
      </c>
      <c r="H74" s="6">
        <f>bkrcast_inbkr!G74</f>
        <v/>
      </c>
      <c r="I74" s="6">
        <f>bkrcast_outbkr!G74</f>
        <v/>
      </c>
      <c r="J74" s="6">
        <f>soundcast!G74</f>
        <v/>
      </c>
      <c r="K74" s="6">
        <f>C74</f>
        <v/>
      </c>
    </row>
    <row r="75" spans="1:18">
      <c r="A75" t="n">
        <v>64</v>
      </c>
      <c r="B75" s="11">
        <f>bkrcast_all!B75</f>
        <v/>
      </c>
      <c r="C75" s="6">
        <f>bkrcast_all!C75</f>
        <v/>
      </c>
      <c r="E75" s="7" t="n">
        <v>64</v>
      </c>
      <c r="F75" s="13" t="n">
        <v>0</v>
      </c>
      <c r="G75" s="6">
        <f>bkrcast_all!G75</f>
        <v/>
      </c>
      <c r="H75" s="6">
        <f>bkrcast_inbkr!G75</f>
        <v/>
      </c>
      <c r="I75" s="6">
        <f>bkrcast_outbkr!G75</f>
        <v/>
      </c>
      <c r="J75" s="6">
        <f>soundcast!G75</f>
        <v/>
      </c>
      <c r="K75" s="6">
        <f>C75</f>
        <v/>
      </c>
    </row>
    <row r="76" spans="1:18">
      <c r="A76" t="n">
        <v>65</v>
      </c>
      <c r="B76" s="11">
        <f>bkrcast_all!B76</f>
        <v/>
      </c>
      <c r="C76" s="6">
        <f>bkrcast_all!C76</f>
        <v/>
      </c>
      <c r="E76" s="7" t="n">
        <v>65</v>
      </c>
      <c r="F76" s="13" t="n">
        <v>24.86047780015343</v>
      </c>
      <c r="G76" s="6">
        <f>bkrcast_all!G76</f>
        <v/>
      </c>
      <c r="H76" s="6">
        <f>bkrcast_inbkr!G76</f>
        <v/>
      </c>
      <c r="I76" s="6">
        <f>bkrcast_outbkr!G76</f>
        <v/>
      </c>
      <c r="J76" s="6">
        <f>soundcast!G76</f>
        <v/>
      </c>
      <c r="K76" s="6">
        <f>C76</f>
        <v/>
      </c>
    </row>
    <row r="77" spans="1:18">
      <c r="A77" t="n">
        <v>66</v>
      </c>
      <c r="B77" s="11">
        <f>bkrcast_all!B77</f>
        <v/>
      </c>
      <c r="C77" s="6">
        <f>bkrcast_all!C77</f>
        <v/>
      </c>
      <c r="E77" s="7" t="n">
        <v>66</v>
      </c>
      <c r="F77" s="13" t="n">
        <v>0</v>
      </c>
      <c r="G77" s="6">
        <f>bkrcast_all!G77</f>
        <v/>
      </c>
      <c r="H77" s="6">
        <f>bkrcast_inbkr!G77</f>
        <v/>
      </c>
      <c r="I77" s="6">
        <f>bkrcast_outbkr!G77</f>
        <v/>
      </c>
      <c r="J77" s="6">
        <f>soundcast!G77</f>
        <v/>
      </c>
      <c r="K77" s="6">
        <f>C77</f>
        <v/>
      </c>
    </row>
    <row r="78" spans="1:18">
      <c r="A78" t="n">
        <v>67</v>
      </c>
      <c r="B78" s="11">
        <f>bkrcast_all!B78</f>
        <v/>
      </c>
      <c r="C78" s="6">
        <f>bkrcast_all!C78</f>
        <v/>
      </c>
      <c r="E78" s="7" t="n">
        <v>67</v>
      </c>
      <c r="F78" s="13" t="n">
        <v>0</v>
      </c>
      <c r="G78" s="6">
        <f>bkrcast_all!G78</f>
        <v/>
      </c>
      <c r="H78" s="6">
        <f>bkrcast_inbkr!G78</f>
        <v/>
      </c>
      <c r="I78" s="6">
        <f>bkrcast_outbkr!G78</f>
        <v/>
      </c>
      <c r="J78" s="6">
        <f>soundcast!G78</f>
        <v/>
      </c>
      <c r="K78" s="6">
        <f>C78</f>
        <v/>
      </c>
    </row>
    <row r="79" spans="1:18">
      <c r="A79" t="n">
        <v>68</v>
      </c>
      <c r="B79" s="11">
        <f>bkrcast_all!B79</f>
        <v/>
      </c>
      <c r="C79" s="6">
        <f>bkrcast_all!C79</f>
        <v/>
      </c>
      <c r="E79" s="7" t="n">
        <v>68</v>
      </c>
      <c r="F79" s="13" t="n">
        <v>19.94888392857143</v>
      </c>
      <c r="G79" s="6">
        <f>bkrcast_all!G79</f>
        <v/>
      </c>
      <c r="H79" s="6">
        <f>bkrcast_inbkr!G79</f>
        <v/>
      </c>
      <c r="I79" s="6">
        <f>bkrcast_outbkr!G79</f>
        <v/>
      </c>
      <c r="J79" s="6">
        <f>soundcast!G79</f>
        <v/>
      </c>
      <c r="K79" s="6">
        <f>C79</f>
        <v/>
      </c>
    </row>
    <row r="80" spans="1:18">
      <c r="A80" t="n">
        <v>69</v>
      </c>
      <c r="B80" s="11">
        <f>bkrcast_all!B80</f>
        <v/>
      </c>
      <c r="C80" s="6">
        <f>bkrcast_all!C80</f>
        <v/>
      </c>
      <c r="E80" s="7" t="n">
        <v>69</v>
      </c>
      <c r="F80" s="13" t="n">
        <v>0</v>
      </c>
      <c r="G80" s="6">
        <f>bkrcast_all!G80</f>
        <v/>
      </c>
      <c r="H80" s="6">
        <f>bkrcast_inbkr!G80</f>
        <v/>
      </c>
      <c r="I80" s="6">
        <f>bkrcast_outbkr!G80</f>
        <v/>
      </c>
      <c r="J80" s="6">
        <f>soundcast!G80</f>
        <v/>
      </c>
      <c r="K80" s="6">
        <f>C80</f>
        <v/>
      </c>
    </row>
    <row r="81" spans="1:18">
      <c r="A81" t="n">
        <v>70</v>
      </c>
      <c r="B81" s="11">
        <f>bkrcast_all!B81</f>
        <v/>
      </c>
      <c r="C81" s="6">
        <f>bkrcast_all!C81</f>
        <v/>
      </c>
      <c r="E81" s="7" t="n">
        <v>70</v>
      </c>
      <c r="F81" s="13" t="n">
        <v>20.03289050782083</v>
      </c>
      <c r="G81" s="6">
        <f>bkrcast_all!G81</f>
        <v/>
      </c>
      <c r="H81" s="6">
        <f>bkrcast_inbkr!G81</f>
        <v/>
      </c>
      <c r="I81" s="6">
        <f>bkrcast_outbkr!G81</f>
        <v/>
      </c>
      <c r="J81" s="6">
        <f>soundcast!G81</f>
        <v/>
      </c>
      <c r="K81" s="6">
        <f>C81</f>
        <v/>
      </c>
    </row>
    <row r="82" spans="1:18">
      <c r="A82" t="n">
        <v>71</v>
      </c>
      <c r="B82" s="11">
        <f>bkrcast_all!B82</f>
        <v/>
      </c>
      <c r="C82" s="6">
        <f>bkrcast_all!C82</f>
        <v/>
      </c>
      <c r="E82" s="7" t="n">
        <v>71</v>
      </c>
      <c r="F82" s="13" t="n">
        <v>0</v>
      </c>
      <c r="G82" s="6">
        <f>bkrcast_all!G82</f>
        <v/>
      </c>
      <c r="H82" s="6">
        <f>bkrcast_inbkr!G82</f>
        <v/>
      </c>
      <c r="I82" s="6">
        <f>bkrcast_outbkr!G82</f>
        <v/>
      </c>
      <c r="J82" s="6">
        <f>soundcast!G82</f>
        <v/>
      </c>
      <c r="K82" s="6">
        <f>C82</f>
        <v/>
      </c>
    </row>
    <row r="83" spans="1:18">
      <c r="A83" t="n">
        <v>72</v>
      </c>
      <c r="B83" s="11">
        <f>bkrcast_all!B83</f>
        <v/>
      </c>
      <c r="C83" s="6">
        <f>bkrcast_all!C83</f>
        <v/>
      </c>
      <c r="E83" s="7" t="n">
        <v>72</v>
      </c>
      <c r="F83" s="13" t="n">
        <v>0</v>
      </c>
      <c r="G83" s="6">
        <f>bkrcast_all!G83</f>
        <v/>
      </c>
      <c r="H83" s="6">
        <f>bkrcast_inbkr!G83</f>
        <v/>
      </c>
      <c r="I83" s="6">
        <f>bkrcast_outbkr!G83</f>
        <v/>
      </c>
      <c r="J83" s="6">
        <f>soundcast!G83</f>
        <v/>
      </c>
      <c r="K83" s="6">
        <f>C83</f>
        <v/>
      </c>
    </row>
    <row r="84" spans="1:18">
      <c r="A84" t="n">
        <v>73</v>
      </c>
      <c r="B84" s="11">
        <f>bkrcast_all!B84</f>
        <v/>
      </c>
      <c r="C84" s="6">
        <f>bkrcast_all!C84</f>
        <v/>
      </c>
      <c r="E84" s="7" t="n">
        <v>73</v>
      </c>
      <c r="F84" s="13" t="n">
        <v>0</v>
      </c>
      <c r="G84" s="6">
        <f>bkrcast_all!G84</f>
        <v/>
      </c>
      <c r="H84" s="6">
        <f>bkrcast_inbkr!G84</f>
        <v/>
      </c>
      <c r="I84" s="6">
        <f>bkrcast_outbkr!G84</f>
        <v/>
      </c>
      <c r="J84" s="6">
        <f>soundcast!G84</f>
        <v/>
      </c>
      <c r="K84" s="6">
        <f>C84</f>
        <v/>
      </c>
    </row>
    <row r="85" spans="1:18">
      <c r="A85" t="n">
        <v>74</v>
      </c>
      <c r="B85" s="11">
        <f>bkrcast_all!B85</f>
        <v/>
      </c>
      <c r="C85" s="6">
        <f>bkrcast_all!C85</f>
        <v/>
      </c>
      <c r="E85" s="7" t="n">
        <v>74</v>
      </c>
      <c r="F85" s="13" t="n">
        <v>0</v>
      </c>
      <c r="G85" s="6">
        <f>bkrcast_all!G85</f>
        <v/>
      </c>
      <c r="H85" s="6">
        <f>bkrcast_inbkr!G85</f>
        <v/>
      </c>
      <c r="I85" s="6">
        <f>bkrcast_outbkr!G85</f>
        <v/>
      </c>
      <c r="J85" s="6">
        <f>soundcast!G85</f>
        <v/>
      </c>
      <c r="K85" s="6">
        <f>C85</f>
        <v/>
      </c>
    </row>
    <row r="86" spans="1:18">
      <c r="A86" t="n">
        <v>75</v>
      </c>
      <c r="B86" s="11">
        <f>bkrcast_all!B86</f>
        <v/>
      </c>
      <c r="C86" s="6">
        <f>bkrcast_all!C86</f>
        <v/>
      </c>
      <c r="E86" s="7" t="n">
        <v>75</v>
      </c>
      <c r="F86" s="13" t="n">
        <v>0</v>
      </c>
      <c r="G86" s="6">
        <f>bkrcast_all!G86</f>
        <v/>
      </c>
      <c r="H86" s="6">
        <f>bkrcast_inbkr!G86</f>
        <v/>
      </c>
      <c r="I86" s="6">
        <f>bkrcast_outbkr!G86</f>
        <v/>
      </c>
      <c r="J86" s="6">
        <f>soundcast!G86</f>
        <v/>
      </c>
      <c r="K86" s="6">
        <f>C86</f>
        <v/>
      </c>
    </row>
    <row r="87" spans="1:18">
      <c r="A87" t="n">
        <v>76</v>
      </c>
      <c r="B87" s="11">
        <f>bkrcast_all!B87</f>
        <v/>
      </c>
      <c r="C87" s="6">
        <f>bkrcast_all!C87</f>
        <v/>
      </c>
      <c r="E87" s="7" t="n">
        <v>76</v>
      </c>
      <c r="F87" s="13" t="n">
        <v>0</v>
      </c>
      <c r="G87" s="6">
        <f>bkrcast_all!G87</f>
        <v/>
      </c>
      <c r="H87" s="6">
        <f>bkrcast_inbkr!G87</f>
        <v/>
      </c>
      <c r="I87" s="6">
        <f>bkrcast_outbkr!G87</f>
        <v/>
      </c>
      <c r="J87" s="6">
        <f>soundcast!G87</f>
        <v/>
      </c>
      <c r="K87" s="6">
        <f>C87</f>
        <v/>
      </c>
    </row>
    <row r="88" spans="1:18">
      <c r="A88" t="n">
        <v>77</v>
      </c>
      <c r="B88" s="11">
        <f>bkrcast_all!B88</f>
        <v/>
      </c>
      <c r="C88" s="6">
        <f>bkrcast_all!C88</f>
        <v/>
      </c>
      <c r="E88" s="7" t="n">
        <v>77</v>
      </c>
      <c r="F88" s="13" t="n">
        <v>0</v>
      </c>
      <c r="G88" s="6">
        <f>bkrcast_all!G88</f>
        <v/>
      </c>
      <c r="H88" s="6">
        <f>bkrcast_inbkr!G88</f>
        <v/>
      </c>
      <c r="I88" s="6">
        <f>bkrcast_outbkr!G88</f>
        <v/>
      </c>
      <c r="J88" s="6">
        <f>soundcast!G88</f>
        <v/>
      </c>
      <c r="K88" s="6">
        <f>C88</f>
        <v/>
      </c>
    </row>
    <row r="89" spans="1:18">
      <c r="A89" t="n">
        <v>78</v>
      </c>
      <c r="B89" s="11">
        <f>bkrcast_all!B89</f>
        <v/>
      </c>
      <c r="C89" s="6">
        <f>bkrcast_all!C89</f>
        <v/>
      </c>
      <c r="E89" s="7" t="n">
        <v>78</v>
      </c>
      <c r="F89" s="13" t="n">
        <v>0</v>
      </c>
      <c r="G89" s="6">
        <f>bkrcast_all!G89</f>
        <v/>
      </c>
      <c r="H89" s="6">
        <f>bkrcast_inbkr!G89</f>
        <v/>
      </c>
      <c r="I89" s="6">
        <f>bkrcast_outbkr!G89</f>
        <v/>
      </c>
      <c r="J89" s="6">
        <f>soundcast!G89</f>
        <v/>
      </c>
      <c r="K89" s="6">
        <f>C89</f>
        <v/>
      </c>
    </row>
    <row r="90" spans="1:18">
      <c r="A90" t="n">
        <v>79</v>
      </c>
      <c r="B90" s="11">
        <f>bkrcast_all!B90</f>
        <v/>
      </c>
      <c r="C90" s="6">
        <f>bkrcast_all!C90</f>
        <v/>
      </c>
      <c r="E90" s="7" t="n">
        <v>79</v>
      </c>
      <c r="F90" s="13" t="n">
        <v>0</v>
      </c>
      <c r="G90" s="6">
        <f>bkrcast_all!G90</f>
        <v/>
      </c>
      <c r="H90" s="6">
        <f>bkrcast_inbkr!G90</f>
        <v/>
      </c>
      <c r="I90" s="6">
        <f>bkrcast_outbkr!G90</f>
        <v/>
      </c>
      <c r="J90" s="6">
        <f>soundcast!G90</f>
        <v/>
      </c>
      <c r="K90" s="6">
        <f>C90</f>
        <v/>
      </c>
    </row>
    <row r="91" spans="1:18">
      <c r="A91" t="n">
        <v>80</v>
      </c>
      <c r="B91" s="11">
        <f>bkrcast_all!B91</f>
        <v/>
      </c>
      <c r="C91" s="6">
        <f>bkrcast_all!C91</f>
        <v/>
      </c>
      <c r="E91" s="7" t="n">
        <v>80</v>
      </c>
      <c r="F91" s="13" t="n">
        <v>0</v>
      </c>
      <c r="G91" s="6">
        <f>bkrcast_all!G91</f>
        <v/>
      </c>
      <c r="H91" s="6">
        <f>bkrcast_inbkr!G91</f>
        <v/>
      </c>
      <c r="I91" s="6">
        <f>bkrcast_outbkr!G91</f>
        <v/>
      </c>
      <c r="J91" s="6">
        <f>soundcast!G91</f>
        <v/>
      </c>
      <c r="K91" s="6">
        <f>C91</f>
        <v/>
      </c>
    </row>
    <row r="92" spans="1:18">
      <c r="A92" t="n">
        <v>81</v>
      </c>
      <c r="B92" s="11">
        <f>bkrcast_all!B92</f>
        <v/>
      </c>
      <c r="C92" s="6">
        <f>bkrcast_all!C92</f>
        <v/>
      </c>
      <c r="E92" s="7" t="n">
        <v>81</v>
      </c>
      <c r="F92" s="13" t="n">
        <v>0</v>
      </c>
      <c r="G92" s="6">
        <f>bkrcast_all!G92</f>
        <v/>
      </c>
      <c r="H92" s="6">
        <f>bkrcast_inbkr!G92</f>
        <v/>
      </c>
      <c r="I92" s="6">
        <f>bkrcast_outbkr!G92</f>
        <v/>
      </c>
      <c r="J92" s="6">
        <f>soundcast!G92</f>
        <v/>
      </c>
      <c r="K92" s="6">
        <f>C92</f>
        <v/>
      </c>
    </row>
    <row r="93" spans="1:18">
      <c r="A93" t="n">
        <v>82</v>
      </c>
      <c r="B93" s="11">
        <f>bkrcast_all!B93</f>
        <v/>
      </c>
      <c r="C93" s="6">
        <f>bkrcast_all!C93</f>
        <v/>
      </c>
      <c r="E93" s="7" t="n">
        <v>82</v>
      </c>
      <c r="F93" s="13" t="n">
        <v>0</v>
      </c>
      <c r="G93" s="6">
        <f>bkrcast_all!G93</f>
        <v/>
      </c>
      <c r="H93" s="6">
        <f>bkrcast_inbkr!G93</f>
        <v/>
      </c>
      <c r="I93" s="6">
        <f>bkrcast_outbkr!G93</f>
        <v/>
      </c>
      <c r="J93" s="6">
        <f>soundcast!G93</f>
        <v/>
      </c>
      <c r="K93" s="6">
        <f>C93</f>
        <v/>
      </c>
    </row>
    <row r="94" spans="1:18">
      <c r="A94" t="n">
        <v>83</v>
      </c>
      <c r="B94" s="11">
        <f>bkrcast_all!B94</f>
        <v/>
      </c>
      <c r="C94" s="6">
        <f>bkrcast_all!C94</f>
        <v/>
      </c>
      <c r="E94" s="7" t="n">
        <v>83</v>
      </c>
      <c r="F94" s="13" t="n">
        <v>0</v>
      </c>
      <c r="G94" s="6">
        <f>bkrcast_all!G94</f>
        <v/>
      </c>
      <c r="H94" s="6">
        <f>bkrcast_inbkr!G94</f>
        <v/>
      </c>
      <c r="I94" s="6">
        <f>bkrcast_outbkr!G94</f>
        <v/>
      </c>
      <c r="J94" s="6">
        <f>soundcast!G94</f>
        <v/>
      </c>
      <c r="K94" s="6">
        <f>C94</f>
        <v/>
      </c>
    </row>
    <row r="95" spans="1:18">
      <c r="A95" t="n">
        <v>84</v>
      </c>
      <c r="B95" s="11">
        <f>bkrcast_all!B95</f>
        <v/>
      </c>
      <c r="C95" s="6">
        <f>bkrcast_all!C95</f>
        <v/>
      </c>
      <c r="E95" s="7" t="n">
        <v>84</v>
      </c>
      <c r="F95" s="13" t="n">
        <v>0</v>
      </c>
      <c r="G95" s="6">
        <f>bkrcast_all!G95</f>
        <v/>
      </c>
      <c r="H95" s="6">
        <f>bkrcast_inbkr!G95</f>
        <v/>
      </c>
      <c r="I95" s="6">
        <f>bkrcast_outbkr!G95</f>
        <v/>
      </c>
      <c r="J95" s="6">
        <f>soundcast!G95</f>
        <v/>
      </c>
      <c r="K95" s="6">
        <f>C95</f>
        <v/>
      </c>
    </row>
    <row r="96" spans="1:18">
      <c r="A96" t="n">
        <v>85</v>
      </c>
      <c r="B96" s="11">
        <f>bkrcast_all!B96</f>
        <v/>
      </c>
      <c r="C96" s="6">
        <f>bkrcast_all!C96</f>
        <v/>
      </c>
      <c r="E96" s="7" t="n">
        <v>85</v>
      </c>
      <c r="F96" s="13" t="n">
        <v>0</v>
      </c>
      <c r="G96" s="6">
        <f>bkrcast_all!G96</f>
        <v/>
      </c>
      <c r="H96" s="6">
        <f>bkrcast_inbkr!G96</f>
        <v/>
      </c>
      <c r="I96" s="6">
        <f>bkrcast_outbkr!G96</f>
        <v/>
      </c>
      <c r="J96" s="6">
        <f>soundcast!G96</f>
        <v/>
      </c>
      <c r="K96" s="6">
        <f>C96</f>
        <v/>
      </c>
    </row>
    <row r="97" spans="1:18">
      <c r="A97" t="n">
        <v>86</v>
      </c>
      <c r="B97" s="11">
        <f>bkrcast_all!B97</f>
        <v/>
      </c>
      <c r="C97" s="6">
        <f>bkrcast_all!C97</f>
        <v/>
      </c>
      <c r="E97" s="7" t="n">
        <v>86</v>
      </c>
      <c r="F97" s="13" t="n">
        <v>0</v>
      </c>
      <c r="G97" s="6">
        <f>bkrcast_all!G97</f>
        <v/>
      </c>
      <c r="H97" s="6">
        <f>bkrcast_inbkr!G97</f>
        <v/>
      </c>
      <c r="I97" s="6">
        <f>bkrcast_outbkr!G97</f>
        <v/>
      </c>
      <c r="J97" s="6">
        <f>soundcast!G97</f>
        <v/>
      </c>
      <c r="K97" s="6">
        <f>C97</f>
        <v/>
      </c>
    </row>
    <row r="98" spans="1:18">
      <c r="A98" t="n">
        <v>87</v>
      </c>
      <c r="B98" s="11">
        <f>bkrcast_all!B98</f>
        <v/>
      </c>
      <c r="C98" s="6">
        <f>bkrcast_all!C98</f>
        <v/>
      </c>
      <c r="E98" s="7" t="n">
        <v>87</v>
      </c>
      <c r="F98" s="13" t="n">
        <v>0</v>
      </c>
      <c r="G98" s="6">
        <f>bkrcast_all!G98</f>
        <v/>
      </c>
      <c r="H98" s="6">
        <f>bkrcast_inbkr!G98</f>
        <v/>
      </c>
      <c r="I98" s="6">
        <f>bkrcast_outbkr!G98</f>
        <v/>
      </c>
      <c r="J98" s="6">
        <f>soundcast!G98</f>
        <v/>
      </c>
      <c r="K98" s="6">
        <f>C98</f>
        <v/>
      </c>
    </row>
    <row r="99" spans="1:18">
      <c r="A99" t="n">
        <v>88</v>
      </c>
      <c r="B99" s="11">
        <f>bkrcast_all!B99</f>
        <v/>
      </c>
      <c r="C99" s="6">
        <f>bkrcast_all!C99</f>
        <v/>
      </c>
      <c r="E99" s="7" t="n">
        <v>88</v>
      </c>
      <c r="F99" s="13" t="n">
        <v>0</v>
      </c>
      <c r="G99" s="6">
        <f>bkrcast_all!G99</f>
        <v/>
      </c>
      <c r="H99" s="6">
        <f>bkrcast_inbkr!G99</f>
        <v/>
      </c>
      <c r="I99" s="6">
        <f>bkrcast_outbkr!G99</f>
        <v/>
      </c>
      <c r="J99" s="6">
        <f>soundcast!G99</f>
        <v/>
      </c>
      <c r="K99" s="6">
        <f>C99</f>
        <v/>
      </c>
    </row>
    <row r="100" spans="1:18">
      <c r="A100" t="n">
        <v>89</v>
      </c>
      <c r="B100" s="11">
        <f>bkrcast_all!B100</f>
        <v/>
      </c>
      <c r="C100" s="6">
        <f>bkrcast_all!C100</f>
        <v/>
      </c>
      <c r="E100" s="7" t="n">
        <v>89</v>
      </c>
      <c r="F100" s="13" t="n">
        <v>0</v>
      </c>
      <c r="G100" s="6">
        <f>bkrcast_all!G100</f>
        <v/>
      </c>
      <c r="H100" s="6">
        <f>bkrcast_inbkr!G100</f>
        <v/>
      </c>
      <c r="I100" s="6">
        <f>bkrcast_outbkr!G100</f>
        <v/>
      </c>
      <c r="J100" s="6">
        <f>soundcast!G100</f>
        <v/>
      </c>
      <c r="K100" s="6">
        <f>C100</f>
        <v/>
      </c>
    </row>
    <row customHeight="1" ht="15.75" r="101" spans="1:18">
      <c r="A101" s="1" t="n">
        <v>90</v>
      </c>
      <c r="B101" s="11">
        <f>bkrcast_all!B101</f>
        <v/>
      </c>
      <c r="C101" s="6">
        <f>bkrcast_all!C101</f>
        <v/>
      </c>
      <c r="E101" s="8" t="n">
        <v>90</v>
      </c>
      <c r="F101" s="14" t="n">
        <v>0</v>
      </c>
      <c r="G101" s="6">
        <f>bkrcast_all!G101</f>
        <v/>
      </c>
      <c r="H101" s="6">
        <f>bkrcast_inbkr!G101</f>
        <v/>
      </c>
      <c r="I101" s="6">
        <f>bkrcast_outbkr!G101</f>
        <v/>
      </c>
      <c r="J101" s="6">
        <f>soundcast!G101</f>
        <v/>
      </c>
      <c r="K101" s="6">
        <f>C101</f>
        <v/>
      </c>
    </row>
    <row r="102" spans="1:18">
      <c r="B102" s="11">
        <f>bkrcast_all!B102</f>
        <v/>
      </c>
      <c r="C102" s="6">
        <f>bkrcast_all!C102</f>
        <v/>
      </c>
      <c r="F102" s="11">
        <f>SUM(F11:F101)</f>
        <v/>
      </c>
      <c r="G102" s="6">
        <f>F102/F$102</f>
        <v/>
      </c>
      <c r="H102" s="6" t="n">
        <v>1</v>
      </c>
      <c r="I102" s="6" t="n">
        <v>1</v>
      </c>
      <c r="J102" s="6" t="n">
        <v>1</v>
      </c>
    </row>
  </sheetData>
  <pageMargins bottom="0.75" footer="0.3" header="0.3" left="0.7" right="0.7" top="0.75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L102"/>
  <sheetViews>
    <sheetView workbookViewId="0">
      <selection activeCell="H32" sqref="H32"/>
    </sheetView>
  </sheetViews>
  <sheetFormatPr baseColWidth="10" defaultRowHeight="15" outlineLevelCol="0"/>
  <cols>
    <col collapsed="1" customWidth="1" max="1" min="1" style="10" width="13.5703125"/>
    <col collapsed="1" customWidth="1" max="2" min="2" style="10" width="10.5703125"/>
    <col collapsed="1" customWidth="1" max="6" min="6" style="10" width="10.5703125"/>
  </cols>
  <sheetData>
    <row r="1" spans="1:12">
      <c r="A1" t="s">
        <v>0</v>
      </c>
    </row>
    <row r="2" spans="1:12">
      <c r="A2" t="s">
        <v>1</v>
      </c>
    </row>
    <row r="3" spans="1:12">
      <c r="A3" t="s">
        <v>2</v>
      </c>
    </row>
    <row r="4" spans="1:12">
      <c r="A4" t="s">
        <v>3</v>
      </c>
    </row>
    <row r="5" spans="1:12">
      <c r="A5" t="s">
        <v>4</v>
      </c>
    </row>
    <row r="7" spans="1:12">
      <c r="A7" t="s">
        <v>5</v>
      </c>
    </row>
    <row customHeight="1" ht="15.75" r="9" spans="1:12">
      <c r="A9" s="3" t="s">
        <v>6</v>
      </c>
      <c r="B9" s="1" t="n"/>
      <c r="E9" s="3" t="s">
        <v>7</v>
      </c>
      <c r="F9" s="1" t="n"/>
      <c r="J9" s="5" t="s">
        <v>16</v>
      </c>
    </row>
    <row r="10" spans="1:12">
      <c r="A10" s="2" t="s">
        <v>9</v>
      </c>
      <c r="B10" s="9" t="s">
        <v>10</v>
      </c>
      <c r="C10" s="9" t="s">
        <v>10</v>
      </c>
      <c r="E10" s="2" t="s">
        <v>9</v>
      </c>
      <c r="F10" s="9" t="s">
        <v>11</v>
      </c>
      <c r="G10" s="9" t="s">
        <v>11</v>
      </c>
      <c r="J10" s="2" t="n"/>
      <c r="K10" s="9" t="s">
        <v>10</v>
      </c>
      <c r="L10" s="9" t="s">
        <v>11</v>
      </c>
    </row>
    <row r="11" spans="1:12">
      <c r="A11" t="n">
        <v>0</v>
      </c>
      <c r="B11" s="11" t="n">
        <v>145296.6759334703</v>
      </c>
      <c r="C11" s="6" t="n">
        <v>0.224258931108467</v>
      </c>
      <c r="E11" s="7" t="n">
        <v>0</v>
      </c>
      <c r="F11" s="13" t="n">
        <v>96440</v>
      </c>
      <c r="G11" s="6" t="n">
        <v>0.1512601615177461</v>
      </c>
      <c r="K11" s="4" t="n">
        <v>4.717772936342971</v>
      </c>
      <c r="L11" s="4" t="n">
        <v>5.139843161737423</v>
      </c>
    </row>
    <row r="12" spans="1:12">
      <c r="A12" t="n">
        <v>1</v>
      </c>
      <c r="B12" s="11" t="n">
        <v>95117.45259677179</v>
      </c>
      <c r="C12" s="6" t="n">
        <v>0.1468095406317452</v>
      </c>
      <c r="E12" s="7" t="n">
        <v>1</v>
      </c>
      <c r="F12" s="13" t="n">
        <v>106989</v>
      </c>
      <c r="G12" s="6" t="n">
        <v>0.1678056140670068</v>
      </c>
      <c r="K12" s="4" t="n"/>
      <c r="L12" s="7" t="n"/>
    </row>
    <row r="13" spans="1:12">
      <c r="A13" t="n">
        <v>2</v>
      </c>
      <c r="B13" s="11" t="n">
        <v>88454.693512404</v>
      </c>
      <c r="C13" s="6" t="n">
        <v>0.1365258695092364</v>
      </c>
      <c r="E13" s="7" t="n">
        <v>2</v>
      </c>
      <c r="F13" s="13" t="n">
        <v>90207</v>
      </c>
      <c r="G13" s="6" t="n">
        <v>0.1414840874121871</v>
      </c>
    </row>
    <row r="14" spans="1:12">
      <c r="A14" t="n">
        <v>3</v>
      </c>
      <c r="B14" s="11" t="n">
        <v>70349.5787863962</v>
      </c>
      <c r="C14" s="6" t="n">
        <v>0.1085814334100251</v>
      </c>
      <c r="E14" s="7" t="n">
        <v>3</v>
      </c>
      <c r="F14" s="13" t="n">
        <v>71477</v>
      </c>
      <c r="G14" s="6" t="n">
        <v>0.1121072435172536</v>
      </c>
    </row>
    <row r="15" spans="1:12">
      <c r="A15" t="n">
        <v>4</v>
      </c>
      <c r="B15" s="11" t="n">
        <v>54599.82947474</v>
      </c>
      <c r="C15" s="6" t="n">
        <v>0.08427239864948032</v>
      </c>
      <c r="E15" s="7" t="n">
        <v>4</v>
      </c>
      <c r="F15" s="13" t="n">
        <v>55183</v>
      </c>
      <c r="G15" s="6" t="n">
        <v>0.08655111461047058</v>
      </c>
    </row>
    <row r="16" spans="1:12">
      <c r="A16" t="n">
        <v>5</v>
      </c>
      <c r="B16" s="11" t="n">
        <v>32811.3771675072</v>
      </c>
      <c r="C16" s="6" t="n">
        <v>0.05064289547237254</v>
      </c>
      <c r="E16" s="7" t="n">
        <v>5</v>
      </c>
      <c r="F16" s="13" t="n">
        <v>42932</v>
      </c>
      <c r="G16" s="6" t="n">
        <v>0.06733618057113101</v>
      </c>
    </row>
    <row r="17" spans="1:12">
      <c r="A17" t="n">
        <v>6</v>
      </c>
      <c r="B17" s="11" t="n">
        <v>28429.7067945662</v>
      </c>
      <c r="C17" s="6" t="n">
        <v>0.04387998291437761</v>
      </c>
      <c r="E17" s="7" t="n">
        <v>6</v>
      </c>
      <c r="F17" s="13" t="n">
        <v>32491</v>
      </c>
      <c r="G17" s="6" t="n">
        <v>0.05096011932676367</v>
      </c>
    </row>
    <row r="18" spans="1:12">
      <c r="A18" t="n">
        <v>7</v>
      </c>
      <c r="B18" s="11" t="n">
        <v>16311.7059670372</v>
      </c>
      <c r="C18" s="6" t="n">
        <v>0.02517638976406</v>
      </c>
      <c r="E18" s="7" t="n">
        <v>7</v>
      </c>
      <c r="F18" s="13" t="n">
        <v>24719</v>
      </c>
      <c r="G18" s="6" t="n">
        <v>0.03877021912647414</v>
      </c>
    </row>
    <row r="19" spans="1:12">
      <c r="A19" t="n">
        <v>8</v>
      </c>
      <c r="B19" s="11" t="n">
        <v>26462.8010483393</v>
      </c>
      <c r="C19" s="6" t="n">
        <v>0.04084415172687048</v>
      </c>
      <c r="E19" s="7" t="n">
        <v>8</v>
      </c>
      <c r="F19" s="13" t="n">
        <v>18342</v>
      </c>
      <c r="G19" s="6" t="n">
        <v>0.02876828994772396</v>
      </c>
    </row>
    <row r="20" spans="1:12">
      <c r="A20" t="n">
        <v>9</v>
      </c>
      <c r="B20" s="11" t="n">
        <v>9102.4040726561</v>
      </c>
      <c r="C20" s="6" t="n">
        <v>0.01404915422005868</v>
      </c>
      <c r="E20" s="7" t="n">
        <v>9</v>
      </c>
      <c r="F20" s="13" t="n">
        <v>13858</v>
      </c>
      <c r="G20" s="6" t="n">
        <v>0.02173541391863257</v>
      </c>
    </row>
    <row r="21" spans="1:12">
      <c r="A21" t="n">
        <v>10</v>
      </c>
      <c r="B21" s="11" t="n">
        <v>17253.9297014695</v>
      </c>
      <c r="C21" s="6" t="n">
        <v>0.0266306700233384</v>
      </c>
      <c r="E21" s="7" t="n">
        <v>10</v>
      </c>
      <c r="F21" s="13" t="n">
        <v>10887</v>
      </c>
      <c r="G21" s="6" t="n">
        <v>0.01707558459605663</v>
      </c>
    </row>
    <row r="22" spans="1:12">
      <c r="A22" t="n">
        <v>11</v>
      </c>
      <c r="B22" s="11" t="n">
        <v>7752.4702324037</v>
      </c>
      <c r="C22" s="6" t="n">
        <v>0.01196559161866256</v>
      </c>
      <c r="E22" s="7" t="n">
        <v>11</v>
      </c>
      <c r="F22" s="13" t="n">
        <v>9801</v>
      </c>
      <c r="G22" s="6" t="n">
        <v>0.0153722609190733</v>
      </c>
    </row>
    <row r="23" spans="1:12">
      <c r="A23" t="n">
        <v>12</v>
      </c>
      <c r="B23" s="11" t="n">
        <v>10656.4395989199</v>
      </c>
      <c r="C23" s="6" t="n">
        <v>0.01644773865969226</v>
      </c>
      <c r="E23" s="7" t="n">
        <v>12</v>
      </c>
      <c r="F23" s="13" t="n">
        <v>8276</v>
      </c>
      <c r="G23" s="6" t="n">
        <v>0.01298039295645859</v>
      </c>
    </row>
    <row r="24" spans="1:12">
      <c r="A24" t="n">
        <v>13</v>
      </c>
      <c r="B24" s="11" t="n">
        <v>4992.0081253151</v>
      </c>
      <c r="C24" s="6" t="n">
        <v>0.007704941624270564</v>
      </c>
      <c r="E24" s="7" t="n">
        <v>13</v>
      </c>
      <c r="F24" s="13" t="n">
        <v>7457</v>
      </c>
      <c r="G24" s="6" t="n">
        <v>0.01169584222768387</v>
      </c>
    </row>
    <row r="25" spans="1:12">
      <c r="A25" t="n">
        <v>14</v>
      </c>
      <c r="B25" s="11" t="n">
        <v>1202.2808873769</v>
      </c>
      <c r="C25" s="6" t="n">
        <v>0.001855666862046725</v>
      </c>
      <c r="E25" s="7" t="n">
        <v>14</v>
      </c>
      <c r="F25" s="13" t="n">
        <v>6498</v>
      </c>
      <c r="G25" s="6" t="n">
        <v>0.01019171017775108</v>
      </c>
    </row>
    <row r="26" spans="1:12">
      <c r="A26" t="n">
        <v>15</v>
      </c>
      <c r="B26" s="11" t="n">
        <v>3015.910189999</v>
      </c>
      <c r="C26" s="6" t="n">
        <v>0.004654922703379669</v>
      </c>
      <c r="E26" s="7" t="n">
        <v>15</v>
      </c>
      <c r="F26" s="13" t="n">
        <v>5798</v>
      </c>
      <c r="G26" s="6" t="n">
        <v>0.009093803571960719</v>
      </c>
    </row>
    <row r="27" spans="1:12">
      <c r="A27" t="n">
        <v>16</v>
      </c>
      <c r="B27" s="11" t="n">
        <v>11130.871474491</v>
      </c>
      <c r="C27" s="6" t="n">
        <v>0.01718000307397299</v>
      </c>
      <c r="E27" s="7" t="n">
        <v>16</v>
      </c>
      <c r="F27" s="13" t="n">
        <v>4985</v>
      </c>
      <c r="G27" s="6" t="n">
        <v>0.00781866347123563</v>
      </c>
    </row>
    <row r="28" spans="1:12">
      <c r="A28" t="n">
        <v>17</v>
      </c>
      <c r="B28" s="11" t="n">
        <v>1410.6998764252</v>
      </c>
      <c r="C28" s="6" t="n">
        <v>0.002177352264733299</v>
      </c>
      <c r="E28" s="7" t="n">
        <v>17</v>
      </c>
      <c r="F28" s="13" t="n">
        <v>4473</v>
      </c>
      <c r="G28" s="6" t="n">
        <v>0.007015623211000397</v>
      </c>
    </row>
    <row r="29" spans="1:12">
      <c r="A29" t="n">
        <v>18</v>
      </c>
      <c r="B29" s="11" t="n">
        <v>3220.030717031</v>
      </c>
      <c r="C29" s="6" t="n">
        <v>0.004969973621891071</v>
      </c>
      <c r="E29" s="7" t="n">
        <v>18</v>
      </c>
      <c r="F29" s="13" t="n">
        <v>3848</v>
      </c>
      <c r="G29" s="6" t="n">
        <v>0.006035349455830433</v>
      </c>
    </row>
    <row r="30" spans="1:12">
      <c r="A30" t="n">
        <v>19</v>
      </c>
      <c r="B30" s="11" t="n">
        <v>2233.4976549987</v>
      </c>
      <c r="C30" s="6" t="n">
        <v>0.003447303894086497</v>
      </c>
      <c r="E30" s="7" t="n">
        <v>19</v>
      </c>
      <c r="F30" s="13" t="n">
        <v>3289</v>
      </c>
      <c r="G30" s="6" t="n">
        <v>0.005158592609206417</v>
      </c>
    </row>
    <row r="31" spans="1:12">
      <c r="A31" t="n">
        <v>20</v>
      </c>
      <c r="B31" s="11" t="n">
        <v>2056.9226457481</v>
      </c>
      <c r="C31" s="6" t="n">
        <v>0.00317476825223094</v>
      </c>
      <c r="E31" s="7" t="n">
        <v>20</v>
      </c>
      <c r="F31" s="13" t="n">
        <v>2789</v>
      </c>
      <c r="G31" s="6" t="n">
        <v>0.004374373605070446</v>
      </c>
    </row>
    <row r="32" spans="1:12">
      <c r="A32" t="n">
        <v>21</v>
      </c>
      <c r="B32" s="11" t="n">
        <v>3831.4351210792</v>
      </c>
      <c r="C32" s="6" t="n">
        <v>0.005913649017394551</v>
      </c>
      <c r="E32" s="7" t="n">
        <v>21</v>
      </c>
      <c r="F32" s="13" t="n">
        <v>2481</v>
      </c>
      <c r="G32" s="6" t="n">
        <v>0.003891294698522688</v>
      </c>
    </row>
    <row r="33" spans="1:12">
      <c r="A33" t="n">
        <v>22</v>
      </c>
      <c r="B33" s="11" t="n">
        <v>460.056707408</v>
      </c>
      <c r="C33" s="6" t="n">
        <v>0.0007100769841413304</v>
      </c>
      <c r="E33" s="7" t="n">
        <v>22</v>
      </c>
      <c r="F33" s="13" t="n">
        <v>2169</v>
      </c>
      <c r="G33" s="6" t="n">
        <v>0.003401942039941842</v>
      </c>
    </row>
    <row r="34" spans="1:12">
      <c r="A34" t="n">
        <v>23</v>
      </c>
      <c r="B34" s="11" t="n">
        <v>3423.9459510197</v>
      </c>
      <c r="C34" s="6" t="n">
        <v>0.00528470767975746</v>
      </c>
      <c r="E34" s="7" t="n">
        <v>23</v>
      </c>
      <c r="F34" s="13" t="n">
        <v>1780</v>
      </c>
      <c r="G34" s="6" t="n">
        <v>0.002791819654724057</v>
      </c>
    </row>
    <row r="35" spans="1:12">
      <c r="A35" t="n">
        <v>24</v>
      </c>
      <c r="B35" s="11" t="n">
        <v>1050.609105803</v>
      </c>
      <c r="C35" s="6" t="n">
        <v>0.001621568240061359</v>
      </c>
      <c r="E35" s="7" t="n">
        <v>24</v>
      </c>
      <c r="F35" s="13" t="n">
        <v>1526</v>
      </c>
      <c r="G35" s="6" t="n">
        <v>0.002393436400622984</v>
      </c>
    </row>
    <row r="36" spans="1:12">
      <c r="A36" t="n">
        <v>25</v>
      </c>
      <c r="B36" s="11" t="n">
        <v>0</v>
      </c>
      <c r="C36" s="6" t="n">
        <v>0</v>
      </c>
      <c r="E36" s="7" t="n">
        <v>25</v>
      </c>
      <c r="F36" s="13" t="n">
        <v>1308</v>
      </c>
      <c r="G36" s="6" t="n">
        <v>0.0020515169148197</v>
      </c>
    </row>
    <row r="37" spans="1:12">
      <c r="A37" t="n">
        <v>26</v>
      </c>
      <c r="B37" s="11" t="n">
        <v>2098.1460353052</v>
      </c>
      <c r="C37" s="6" t="n">
        <v>0.003238394713189869</v>
      </c>
      <c r="E37" s="7" t="n">
        <v>26</v>
      </c>
      <c r="F37" s="13" t="n">
        <v>1071</v>
      </c>
      <c r="G37" s="6" t="n">
        <v>0.00167979710685925</v>
      </c>
    </row>
    <row r="38" spans="1:12">
      <c r="A38" t="n">
        <v>27</v>
      </c>
      <c r="B38" s="11" t="n">
        <v>760.065763762</v>
      </c>
      <c r="C38" s="6" t="n">
        <v>0.001173127565777585</v>
      </c>
      <c r="E38" s="7" t="n">
        <v>27</v>
      </c>
      <c r="F38" s="13" t="n">
        <v>920</v>
      </c>
      <c r="G38" s="6" t="n">
        <v>0.001442962967610187</v>
      </c>
    </row>
    <row r="39" spans="1:12">
      <c r="A39" t="n">
        <v>28</v>
      </c>
      <c r="B39" s="11" t="n">
        <v>368.204446166</v>
      </c>
      <c r="C39" s="6" t="n">
        <v>0.0005683071205591898</v>
      </c>
      <c r="E39" s="7" t="n">
        <v>28</v>
      </c>
      <c r="F39" s="13" t="n">
        <v>856</v>
      </c>
      <c r="G39" s="6" t="n">
        <v>0.001342582935080782</v>
      </c>
    </row>
    <row r="40" spans="1:12">
      <c r="A40" t="n">
        <v>29</v>
      </c>
      <c r="B40" s="11" t="n">
        <v>371.189902602</v>
      </c>
      <c r="C40" s="6" t="n">
        <v>0.0005729150392531784</v>
      </c>
      <c r="E40" s="7" t="n">
        <v>29</v>
      </c>
      <c r="F40" s="13" t="n">
        <v>686</v>
      </c>
      <c r="G40" s="6" t="n">
        <v>0.001075948473674552</v>
      </c>
    </row>
    <row r="41" spans="1:12">
      <c r="A41" t="n">
        <v>30</v>
      </c>
      <c r="B41" s="11" t="n">
        <v>459.495951697</v>
      </c>
      <c r="C41" s="6" t="n">
        <v>0.0007092114827418393</v>
      </c>
      <c r="E41" s="7" t="n">
        <v>30</v>
      </c>
      <c r="F41" s="13" t="n">
        <v>607</v>
      </c>
      <c r="G41" s="6" t="n">
        <v>0.0009520418710210688</v>
      </c>
    </row>
    <row r="42" spans="1:12">
      <c r="A42" t="n">
        <v>31</v>
      </c>
      <c r="B42" s="11" t="n">
        <v>572.866861522</v>
      </c>
      <c r="C42" s="6" t="n">
        <v>0.0008841944195007674</v>
      </c>
      <c r="E42" s="7" t="n">
        <v>31</v>
      </c>
      <c r="F42" s="13" t="n">
        <v>505</v>
      </c>
      <c r="G42" s="6" t="n">
        <v>0.0007920611941773307</v>
      </c>
    </row>
    <row r="43" spans="1:12">
      <c r="A43" t="n">
        <v>32</v>
      </c>
      <c r="B43" s="11" t="n">
        <v>0</v>
      </c>
      <c r="C43" s="6" t="n">
        <v>0</v>
      </c>
      <c r="E43" s="7" t="n">
        <v>32</v>
      </c>
      <c r="F43" s="13" t="n">
        <v>467</v>
      </c>
      <c r="G43" s="6" t="n">
        <v>0.0007324605498629969</v>
      </c>
    </row>
    <row r="44" spans="1:12">
      <c r="A44" t="n">
        <v>33</v>
      </c>
      <c r="B44" s="11" t="n">
        <v>0</v>
      </c>
      <c r="C44" s="6" t="n">
        <v>0</v>
      </c>
      <c r="E44" s="7" t="n">
        <v>33</v>
      </c>
      <c r="F44" s="13" t="n">
        <v>345</v>
      </c>
      <c r="G44" s="6" t="n">
        <v>0.00054111111285382</v>
      </c>
    </row>
    <row r="45" spans="1:12">
      <c r="A45" t="n">
        <v>34</v>
      </c>
      <c r="B45" s="11" t="n">
        <v>207.401519182</v>
      </c>
      <c r="C45" s="6" t="n">
        <v>0.0003201149833828592</v>
      </c>
      <c r="E45" s="7" t="n">
        <v>34</v>
      </c>
      <c r="F45" s="13" t="n">
        <v>317</v>
      </c>
      <c r="G45" s="6" t="n">
        <v>0.0004971948486222057</v>
      </c>
    </row>
    <row r="46" spans="1:12">
      <c r="A46" t="n">
        <v>35</v>
      </c>
      <c r="B46" s="11" t="n">
        <v>1335.01152099</v>
      </c>
      <c r="C46" s="6" t="n">
        <v>0.00206053066796788</v>
      </c>
      <c r="E46" s="7" t="n">
        <v>35</v>
      </c>
      <c r="F46" s="13" t="n">
        <v>247</v>
      </c>
      <c r="G46" s="6" t="n">
        <v>0.0003874041880431697</v>
      </c>
    </row>
    <row r="47" spans="1:12">
      <c r="A47" t="n">
        <v>36</v>
      </c>
      <c r="B47" s="11" t="n">
        <v>0</v>
      </c>
      <c r="C47" s="6" t="n">
        <v>0</v>
      </c>
      <c r="E47" s="7" t="n">
        <v>36</v>
      </c>
      <c r="F47" s="13" t="n">
        <v>233</v>
      </c>
      <c r="G47" s="6" t="n">
        <v>0.0003654460559273625</v>
      </c>
    </row>
    <row r="48" spans="1:12">
      <c r="A48" t="n">
        <v>37</v>
      </c>
      <c r="B48" s="11" t="n">
        <v>0</v>
      </c>
      <c r="C48" s="6" t="n">
        <v>0</v>
      </c>
      <c r="E48" s="7" t="n">
        <v>37</v>
      </c>
      <c r="F48" s="13" t="n">
        <v>195</v>
      </c>
      <c r="G48" s="6" t="n">
        <v>0.0003058454116130287</v>
      </c>
    </row>
    <row r="49" spans="1:12">
      <c r="A49" t="n">
        <v>38</v>
      </c>
      <c r="B49" s="11" t="n">
        <v>91.6389155216</v>
      </c>
      <c r="C49" s="6" t="n">
        <v>0.000141440573989615</v>
      </c>
      <c r="E49" s="7" t="n">
        <v>38</v>
      </c>
      <c r="F49" s="13" t="n">
        <v>155</v>
      </c>
      <c r="G49" s="6" t="n">
        <v>0.000243107891282151</v>
      </c>
    </row>
    <row r="50" spans="1:12">
      <c r="A50" t="n">
        <v>39</v>
      </c>
      <c r="B50" s="11" t="n">
        <v>0</v>
      </c>
      <c r="C50" s="6" t="n">
        <v>0</v>
      </c>
      <c r="E50" s="7" t="n">
        <v>39</v>
      </c>
      <c r="F50" s="13" t="n">
        <v>136</v>
      </c>
      <c r="G50" s="6" t="n">
        <v>0.0002133075691249841</v>
      </c>
    </row>
    <row r="51" spans="1:12">
      <c r="A51" t="n">
        <v>40</v>
      </c>
      <c r="B51" s="11" t="n">
        <v>292.681617382</v>
      </c>
      <c r="C51" s="6" t="n">
        <v>0.0004517410067883372</v>
      </c>
      <c r="E51" s="7" t="n">
        <v>40</v>
      </c>
      <c r="F51" s="13" t="n">
        <v>142</v>
      </c>
      <c r="G51" s="6" t="n">
        <v>0.0002227181971746158</v>
      </c>
    </row>
    <row r="52" spans="1:12">
      <c r="A52" t="n">
        <v>41</v>
      </c>
      <c r="B52" s="11" t="n">
        <v>0</v>
      </c>
      <c r="C52" s="6" t="n">
        <v>0</v>
      </c>
      <c r="E52" s="7" t="n">
        <v>41</v>
      </c>
      <c r="F52" s="13" t="n">
        <v>105</v>
      </c>
      <c r="G52" s="6" t="n">
        <v>0.0001646859908685539</v>
      </c>
    </row>
    <row r="53" spans="1:12">
      <c r="A53" t="n">
        <v>42</v>
      </c>
      <c r="B53" s="11" t="n">
        <v>0</v>
      </c>
      <c r="C53" s="6" t="n">
        <v>0</v>
      </c>
      <c r="E53" s="7" t="n">
        <v>42</v>
      </c>
      <c r="F53" s="13" t="n">
        <v>87</v>
      </c>
      <c r="G53" s="6" t="n">
        <v>0.000136454106719659</v>
      </c>
    </row>
    <row r="54" spans="1:12">
      <c r="A54" t="n">
        <v>43</v>
      </c>
      <c r="B54" s="11" t="n">
        <v>0</v>
      </c>
      <c r="C54" s="6" t="n">
        <v>0</v>
      </c>
      <c r="E54" s="7" t="n">
        <v>43</v>
      </c>
      <c r="F54" s="13" t="n">
        <v>81</v>
      </c>
      <c r="G54" s="6" t="n">
        <v>0.0001270434786700273</v>
      </c>
    </row>
    <row r="55" spans="1:12">
      <c r="A55" t="n">
        <v>44</v>
      </c>
      <c r="B55" s="11" t="n">
        <v>0</v>
      </c>
      <c r="C55" s="6" t="n">
        <v>0</v>
      </c>
      <c r="E55" s="7" t="n">
        <v>44</v>
      </c>
      <c r="F55" s="13" t="n">
        <v>55</v>
      </c>
      <c r="G55" s="6" t="n">
        <v>8.626409045495681e-05</v>
      </c>
    </row>
    <row r="56" spans="1:12">
      <c r="A56" t="n">
        <v>45</v>
      </c>
      <c r="B56" s="11" t="n">
        <v>0</v>
      </c>
      <c r="C56" s="6" t="n">
        <v>0</v>
      </c>
      <c r="E56" s="7" t="n">
        <v>45</v>
      </c>
      <c r="F56" s="13" t="n">
        <v>38</v>
      </c>
      <c r="G56" s="6" t="n">
        <v>5.96006443143338e-05</v>
      </c>
    </row>
    <row r="57" spans="1:12">
      <c r="A57" t="n">
        <v>46</v>
      </c>
      <c r="B57" s="11" t="n">
        <v>0</v>
      </c>
      <c r="C57" s="6" t="n">
        <v>0</v>
      </c>
      <c r="E57" s="7" t="n">
        <v>46</v>
      </c>
      <c r="F57" s="13" t="n">
        <v>49</v>
      </c>
      <c r="G57" s="6" t="n">
        <v>7.685346240532516e-05</v>
      </c>
    </row>
    <row r="58" spans="1:12">
      <c r="A58" t="n">
        <v>47</v>
      </c>
      <c r="B58" s="11" t="n">
        <v>387.674382174</v>
      </c>
      <c r="C58" s="6" t="n">
        <v>0.0005983580973613268</v>
      </c>
      <c r="E58" s="7" t="n">
        <v>47</v>
      </c>
      <c r="F58" s="13" t="n">
        <v>40</v>
      </c>
      <c r="G58" s="6" t="n">
        <v>6.273752033087769e-05</v>
      </c>
    </row>
    <row r="59" spans="1:12">
      <c r="A59" t="n">
        <v>48</v>
      </c>
      <c r="B59" s="11" t="n">
        <v>0</v>
      </c>
      <c r="C59" s="6" t="n">
        <v>0</v>
      </c>
      <c r="E59" s="7" t="n">
        <v>48</v>
      </c>
      <c r="F59" s="13" t="n">
        <v>44</v>
      </c>
      <c r="G59" s="6" t="n">
        <v>6.901127236396545e-05</v>
      </c>
    </row>
    <row r="60" spans="1:12">
      <c r="A60" t="n">
        <v>49</v>
      </c>
      <c r="B60" s="11" t="n">
        <v>0</v>
      </c>
      <c r="C60" s="6" t="n">
        <v>0</v>
      </c>
      <c r="E60" s="7" t="n">
        <v>49</v>
      </c>
      <c r="F60" s="13" t="n">
        <v>37</v>
      </c>
      <c r="G60" s="6" t="n">
        <v>5.803220630606186e-05</v>
      </c>
    </row>
    <row r="61" spans="1:12">
      <c r="A61" t="n">
        <v>50</v>
      </c>
      <c r="B61" s="11" t="n">
        <v>0</v>
      </c>
      <c r="C61" s="6" t="n">
        <v>0</v>
      </c>
      <c r="E61" s="7" t="n">
        <v>50</v>
      </c>
      <c r="F61" s="13" t="n">
        <v>20</v>
      </c>
      <c r="G61" s="6" t="n">
        <v>3.136876016543884e-05</v>
      </c>
    </row>
    <row r="62" spans="1:12">
      <c r="A62" t="n">
        <v>51</v>
      </c>
      <c r="B62" s="11" t="n">
        <v>0</v>
      </c>
      <c r="C62" s="6" t="n">
        <v>0</v>
      </c>
      <c r="E62" s="7" t="n">
        <v>51</v>
      </c>
      <c r="F62" s="13" t="n">
        <v>15</v>
      </c>
      <c r="G62" s="6" t="n">
        <v>2.352657012407913e-05</v>
      </c>
    </row>
    <row r="63" spans="1:12">
      <c r="A63" t="n">
        <v>52</v>
      </c>
      <c r="B63" s="11" t="n">
        <v>0</v>
      </c>
      <c r="C63" s="6" t="n">
        <v>0</v>
      </c>
      <c r="E63" s="7" t="n">
        <v>52</v>
      </c>
      <c r="F63" s="13" t="n">
        <v>23</v>
      </c>
      <c r="G63" s="6" t="n">
        <v>3.607407419025467e-05</v>
      </c>
    </row>
    <row r="64" spans="1:12">
      <c r="A64" t="n">
        <v>53</v>
      </c>
      <c r="B64" s="11" t="n">
        <v>0</v>
      </c>
      <c r="C64" s="6" t="n">
        <v>0</v>
      </c>
      <c r="E64" s="7" t="n">
        <v>53</v>
      </c>
      <c r="F64" s="13" t="n">
        <v>15</v>
      </c>
      <c r="G64" s="6" t="n">
        <v>2.352657012407913e-05</v>
      </c>
    </row>
    <row r="65" spans="1:12">
      <c r="A65" t="n">
        <v>54</v>
      </c>
      <c r="B65" s="11" t="n">
        <v>0</v>
      </c>
      <c r="C65" s="6" t="n">
        <v>0</v>
      </c>
      <c r="E65" s="7" t="n">
        <v>54</v>
      </c>
      <c r="F65" s="13" t="n">
        <v>15</v>
      </c>
      <c r="G65" s="6" t="n">
        <v>2.352657012407913e-05</v>
      </c>
    </row>
    <row r="66" spans="1:12">
      <c r="A66" t="n">
        <v>55</v>
      </c>
      <c r="B66" s="11" t="n">
        <v>0</v>
      </c>
      <c r="C66" s="6" t="n">
        <v>0</v>
      </c>
      <c r="E66" s="7" t="n">
        <v>55</v>
      </c>
      <c r="F66" s="13" t="n">
        <v>11</v>
      </c>
      <c r="G66" s="6" t="n">
        <v>1.725281809099136e-05</v>
      </c>
    </row>
    <row r="67" spans="1:12">
      <c r="A67" t="n">
        <v>56</v>
      </c>
      <c r="B67" s="11" t="n">
        <v>0</v>
      </c>
      <c r="C67" s="6" t="n">
        <v>0</v>
      </c>
      <c r="E67" s="7" t="n">
        <v>56</v>
      </c>
      <c r="F67" s="13" t="n">
        <v>8</v>
      </c>
      <c r="G67" s="6" t="n">
        <v>1.254750406617554e-05</v>
      </c>
    </row>
    <row r="68" spans="1:12">
      <c r="A68" t="n">
        <v>57</v>
      </c>
      <c r="B68" s="11" t="n">
        <v>325.232864493</v>
      </c>
      <c r="C68" s="6" t="n">
        <v>0.000501982403134548</v>
      </c>
      <c r="E68" s="7" t="n">
        <v>57</v>
      </c>
      <c r="F68" s="13" t="n">
        <v>8</v>
      </c>
      <c r="G68" s="6" t="n">
        <v>1.254750406617554e-05</v>
      </c>
    </row>
    <row r="69" spans="1:12">
      <c r="A69" t="n">
        <v>58</v>
      </c>
      <c r="B69" s="11" t="n">
        <v>0</v>
      </c>
      <c r="C69" s="6" t="n">
        <v>0</v>
      </c>
      <c r="E69" s="7" t="n">
        <v>58</v>
      </c>
      <c r="F69" s="13" t="n">
        <v>7</v>
      </c>
      <c r="G69" s="6" t="n">
        <v>1.097906605790359e-05</v>
      </c>
    </row>
    <row r="70" spans="1:12">
      <c r="A70" t="n">
        <v>59</v>
      </c>
      <c r="B70" s="11" t="n">
        <v>0</v>
      </c>
      <c r="C70" s="6" t="n">
        <v>0</v>
      </c>
      <c r="E70" s="7" t="n">
        <v>59</v>
      </c>
      <c r="F70" s="13" t="n">
        <v>6</v>
      </c>
      <c r="G70" s="6" t="n">
        <v>9.410628049631653e-06</v>
      </c>
    </row>
    <row r="71" spans="1:12">
      <c r="A71" t="n">
        <v>60</v>
      </c>
      <c r="B71" s="11" t="n">
        <v>0</v>
      </c>
      <c r="C71" s="6" t="n">
        <v>0</v>
      </c>
      <c r="E71" s="7" t="n">
        <v>60</v>
      </c>
      <c r="F71" s="13" t="n">
        <v>4</v>
      </c>
      <c r="G71" s="6" t="n">
        <v>6.273752033087769e-06</v>
      </c>
    </row>
    <row r="72" spans="1:12">
      <c r="A72" t="n">
        <v>61</v>
      </c>
      <c r="B72" s="11" t="n">
        <v>0</v>
      </c>
      <c r="C72" s="6" t="n">
        <v>0</v>
      </c>
      <c r="E72" s="7" t="n">
        <v>61</v>
      </c>
      <c r="F72" s="13" t="n">
        <v>1</v>
      </c>
      <c r="G72" s="6" t="n">
        <v>1.568438008271942e-06</v>
      </c>
    </row>
    <row r="73" spans="1:12">
      <c r="A73" t="n">
        <v>62</v>
      </c>
      <c r="B73" s="11" t="n">
        <v>0</v>
      </c>
      <c r="C73" s="6" t="n">
        <v>0</v>
      </c>
      <c r="E73" s="7" t="n">
        <v>62</v>
      </c>
      <c r="F73" s="13" t="n">
        <v>4</v>
      </c>
      <c r="G73" s="6" t="n">
        <v>6.273752033087769e-06</v>
      </c>
    </row>
    <row r="74" spans="1:12">
      <c r="A74" t="n">
        <v>63</v>
      </c>
      <c r="B74" s="11" t="n">
        <v>0</v>
      </c>
      <c r="C74" s="6" t="n">
        <v>0</v>
      </c>
      <c r="E74" s="7" t="n">
        <v>63</v>
      </c>
      <c r="F74" s="13" t="n">
        <v>1</v>
      </c>
      <c r="G74" s="6" t="n">
        <v>1.568438008271942e-06</v>
      </c>
    </row>
    <row r="75" spans="1:12">
      <c r="A75" t="n">
        <v>64</v>
      </c>
      <c r="B75" s="11" t="n">
        <v>0</v>
      </c>
      <c r="C75" s="6" t="n">
        <v>0</v>
      </c>
      <c r="E75" s="7" t="n">
        <v>64</v>
      </c>
      <c r="F75" s="13" t="n">
        <v>2</v>
      </c>
      <c r="G75" s="6" t="n">
        <v>3.136876016543884e-06</v>
      </c>
    </row>
    <row r="76" spans="1:12">
      <c r="A76" t="n">
        <v>65</v>
      </c>
      <c r="B76" s="11" t="n">
        <v>0</v>
      </c>
      <c r="C76" s="6" t="n">
        <v>0</v>
      </c>
      <c r="E76" s="7" t="n">
        <v>65</v>
      </c>
      <c r="F76" s="13" t="n">
        <v>2</v>
      </c>
      <c r="G76" s="6" t="n">
        <v>3.136876016543884e-06</v>
      </c>
    </row>
    <row r="77" spans="1:12">
      <c r="A77" t="n">
        <v>66</v>
      </c>
      <c r="B77" s="11" t="n">
        <v>0</v>
      </c>
      <c r="C77" s="6" t="n">
        <v>0</v>
      </c>
      <c r="E77" s="7" t="n">
        <v>66</v>
      </c>
      <c r="F77" s="13" t="n">
        <v>2</v>
      </c>
      <c r="G77" s="6" t="n">
        <v>3.136876016543884e-06</v>
      </c>
    </row>
    <row r="78" spans="1:12">
      <c r="A78" t="n">
        <v>67</v>
      </c>
      <c r="B78" s="11" t="n">
        <v>0</v>
      </c>
      <c r="C78" s="6" t="n">
        <v>0</v>
      </c>
      <c r="E78" s="7" t="n">
        <v>67</v>
      </c>
      <c r="F78" s="13" t="n">
        <v>0</v>
      </c>
      <c r="G78" s="6" t="n">
        <v>0</v>
      </c>
    </row>
    <row r="79" spans="1:12">
      <c r="A79" t="n">
        <v>68</v>
      </c>
      <c r="B79" s="11" t="n">
        <v>0</v>
      </c>
      <c r="C79" s="6" t="n">
        <v>0</v>
      </c>
      <c r="E79" s="7" t="n">
        <v>68</v>
      </c>
      <c r="F79" s="13" t="n">
        <v>1</v>
      </c>
      <c r="G79" s="6" t="n">
        <v>1.568438008271942e-06</v>
      </c>
    </row>
    <row r="80" spans="1:12">
      <c r="A80" t="n">
        <v>69</v>
      </c>
      <c r="B80" s="11" t="n">
        <v>0</v>
      </c>
      <c r="C80" s="6" t="n">
        <v>0</v>
      </c>
      <c r="E80" s="7" t="n">
        <v>69</v>
      </c>
      <c r="F80" s="13" t="n">
        <v>0</v>
      </c>
      <c r="G80" s="6" t="n">
        <v>0</v>
      </c>
    </row>
    <row r="81" spans="1:12">
      <c r="A81" t="n">
        <v>70</v>
      </c>
      <c r="B81" s="11" t="n">
        <v>0</v>
      </c>
      <c r="C81" s="6" t="n">
        <v>0</v>
      </c>
      <c r="E81" s="7" t="n">
        <v>70</v>
      </c>
      <c r="F81" s="13" t="n">
        <v>2</v>
      </c>
      <c r="G81" s="6" t="n">
        <v>3.136876016543884e-06</v>
      </c>
    </row>
    <row r="82" spans="1:12">
      <c r="A82" t="n">
        <v>71</v>
      </c>
      <c r="B82" s="11" t="n">
        <v>0</v>
      </c>
      <c r="C82" s="6" t="n">
        <v>0</v>
      </c>
      <c r="E82" s="7" t="n">
        <v>71</v>
      </c>
      <c r="F82" s="13" t="n">
        <v>2</v>
      </c>
      <c r="G82" s="6" t="n">
        <v>3.136876016543884e-06</v>
      </c>
    </row>
    <row r="83" spans="1:12">
      <c r="A83" t="n">
        <v>72</v>
      </c>
      <c r="B83" s="11" t="n">
        <v>0</v>
      </c>
      <c r="C83" s="6" t="n">
        <v>0</v>
      </c>
      <c r="E83" s="7" t="n">
        <v>72</v>
      </c>
      <c r="F83" s="13" t="n">
        <v>0</v>
      </c>
      <c r="G83" s="6" t="n">
        <v>0</v>
      </c>
    </row>
    <row r="84" spans="1:12">
      <c r="A84" t="n">
        <v>73</v>
      </c>
      <c r="B84" s="11" t="n">
        <v>0</v>
      </c>
      <c r="C84" s="6" t="n">
        <v>0</v>
      </c>
      <c r="E84" s="7" t="n">
        <v>73</v>
      </c>
      <c r="F84" s="13" t="n">
        <v>0</v>
      </c>
      <c r="G84" s="6" t="n">
        <v>0</v>
      </c>
    </row>
    <row r="85" spans="1:12">
      <c r="A85" t="n">
        <v>74</v>
      </c>
      <c r="B85" s="11" t="n">
        <v>0</v>
      </c>
      <c r="C85" s="6" t="n">
        <v>0</v>
      </c>
      <c r="E85" s="7" t="n">
        <v>74</v>
      </c>
      <c r="F85" s="13" t="n">
        <v>0</v>
      </c>
      <c r="G85" s="6" t="n">
        <v>0</v>
      </c>
    </row>
    <row r="86" spans="1:12">
      <c r="A86" t="n">
        <v>75</v>
      </c>
      <c r="B86" s="11" t="n">
        <v>0</v>
      </c>
      <c r="C86" s="6" t="n">
        <v>0</v>
      </c>
      <c r="E86" s="7" t="n">
        <v>75</v>
      </c>
      <c r="F86" s="13" t="n">
        <v>1</v>
      </c>
      <c r="G86" s="6" t="n">
        <v>1.568438008271942e-06</v>
      </c>
    </row>
    <row r="87" spans="1:12">
      <c r="A87" t="n">
        <v>76</v>
      </c>
      <c r="B87" s="11" t="n">
        <v>0</v>
      </c>
      <c r="C87" s="6" t="n">
        <v>0</v>
      </c>
      <c r="E87" s="7" t="n">
        <v>76</v>
      </c>
      <c r="F87" s="13" t="n">
        <v>2</v>
      </c>
      <c r="G87" s="6" t="n">
        <v>3.136876016543884e-06</v>
      </c>
    </row>
    <row r="88" spans="1:12">
      <c r="A88" t="n">
        <v>77</v>
      </c>
      <c r="B88" s="11" t="n">
        <v>0</v>
      </c>
      <c r="C88" s="6" t="n">
        <v>0</v>
      </c>
      <c r="E88" s="7" t="n">
        <v>77</v>
      </c>
      <c r="F88" s="13" t="n">
        <v>0</v>
      </c>
      <c r="G88" s="6" t="n">
        <v>0</v>
      </c>
    </row>
    <row r="89" spans="1:12">
      <c r="A89" t="n">
        <v>78</v>
      </c>
      <c r="B89" s="11" t="n">
        <v>0</v>
      </c>
      <c r="C89" s="6" t="n">
        <v>0</v>
      </c>
      <c r="E89" s="7" t="n">
        <v>78</v>
      </c>
      <c r="F89" s="13" t="n">
        <v>0</v>
      </c>
      <c r="G89" s="6" t="n">
        <v>0</v>
      </c>
    </row>
    <row r="90" spans="1:12">
      <c r="A90" t="n">
        <v>79</v>
      </c>
      <c r="B90" s="11" t="n">
        <v>0</v>
      </c>
      <c r="C90" s="6" t="n">
        <v>0</v>
      </c>
      <c r="E90" s="7" t="n">
        <v>79</v>
      </c>
      <c r="F90" s="13" t="n">
        <v>0</v>
      </c>
      <c r="G90" s="6" t="n">
        <v>0</v>
      </c>
    </row>
    <row r="91" spans="1:12">
      <c r="A91" t="n">
        <v>80</v>
      </c>
      <c r="B91" s="11" t="n">
        <v>0</v>
      </c>
      <c r="C91" s="6" t="n">
        <v>0</v>
      </c>
      <c r="E91" s="7" t="n">
        <v>80</v>
      </c>
      <c r="F91" s="13" t="n">
        <v>1</v>
      </c>
      <c r="G91" s="6" t="n">
        <v>1.568438008271942e-06</v>
      </c>
    </row>
    <row r="92" spans="1:12">
      <c r="A92" t="n">
        <v>81</v>
      </c>
      <c r="B92" s="11" t="n">
        <v>0</v>
      </c>
      <c r="C92" s="6" t="n">
        <v>0</v>
      </c>
      <c r="E92" s="7" t="n">
        <v>81</v>
      </c>
      <c r="F92" s="13" t="n">
        <v>0</v>
      </c>
      <c r="G92" s="6" t="n">
        <v>0</v>
      </c>
    </row>
    <row r="93" spans="1:12">
      <c r="A93" t="n">
        <v>82</v>
      </c>
      <c r="B93" s="11" t="n">
        <v>0</v>
      </c>
      <c r="C93" s="6" t="n">
        <v>0</v>
      </c>
      <c r="E93" s="7" t="n">
        <v>82</v>
      </c>
      <c r="F93" s="13" t="n">
        <v>0</v>
      </c>
      <c r="G93" s="6" t="n">
        <v>0</v>
      </c>
    </row>
    <row r="94" spans="1:12">
      <c r="A94" t="n">
        <v>83</v>
      </c>
      <c r="B94" s="11" t="n">
        <v>0</v>
      </c>
      <c r="C94" s="6" t="n">
        <v>0</v>
      </c>
      <c r="E94" s="7" t="n">
        <v>83</v>
      </c>
      <c r="F94" s="13" t="n">
        <v>1</v>
      </c>
      <c r="G94" s="6" t="n">
        <v>1.568438008271942e-06</v>
      </c>
    </row>
    <row r="95" spans="1:12">
      <c r="A95" t="n">
        <v>84</v>
      </c>
      <c r="B95" s="11" t="n">
        <v>0</v>
      </c>
      <c r="C95" s="6" t="n">
        <v>0</v>
      </c>
      <c r="E95" s="7" t="n">
        <v>84</v>
      </c>
      <c r="F95" s="13" t="n">
        <v>0</v>
      </c>
      <c r="G95" s="6" t="n">
        <v>0</v>
      </c>
    </row>
    <row r="96" spans="1:12">
      <c r="A96" t="n">
        <v>85</v>
      </c>
      <c r="B96" s="11" t="n">
        <v>0</v>
      </c>
      <c r="C96" s="6" t="n">
        <v>0</v>
      </c>
      <c r="E96" s="7" t="n">
        <v>85</v>
      </c>
      <c r="F96" s="13" t="n">
        <v>1</v>
      </c>
      <c r="G96" s="6" t="n">
        <v>1.568438008271942e-06</v>
      </c>
    </row>
    <row r="97" spans="1:12">
      <c r="A97" t="n">
        <v>86</v>
      </c>
      <c r="B97" s="11" t="n">
        <v>0</v>
      </c>
      <c r="C97" s="6" t="n">
        <v>0</v>
      </c>
      <c r="E97" s="7" t="n">
        <v>86</v>
      </c>
      <c r="F97" s="13" t="n">
        <v>1</v>
      </c>
      <c r="G97" s="6" t="n">
        <v>1.568438008271942e-06</v>
      </c>
    </row>
    <row r="98" spans="1:12">
      <c r="A98" t="n">
        <v>87</v>
      </c>
      <c r="B98" s="11" t="n">
        <v>0</v>
      </c>
      <c r="C98" s="6" t="n">
        <v>0</v>
      </c>
      <c r="E98" s="7" t="n">
        <v>87</v>
      </c>
      <c r="F98" s="13" t="n">
        <v>0</v>
      </c>
      <c r="G98" s="6" t="n">
        <v>0</v>
      </c>
    </row>
    <row r="99" spans="1:12">
      <c r="A99" t="n">
        <v>88</v>
      </c>
      <c r="B99" s="11" t="n">
        <v>0</v>
      </c>
      <c r="C99" s="6" t="n">
        <v>0</v>
      </c>
      <c r="E99" s="7" t="n">
        <v>88</v>
      </c>
      <c r="F99" s="13" t="n">
        <v>0</v>
      </c>
      <c r="G99" s="6" t="n">
        <v>0</v>
      </c>
    </row>
    <row r="100" spans="1:12">
      <c r="A100" t="n">
        <v>89</v>
      </c>
      <c r="B100" s="11" t="n">
        <v>0</v>
      </c>
      <c r="C100" s="6" t="n">
        <v>0</v>
      </c>
      <c r="E100" s="7" t="n">
        <v>89</v>
      </c>
      <c r="F100" s="13" t="n">
        <v>0</v>
      </c>
      <c r="G100" s="6" t="n">
        <v>0</v>
      </c>
    </row>
    <row customHeight="1" ht="15.75" r="101" spans="1:12">
      <c r="A101" s="1" t="n">
        <v>90</v>
      </c>
      <c r="B101" s="12" t="n">
        <v>0</v>
      </c>
      <c r="C101" s="6" t="n">
        <v>0</v>
      </c>
      <c r="E101" s="8" t="n">
        <v>90</v>
      </c>
      <c r="F101" s="14" t="n">
        <v>0</v>
      </c>
      <c r="G101" s="6" t="n">
        <v>0</v>
      </c>
    </row>
    <row r="102" spans="1:12">
      <c r="B102" s="11" t="n">
        <v>647896.9431241732</v>
      </c>
      <c r="C102" s="6" t="n">
        <v>1</v>
      </c>
      <c r="F102" s="11" t="n">
        <v>637577</v>
      </c>
      <c r="G102" s="6" t="n">
        <v>1</v>
      </c>
    </row>
  </sheetData>
  <pageMargins bottom="0.75" footer="0.3" header="0.3" left="0.7" right="0.7" top="0.75"/>
  <pageSetup orientation="portrait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L102"/>
  <sheetViews>
    <sheetView workbookViewId="0">
      <selection activeCell="F36" sqref="F36"/>
    </sheetView>
  </sheetViews>
  <sheetFormatPr baseColWidth="10" defaultRowHeight="15" outlineLevelCol="0"/>
  <cols>
    <col collapsed="1" customWidth="1" max="1" min="1" style="10" width="13.5703125"/>
    <col collapsed="1" customWidth="1" max="2" min="2" style="10" width="10.5703125"/>
    <col collapsed="1" customWidth="1" max="6" min="6" style="10" width="10.5703125"/>
  </cols>
  <sheetData>
    <row r="1" spans="1:12">
      <c r="A1" t="s">
        <v>0</v>
      </c>
    </row>
    <row r="2" spans="1:12">
      <c r="A2" t="s">
        <v>1</v>
      </c>
    </row>
    <row r="3" spans="1:12">
      <c r="A3" t="s">
        <v>2</v>
      </c>
    </row>
    <row r="4" spans="1:12">
      <c r="A4" t="s">
        <v>3</v>
      </c>
    </row>
    <row r="5" spans="1:12">
      <c r="A5" t="s">
        <v>4</v>
      </c>
    </row>
    <row r="7" spans="1:12">
      <c r="A7" t="s">
        <v>5</v>
      </c>
    </row>
    <row customHeight="1" ht="15.75" r="9" spans="1:12">
      <c r="A9" s="3" t="s">
        <v>6</v>
      </c>
      <c r="B9" s="1" t="n"/>
      <c r="E9" s="3" t="s">
        <v>7</v>
      </c>
      <c r="F9" s="1" t="n"/>
      <c r="J9" s="5" t="s">
        <v>16</v>
      </c>
    </row>
    <row r="10" spans="1:12">
      <c r="A10" s="2" t="s">
        <v>9</v>
      </c>
      <c r="B10" s="9" t="s">
        <v>10</v>
      </c>
      <c r="C10" s="9" t="s">
        <v>10</v>
      </c>
      <c r="E10" s="2" t="s">
        <v>9</v>
      </c>
      <c r="F10" s="9" t="s">
        <v>11</v>
      </c>
      <c r="G10" s="9" t="s">
        <v>11</v>
      </c>
      <c r="J10" s="2" t="n"/>
      <c r="K10" s="9" t="s">
        <v>10</v>
      </c>
      <c r="L10" s="9" t="s">
        <v>11</v>
      </c>
    </row>
    <row r="11" spans="1:12">
      <c r="A11" t="n">
        <v>0</v>
      </c>
      <c r="B11" s="11" t="n">
        <v>26340.5274966001</v>
      </c>
      <c r="C11" s="6" t="n">
        <v>0.04066354850544453</v>
      </c>
      <c r="E11" s="7" t="n">
        <v>0</v>
      </c>
      <c r="F11" s="13" t="n">
        <v>78977</v>
      </c>
      <c r="G11" s="6" t="n">
        <v>0.1351105834371193</v>
      </c>
      <c r="K11" s="4" t="n">
        <v>6.156876216054111</v>
      </c>
      <c r="L11" s="4" t="n">
        <v>6.790171303125685</v>
      </c>
    </row>
    <row r="12" spans="1:12">
      <c r="A12" t="n">
        <v>1</v>
      </c>
      <c r="B12" s="11" t="n">
        <v>35028.1139516294</v>
      </c>
      <c r="C12" s="6" t="n">
        <v>0.05407512856035896</v>
      </c>
      <c r="E12" s="7" t="n">
        <v>1</v>
      </c>
      <c r="F12" s="13" t="n">
        <v>61930</v>
      </c>
      <c r="G12" s="6" t="n">
        <v>0.105947281262403</v>
      </c>
      <c r="K12" s="4" t="n"/>
      <c r="L12" s="7" t="n"/>
    </row>
    <row r="13" spans="1:12">
      <c r="A13" t="n">
        <v>2</v>
      </c>
      <c r="B13" s="11" t="n">
        <v>46161.9692235365</v>
      </c>
      <c r="C13" s="6" t="n">
        <v>0.07126316945894125</v>
      </c>
      <c r="E13" s="7" t="n">
        <v>2</v>
      </c>
      <c r="F13" s="13" t="n">
        <v>41551</v>
      </c>
      <c r="G13" s="6" t="n">
        <v>0.07108373136983864</v>
      </c>
    </row>
    <row r="14" spans="1:12">
      <c r="A14" t="n">
        <v>3</v>
      </c>
      <c r="B14" s="11" t="n">
        <v>70369.666580458</v>
      </c>
      <c r="C14" s="6" t="n">
        <v>0.1086341323527313</v>
      </c>
      <c r="E14" s="7" t="n">
        <v>3</v>
      </c>
      <c r="F14" s="13" t="n">
        <v>26850</v>
      </c>
      <c r="G14" s="6" t="n">
        <v>0.0459338689148316</v>
      </c>
    </row>
    <row r="15" spans="1:12">
      <c r="A15" t="n">
        <v>4</v>
      </c>
      <c r="B15" s="11" t="n">
        <v>130988.6740456935</v>
      </c>
      <c r="C15" s="6" t="n">
        <v>0.2022155517351896</v>
      </c>
      <c r="E15" s="7" t="n">
        <v>4</v>
      </c>
      <c r="F15" s="13" t="n">
        <v>106356</v>
      </c>
      <c r="G15" s="6" t="n">
        <v>0.1819494436612972</v>
      </c>
    </row>
    <row r="16" spans="1:12">
      <c r="A16" t="n">
        <v>5</v>
      </c>
      <c r="B16" s="11" t="n">
        <v>56474.0407615518</v>
      </c>
      <c r="C16" s="6" t="n">
        <v>0.08718257051238724</v>
      </c>
      <c r="E16" s="7" t="n">
        <v>5</v>
      </c>
      <c r="F16" s="13" t="n">
        <v>50062</v>
      </c>
      <c r="G16" s="6" t="n">
        <v>0.08564399797446179</v>
      </c>
    </row>
    <row r="17" spans="1:12">
      <c r="A17" t="n">
        <v>6</v>
      </c>
      <c r="B17" s="11" t="n">
        <v>77804.79411229851</v>
      </c>
      <c r="C17" s="6" t="n">
        <v>0.1201122118662941</v>
      </c>
      <c r="E17" s="7" t="n">
        <v>6</v>
      </c>
      <c r="F17" s="13" t="n">
        <v>47172</v>
      </c>
      <c r="G17" s="6" t="n">
        <v>0.08069990556612425</v>
      </c>
    </row>
    <row r="18" spans="1:12">
      <c r="A18" t="n">
        <v>7</v>
      </c>
      <c r="B18" s="11" t="n">
        <v>46502.6708685096</v>
      </c>
      <c r="C18" s="6" t="n">
        <v>0.07178913226921665</v>
      </c>
      <c r="E18" s="7" t="n">
        <v>7</v>
      </c>
      <c r="F18" s="13" t="n">
        <v>28006</v>
      </c>
      <c r="G18" s="6" t="n">
        <v>0.04791150587816662</v>
      </c>
    </row>
    <row r="19" spans="1:12">
      <c r="A19" t="n">
        <v>8</v>
      </c>
      <c r="B19" s="11" t="n">
        <v>20028.263439688</v>
      </c>
      <c r="C19" s="6" t="n">
        <v>0.03091890479280248</v>
      </c>
      <c r="E19" s="7" t="n">
        <v>8</v>
      </c>
      <c r="F19" s="13" t="n">
        <v>21125</v>
      </c>
      <c r="G19" s="6" t="n">
        <v>0.03613977582219059</v>
      </c>
    </row>
    <row r="20" spans="1:12">
      <c r="A20" t="n">
        <v>9</v>
      </c>
      <c r="B20" s="11" t="n">
        <v>15091.1304989621</v>
      </c>
      <c r="C20" s="6" t="n">
        <v>0.02329713849222445</v>
      </c>
      <c r="E20" s="7" t="n">
        <v>9</v>
      </c>
      <c r="F20" s="13" t="n">
        <v>10454</v>
      </c>
      <c r="G20" s="6" t="n">
        <v>0.01788427060095529</v>
      </c>
    </row>
    <row r="21" spans="1:12">
      <c r="A21" t="n">
        <v>10</v>
      </c>
      <c r="B21" s="11" t="n">
        <v>45980.6960701886</v>
      </c>
      <c r="C21" s="6" t="n">
        <v>0.07098332655659813</v>
      </c>
      <c r="E21" s="7" t="n">
        <v>10</v>
      </c>
      <c r="F21" s="13" t="n">
        <v>7633</v>
      </c>
      <c r="G21" s="6" t="n">
        <v>0.01305822053731507</v>
      </c>
    </row>
    <row r="22" spans="1:12">
      <c r="A22" t="n">
        <v>11</v>
      </c>
      <c r="B22" s="11" t="n">
        <v>8011.779210961</v>
      </c>
      <c r="C22" s="6" t="n">
        <v>0.01236829340649597</v>
      </c>
      <c r="E22" s="7" t="n">
        <v>11</v>
      </c>
      <c r="F22" s="13" t="n">
        <v>8732</v>
      </c>
      <c r="G22" s="6" t="n">
        <v>0.01493834425937838</v>
      </c>
    </row>
    <row r="23" spans="1:12">
      <c r="A23" t="n">
        <v>12</v>
      </c>
      <c r="B23" s="11" t="n">
        <v>10736.6294754624</v>
      </c>
      <c r="C23" s="6" t="n">
        <v>0.01657481815870254</v>
      </c>
      <c r="E23" s="7" t="n">
        <v>12</v>
      </c>
      <c r="F23" s="13" t="n">
        <v>9194</v>
      </c>
      <c r="G23" s="6" t="n">
        <v>0.01572871474126487</v>
      </c>
    </row>
    <row r="24" spans="1:12">
      <c r="A24" t="n">
        <v>13</v>
      </c>
      <c r="B24" s="11" t="n">
        <v>5157.5807596416</v>
      </c>
      <c r="C24" s="6" t="n">
        <v>0.00796208562708184</v>
      </c>
      <c r="E24" s="7" t="n">
        <v>13</v>
      </c>
      <c r="F24" s="13" t="n">
        <v>10859</v>
      </c>
      <c r="G24" s="6" t="n">
        <v>0.01857712784157007</v>
      </c>
    </row>
    <row r="25" spans="1:12">
      <c r="A25" t="n">
        <v>14</v>
      </c>
      <c r="B25" s="11" t="n">
        <v>6116.8280415961</v>
      </c>
      <c r="C25" s="6" t="n">
        <v>0.009442936699009212</v>
      </c>
      <c r="E25" s="7" t="n">
        <v>14</v>
      </c>
      <c r="F25" s="13" t="n">
        <v>6577</v>
      </c>
      <c r="G25" s="6" t="n">
        <v>0.01125165943586024</v>
      </c>
    </row>
    <row r="26" spans="1:12">
      <c r="A26" t="n">
        <v>15</v>
      </c>
      <c r="B26" s="11" t="n">
        <v>3379.5703435159</v>
      </c>
      <c r="C26" s="6" t="n">
        <v>0.00521725780202613</v>
      </c>
      <c r="E26" s="7" t="n">
        <v>15</v>
      </c>
      <c r="F26" s="13" t="n">
        <v>9382</v>
      </c>
      <c r="G26" s="6" t="n">
        <v>0.01605033736159963</v>
      </c>
    </row>
    <row r="27" spans="1:12">
      <c r="A27" t="n">
        <v>16</v>
      </c>
      <c r="B27" s="11" t="n">
        <v>10081.6643777011</v>
      </c>
      <c r="C27" s="6" t="n">
        <v>0.0155637068578515</v>
      </c>
      <c r="E27" s="7" t="n">
        <v>16</v>
      </c>
      <c r="F27" s="13" t="n">
        <v>6630</v>
      </c>
      <c r="G27" s="6" t="n">
        <v>0.01134232964265674</v>
      </c>
    </row>
    <row r="28" spans="1:12">
      <c r="A28" t="n">
        <v>17</v>
      </c>
      <c r="B28" s="11" t="n">
        <v>9325.124494645001</v>
      </c>
      <c r="C28" s="6" t="n">
        <v>0.01439578809711575</v>
      </c>
      <c r="E28" s="7" t="n">
        <v>17</v>
      </c>
      <c r="F28" s="13" t="n">
        <v>5401</v>
      </c>
      <c r="G28" s="6" t="n">
        <v>0.009239807300149179</v>
      </c>
    </row>
    <row r="29" spans="1:12">
      <c r="A29" t="n">
        <v>18</v>
      </c>
      <c r="B29" s="11" t="n">
        <v>9083.0298493189</v>
      </c>
      <c r="C29" s="6" t="n">
        <v>0.01402205118716219</v>
      </c>
      <c r="E29" s="7" t="n">
        <v>18</v>
      </c>
      <c r="F29" s="13" t="n">
        <v>5664</v>
      </c>
      <c r="G29" s="6" t="n">
        <v>0.009689736816894083</v>
      </c>
    </row>
    <row r="30" spans="1:12">
      <c r="A30" t="n">
        <v>19</v>
      </c>
      <c r="B30" s="11" t="n">
        <v>2071.3150673522</v>
      </c>
      <c r="C30" s="6" t="n">
        <v>0.003197620879923756</v>
      </c>
      <c r="E30" s="7" t="n">
        <v>19</v>
      </c>
      <c r="F30" s="13" t="n">
        <v>3993</v>
      </c>
      <c r="G30" s="6" t="n">
        <v>0.006831059164876072</v>
      </c>
    </row>
    <row r="31" spans="1:12">
      <c r="A31" t="n">
        <v>20</v>
      </c>
      <c r="B31" s="11" t="n">
        <v>917.9875877264</v>
      </c>
      <c r="C31" s="6" t="n">
        <v>0.00141715585634064</v>
      </c>
      <c r="E31" s="7" t="n">
        <v>20</v>
      </c>
      <c r="F31" s="13" t="n">
        <v>3526</v>
      </c>
      <c r="G31" s="6" t="n">
        <v>0.006032134889895575</v>
      </c>
    </row>
    <row r="32" spans="1:12">
      <c r="A32" t="n">
        <v>21</v>
      </c>
      <c r="B32" s="11" t="n">
        <v>1820.649231762</v>
      </c>
      <c r="C32" s="6" t="n">
        <v>0.002810652078122215</v>
      </c>
      <c r="E32" s="7" t="n">
        <v>21</v>
      </c>
      <c r="F32" s="13" t="n">
        <v>4149</v>
      </c>
      <c r="G32" s="6" t="n">
        <v>0.007097937509409172</v>
      </c>
    </row>
    <row r="33" spans="1:12">
      <c r="A33" t="n">
        <v>22</v>
      </c>
      <c r="B33" s="11" t="n">
        <v>1492.4111701456</v>
      </c>
      <c r="C33" s="6" t="n">
        <v>0.002303930094608621</v>
      </c>
      <c r="E33" s="7" t="n">
        <v>22</v>
      </c>
      <c r="F33" s="13" t="n">
        <v>2773</v>
      </c>
      <c r="G33" s="6" t="n">
        <v>0.004743933649937728</v>
      </c>
    </row>
    <row r="34" spans="1:12">
      <c r="A34" t="n">
        <v>23</v>
      </c>
      <c r="B34" s="11" t="n">
        <v>754.106479142</v>
      </c>
      <c r="C34" s="6" t="n">
        <v>0.00116416216026117</v>
      </c>
      <c r="E34" s="7" t="n">
        <v>23</v>
      </c>
      <c r="F34" s="13" t="n">
        <v>2712</v>
      </c>
      <c r="G34" s="6" t="n">
        <v>0.004639577374190811</v>
      </c>
    </row>
    <row r="35" spans="1:12">
      <c r="A35" t="n">
        <v>24</v>
      </c>
      <c r="B35" s="11" t="n">
        <v>884.5370084260001</v>
      </c>
      <c r="C35" s="6" t="n">
        <v>0.001365516068409567</v>
      </c>
      <c r="E35" s="7" t="n">
        <v>24</v>
      </c>
      <c r="F35" s="13" t="n">
        <v>2922</v>
      </c>
      <c r="G35" s="6" t="n">
        <v>0.004998836684139214</v>
      </c>
    </row>
    <row r="36" spans="1:12">
      <c r="A36" t="n">
        <v>25</v>
      </c>
      <c r="B36" s="11" t="n">
        <v>0</v>
      </c>
      <c r="C36" s="6" t="n">
        <v>0</v>
      </c>
      <c r="E36" s="7" t="n">
        <v>25</v>
      </c>
      <c r="F36" s="13" t="n">
        <v>2317</v>
      </c>
      <c r="G36" s="6" t="n">
        <v>0.003963827719764052</v>
      </c>
    </row>
    <row r="37" spans="1:12">
      <c r="A37" t="n">
        <v>26</v>
      </c>
      <c r="B37" s="11" t="n">
        <v>247.4515228492</v>
      </c>
      <c r="C37" s="6" t="n">
        <v>0.0003820066626768711</v>
      </c>
      <c r="E37" s="7" t="n">
        <v>26</v>
      </c>
      <c r="F37" s="13" t="n">
        <v>2177</v>
      </c>
      <c r="G37" s="6" t="n">
        <v>0.003724321513131783</v>
      </c>
    </row>
    <row r="38" spans="1:12">
      <c r="A38" t="n">
        <v>27</v>
      </c>
      <c r="B38" s="11" t="n">
        <v>1835.678311973</v>
      </c>
      <c r="C38" s="6" t="n">
        <v>0.002833853425636273</v>
      </c>
      <c r="E38" s="7" t="n">
        <v>27</v>
      </c>
      <c r="F38" s="13" t="n">
        <v>3228</v>
      </c>
      <c r="G38" s="6" t="n">
        <v>0.005522328821492603</v>
      </c>
    </row>
    <row r="39" spans="1:12">
      <c r="A39" t="n">
        <v>28</v>
      </c>
      <c r="B39" s="11" t="n">
        <v>1281.967247715</v>
      </c>
      <c r="C39" s="6" t="n">
        <v>0.001979054419718008</v>
      </c>
      <c r="E39" s="7" t="n">
        <v>28</v>
      </c>
      <c r="F39" s="13" t="n">
        <v>1744</v>
      </c>
      <c r="G39" s="6" t="n">
        <v>0.002983563031190551</v>
      </c>
    </row>
    <row r="40" spans="1:12">
      <c r="A40" t="n">
        <v>29</v>
      </c>
      <c r="B40" s="11" t="n">
        <v>543.221055857</v>
      </c>
      <c r="C40" s="6" t="n">
        <v>0.0008386049124062185</v>
      </c>
      <c r="E40" s="7" t="n">
        <v>29</v>
      </c>
      <c r="F40" s="13" t="n">
        <v>1740</v>
      </c>
      <c r="G40" s="6" t="n">
        <v>0.002976719996715344</v>
      </c>
    </row>
    <row r="41" spans="1:12">
      <c r="A41" t="n">
        <v>30</v>
      </c>
      <c r="B41" s="11" t="n">
        <v>0</v>
      </c>
      <c r="C41" s="6" t="n">
        <v>0</v>
      </c>
      <c r="E41" s="7" t="n">
        <v>30</v>
      </c>
      <c r="F41" s="13" t="n">
        <v>1604</v>
      </c>
      <c r="G41" s="6" t="n">
        <v>0.002744056824558282</v>
      </c>
    </row>
    <row r="42" spans="1:12">
      <c r="A42" t="n">
        <v>31</v>
      </c>
      <c r="B42" s="11" t="n">
        <v>368.204446166</v>
      </c>
      <c r="C42" s="6" t="n">
        <v>0.0005684206346484161</v>
      </c>
      <c r="E42" s="7" t="n">
        <v>31</v>
      </c>
      <c r="F42" s="13" t="n">
        <v>1098</v>
      </c>
      <c r="G42" s="6" t="n">
        <v>0.00187841296344451</v>
      </c>
    </row>
    <row r="43" spans="1:12">
      <c r="A43" t="n">
        <v>32</v>
      </c>
      <c r="B43" s="11" t="n">
        <v>0</v>
      </c>
      <c r="C43" s="6" t="n">
        <v>0</v>
      </c>
      <c r="E43" s="7" t="n">
        <v>32</v>
      </c>
      <c r="F43" s="13" t="n">
        <v>935</v>
      </c>
      <c r="G43" s="6" t="n">
        <v>0.001599559308579797</v>
      </c>
    </row>
    <row r="44" spans="1:12">
      <c r="A44" t="n">
        <v>33</v>
      </c>
      <c r="B44" s="11" t="n">
        <v>780.268380704</v>
      </c>
      <c r="C44" s="6" t="n">
        <v>0.001204549952544311</v>
      </c>
      <c r="E44" s="7" t="n">
        <v>33</v>
      </c>
      <c r="F44" s="13" t="n">
        <v>771</v>
      </c>
      <c r="G44" s="6" t="n">
        <v>0.001318994895096282</v>
      </c>
    </row>
    <row r="45" spans="1:12">
      <c r="A45" t="n">
        <v>34</v>
      </c>
      <c r="B45" s="11" t="n">
        <v>1426.6504365116</v>
      </c>
      <c r="C45" s="6" t="n">
        <v>0.002202411065339942</v>
      </c>
      <c r="E45" s="7" t="n">
        <v>34</v>
      </c>
      <c r="F45" s="13" t="n">
        <v>762</v>
      </c>
      <c r="G45" s="6" t="n">
        <v>0.001303598067527064</v>
      </c>
    </row>
    <row r="46" spans="1:12">
      <c r="A46" t="n">
        <v>35</v>
      </c>
      <c r="B46" s="11" t="n">
        <v>0</v>
      </c>
      <c r="C46" s="6" t="n">
        <v>0</v>
      </c>
      <c r="E46" s="7" t="n">
        <v>35</v>
      </c>
      <c r="F46" s="13" t="n">
        <v>517</v>
      </c>
      <c r="G46" s="6" t="n">
        <v>0.0008844622059205934</v>
      </c>
    </row>
    <row r="47" spans="1:12">
      <c r="A47" t="n">
        <v>36</v>
      </c>
      <c r="B47" s="11" t="n">
        <v>0</v>
      </c>
      <c r="C47" s="6" t="n">
        <v>0</v>
      </c>
      <c r="E47" s="7" t="n">
        <v>36</v>
      </c>
      <c r="F47" s="13" t="n">
        <v>855</v>
      </c>
      <c r="G47" s="6" t="n">
        <v>0.001462698619075643</v>
      </c>
    </row>
    <row r="48" spans="1:12">
      <c r="A48" t="n">
        <v>37</v>
      </c>
      <c r="B48" s="11" t="n">
        <v>0</v>
      </c>
      <c r="C48" s="6" t="n">
        <v>0</v>
      </c>
      <c r="E48" s="7" t="n">
        <v>37</v>
      </c>
      <c r="F48" s="13" t="n">
        <v>516</v>
      </c>
      <c r="G48" s="6" t="n">
        <v>0.0008827514473017915</v>
      </c>
    </row>
    <row r="49" spans="1:12">
      <c r="A49" t="n">
        <v>38</v>
      </c>
      <c r="B49" s="11" t="n">
        <v>292.681617382</v>
      </c>
      <c r="C49" s="6" t="n">
        <v>0.0004518312378748336</v>
      </c>
      <c r="E49" s="7" t="n">
        <v>38</v>
      </c>
      <c r="F49" s="13" t="n">
        <v>520</v>
      </c>
      <c r="G49" s="6" t="n">
        <v>0.0008895944817769992</v>
      </c>
    </row>
    <row r="50" spans="1:12">
      <c r="A50" t="n">
        <v>39</v>
      </c>
      <c r="B50" s="11" t="n">
        <v>0</v>
      </c>
      <c r="C50" s="6" t="n">
        <v>0</v>
      </c>
      <c r="E50" s="7" t="n">
        <v>39</v>
      </c>
      <c r="F50" s="13" t="n">
        <v>348</v>
      </c>
      <c r="G50" s="6" t="n">
        <v>0.0005953439993430687</v>
      </c>
    </row>
    <row r="51" spans="1:12">
      <c r="A51" t="n">
        <v>40</v>
      </c>
      <c r="B51" s="11" t="n">
        <v>0</v>
      </c>
      <c r="C51" s="6" t="n">
        <v>0</v>
      </c>
      <c r="E51" s="7" t="n">
        <v>40</v>
      </c>
      <c r="F51" s="13" t="n">
        <v>381</v>
      </c>
      <c r="G51" s="6" t="n">
        <v>0.0006517990337635321</v>
      </c>
    </row>
    <row r="52" spans="1:12">
      <c r="A52" t="n">
        <v>41</v>
      </c>
      <c r="B52" s="11" t="n">
        <v>0</v>
      </c>
      <c r="C52" s="6" t="n">
        <v>0</v>
      </c>
      <c r="E52" s="7" t="n">
        <v>41</v>
      </c>
      <c r="F52" s="13" t="n">
        <v>307</v>
      </c>
      <c r="G52" s="6" t="n">
        <v>0.0005252028959721899</v>
      </c>
    </row>
    <row r="53" spans="1:12">
      <c r="A53" t="n">
        <v>42</v>
      </c>
      <c r="B53" s="11" t="n">
        <v>0</v>
      </c>
      <c r="C53" s="6" t="n">
        <v>0</v>
      </c>
      <c r="E53" s="7" t="n">
        <v>42</v>
      </c>
      <c r="F53" s="13" t="n">
        <v>244</v>
      </c>
      <c r="G53" s="6" t="n">
        <v>0.0004174251029876689</v>
      </c>
    </row>
    <row r="54" spans="1:12">
      <c r="A54" t="n">
        <v>43</v>
      </c>
      <c r="B54" s="11" t="n">
        <v>0</v>
      </c>
      <c r="C54" s="6" t="n">
        <v>0</v>
      </c>
      <c r="E54" s="7" t="n">
        <v>43</v>
      </c>
      <c r="F54" s="13" t="n">
        <v>209</v>
      </c>
      <c r="G54" s="6" t="n">
        <v>0.0003575485513296016</v>
      </c>
    </row>
    <row r="55" spans="1:12">
      <c r="A55" t="n">
        <v>44</v>
      </c>
      <c r="B55" s="11" t="n">
        <v>0</v>
      </c>
      <c r="C55" s="6" t="n">
        <v>0</v>
      </c>
      <c r="E55" s="7" t="n">
        <v>44</v>
      </c>
      <c r="F55" s="13" t="n">
        <v>250</v>
      </c>
      <c r="G55" s="6" t="n">
        <v>0.0004276896547004804</v>
      </c>
    </row>
    <row r="56" spans="1:12">
      <c r="A56" t="n">
        <v>45</v>
      </c>
      <c r="B56" s="11" t="n">
        <v>0</v>
      </c>
      <c r="C56" s="6" t="n">
        <v>0</v>
      </c>
      <c r="E56" s="7" t="n">
        <v>45</v>
      </c>
      <c r="F56" s="13" t="n">
        <v>142</v>
      </c>
      <c r="G56" s="6" t="n">
        <v>0.0002429277238698729</v>
      </c>
    </row>
    <row r="57" spans="1:12">
      <c r="A57" t="n">
        <v>46</v>
      </c>
      <c r="B57" s="11" t="n">
        <v>0</v>
      </c>
      <c r="C57" s="6" t="n">
        <v>0</v>
      </c>
      <c r="E57" s="7" t="n">
        <v>46</v>
      </c>
      <c r="F57" s="13" t="n">
        <v>209</v>
      </c>
      <c r="G57" s="6" t="n">
        <v>0.0003575485513296016</v>
      </c>
    </row>
    <row r="58" spans="1:12">
      <c r="A58" t="n">
        <v>47</v>
      </c>
      <c r="B58" s="11" t="n">
        <v>0</v>
      </c>
      <c r="C58" s="6" t="n">
        <v>0</v>
      </c>
      <c r="E58" s="7" t="n">
        <v>47</v>
      </c>
      <c r="F58" s="13" t="n">
        <v>166</v>
      </c>
      <c r="G58" s="6" t="n">
        <v>0.000283985930721119</v>
      </c>
    </row>
    <row r="59" spans="1:12">
      <c r="A59" t="n">
        <v>48</v>
      </c>
      <c r="B59" s="11" t="n">
        <v>0</v>
      </c>
      <c r="C59" s="6" t="n">
        <v>0</v>
      </c>
      <c r="E59" s="7" t="n">
        <v>48</v>
      </c>
      <c r="F59" s="13" t="n">
        <v>104</v>
      </c>
      <c r="G59" s="6" t="n">
        <v>0.0001779188963553998</v>
      </c>
    </row>
    <row r="60" spans="1:12">
      <c r="A60" t="n">
        <v>49</v>
      </c>
      <c r="B60" s="11" t="n">
        <v>0</v>
      </c>
      <c r="C60" s="6" t="n">
        <v>0</v>
      </c>
      <c r="E60" s="7" t="n">
        <v>49</v>
      </c>
      <c r="F60" s="13" t="n">
        <v>104</v>
      </c>
      <c r="G60" s="6" t="n">
        <v>0.0001779188963553998</v>
      </c>
    </row>
    <row r="61" spans="1:12">
      <c r="A61" t="n">
        <v>50</v>
      </c>
      <c r="B61" s="11" t="n">
        <v>0</v>
      </c>
      <c r="C61" s="6" t="n">
        <v>0</v>
      </c>
      <c r="E61" s="7" t="n">
        <v>50</v>
      </c>
      <c r="F61" s="13" t="n">
        <v>79</v>
      </c>
      <c r="G61" s="6" t="n">
        <v>0.0001351499308853518</v>
      </c>
    </row>
    <row r="62" spans="1:12">
      <c r="A62" t="n">
        <v>51</v>
      </c>
      <c r="B62" s="11" t="n">
        <v>387.674382174</v>
      </c>
      <c r="C62" s="6" t="n">
        <v>0.0005984776138551309</v>
      </c>
      <c r="E62" s="7" t="n">
        <v>51</v>
      </c>
      <c r="F62" s="13" t="n">
        <v>105</v>
      </c>
      <c r="G62" s="6" t="n">
        <v>0.0001796296549742018</v>
      </c>
    </row>
    <row r="63" spans="1:12">
      <c r="A63" t="n">
        <v>52</v>
      </c>
      <c r="B63" s="11" t="n">
        <v>0</v>
      </c>
      <c r="C63" s="6" t="n">
        <v>0</v>
      </c>
      <c r="E63" s="7" t="n">
        <v>52</v>
      </c>
      <c r="F63" s="13" t="n">
        <v>69</v>
      </c>
      <c r="G63" s="6" t="n">
        <v>0.0001180423446973326</v>
      </c>
    </row>
    <row r="64" spans="1:12">
      <c r="A64" t="n">
        <v>53</v>
      </c>
      <c r="B64" s="11" t="n">
        <v>0</v>
      </c>
      <c r="C64" s="6" t="n">
        <v>0</v>
      </c>
      <c r="E64" s="7" t="n">
        <v>53</v>
      </c>
      <c r="F64" s="13" t="n">
        <v>65</v>
      </c>
      <c r="G64" s="6" t="n">
        <v>0.0001111993102221249</v>
      </c>
    </row>
    <row r="65" spans="1:12">
      <c r="A65" t="n">
        <v>54</v>
      </c>
      <c r="B65" s="11" t="n">
        <v>0</v>
      </c>
      <c r="C65" s="6" t="n">
        <v>0</v>
      </c>
      <c r="E65" s="7" t="n">
        <v>54</v>
      </c>
      <c r="F65" s="13" t="n">
        <v>89</v>
      </c>
      <c r="G65" s="6" t="n">
        <v>0.000152257517073371</v>
      </c>
    </row>
    <row r="66" spans="1:12">
      <c r="A66" t="n">
        <v>55</v>
      </c>
      <c r="B66" s="11" t="n">
        <v>0</v>
      </c>
      <c r="C66" s="6" t="n">
        <v>0</v>
      </c>
      <c r="E66" s="7" t="n">
        <v>55</v>
      </c>
      <c r="F66" s="13" t="n">
        <v>48</v>
      </c>
      <c r="G66" s="6" t="n">
        <v>8.211641370249224e-05</v>
      </c>
    </row>
    <row r="67" spans="1:12">
      <c r="A67" t="n">
        <v>56</v>
      </c>
      <c r="B67" s="11" t="n">
        <v>0</v>
      </c>
      <c r="C67" s="6" t="n">
        <v>0</v>
      </c>
      <c r="E67" s="7" t="n">
        <v>56</v>
      </c>
      <c r="F67" s="13" t="n">
        <v>26</v>
      </c>
      <c r="G67" s="6" t="n">
        <v>4.447972408884996e-05</v>
      </c>
    </row>
    <row r="68" spans="1:12">
      <c r="A68" t="n">
        <v>57</v>
      </c>
      <c r="B68" s="11" t="n">
        <v>0</v>
      </c>
      <c r="C68" s="6" t="n">
        <v>0</v>
      </c>
      <c r="E68" s="7" t="n">
        <v>57</v>
      </c>
      <c r="F68" s="13" t="n">
        <v>27</v>
      </c>
      <c r="G68" s="6" t="n">
        <v>4.619048270765188e-05</v>
      </c>
    </row>
    <row r="69" spans="1:12">
      <c r="A69" t="n">
        <v>58</v>
      </c>
      <c r="B69" s="11" t="n">
        <v>0</v>
      </c>
      <c r="C69" s="6" t="n">
        <v>0</v>
      </c>
      <c r="E69" s="7" t="n">
        <v>58</v>
      </c>
      <c r="F69" s="13" t="n">
        <v>33</v>
      </c>
      <c r="G69" s="6" t="n">
        <v>5.645503442046341e-05</v>
      </c>
    </row>
    <row r="70" spans="1:12">
      <c r="A70" t="n">
        <v>59</v>
      </c>
      <c r="B70" s="11" t="n">
        <v>0</v>
      </c>
      <c r="C70" s="6" t="n">
        <v>0</v>
      </c>
      <c r="E70" s="7" t="n">
        <v>59</v>
      </c>
      <c r="F70" s="13" t="n">
        <v>24</v>
      </c>
      <c r="G70" s="6" t="n">
        <v>4.105820685124612e-05</v>
      </c>
    </row>
    <row r="71" spans="1:12">
      <c r="A71" t="n">
        <v>60</v>
      </c>
      <c r="B71" s="11" t="n">
        <v>0</v>
      </c>
      <c r="C71" s="6" t="n">
        <v>0</v>
      </c>
      <c r="E71" s="7" t="n">
        <v>60</v>
      </c>
      <c r="F71" s="13" t="n">
        <v>8</v>
      </c>
      <c r="G71" s="6" t="n">
        <v>1.368606895041537e-05</v>
      </c>
    </row>
    <row r="72" spans="1:12">
      <c r="A72" t="n">
        <v>61</v>
      </c>
      <c r="B72" s="11" t="n">
        <v>0</v>
      </c>
      <c r="C72" s="6" t="n">
        <v>0</v>
      </c>
      <c r="E72" s="7" t="n">
        <v>61</v>
      </c>
      <c r="F72" s="13" t="n">
        <v>18</v>
      </c>
      <c r="G72" s="6" t="n">
        <v>3.079365513843459e-05</v>
      </c>
    </row>
    <row r="73" spans="1:12">
      <c r="A73" t="n">
        <v>62</v>
      </c>
      <c r="B73" s="11" t="n">
        <v>0</v>
      </c>
      <c r="C73" s="6" t="n">
        <v>0</v>
      </c>
      <c r="E73" s="7" t="n">
        <v>62</v>
      </c>
      <c r="F73" s="13" t="n">
        <v>18</v>
      </c>
      <c r="G73" s="6" t="n">
        <v>3.079365513843459e-05</v>
      </c>
    </row>
    <row r="74" spans="1:12">
      <c r="A74" t="n">
        <v>63</v>
      </c>
      <c r="B74" s="11" t="n">
        <v>0</v>
      </c>
      <c r="C74" s="6" t="n">
        <v>0</v>
      </c>
      <c r="E74" s="7" t="n">
        <v>63</v>
      </c>
      <c r="F74" s="13" t="n">
        <v>5</v>
      </c>
      <c r="G74" s="6" t="n">
        <v>8.553793094009607e-06</v>
      </c>
    </row>
    <row r="75" spans="1:12">
      <c r="A75" t="n">
        <v>64</v>
      </c>
      <c r="B75" s="11" t="n">
        <v>0</v>
      </c>
      <c r="C75" s="6" t="n">
        <v>0</v>
      </c>
      <c r="E75" s="7" t="n">
        <v>64</v>
      </c>
      <c r="F75" s="13" t="n">
        <v>3</v>
      </c>
      <c r="G75" s="6" t="n">
        <v>5.132275856405765e-06</v>
      </c>
    </row>
    <row r="76" spans="1:12">
      <c r="A76" t="n">
        <v>65</v>
      </c>
      <c r="B76" s="11" t="n">
        <v>0</v>
      </c>
      <c r="C76" s="6" t="n">
        <v>0</v>
      </c>
      <c r="E76" s="7" t="n">
        <v>65</v>
      </c>
      <c r="F76" s="13" t="n">
        <v>3</v>
      </c>
      <c r="G76" s="6" t="n">
        <v>5.132275856405765e-06</v>
      </c>
    </row>
    <row r="77" spans="1:12">
      <c r="A77" t="n">
        <v>66</v>
      </c>
      <c r="B77" s="11" t="n">
        <v>0</v>
      </c>
      <c r="C77" s="6" t="n">
        <v>0</v>
      </c>
      <c r="E77" s="7" t="n">
        <v>66</v>
      </c>
      <c r="F77" s="13" t="n">
        <v>8</v>
      </c>
      <c r="G77" s="6" t="n">
        <v>1.368606895041537e-05</v>
      </c>
    </row>
    <row r="78" spans="1:12">
      <c r="A78" t="n">
        <v>67</v>
      </c>
      <c r="B78" s="11" t="n">
        <v>0</v>
      </c>
      <c r="C78" s="6" t="n">
        <v>0</v>
      </c>
      <c r="E78" s="7" t="n">
        <v>67</v>
      </c>
      <c r="F78" s="13" t="n">
        <v>2</v>
      </c>
      <c r="G78" s="6" t="n">
        <v>3.421517237603843e-06</v>
      </c>
    </row>
    <row r="79" spans="1:12">
      <c r="A79" t="n">
        <v>68</v>
      </c>
      <c r="B79" s="11" t="n">
        <v>0</v>
      </c>
      <c r="C79" s="6" t="n">
        <v>0</v>
      </c>
      <c r="E79" s="7" t="n">
        <v>68</v>
      </c>
      <c r="F79" s="13" t="n">
        <v>8</v>
      </c>
      <c r="G79" s="6" t="n">
        <v>1.368606895041537e-05</v>
      </c>
    </row>
    <row r="80" spans="1:12">
      <c r="A80" t="n">
        <v>69</v>
      </c>
      <c r="B80" s="11" t="n">
        <v>0</v>
      </c>
      <c r="C80" s="6" t="n">
        <v>0</v>
      </c>
      <c r="E80" s="7" t="n">
        <v>69</v>
      </c>
      <c r="F80" s="13" t="n">
        <v>0</v>
      </c>
      <c r="G80" s="6" t="n">
        <v>0</v>
      </c>
    </row>
    <row r="81" spans="1:12">
      <c r="A81" t="n">
        <v>70</v>
      </c>
      <c r="B81" s="11" t="n">
        <v>0</v>
      </c>
      <c r="C81" s="6" t="n">
        <v>0</v>
      </c>
      <c r="E81" s="7" t="n">
        <v>70</v>
      </c>
      <c r="F81" s="13" t="n">
        <v>5</v>
      </c>
      <c r="G81" s="6" t="n">
        <v>8.553793094009607e-06</v>
      </c>
    </row>
    <row r="82" spans="1:12">
      <c r="A82" t="n">
        <v>71</v>
      </c>
      <c r="B82" s="11" t="n">
        <v>0</v>
      </c>
      <c r="C82" s="6" t="n">
        <v>0</v>
      </c>
      <c r="E82" s="7" t="n">
        <v>71</v>
      </c>
      <c r="F82" s="13" t="n">
        <v>0</v>
      </c>
      <c r="G82" s="6" t="n">
        <v>0</v>
      </c>
    </row>
    <row r="83" spans="1:12">
      <c r="A83" t="n">
        <v>72</v>
      </c>
      <c r="B83" s="11" t="n">
        <v>0</v>
      </c>
      <c r="C83" s="6" t="n">
        <v>0</v>
      </c>
      <c r="E83" s="7" t="n">
        <v>72</v>
      </c>
      <c r="F83" s="13" t="n">
        <v>1</v>
      </c>
      <c r="G83" s="6" t="n">
        <v>1.710758618801921e-06</v>
      </c>
    </row>
    <row r="84" spans="1:12">
      <c r="A84" t="n">
        <v>73</v>
      </c>
      <c r="B84" s="11" t="n">
        <v>0</v>
      </c>
      <c r="C84" s="6" t="n">
        <v>0</v>
      </c>
      <c r="E84" s="7" t="n">
        <v>73</v>
      </c>
      <c r="F84" s="13" t="n">
        <v>2</v>
      </c>
      <c r="G84" s="6" t="n">
        <v>3.421517237603843e-06</v>
      </c>
    </row>
    <row r="85" spans="1:12">
      <c r="A85" t="n">
        <v>74</v>
      </c>
      <c r="B85" s="11" t="n">
        <v>0</v>
      </c>
      <c r="C85" s="6" t="n">
        <v>0</v>
      </c>
      <c r="E85" s="7" t="n">
        <v>74</v>
      </c>
      <c r="F85" s="13" t="n">
        <v>0</v>
      </c>
      <c r="G85" s="6" t="n">
        <v>0</v>
      </c>
    </row>
    <row r="86" spans="1:12">
      <c r="A86" t="n">
        <v>75</v>
      </c>
      <c r="B86" s="11" t="n">
        <v>0</v>
      </c>
      <c r="C86" s="6" t="n">
        <v>0</v>
      </c>
      <c r="E86" s="7" t="n">
        <v>75</v>
      </c>
      <c r="F86" s="13" t="n">
        <v>3</v>
      </c>
      <c r="G86" s="6" t="n">
        <v>5.132275856405765e-06</v>
      </c>
    </row>
    <row r="87" spans="1:12">
      <c r="A87" t="n">
        <v>76</v>
      </c>
      <c r="B87" s="11" t="n">
        <v>0</v>
      </c>
      <c r="C87" s="6" t="n">
        <v>0</v>
      </c>
      <c r="E87" s="7" t="n">
        <v>76</v>
      </c>
      <c r="F87" s="13" t="n">
        <v>4</v>
      </c>
      <c r="G87" s="6" t="n">
        <v>6.843034475207686e-06</v>
      </c>
    </row>
    <row r="88" spans="1:12">
      <c r="A88" t="n">
        <v>77</v>
      </c>
      <c r="B88" s="11" t="n">
        <v>0</v>
      </c>
      <c r="C88" s="6" t="n">
        <v>0</v>
      </c>
      <c r="E88" s="7" t="n">
        <v>77</v>
      </c>
      <c r="F88" s="13" t="n">
        <v>0</v>
      </c>
      <c r="G88" s="6" t="n">
        <v>0</v>
      </c>
    </row>
    <row r="89" spans="1:12">
      <c r="A89" t="n">
        <v>78</v>
      </c>
      <c r="B89" s="11" t="n">
        <v>0</v>
      </c>
      <c r="C89" s="6" t="n">
        <v>0</v>
      </c>
      <c r="E89" s="7" t="n">
        <v>78</v>
      </c>
      <c r="F89" s="13" t="n">
        <v>2</v>
      </c>
      <c r="G89" s="6" t="n">
        <v>3.421517237603843e-06</v>
      </c>
    </row>
    <row r="90" spans="1:12">
      <c r="A90" t="n">
        <v>79</v>
      </c>
      <c r="B90" s="11" t="n">
        <v>0</v>
      </c>
      <c r="C90" s="6" t="n">
        <v>0</v>
      </c>
      <c r="E90" s="7" t="n">
        <v>79</v>
      </c>
      <c r="F90" s="13" t="n">
        <v>2</v>
      </c>
      <c r="G90" s="6" t="n">
        <v>3.421517237603843e-06</v>
      </c>
    </row>
    <row r="91" spans="1:12">
      <c r="A91" t="n">
        <v>80</v>
      </c>
      <c r="B91" s="11" t="n">
        <v>0</v>
      </c>
      <c r="C91" s="6" t="n">
        <v>0</v>
      </c>
      <c r="E91" s="7" t="n">
        <v>80</v>
      </c>
      <c r="F91" s="13" t="n">
        <v>1</v>
      </c>
      <c r="G91" s="6" t="n">
        <v>1.710758618801921e-06</v>
      </c>
    </row>
    <row r="92" spans="1:12">
      <c r="A92" t="n">
        <v>81</v>
      </c>
      <c r="B92" s="11" t="n">
        <v>0</v>
      </c>
      <c r="C92" s="6" t="n">
        <v>0</v>
      </c>
      <c r="E92" s="7" t="n">
        <v>81</v>
      </c>
      <c r="F92" s="13" t="n">
        <v>0</v>
      </c>
      <c r="G92" s="6" t="n">
        <v>0</v>
      </c>
    </row>
    <row r="93" spans="1:12">
      <c r="A93" t="n">
        <v>82</v>
      </c>
      <c r="B93" s="11" t="n">
        <v>0</v>
      </c>
      <c r="C93" s="6" t="n">
        <v>0</v>
      </c>
      <c r="E93" s="7" t="n">
        <v>82</v>
      </c>
      <c r="F93" s="13" t="n">
        <v>0</v>
      </c>
      <c r="G93" s="6" t="n">
        <v>0</v>
      </c>
    </row>
    <row r="94" spans="1:12">
      <c r="A94" t="n">
        <v>83</v>
      </c>
      <c r="B94" s="11" t="n">
        <v>0</v>
      </c>
      <c r="C94" s="6" t="n">
        <v>0</v>
      </c>
      <c r="E94" s="7" t="n">
        <v>83</v>
      </c>
      <c r="F94" s="13" t="n">
        <v>0</v>
      </c>
      <c r="G94" s="6" t="n">
        <v>0</v>
      </c>
    </row>
    <row r="95" spans="1:12">
      <c r="A95" t="n">
        <v>84</v>
      </c>
      <c r="B95" s="11" t="n">
        <v>0</v>
      </c>
      <c r="C95" s="6" t="n">
        <v>0</v>
      </c>
      <c r="E95" s="7" t="n">
        <v>84</v>
      </c>
      <c r="F95" s="13" t="n">
        <v>0</v>
      </c>
      <c r="G95" s="6" t="n">
        <v>0</v>
      </c>
    </row>
    <row r="96" spans="1:12">
      <c r="A96" t="n">
        <v>85</v>
      </c>
      <c r="B96" s="11" t="n">
        <v>0</v>
      </c>
      <c r="C96" s="6" t="n">
        <v>0</v>
      </c>
      <c r="E96" s="7" t="n">
        <v>85</v>
      </c>
      <c r="F96" s="13" t="n">
        <v>0</v>
      </c>
      <c r="G96" s="6" t="n">
        <v>0</v>
      </c>
    </row>
    <row r="97" spans="1:12">
      <c r="A97" t="n">
        <v>86</v>
      </c>
      <c r="B97" s="11" t="n">
        <v>0</v>
      </c>
      <c r="C97" s="6" t="n">
        <v>0</v>
      </c>
      <c r="E97" s="7" t="n">
        <v>86</v>
      </c>
      <c r="F97" s="13" t="n">
        <v>0</v>
      </c>
      <c r="G97" s="6" t="n">
        <v>0</v>
      </c>
    </row>
    <row r="98" spans="1:12">
      <c r="A98" t="n">
        <v>87</v>
      </c>
      <c r="B98" s="11" t="n">
        <v>0</v>
      </c>
      <c r="C98" s="6" t="n">
        <v>0</v>
      </c>
      <c r="E98" s="7" t="n">
        <v>87</v>
      </c>
      <c r="F98" s="13" t="n">
        <v>0</v>
      </c>
      <c r="G98" s="6" t="n">
        <v>0</v>
      </c>
    </row>
    <row r="99" spans="1:12">
      <c r="A99" t="n">
        <v>88</v>
      </c>
      <c r="B99" s="11" t="n">
        <v>0</v>
      </c>
      <c r="C99" s="6" t="n">
        <v>0</v>
      </c>
      <c r="E99" s="7" t="n">
        <v>88</v>
      </c>
      <c r="F99" s="13" t="n">
        <v>0</v>
      </c>
      <c r="G99" s="6" t="n">
        <v>0</v>
      </c>
    </row>
    <row r="100" spans="1:12">
      <c r="A100" t="n">
        <v>89</v>
      </c>
      <c r="B100" s="11" t="n">
        <v>0</v>
      </c>
      <c r="C100" s="6" t="n">
        <v>0</v>
      </c>
      <c r="E100" s="7" t="n">
        <v>89</v>
      </c>
      <c r="F100" s="13" t="n">
        <v>0</v>
      </c>
      <c r="G100" s="6" t="n">
        <v>0</v>
      </c>
    </row>
    <row customHeight="1" ht="15.75" r="101" spans="1:12">
      <c r="A101" s="1" t="n">
        <v>90</v>
      </c>
      <c r="B101" s="12" t="n">
        <v>0</v>
      </c>
      <c r="C101" s="6" t="n">
        <v>0</v>
      </c>
      <c r="E101" s="8" t="n">
        <v>90</v>
      </c>
      <c r="F101" s="14" t="n">
        <v>0</v>
      </c>
      <c r="G101" s="6" t="n">
        <v>0</v>
      </c>
    </row>
    <row r="102" spans="1:12">
      <c r="B102" s="11" t="n">
        <v>647767.5575478442</v>
      </c>
      <c r="C102" s="6" t="n">
        <v>1</v>
      </c>
      <c r="F102" s="11" t="n">
        <v>584536</v>
      </c>
      <c r="G102" s="6" t="n">
        <v>1</v>
      </c>
    </row>
  </sheetData>
  <pageMargins bottom="0.75" footer="0.3" header="0.3" left="0.7" right="0.7" top="0.75"/>
  <pageSetup orientation="portrait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L102"/>
  <sheetViews>
    <sheetView workbookViewId="0">
      <selection activeCell="H35" sqref="H35"/>
    </sheetView>
  </sheetViews>
  <sheetFormatPr baseColWidth="10" defaultRowHeight="15" outlineLevelCol="0"/>
  <cols>
    <col collapsed="1" customWidth="1" max="1" min="1" style="10" width="13.5703125"/>
    <col collapsed="1" customWidth="1" max="2" min="2" style="10" width="10.5703125"/>
    <col collapsed="1" customWidth="1" max="6" min="6" style="10" width="10.5703125"/>
  </cols>
  <sheetData>
    <row r="1" spans="1:12">
      <c r="A1" t="s">
        <v>0</v>
      </c>
    </row>
    <row r="2" spans="1:12">
      <c r="A2" t="s">
        <v>1</v>
      </c>
    </row>
    <row r="3" spans="1:12">
      <c r="A3" t="s">
        <v>2</v>
      </c>
    </row>
    <row r="4" spans="1:12">
      <c r="A4" t="s">
        <v>3</v>
      </c>
    </row>
    <row r="5" spans="1:12">
      <c r="A5" t="s">
        <v>4</v>
      </c>
    </row>
    <row r="7" spans="1:12">
      <c r="A7" t="s">
        <v>5</v>
      </c>
    </row>
    <row customHeight="1" ht="15.75" r="9" spans="1:12">
      <c r="A9" s="3" t="s">
        <v>6</v>
      </c>
      <c r="B9" s="1" t="n"/>
      <c r="E9" s="3" t="s">
        <v>7</v>
      </c>
      <c r="F9" s="1" t="n"/>
      <c r="J9" s="5" t="s">
        <v>16</v>
      </c>
    </row>
    <row r="10" spans="1:12">
      <c r="A10" s="2" t="s">
        <v>9</v>
      </c>
      <c r="B10" s="9" t="s">
        <v>10</v>
      </c>
      <c r="C10" s="9" t="s">
        <v>10</v>
      </c>
      <c r="E10" s="2" t="s">
        <v>9</v>
      </c>
      <c r="F10" s="9" t="s">
        <v>11</v>
      </c>
      <c r="G10" s="9" t="s">
        <v>11</v>
      </c>
      <c r="J10" s="2" t="n"/>
      <c r="K10" s="9" t="s">
        <v>10</v>
      </c>
      <c r="L10" s="9" t="s">
        <v>11</v>
      </c>
    </row>
    <row r="11" spans="1:12">
      <c r="A11" t="n">
        <v>0</v>
      </c>
      <c r="B11" s="11" t="n">
        <v>21714.3581449434</v>
      </c>
      <c r="C11" s="6" t="n">
        <v>0.2150524176801443</v>
      </c>
      <c r="E11" s="7" t="n">
        <v>0</v>
      </c>
      <c r="F11" s="13" t="n">
        <v>7082</v>
      </c>
      <c r="G11" s="6" t="n">
        <v>0.1088717735860659</v>
      </c>
      <c r="K11" s="4" t="n">
        <v>4.895899174480038</v>
      </c>
      <c r="L11" s="4" t="n">
        <v>6.042750483427334</v>
      </c>
    </row>
    <row r="12" spans="1:12">
      <c r="A12" t="n">
        <v>1</v>
      </c>
      <c r="B12" s="11" t="n">
        <v>17532.1341696373</v>
      </c>
      <c r="C12" s="6" t="n">
        <v>0.1736329397860265</v>
      </c>
      <c r="E12" s="7" t="n">
        <v>1</v>
      </c>
      <c r="F12" s="13" t="n">
        <v>8956</v>
      </c>
      <c r="G12" s="6" t="n">
        <v>0.1376808252240619</v>
      </c>
      <c r="K12" s="4" t="n"/>
      <c r="L12" s="7" t="n"/>
    </row>
    <row r="13" spans="1:12">
      <c r="A13" t="n">
        <v>2</v>
      </c>
      <c r="B13" s="11" t="n">
        <v>8419.413432157</v>
      </c>
      <c r="C13" s="6" t="n">
        <v>0.08338331724788656</v>
      </c>
      <c r="E13" s="7" t="n">
        <v>2</v>
      </c>
      <c r="F13" s="13" t="n">
        <v>8416</v>
      </c>
      <c r="G13" s="6" t="n">
        <v>0.1293793909206906</v>
      </c>
    </row>
    <row r="14" spans="1:12">
      <c r="A14" t="n">
        <v>3</v>
      </c>
      <c r="B14" s="11" t="n">
        <v>11809.3452406979</v>
      </c>
      <c r="C14" s="6" t="n">
        <v>0.1169561738035066</v>
      </c>
      <c r="E14" s="7" t="n">
        <v>3</v>
      </c>
      <c r="F14" s="13" t="n">
        <v>7846</v>
      </c>
      <c r="G14" s="6" t="n">
        <v>0.1206167658226875</v>
      </c>
    </row>
    <row r="15" spans="1:12">
      <c r="A15" t="n">
        <v>4</v>
      </c>
      <c r="B15" s="11" t="n">
        <v>13519.4039174619</v>
      </c>
      <c r="C15" s="6" t="n">
        <v>0.1338920763228562</v>
      </c>
      <c r="E15" s="7" t="n">
        <v>4</v>
      </c>
      <c r="F15" s="13" t="n">
        <v>6977</v>
      </c>
      <c r="G15" s="6" t="n">
        <v>0.1072576058048548</v>
      </c>
    </row>
    <row r="16" spans="1:12">
      <c r="A16" t="n">
        <v>5</v>
      </c>
      <c r="B16" s="11" t="n">
        <v>1849.782695403</v>
      </c>
      <c r="C16" s="6" t="n">
        <v>0.0183196868253711</v>
      </c>
      <c r="E16" s="7" t="n">
        <v>5</v>
      </c>
      <c r="F16" s="13" t="n">
        <v>5214</v>
      </c>
      <c r="G16" s="6" t="n">
        <v>0.08015496010699627</v>
      </c>
    </row>
    <row r="17" spans="1:12">
      <c r="A17" t="n">
        <v>6</v>
      </c>
      <c r="B17" s="11" t="n">
        <v>996.909822548</v>
      </c>
      <c r="C17" s="6" t="n">
        <v>0.009873092546277051</v>
      </c>
      <c r="E17" s="7" t="n">
        <v>6</v>
      </c>
      <c r="F17" s="13" t="n">
        <v>3556</v>
      </c>
      <c r="G17" s="6" t="n">
        <v>0.05466648219034882</v>
      </c>
    </row>
    <row r="18" spans="1:12">
      <c r="A18" t="n">
        <v>7</v>
      </c>
      <c r="B18" s="11" t="n">
        <v>3374.273870721</v>
      </c>
      <c r="C18" s="6" t="n">
        <v>0.03341778508808792</v>
      </c>
      <c r="E18" s="7" t="n">
        <v>7</v>
      </c>
      <c r="F18" s="13" t="n">
        <v>2664</v>
      </c>
      <c r="G18" s="6" t="n">
        <v>0.04095374256329844</v>
      </c>
    </row>
    <row r="19" spans="1:12">
      <c r="A19" t="n">
        <v>8</v>
      </c>
      <c r="B19" s="11" t="n">
        <v>2074.465429439</v>
      </c>
      <c r="C19" s="6" t="n">
        <v>0.0205448764829654</v>
      </c>
      <c r="E19" s="7" t="n">
        <v>8</v>
      </c>
      <c r="F19" s="13" t="n">
        <v>1925</v>
      </c>
      <c r="G19" s="6" t="n">
        <v>0.02959307598886993</v>
      </c>
    </row>
    <row r="20" spans="1:12">
      <c r="A20" t="n">
        <v>9</v>
      </c>
      <c r="B20" s="11" t="n">
        <v>1207.46655552</v>
      </c>
      <c r="C20" s="6" t="n">
        <v>0.01195838257337397</v>
      </c>
      <c r="E20" s="7" t="n">
        <v>9</v>
      </c>
      <c r="F20" s="13" t="n">
        <v>1191</v>
      </c>
      <c r="G20" s="6" t="n">
        <v>0.01830927454688005</v>
      </c>
    </row>
    <row r="21" spans="1:12">
      <c r="A21" t="n">
        <v>10</v>
      </c>
      <c r="B21" s="11" t="n">
        <v>880.055534877</v>
      </c>
      <c r="C21" s="6" t="n">
        <v>0.008715803119981411</v>
      </c>
      <c r="E21" s="7" t="n">
        <v>10</v>
      </c>
      <c r="F21" s="13" t="n">
        <v>987</v>
      </c>
      <c r="G21" s="6" t="n">
        <v>0.01517317714338422</v>
      </c>
    </row>
    <row r="22" spans="1:12">
      <c r="A22" t="n">
        <v>11</v>
      </c>
      <c r="B22" s="11" t="n">
        <v>1112.109726078</v>
      </c>
      <c r="C22" s="6" t="n">
        <v>0.01101399745377094</v>
      </c>
      <c r="E22" s="7" t="n">
        <v>11</v>
      </c>
      <c r="F22" s="13" t="n">
        <v>941</v>
      </c>
      <c r="G22" s="6" t="n">
        <v>0.01446601792494888</v>
      </c>
    </row>
    <row r="23" spans="1:12">
      <c r="A23" t="n">
        <v>12</v>
      </c>
      <c r="B23" s="11" t="n">
        <v>942.231922169</v>
      </c>
      <c r="C23" s="6" t="n">
        <v>0.00933157920327657</v>
      </c>
      <c r="E23" s="7" t="n">
        <v>12</v>
      </c>
      <c r="F23" s="13" t="n">
        <v>930</v>
      </c>
      <c r="G23" s="6" t="n">
        <v>0.01429691463358391</v>
      </c>
    </row>
    <row r="24" spans="1:12">
      <c r="A24" t="n">
        <v>13</v>
      </c>
      <c r="B24" s="11" t="n">
        <v>1141.297113071</v>
      </c>
      <c r="C24" s="6" t="n">
        <v>0.01130306048279132</v>
      </c>
      <c r="E24" s="7" t="n">
        <v>13</v>
      </c>
      <c r="F24" s="13" t="n">
        <v>901</v>
      </c>
      <c r="G24" s="6" t="n">
        <v>0.0138510968654399</v>
      </c>
    </row>
    <row r="25" spans="1:12">
      <c r="A25" t="n">
        <v>14</v>
      </c>
      <c r="B25" s="11" t="n">
        <v>0</v>
      </c>
      <c r="C25" s="6" t="n">
        <v>0</v>
      </c>
      <c r="E25" s="7" t="n">
        <v>14</v>
      </c>
      <c r="F25" s="13" t="n">
        <v>900</v>
      </c>
      <c r="G25" s="6" t="n">
        <v>0.01383572383895217</v>
      </c>
    </row>
    <row r="26" spans="1:12">
      <c r="A26" t="n">
        <v>15</v>
      </c>
      <c r="B26" s="11" t="n">
        <v>1208.4204133333</v>
      </c>
      <c r="C26" s="6" t="n">
        <v>0.01196782929187718</v>
      </c>
      <c r="E26" s="7" t="n">
        <v>15</v>
      </c>
      <c r="F26" s="13" t="n">
        <v>811</v>
      </c>
      <c r="G26" s="6" t="n">
        <v>0.01246752448154468</v>
      </c>
    </row>
    <row r="27" spans="1:12">
      <c r="A27" t="n">
        <v>16</v>
      </c>
      <c r="B27" s="11" t="n">
        <v>7325.31987321</v>
      </c>
      <c r="C27" s="6" t="n">
        <v>0.07254774644955665</v>
      </c>
      <c r="E27" s="7" t="n">
        <v>16</v>
      </c>
      <c r="F27" s="13" t="n">
        <v>707</v>
      </c>
      <c r="G27" s="6" t="n">
        <v>0.01086872972682132</v>
      </c>
    </row>
    <row r="28" spans="1:12">
      <c r="A28" t="n">
        <v>17</v>
      </c>
      <c r="B28" s="11" t="n">
        <v>0</v>
      </c>
      <c r="C28" s="6" t="n">
        <v>0</v>
      </c>
      <c r="E28" s="7" t="n">
        <v>17</v>
      </c>
      <c r="F28" s="13" t="n">
        <v>717</v>
      </c>
      <c r="G28" s="6" t="n">
        <v>0.01102245999169857</v>
      </c>
    </row>
    <row r="29" spans="1:12">
      <c r="A29" t="n">
        <v>18</v>
      </c>
      <c r="B29" s="11" t="n">
        <v>3544.169887275</v>
      </c>
      <c r="C29" s="6" t="n">
        <v>0.03510038371109495</v>
      </c>
      <c r="E29" s="7" t="n">
        <v>18</v>
      </c>
      <c r="F29" s="13" t="n">
        <v>618</v>
      </c>
      <c r="G29" s="6" t="n">
        <v>0.009500530369413826</v>
      </c>
    </row>
    <row r="30" spans="1:12">
      <c r="A30" t="n">
        <v>19</v>
      </c>
      <c r="B30" s="11" t="n">
        <v>775.795370025</v>
      </c>
      <c r="C30" s="6" t="n">
        <v>0.00768324206662261</v>
      </c>
      <c r="E30" s="7" t="n">
        <v>19</v>
      </c>
      <c r="F30" s="13" t="n">
        <v>569</v>
      </c>
      <c r="G30" s="6" t="n">
        <v>0.008747252071515318</v>
      </c>
    </row>
    <row r="31" spans="1:12">
      <c r="A31" t="n">
        <v>20</v>
      </c>
      <c r="B31" s="11" t="n">
        <v>0</v>
      </c>
      <c r="C31" s="6" t="n">
        <v>0</v>
      </c>
      <c r="E31" s="7" t="n">
        <v>20</v>
      </c>
      <c r="F31" s="13" t="n">
        <v>518</v>
      </c>
      <c r="G31" s="6" t="n">
        <v>0.007963227720641362</v>
      </c>
    </row>
    <row r="32" spans="1:12">
      <c r="A32" t="n">
        <v>21</v>
      </c>
      <c r="B32" s="11" t="n">
        <v>280.724871177</v>
      </c>
      <c r="C32" s="6" t="n">
        <v>0.002780213987748901</v>
      </c>
      <c r="E32" s="7" t="n">
        <v>21</v>
      </c>
      <c r="F32" s="13" t="n">
        <v>491</v>
      </c>
      <c r="G32" s="6" t="n">
        <v>0.007548156005472797</v>
      </c>
    </row>
    <row r="33" spans="1:12">
      <c r="A33" t="n">
        <v>22</v>
      </c>
      <c r="B33" s="11" t="n">
        <v>145.892226826</v>
      </c>
      <c r="C33" s="6" t="n">
        <v>0.001444872369252022</v>
      </c>
      <c r="E33" s="7" t="n">
        <v>22</v>
      </c>
      <c r="F33" s="13" t="n">
        <v>323</v>
      </c>
      <c r="G33" s="6" t="n">
        <v>0.004965487555535058</v>
      </c>
    </row>
    <row r="34" spans="1:12">
      <c r="A34" t="n">
        <v>23</v>
      </c>
      <c r="B34" s="11" t="n">
        <v>0</v>
      </c>
      <c r="C34" s="6" t="n">
        <v>0</v>
      </c>
      <c r="E34" s="7" t="n">
        <v>23</v>
      </c>
      <c r="F34" s="13" t="n">
        <v>318</v>
      </c>
      <c r="G34" s="6" t="n">
        <v>0.004888622423096435</v>
      </c>
    </row>
    <row r="35" spans="1:12">
      <c r="A35" t="n">
        <v>24</v>
      </c>
      <c r="B35" s="11" t="n">
        <v>0</v>
      </c>
      <c r="C35" s="6" t="n">
        <v>0</v>
      </c>
      <c r="E35" s="7" t="n">
        <v>24</v>
      </c>
      <c r="F35" s="13" t="n">
        <v>263</v>
      </c>
      <c r="G35" s="6" t="n">
        <v>0.00404310596627158</v>
      </c>
    </row>
    <row r="36" spans="1:12">
      <c r="A36" t="n">
        <v>25</v>
      </c>
      <c r="B36" s="11" t="n">
        <v>0</v>
      </c>
      <c r="C36" s="6" t="n">
        <v>0</v>
      </c>
      <c r="E36" s="7" t="n">
        <v>25</v>
      </c>
      <c r="F36" s="13" t="n">
        <v>204</v>
      </c>
      <c r="G36" s="6" t="n">
        <v>0.003136097403495826</v>
      </c>
    </row>
    <row r="37" spans="1:12">
      <c r="A37" t="n">
        <v>26</v>
      </c>
      <c r="B37" s="11" t="n">
        <v>0</v>
      </c>
      <c r="C37" s="6" t="n">
        <v>0</v>
      </c>
      <c r="E37" s="7" t="n">
        <v>26</v>
      </c>
      <c r="F37" s="13" t="n">
        <v>187</v>
      </c>
      <c r="G37" s="6" t="n">
        <v>0.002874755953204507</v>
      </c>
    </row>
    <row r="38" spans="1:12">
      <c r="A38" t="n">
        <v>27</v>
      </c>
      <c r="B38" s="11" t="n">
        <v>0</v>
      </c>
      <c r="C38" s="6" t="n">
        <v>0</v>
      </c>
      <c r="E38" s="7" t="n">
        <v>27</v>
      </c>
      <c r="F38" s="13" t="n">
        <v>148</v>
      </c>
      <c r="G38" s="6" t="n">
        <v>0.002275207920183246</v>
      </c>
    </row>
    <row r="39" spans="1:12">
      <c r="A39" t="n">
        <v>28</v>
      </c>
      <c r="B39" s="11" t="n">
        <v>0</v>
      </c>
      <c r="C39" s="6" t="n">
        <v>0</v>
      </c>
      <c r="E39" s="7" t="n">
        <v>28</v>
      </c>
      <c r="F39" s="13" t="n">
        <v>125</v>
      </c>
      <c r="G39" s="6" t="n">
        <v>0.00192162831096558</v>
      </c>
    </row>
    <row r="40" spans="1:12">
      <c r="A40" t="n">
        <v>29</v>
      </c>
      <c r="B40" s="11" t="n">
        <v>543.221055857</v>
      </c>
      <c r="C40" s="6" t="n">
        <v>0.005379896592707373</v>
      </c>
      <c r="E40" s="7" t="n">
        <v>29</v>
      </c>
      <c r="F40" s="13" t="n">
        <v>114</v>
      </c>
      <c r="G40" s="6" t="n">
        <v>0.001752525019600609</v>
      </c>
    </row>
    <row r="41" spans="1:12">
      <c r="A41" t="n">
        <v>30</v>
      </c>
      <c r="B41" s="11" t="n">
        <v>0</v>
      </c>
      <c r="C41" s="6" t="n">
        <v>0</v>
      </c>
      <c r="E41" s="7" t="n">
        <v>30</v>
      </c>
      <c r="F41" s="13" t="n">
        <v>67</v>
      </c>
      <c r="G41" s="6" t="n">
        <v>0.001029992774677551</v>
      </c>
    </row>
    <row r="42" spans="1:12">
      <c r="A42" t="n">
        <v>31</v>
      </c>
      <c r="B42" s="11" t="n">
        <v>368.204446166</v>
      </c>
      <c r="C42" s="6" t="n">
        <v>0.003646585168211209</v>
      </c>
      <c r="E42" s="7" t="n">
        <v>31</v>
      </c>
      <c r="F42" s="13" t="n">
        <v>57</v>
      </c>
      <c r="G42" s="6" t="n">
        <v>0.0008762625098003043</v>
      </c>
    </row>
    <row r="43" spans="1:12">
      <c r="A43" t="n">
        <v>32</v>
      </c>
      <c r="B43" s="11" t="n">
        <v>0</v>
      </c>
      <c r="C43" s="6" t="n">
        <v>0</v>
      </c>
      <c r="E43" s="7" t="n">
        <v>32</v>
      </c>
      <c r="F43" s="13" t="n">
        <v>44</v>
      </c>
      <c r="G43" s="6" t="n">
        <v>0.0006764131654598841</v>
      </c>
    </row>
    <row r="44" spans="1:12">
      <c r="A44" t="n">
        <v>33</v>
      </c>
      <c r="B44" s="11" t="n">
        <v>207.401519182</v>
      </c>
      <c r="C44" s="6" t="n">
        <v>0.002054041746613192</v>
      </c>
      <c r="E44" s="7" t="n">
        <v>33</v>
      </c>
      <c r="F44" s="13" t="n">
        <v>33</v>
      </c>
      <c r="G44" s="6" t="n">
        <v>0.000507309874094913</v>
      </c>
    </row>
    <row r="45" spans="1:12">
      <c r="A45" t="n">
        <v>34</v>
      </c>
      <c r="B45" s="11" t="n">
        <v>0</v>
      </c>
      <c r="C45" s="6" t="n">
        <v>0</v>
      </c>
      <c r="E45" s="7" t="n">
        <v>34</v>
      </c>
      <c r="F45" s="13" t="n">
        <v>24</v>
      </c>
      <c r="G45" s="6" t="n">
        <v>0.0003689526357053913</v>
      </c>
    </row>
    <row r="46" spans="1:12">
      <c r="A46" t="n">
        <v>35</v>
      </c>
      <c r="B46" s="11" t="n">
        <v>0</v>
      </c>
      <c r="C46" s="6" t="n">
        <v>0</v>
      </c>
      <c r="E46" s="7" t="n">
        <v>35</v>
      </c>
      <c r="F46" s="13" t="n">
        <v>36</v>
      </c>
      <c r="G46" s="6" t="n">
        <v>0.000553428953558087</v>
      </c>
    </row>
    <row r="47" spans="1:12">
      <c r="A47" t="n">
        <v>36</v>
      </c>
      <c r="B47" s="11" t="n">
        <v>0</v>
      </c>
      <c r="C47" s="6" t="n">
        <v>0</v>
      </c>
      <c r="E47" s="7" t="n">
        <v>36</v>
      </c>
      <c r="F47" s="13" t="n">
        <v>32</v>
      </c>
      <c r="G47" s="6" t="n">
        <v>0.0004919368476071884</v>
      </c>
    </row>
    <row r="48" spans="1:12">
      <c r="A48" t="n">
        <v>37</v>
      </c>
      <c r="B48" s="11" t="n">
        <v>0</v>
      </c>
      <c r="C48" s="6" t="n">
        <v>0</v>
      </c>
      <c r="E48" s="7" t="n">
        <v>37</v>
      </c>
      <c r="F48" s="13" t="n">
        <v>18</v>
      </c>
      <c r="G48" s="6" t="n">
        <v>0.0002767144767790435</v>
      </c>
    </row>
    <row r="49" spans="1:12">
      <c r="A49" t="n">
        <v>38</v>
      </c>
      <c r="B49" s="11" t="n">
        <v>0</v>
      </c>
      <c r="C49" s="6" t="n">
        <v>0</v>
      </c>
      <c r="E49" s="7" t="n">
        <v>38</v>
      </c>
      <c r="F49" s="13" t="n">
        <v>27</v>
      </c>
      <c r="G49" s="6" t="n">
        <v>0.0004150717151685652</v>
      </c>
    </row>
    <row r="50" spans="1:12">
      <c r="A50" t="n">
        <v>39</v>
      </c>
      <c r="B50" s="11" t="n">
        <v>0</v>
      </c>
      <c r="C50" s="6" t="n">
        <v>0</v>
      </c>
      <c r="E50" s="7" t="n">
        <v>39</v>
      </c>
      <c r="F50" s="13" t="n">
        <v>13</v>
      </c>
      <c r="G50" s="6" t="n">
        <v>0.0001998493443404203</v>
      </c>
    </row>
    <row r="51" spans="1:12">
      <c r="A51" t="n">
        <v>40</v>
      </c>
      <c r="B51" s="11" t="n">
        <v>0</v>
      </c>
      <c r="C51" s="6" t="n">
        <v>0</v>
      </c>
      <c r="E51" s="7" t="n">
        <v>40</v>
      </c>
      <c r="F51" s="13" t="n">
        <v>19</v>
      </c>
      <c r="G51" s="6" t="n">
        <v>0.0002920875032667681</v>
      </c>
    </row>
    <row r="52" spans="1:12">
      <c r="A52" t="n">
        <v>41</v>
      </c>
      <c r="B52" s="11" t="n">
        <v>0</v>
      </c>
      <c r="C52" s="6" t="n">
        <v>0</v>
      </c>
      <c r="E52" s="7" t="n">
        <v>41</v>
      </c>
      <c r="F52" s="13" t="n">
        <v>9</v>
      </c>
      <c r="G52" s="6" t="n">
        <v>0.0001383572383895217</v>
      </c>
    </row>
    <row r="53" spans="1:12">
      <c r="A53" t="n">
        <v>42</v>
      </c>
      <c r="B53" s="11" t="n">
        <v>0</v>
      </c>
      <c r="C53" s="6" t="n">
        <v>0</v>
      </c>
      <c r="E53" s="7" t="n">
        <v>42</v>
      </c>
      <c r="F53" s="13" t="n">
        <v>9</v>
      </c>
      <c r="G53" s="6" t="n">
        <v>0.0001383572383895217</v>
      </c>
    </row>
    <row r="54" spans="1:12">
      <c r="A54" t="n">
        <v>43</v>
      </c>
      <c r="B54" s="11" t="n">
        <v>0</v>
      </c>
      <c r="C54" s="6" t="n">
        <v>0</v>
      </c>
      <c r="E54" s="7" t="n">
        <v>43</v>
      </c>
      <c r="F54" s="13" t="n">
        <v>14</v>
      </c>
      <c r="G54" s="6" t="n">
        <v>0.0002152223708281449</v>
      </c>
    </row>
    <row r="55" spans="1:12">
      <c r="A55" t="n">
        <v>44</v>
      </c>
      <c r="B55" s="11" t="n">
        <v>0</v>
      </c>
      <c r="C55" s="6" t="n">
        <v>0</v>
      </c>
      <c r="E55" s="7" t="n">
        <v>44</v>
      </c>
      <c r="F55" s="13" t="n">
        <v>7</v>
      </c>
      <c r="G55" s="6" t="n">
        <v>0.0001076111854140725</v>
      </c>
    </row>
    <row r="56" spans="1:12">
      <c r="A56" t="n">
        <v>45</v>
      </c>
      <c r="B56" s="11" t="n">
        <v>0</v>
      </c>
      <c r="C56" s="6" t="n">
        <v>0</v>
      </c>
      <c r="E56" s="7" t="n">
        <v>45</v>
      </c>
      <c r="F56" s="13" t="n">
        <v>8</v>
      </c>
      <c r="G56" s="6" t="n">
        <v>0.0001229842119017971</v>
      </c>
    </row>
    <row r="57" spans="1:12">
      <c r="A57" t="n">
        <v>46</v>
      </c>
      <c r="B57" s="11" t="n">
        <v>0</v>
      </c>
      <c r="C57" s="6" t="n">
        <v>0</v>
      </c>
      <c r="E57" s="7" t="n">
        <v>46</v>
      </c>
      <c r="F57" s="13" t="n">
        <v>4</v>
      </c>
      <c r="G57" s="6" t="n">
        <v>6.149210595089855e-05</v>
      </c>
    </row>
    <row r="58" spans="1:12">
      <c r="A58" t="n">
        <v>47</v>
      </c>
      <c r="B58" s="11" t="n">
        <v>0</v>
      </c>
      <c r="C58" s="6" t="n">
        <v>0</v>
      </c>
      <c r="E58" s="7" t="n">
        <v>47</v>
      </c>
      <c r="F58" s="13" t="n">
        <v>8</v>
      </c>
      <c r="G58" s="6" t="n">
        <v>0.0001229842119017971</v>
      </c>
    </row>
    <row r="59" spans="1:12">
      <c r="A59" t="n">
        <v>48</v>
      </c>
      <c r="B59" s="11" t="n">
        <v>0</v>
      </c>
      <c r="C59" s="6" t="n">
        <v>0</v>
      </c>
      <c r="E59" s="7" t="n">
        <v>48</v>
      </c>
      <c r="F59" s="13" t="n">
        <v>4</v>
      </c>
      <c r="G59" s="6" t="n">
        <v>6.149210595089855e-05</v>
      </c>
    </row>
    <row r="60" spans="1:12">
      <c r="A60" t="n">
        <v>49</v>
      </c>
      <c r="B60" s="11" t="n">
        <v>0</v>
      </c>
      <c r="C60" s="6" t="n">
        <v>0</v>
      </c>
      <c r="E60" s="7" t="n">
        <v>49</v>
      </c>
      <c r="F60" s="13" t="n">
        <v>4</v>
      </c>
      <c r="G60" s="6" t="n">
        <v>6.149210595089855e-05</v>
      </c>
    </row>
    <row r="61" spans="1:12">
      <c r="A61" t="n">
        <v>50</v>
      </c>
      <c r="B61" s="11" t="n">
        <v>0</v>
      </c>
      <c r="C61" s="6" t="n">
        <v>0</v>
      </c>
      <c r="E61" s="7" t="n">
        <v>50</v>
      </c>
      <c r="F61" s="13" t="n">
        <v>0</v>
      </c>
      <c r="G61" s="6" t="n">
        <v>0</v>
      </c>
    </row>
    <row r="62" spans="1:12">
      <c r="A62" t="n">
        <v>51</v>
      </c>
      <c r="B62" s="11" t="n">
        <v>0</v>
      </c>
      <c r="C62" s="6" t="n">
        <v>0</v>
      </c>
      <c r="E62" s="7" t="n">
        <v>51</v>
      </c>
      <c r="F62" s="13" t="n">
        <v>7</v>
      </c>
      <c r="G62" s="6" t="n">
        <v>0.0001076111854140725</v>
      </c>
    </row>
    <row r="63" spans="1:12">
      <c r="A63" t="n">
        <v>52</v>
      </c>
      <c r="B63" s="11" t="n">
        <v>0</v>
      </c>
      <c r="C63" s="6" t="n">
        <v>0</v>
      </c>
      <c r="E63" s="7" t="n">
        <v>52</v>
      </c>
      <c r="F63" s="13" t="n">
        <v>4</v>
      </c>
      <c r="G63" s="6" t="n">
        <v>6.149210595089855e-05</v>
      </c>
    </row>
    <row r="64" spans="1:12">
      <c r="A64" t="n">
        <v>53</v>
      </c>
      <c r="B64" s="11" t="n">
        <v>0</v>
      </c>
      <c r="C64" s="6" t="n">
        <v>0</v>
      </c>
      <c r="E64" s="7" t="n">
        <v>53</v>
      </c>
      <c r="F64" s="13" t="n">
        <v>2</v>
      </c>
      <c r="G64" s="6" t="n">
        <v>3.074605297544928e-05</v>
      </c>
    </row>
    <row r="65" spans="1:12">
      <c r="A65" t="n">
        <v>54</v>
      </c>
      <c r="B65" s="11" t="n">
        <v>0</v>
      </c>
      <c r="C65" s="6" t="n">
        <v>0</v>
      </c>
      <c r="E65" s="7" t="n">
        <v>54</v>
      </c>
      <c r="F65" s="13" t="n">
        <v>0</v>
      </c>
      <c r="G65" s="6" t="n">
        <v>0</v>
      </c>
    </row>
    <row r="66" spans="1:12">
      <c r="A66" t="n">
        <v>55</v>
      </c>
      <c r="B66" s="11" t="n">
        <v>0</v>
      </c>
      <c r="C66" s="6" t="n">
        <v>0</v>
      </c>
      <c r="E66" s="7" t="n">
        <v>55</v>
      </c>
      <c r="F66" s="13" t="n">
        <v>0</v>
      </c>
      <c r="G66" s="6" t="n">
        <v>0</v>
      </c>
    </row>
    <row r="67" spans="1:12">
      <c r="A67" t="n">
        <v>56</v>
      </c>
      <c r="B67" s="11" t="n">
        <v>0</v>
      </c>
      <c r="C67" s="6" t="n">
        <v>0</v>
      </c>
      <c r="E67" s="7" t="n">
        <v>56</v>
      </c>
      <c r="F67" s="13" t="n">
        <v>0</v>
      </c>
      <c r="G67" s="6" t="n">
        <v>0</v>
      </c>
    </row>
    <row r="68" spans="1:12">
      <c r="A68" t="n">
        <v>57</v>
      </c>
      <c r="B68" s="11" t="n">
        <v>0</v>
      </c>
      <c r="C68" s="6" t="n">
        <v>0</v>
      </c>
      <c r="E68" s="7" t="n">
        <v>57</v>
      </c>
      <c r="F68" s="13" t="n">
        <v>0</v>
      </c>
      <c r="G68" s="6" t="n">
        <v>0</v>
      </c>
    </row>
    <row r="69" spans="1:12">
      <c r="A69" t="n">
        <v>58</v>
      </c>
      <c r="B69" s="11" t="n">
        <v>0</v>
      </c>
      <c r="C69" s="6" t="n">
        <v>0</v>
      </c>
      <c r="E69" s="7" t="n">
        <v>58</v>
      </c>
      <c r="F69" s="13" t="n">
        <v>0</v>
      </c>
      <c r="G69" s="6" t="n">
        <v>0</v>
      </c>
    </row>
    <row r="70" spans="1:12">
      <c r="A70" t="n">
        <v>59</v>
      </c>
      <c r="B70" s="11" t="n">
        <v>0</v>
      </c>
      <c r="C70" s="6" t="n">
        <v>0</v>
      </c>
      <c r="E70" s="7" t="n">
        <v>59</v>
      </c>
      <c r="F70" s="13" t="n">
        <v>0</v>
      </c>
      <c r="G70" s="6" t="n">
        <v>0</v>
      </c>
    </row>
    <row r="71" spans="1:12">
      <c r="A71" t="n">
        <v>60</v>
      </c>
      <c r="B71" s="11" t="n">
        <v>0</v>
      </c>
      <c r="C71" s="6" t="n">
        <v>0</v>
      </c>
      <c r="E71" s="7" t="n">
        <v>60</v>
      </c>
      <c r="F71" s="13" t="n">
        <v>0</v>
      </c>
      <c r="G71" s="6" t="n">
        <v>0</v>
      </c>
    </row>
    <row r="72" spans="1:12">
      <c r="A72" t="n">
        <v>61</v>
      </c>
      <c r="B72" s="11" t="n">
        <v>0</v>
      </c>
      <c r="C72" s="6" t="n">
        <v>0</v>
      </c>
      <c r="E72" s="7" t="n">
        <v>61</v>
      </c>
      <c r="F72" s="13" t="n">
        <v>0</v>
      </c>
      <c r="G72" s="6" t="n">
        <v>0</v>
      </c>
    </row>
    <row r="73" spans="1:12">
      <c r="A73" t="n">
        <v>62</v>
      </c>
      <c r="B73" s="11" t="n">
        <v>0</v>
      </c>
      <c r="C73" s="6" t="n">
        <v>0</v>
      </c>
      <c r="E73" s="7" t="n">
        <v>62</v>
      </c>
      <c r="F73" s="13" t="n">
        <v>0</v>
      </c>
      <c r="G73" s="6" t="n">
        <v>0</v>
      </c>
    </row>
    <row r="74" spans="1:12">
      <c r="A74" t="n">
        <v>63</v>
      </c>
      <c r="B74" s="11" t="n">
        <v>0</v>
      </c>
      <c r="C74" s="6" t="n">
        <v>0</v>
      </c>
      <c r="E74" s="7" t="n">
        <v>63</v>
      </c>
      <c r="F74" s="13" t="n">
        <v>0</v>
      </c>
      <c r="G74" s="6" t="n">
        <v>0</v>
      </c>
    </row>
    <row r="75" spans="1:12">
      <c r="A75" t="n">
        <v>64</v>
      </c>
      <c r="B75" s="11" t="n">
        <v>0</v>
      </c>
      <c r="C75" s="6" t="n">
        <v>0</v>
      </c>
      <c r="E75" s="7" t="n">
        <v>64</v>
      </c>
      <c r="F75" s="13" t="n">
        <v>0</v>
      </c>
      <c r="G75" s="6" t="n">
        <v>0</v>
      </c>
    </row>
    <row r="76" spans="1:12">
      <c r="A76" t="n">
        <v>65</v>
      </c>
      <c r="B76" s="11" t="n">
        <v>0</v>
      </c>
      <c r="C76" s="6" t="n">
        <v>0</v>
      </c>
      <c r="E76" s="7" t="n">
        <v>65</v>
      </c>
      <c r="F76" s="13" t="n">
        <v>0</v>
      </c>
      <c r="G76" s="6" t="n">
        <v>0</v>
      </c>
    </row>
    <row r="77" spans="1:12">
      <c r="A77" t="n">
        <v>66</v>
      </c>
      <c r="B77" s="11" t="n">
        <v>0</v>
      </c>
      <c r="C77" s="6" t="n">
        <v>0</v>
      </c>
      <c r="E77" s="7" t="n">
        <v>66</v>
      </c>
      <c r="F77" s="13" t="n">
        <v>0</v>
      </c>
      <c r="G77" s="6" t="n">
        <v>0</v>
      </c>
    </row>
    <row r="78" spans="1:12">
      <c r="A78" t="n">
        <v>67</v>
      </c>
      <c r="B78" s="11" t="n">
        <v>0</v>
      </c>
      <c r="C78" s="6" t="n">
        <v>0</v>
      </c>
      <c r="E78" s="7" t="n">
        <v>67</v>
      </c>
      <c r="F78" s="13" t="n">
        <v>0</v>
      </c>
      <c r="G78" s="6" t="n">
        <v>0</v>
      </c>
    </row>
    <row r="79" spans="1:12">
      <c r="A79" t="n">
        <v>68</v>
      </c>
      <c r="B79" s="11" t="n">
        <v>0</v>
      </c>
      <c r="C79" s="6" t="n">
        <v>0</v>
      </c>
      <c r="E79" s="7" t="n">
        <v>68</v>
      </c>
      <c r="F79" s="13" t="n">
        <v>0</v>
      </c>
      <c r="G79" s="6" t="n">
        <v>0</v>
      </c>
    </row>
    <row r="80" spans="1:12">
      <c r="A80" t="n">
        <v>69</v>
      </c>
      <c r="B80" s="11" t="n">
        <v>0</v>
      </c>
      <c r="C80" s="6" t="n">
        <v>0</v>
      </c>
      <c r="E80" s="7" t="n">
        <v>69</v>
      </c>
      <c r="F80" s="13" t="n">
        <v>0</v>
      </c>
      <c r="G80" s="6" t="n">
        <v>0</v>
      </c>
    </row>
    <row r="81" spans="1:12">
      <c r="A81" t="n">
        <v>70</v>
      </c>
      <c r="B81" s="11" t="n">
        <v>0</v>
      </c>
      <c r="C81" s="6" t="n">
        <v>0</v>
      </c>
      <c r="E81" s="7" t="n">
        <v>70</v>
      </c>
      <c r="F81" s="13" t="n">
        <v>0</v>
      </c>
      <c r="G81" s="6" t="n">
        <v>0</v>
      </c>
    </row>
    <row r="82" spans="1:12">
      <c r="A82" t="n">
        <v>71</v>
      </c>
      <c r="B82" s="11" t="n">
        <v>0</v>
      </c>
      <c r="C82" s="6" t="n">
        <v>0</v>
      </c>
      <c r="E82" s="7" t="n">
        <v>71</v>
      </c>
      <c r="F82" s="13" t="n">
        <v>0</v>
      </c>
      <c r="G82" s="6" t="n">
        <v>0</v>
      </c>
    </row>
    <row r="83" spans="1:12">
      <c r="A83" t="n">
        <v>72</v>
      </c>
      <c r="B83" s="11" t="n">
        <v>0</v>
      </c>
      <c r="C83" s="6" t="n">
        <v>0</v>
      </c>
      <c r="E83" s="7" t="n">
        <v>72</v>
      </c>
      <c r="F83" s="13" t="n">
        <v>0</v>
      </c>
      <c r="G83" s="6" t="n">
        <v>0</v>
      </c>
    </row>
    <row r="84" spans="1:12">
      <c r="A84" t="n">
        <v>73</v>
      </c>
      <c r="B84" s="11" t="n">
        <v>0</v>
      </c>
      <c r="C84" s="6" t="n">
        <v>0</v>
      </c>
      <c r="E84" s="7" t="n">
        <v>73</v>
      </c>
      <c r="F84" s="13" t="n">
        <v>0</v>
      </c>
      <c r="G84" s="6" t="n">
        <v>0</v>
      </c>
    </row>
    <row r="85" spans="1:12">
      <c r="A85" t="n">
        <v>74</v>
      </c>
      <c r="B85" s="11" t="n">
        <v>0</v>
      </c>
      <c r="C85" s="6" t="n">
        <v>0</v>
      </c>
      <c r="E85" s="7" t="n">
        <v>74</v>
      </c>
      <c r="F85" s="13" t="n">
        <v>0</v>
      </c>
      <c r="G85" s="6" t="n">
        <v>0</v>
      </c>
    </row>
    <row r="86" spans="1:12">
      <c r="A86" t="n">
        <v>75</v>
      </c>
      <c r="B86" s="11" t="n">
        <v>0</v>
      </c>
      <c r="C86" s="6" t="n">
        <v>0</v>
      </c>
      <c r="E86" s="7" t="n">
        <v>75</v>
      </c>
      <c r="F86" s="13" t="n">
        <v>0</v>
      </c>
      <c r="G86" s="6" t="n">
        <v>0</v>
      </c>
    </row>
    <row r="87" spans="1:12">
      <c r="A87" t="n">
        <v>76</v>
      </c>
      <c r="B87" s="11" t="n">
        <v>0</v>
      </c>
      <c r="C87" s="6" t="n">
        <v>0</v>
      </c>
      <c r="E87" s="7" t="n">
        <v>76</v>
      </c>
      <c r="F87" s="13" t="n">
        <v>0</v>
      </c>
      <c r="G87" s="6" t="n">
        <v>0</v>
      </c>
    </row>
    <row r="88" spans="1:12">
      <c r="A88" t="n">
        <v>77</v>
      </c>
      <c r="B88" s="11" t="n">
        <v>0</v>
      </c>
      <c r="C88" s="6" t="n">
        <v>0</v>
      </c>
      <c r="E88" s="7" t="n">
        <v>77</v>
      </c>
      <c r="F88" s="13" t="n">
        <v>0</v>
      </c>
      <c r="G88" s="6" t="n">
        <v>0</v>
      </c>
    </row>
    <row r="89" spans="1:12">
      <c r="A89" t="n">
        <v>78</v>
      </c>
      <c r="B89" s="11" t="n">
        <v>0</v>
      </c>
      <c r="C89" s="6" t="n">
        <v>0</v>
      </c>
      <c r="E89" s="7" t="n">
        <v>78</v>
      </c>
      <c r="F89" s="13" t="n">
        <v>0</v>
      </c>
      <c r="G89" s="6" t="n">
        <v>0</v>
      </c>
    </row>
    <row r="90" spans="1:12">
      <c r="A90" t="n">
        <v>79</v>
      </c>
      <c r="B90" s="11" t="n">
        <v>0</v>
      </c>
      <c r="C90" s="6" t="n">
        <v>0</v>
      </c>
      <c r="E90" s="7" t="n">
        <v>79</v>
      </c>
      <c r="F90" s="13" t="n">
        <v>0</v>
      </c>
      <c r="G90" s="6" t="n">
        <v>0</v>
      </c>
    </row>
    <row r="91" spans="1:12">
      <c r="A91" t="n">
        <v>80</v>
      </c>
      <c r="B91" s="11" t="n">
        <v>0</v>
      </c>
      <c r="C91" s="6" t="n">
        <v>0</v>
      </c>
      <c r="E91" s="7" t="n">
        <v>80</v>
      </c>
      <c r="F91" s="13" t="n">
        <v>0</v>
      </c>
      <c r="G91" s="6" t="n">
        <v>0</v>
      </c>
    </row>
    <row r="92" spans="1:12">
      <c r="A92" t="n">
        <v>81</v>
      </c>
      <c r="B92" s="11" t="n">
        <v>0</v>
      </c>
      <c r="C92" s="6" t="n">
        <v>0</v>
      </c>
      <c r="E92" s="7" t="n">
        <v>81</v>
      </c>
      <c r="F92" s="13" t="n">
        <v>0</v>
      </c>
      <c r="G92" s="6" t="n">
        <v>0</v>
      </c>
    </row>
    <row r="93" spans="1:12">
      <c r="A93" t="n">
        <v>82</v>
      </c>
      <c r="B93" s="11" t="n">
        <v>0</v>
      </c>
      <c r="C93" s="6" t="n">
        <v>0</v>
      </c>
      <c r="E93" s="7" t="n">
        <v>82</v>
      </c>
      <c r="F93" s="13" t="n">
        <v>0</v>
      </c>
      <c r="G93" s="6" t="n">
        <v>0</v>
      </c>
    </row>
    <row r="94" spans="1:12">
      <c r="A94" t="n">
        <v>83</v>
      </c>
      <c r="B94" s="11" t="n">
        <v>0</v>
      </c>
      <c r="C94" s="6" t="n">
        <v>0</v>
      </c>
      <c r="E94" s="7" t="n">
        <v>83</v>
      </c>
      <c r="F94" s="13" t="n">
        <v>0</v>
      </c>
      <c r="G94" s="6" t="n">
        <v>0</v>
      </c>
    </row>
    <row r="95" spans="1:12">
      <c r="A95" t="n">
        <v>84</v>
      </c>
      <c r="B95" s="11" t="n">
        <v>0</v>
      </c>
      <c r="C95" s="6" t="n">
        <v>0</v>
      </c>
      <c r="E95" s="7" t="n">
        <v>84</v>
      </c>
      <c r="F95" s="13" t="n">
        <v>0</v>
      </c>
      <c r="G95" s="6" t="n">
        <v>0</v>
      </c>
    </row>
    <row r="96" spans="1:12">
      <c r="A96" t="n">
        <v>85</v>
      </c>
      <c r="B96" s="11" t="n">
        <v>0</v>
      </c>
      <c r="C96" s="6" t="n">
        <v>0</v>
      </c>
      <c r="E96" s="7" t="n">
        <v>85</v>
      </c>
      <c r="F96" s="13" t="n">
        <v>0</v>
      </c>
      <c r="G96" s="6" t="n">
        <v>0</v>
      </c>
    </row>
    <row r="97" spans="1:12">
      <c r="A97" t="n">
        <v>86</v>
      </c>
      <c r="B97" s="11" t="n">
        <v>0</v>
      </c>
      <c r="C97" s="6" t="n">
        <v>0</v>
      </c>
      <c r="E97" s="7" t="n">
        <v>86</v>
      </c>
      <c r="F97" s="13" t="n">
        <v>0</v>
      </c>
      <c r="G97" s="6" t="n">
        <v>0</v>
      </c>
    </row>
    <row r="98" spans="1:12">
      <c r="A98" t="n">
        <v>87</v>
      </c>
      <c r="B98" s="11" t="n">
        <v>0</v>
      </c>
      <c r="C98" s="6" t="n">
        <v>0</v>
      </c>
      <c r="E98" s="7" t="n">
        <v>87</v>
      </c>
      <c r="F98" s="13" t="n">
        <v>0</v>
      </c>
      <c r="G98" s="6" t="n">
        <v>0</v>
      </c>
    </row>
    <row r="99" spans="1:12">
      <c r="A99" t="n">
        <v>88</v>
      </c>
      <c r="B99" s="11" t="n">
        <v>0</v>
      </c>
      <c r="C99" s="6" t="n">
        <v>0</v>
      </c>
      <c r="E99" s="7" t="n">
        <v>88</v>
      </c>
      <c r="F99" s="13" t="n">
        <v>0</v>
      </c>
      <c r="G99" s="6" t="n">
        <v>0</v>
      </c>
    </row>
    <row r="100" spans="1:12">
      <c r="A100" t="n">
        <v>89</v>
      </c>
      <c r="B100" s="11" t="n">
        <v>0</v>
      </c>
      <c r="C100" s="6" t="n">
        <v>0</v>
      </c>
      <c r="E100" s="7" t="n">
        <v>89</v>
      </c>
      <c r="F100" s="13" t="n">
        <v>0</v>
      </c>
      <c r="G100" s="6" t="n">
        <v>0</v>
      </c>
    </row>
    <row customHeight="1" ht="15.75" r="101" spans="1:12">
      <c r="A101" s="1" t="n">
        <v>90</v>
      </c>
      <c r="B101" s="12" t="n">
        <v>0</v>
      </c>
      <c r="C101" s="6" t="n">
        <v>0</v>
      </c>
      <c r="E101" s="8" t="n">
        <v>90</v>
      </c>
      <c r="F101" s="14" t="n">
        <v>0</v>
      </c>
      <c r="G101" s="6" t="n">
        <v>0</v>
      </c>
    </row>
    <row r="102" spans="1:12">
      <c r="B102" s="11" t="n">
        <v>100972.3972377748</v>
      </c>
      <c r="C102" s="6" t="n">
        <v>1</v>
      </c>
      <c r="F102" s="11" t="n">
        <v>65049</v>
      </c>
      <c r="G102" s="6" t="n">
        <v>1</v>
      </c>
    </row>
  </sheetData>
  <pageMargins bottom="0.75" footer="0.3" header="0.3" left="0.7" right="0.7" top="0.75"/>
  <pageSetup orientation="portrait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L102"/>
  <sheetViews>
    <sheetView workbookViewId="0">
      <selection activeCell="J30" sqref="J30"/>
    </sheetView>
  </sheetViews>
  <sheetFormatPr baseColWidth="10" defaultRowHeight="15" outlineLevelCol="0"/>
  <cols>
    <col collapsed="1" customWidth="1" max="1" min="1" style="10" width="13.5703125"/>
    <col collapsed="1" customWidth="1" max="2" min="2" style="10" width="10.5703125"/>
    <col collapsed="1" customWidth="1" max="6" min="6" style="10" width="10.5703125"/>
  </cols>
  <sheetData>
    <row r="1" spans="1:12">
      <c r="A1" t="s">
        <v>0</v>
      </c>
    </row>
    <row r="2" spans="1:12">
      <c r="A2" t="s">
        <v>1</v>
      </c>
    </row>
    <row r="3" spans="1:12">
      <c r="A3" t="s">
        <v>2</v>
      </c>
    </row>
    <row r="4" spans="1:12">
      <c r="A4" t="s">
        <v>3</v>
      </c>
    </row>
    <row r="5" spans="1:12">
      <c r="A5" t="s">
        <v>4</v>
      </c>
    </row>
    <row r="6" spans="1:12"/>
    <row r="7" spans="1:12">
      <c r="A7" t="s">
        <v>5</v>
      </c>
    </row>
    <row r="8" spans="1:12"/>
    <row customHeight="1" ht="15.75" r="9" spans="1:12">
      <c r="A9" s="3" t="s">
        <v>6</v>
      </c>
      <c r="B9" s="1" t="n"/>
      <c r="E9" s="3" t="s">
        <v>7</v>
      </c>
      <c r="F9" s="1" t="n"/>
      <c r="J9" s="5" t="s">
        <v>16</v>
      </c>
    </row>
    <row r="10" spans="1:12">
      <c r="A10" s="2" t="s">
        <v>9</v>
      </c>
      <c r="B10" s="9" t="s">
        <v>10</v>
      </c>
      <c r="C10" s="9" t="s">
        <v>10</v>
      </c>
      <c r="E10" s="2" t="s">
        <v>9</v>
      </c>
      <c r="F10" s="9" t="s">
        <v>11</v>
      </c>
      <c r="G10" s="9" t="s">
        <v>11</v>
      </c>
      <c r="J10" s="2" t="n"/>
      <c r="K10" s="9" t="s">
        <v>10</v>
      </c>
      <c r="L10" s="9" t="s">
        <v>11</v>
      </c>
    </row>
    <row r="11" spans="1:12">
      <c r="A11" t="n">
        <v>0</v>
      </c>
      <c r="B11" s="11" t="n">
        <v>4626.1693516567</v>
      </c>
      <c r="C11" s="6" t="n">
        <v>0.008460516272736128</v>
      </c>
      <c r="E11" s="7" t="n">
        <v>0</v>
      </c>
      <c r="F11" s="13" t="n">
        <v>71895</v>
      </c>
      <c r="G11" s="6" t="n">
        <v>0.1383961485080474</v>
      </c>
      <c r="K11" s="4" t="n">
        <v>6.389731010667382</v>
      </c>
      <c r="L11" s="4" t="n">
        <v>6.883761666119482</v>
      </c>
    </row>
    <row r="12" spans="1:12">
      <c r="A12" t="n">
        <v>1</v>
      </c>
      <c r="B12" s="11" t="n">
        <v>17495.9797819921</v>
      </c>
      <c r="C12" s="6" t="n">
        <v>0.03199732011539882</v>
      </c>
      <c r="E12" s="7" t="n">
        <v>1</v>
      </c>
      <c r="F12" s="13" t="n">
        <v>52974</v>
      </c>
      <c r="G12" s="6" t="n">
        <v>0.1019736778783685</v>
      </c>
      <c r="K12" s="4" t="n"/>
      <c r="L12" s="7" t="n"/>
    </row>
    <row r="13" spans="1:12">
      <c r="A13" t="n">
        <v>2</v>
      </c>
      <c r="B13" s="11" t="n">
        <v>37742.5557913795</v>
      </c>
      <c r="C13" s="6" t="n">
        <v>0.06902503630422946</v>
      </c>
      <c r="E13" s="7" t="n">
        <v>2</v>
      </c>
      <c r="F13" s="13" t="n">
        <v>33135</v>
      </c>
      <c r="G13" s="6" t="n">
        <v>0.06378407929361081</v>
      </c>
    </row>
    <row r="14" spans="1:12">
      <c r="A14" t="n">
        <v>3</v>
      </c>
      <c r="B14" s="11" t="n">
        <v>58560.3213397601</v>
      </c>
      <c r="C14" s="6" t="n">
        <v>0.1070973658701597</v>
      </c>
      <c r="E14" s="7" t="n">
        <v>3</v>
      </c>
      <c r="F14" s="13" t="n">
        <v>19004</v>
      </c>
      <c r="G14" s="6" t="n">
        <v>0.03658224363651064</v>
      </c>
    </row>
    <row r="15" spans="1:12">
      <c r="A15" t="n">
        <v>4</v>
      </c>
      <c r="B15" s="11" t="n">
        <v>117469.2701282316</v>
      </c>
      <c r="C15" s="6" t="n">
        <v>0.2148323150146733</v>
      </c>
      <c r="E15" s="7" t="n">
        <v>4</v>
      </c>
      <c r="F15" s="13" t="n">
        <v>99379</v>
      </c>
      <c r="G15" s="6" t="n">
        <v>0.1913021885051984</v>
      </c>
    </row>
    <row r="16" spans="1:12">
      <c r="A16" t="n">
        <v>5</v>
      </c>
      <c r="B16" s="11" t="n">
        <v>54624.2580661488</v>
      </c>
      <c r="C16" s="6" t="n">
        <v>0.09989894211055785</v>
      </c>
      <c r="E16" s="7" t="n">
        <v>5</v>
      </c>
      <c r="F16" s="13" t="n">
        <v>44848</v>
      </c>
      <c r="G16" s="6" t="n">
        <v>0.08633132301674537</v>
      </c>
    </row>
    <row r="17" spans="1:12">
      <c r="A17" t="n">
        <v>6</v>
      </c>
      <c r="B17" s="11" t="n">
        <v>76807.88428975049</v>
      </c>
      <c r="C17" s="6" t="n">
        <v>0.1404692101630807</v>
      </c>
      <c r="E17" s="7" t="n">
        <v>6</v>
      </c>
      <c r="F17" s="13" t="n">
        <v>43616</v>
      </c>
      <c r="G17" s="6" t="n">
        <v>0.08395975260208628</v>
      </c>
    </row>
    <row r="18" spans="1:12">
      <c r="A18" t="n">
        <v>7</v>
      </c>
      <c r="B18" s="11" t="n">
        <v>43128.3969977886</v>
      </c>
      <c r="C18" s="6" t="n">
        <v>0.07887486965563473</v>
      </c>
      <c r="E18" s="7" t="n">
        <v>7</v>
      </c>
      <c r="F18" s="13" t="n">
        <v>25342</v>
      </c>
      <c r="G18" s="6" t="n">
        <v>0.04878274143530059</v>
      </c>
    </row>
    <row r="19" spans="1:12">
      <c r="A19" t="n">
        <v>8</v>
      </c>
      <c r="B19" s="11" t="n">
        <v>17953.798010249</v>
      </c>
      <c r="C19" s="6" t="n">
        <v>0.03283459568308542</v>
      </c>
      <c r="E19" s="7" t="n">
        <v>8</v>
      </c>
      <c r="F19" s="13" t="n">
        <v>19200</v>
      </c>
      <c r="G19" s="6" t="n">
        <v>0.03695953892975185</v>
      </c>
    </row>
    <row r="20" spans="1:12">
      <c r="A20" t="n">
        <v>9</v>
      </c>
      <c r="B20" s="11" t="n">
        <v>13883.6639434421</v>
      </c>
      <c r="C20" s="6" t="n">
        <v>0.02539097810516307</v>
      </c>
      <c r="E20" s="7" t="n">
        <v>9</v>
      </c>
      <c r="F20" s="13" t="n">
        <v>9263</v>
      </c>
      <c r="G20" s="6" t="n">
        <v>0.01783105255761934</v>
      </c>
    </row>
    <row r="21" spans="1:12">
      <c r="A21" t="n">
        <v>10</v>
      </c>
      <c r="B21" s="11" t="n">
        <v>45100.6405353116</v>
      </c>
      <c r="C21" s="6" t="n">
        <v>0.08248178442131152</v>
      </c>
      <c r="E21" s="7" t="n">
        <v>10</v>
      </c>
      <c r="F21" s="13" t="n">
        <v>6646</v>
      </c>
      <c r="G21" s="6" t="n">
        <v>0.01279339040245473</v>
      </c>
    </row>
    <row r="22" spans="1:12">
      <c r="A22" t="n">
        <v>11</v>
      </c>
      <c r="B22" s="11" t="n">
        <v>6899.669484883</v>
      </c>
      <c r="C22" s="6" t="n">
        <v>0.01261838067654152</v>
      </c>
      <c r="E22" s="7" t="n">
        <v>11</v>
      </c>
      <c r="F22" s="13" t="n">
        <v>7791</v>
      </c>
      <c r="G22" s="6" t="n">
        <v>0.01499748790633837</v>
      </c>
    </row>
    <row r="23" spans="1:12">
      <c r="A23" t="n">
        <v>12</v>
      </c>
      <c r="B23" s="11" t="n">
        <v>9794.3975532934</v>
      </c>
      <c r="C23" s="6" t="n">
        <v>0.01791237059914599</v>
      </c>
      <c r="E23" s="7" t="n">
        <v>12</v>
      </c>
      <c r="F23" s="13" t="n">
        <v>8264</v>
      </c>
      <c r="G23" s="6" t="n">
        <v>0.01590800154768069</v>
      </c>
    </row>
    <row r="24" spans="1:12">
      <c r="A24" t="n">
        <v>13</v>
      </c>
      <c r="B24" s="11" t="n">
        <v>4016.2836465706</v>
      </c>
      <c r="C24" s="6" t="n">
        <v>0.00734513386017005</v>
      </c>
      <c r="E24" s="7" t="n">
        <v>13</v>
      </c>
      <c r="F24" s="13" t="n">
        <v>9958</v>
      </c>
      <c r="G24" s="6" t="n">
        <v>0.01916891086783692</v>
      </c>
    </row>
    <row r="25" spans="1:12">
      <c r="A25" t="n">
        <v>14</v>
      </c>
      <c r="B25" s="11" t="n">
        <v>6116.8280415961</v>
      </c>
      <c r="C25" s="6" t="n">
        <v>0.0111866901640597</v>
      </c>
      <c r="E25" s="7" t="n">
        <v>14</v>
      </c>
      <c r="F25" s="13" t="n">
        <v>5677</v>
      </c>
      <c r="G25" s="6" t="n">
        <v>0.01092808867209382</v>
      </c>
    </row>
    <row r="26" spans="1:12">
      <c r="A26" t="n">
        <v>15</v>
      </c>
      <c r="B26" s="11" t="n">
        <v>2171.1499301826</v>
      </c>
      <c r="C26" s="6" t="n">
        <v>0.003970682419631172</v>
      </c>
      <c r="E26" s="7" t="n">
        <v>15</v>
      </c>
      <c r="F26" s="13" t="n">
        <v>8571</v>
      </c>
      <c r="G26" s="6" t="n">
        <v>0.01649896917535954</v>
      </c>
    </row>
    <row r="27" spans="1:12">
      <c r="A27" t="n">
        <v>16</v>
      </c>
      <c r="B27" s="11" t="n">
        <v>2756.3445044911</v>
      </c>
      <c r="C27" s="6" t="n">
        <v>0.005040908743464498</v>
      </c>
      <c r="E27" s="7" t="n">
        <v>16</v>
      </c>
      <c r="F27" s="13" t="n">
        <v>5923</v>
      </c>
      <c r="G27" s="6" t="n">
        <v>0.01140163276463126</v>
      </c>
    </row>
    <row r="28" spans="1:12">
      <c r="A28" t="n">
        <v>17</v>
      </c>
      <c r="B28" s="11" t="n">
        <v>9325.124494645001</v>
      </c>
      <c r="C28" s="6" t="n">
        <v>0.01705414599748292</v>
      </c>
      <c r="E28" s="7" t="n">
        <v>17</v>
      </c>
      <c r="F28" s="13" t="n">
        <v>4684</v>
      </c>
      <c r="G28" s="6" t="n">
        <v>0.009016587518070713</v>
      </c>
    </row>
    <row r="29" spans="1:12">
      <c r="A29" t="n">
        <v>18</v>
      </c>
      <c r="B29" s="11" t="n">
        <v>5538.8599620439</v>
      </c>
      <c r="C29" s="6" t="n">
        <v>0.01012967993151768</v>
      </c>
      <c r="E29" s="7" t="n">
        <v>18</v>
      </c>
      <c r="F29" s="13" t="n">
        <v>5046</v>
      </c>
      <c r="G29" s="6" t="n">
        <v>0.009713428824975409</v>
      </c>
    </row>
    <row r="30" spans="1:12">
      <c r="A30" t="n">
        <v>19</v>
      </c>
      <c r="B30" s="11" t="n">
        <v>1295.5196973272</v>
      </c>
      <c r="C30" s="6" t="n">
        <v>0.002369296203339756</v>
      </c>
      <c r="E30" s="7" t="n">
        <v>19</v>
      </c>
      <c r="F30" s="13" t="n">
        <v>3424</v>
      </c>
      <c r="G30" s="6" t="n">
        <v>0.006591117775805747</v>
      </c>
    </row>
    <row r="31" spans="1:12">
      <c r="A31" t="n">
        <v>20</v>
      </c>
      <c r="B31" s="11" t="n">
        <v>917.9875877264</v>
      </c>
      <c r="C31" s="6" t="n">
        <v>0.001678850974477974</v>
      </c>
      <c r="E31" s="7" t="n">
        <v>20</v>
      </c>
      <c r="F31" s="13" t="n">
        <v>3008</v>
      </c>
      <c r="G31" s="6" t="n">
        <v>0.005790327765661124</v>
      </c>
    </row>
    <row r="32" spans="1:12">
      <c r="A32" t="n">
        <v>21</v>
      </c>
      <c r="B32" s="11" t="n">
        <v>1539.924360585</v>
      </c>
      <c r="C32" s="6" t="n">
        <v>0.002816272842853548</v>
      </c>
      <c r="E32" s="7" t="n">
        <v>21</v>
      </c>
      <c r="F32" s="13" t="n">
        <v>3658</v>
      </c>
      <c r="G32" s="6" t="n">
        <v>0.007041562156512098</v>
      </c>
    </row>
    <row r="33" spans="1:12">
      <c r="A33" t="n">
        <v>22</v>
      </c>
      <c r="B33" s="11" t="n">
        <v>1346.5189433196</v>
      </c>
      <c r="C33" s="6" t="n">
        <v>0.002462565584077288</v>
      </c>
      <c r="E33" s="7" t="n">
        <v>22</v>
      </c>
      <c r="F33" s="13" t="n">
        <v>2450</v>
      </c>
      <c r="G33" s="6" t="n">
        <v>0.00471619116551521</v>
      </c>
    </row>
    <row r="34" spans="1:12">
      <c r="A34" t="n">
        <v>23</v>
      </c>
      <c r="B34" s="11" t="n">
        <v>754.106479142</v>
      </c>
      <c r="C34" s="6" t="n">
        <v>0.001379138905901017</v>
      </c>
      <c r="E34" s="7" t="n">
        <v>23</v>
      </c>
      <c r="F34" s="13" t="n">
        <v>2394</v>
      </c>
      <c r="G34" s="6" t="n">
        <v>0.004608392510303434</v>
      </c>
    </row>
    <row r="35" spans="1:12">
      <c r="A35" t="n">
        <v>24</v>
      </c>
      <c r="B35" s="11" t="n">
        <v>884.5370084260001</v>
      </c>
      <c r="C35" s="6" t="n">
        <v>0.001617675269701379</v>
      </c>
      <c r="E35" s="7" t="n">
        <v>24</v>
      </c>
      <c r="F35" s="13" t="n">
        <v>2659</v>
      </c>
      <c r="G35" s="6" t="n">
        <v>0.005118511146573446</v>
      </c>
    </row>
    <row r="36" spans="1:12">
      <c r="A36" t="n">
        <v>25</v>
      </c>
      <c r="B36" s="11" t="n">
        <v>0</v>
      </c>
      <c r="C36" s="6" t="n">
        <v>0</v>
      </c>
      <c r="E36" s="7" t="n">
        <v>25</v>
      </c>
      <c r="F36" s="13" t="n">
        <v>2113</v>
      </c>
      <c r="G36" s="6" t="n">
        <v>0.004067474258258629</v>
      </c>
    </row>
    <row r="37" spans="1:12">
      <c r="A37" t="n">
        <v>26</v>
      </c>
      <c r="B37" s="11" t="n">
        <v>247.4515228492</v>
      </c>
      <c r="C37" s="6" t="n">
        <v>0.0004525488534113552</v>
      </c>
      <c r="E37" s="7" t="n">
        <v>26</v>
      </c>
      <c r="F37" s="13" t="n">
        <v>1990</v>
      </c>
      <c r="G37" s="6" t="n">
        <v>0.003830702211989905</v>
      </c>
    </row>
    <row r="38" spans="1:12">
      <c r="A38" t="n">
        <v>27</v>
      </c>
      <c r="B38" s="11" t="n">
        <v>1835.678311973</v>
      </c>
      <c r="C38" s="6" t="n">
        <v>0.003357159033616992</v>
      </c>
      <c r="E38" s="7" t="n">
        <v>27</v>
      </c>
      <c r="F38" s="13" t="n">
        <v>3080</v>
      </c>
      <c r="G38" s="6" t="n">
        <v>0.005928926036647693</v>
      </c>
    </row>
    <row r="39" spans="1:12">
      <c r="A39" t="n">
        <v>28</v>
      </c>
      <c r="B39" s="11" t="n">
        <v>1281.967247715</v>
      </c>
      <c r="C39" s="6" t="n">
        <v>0.002344510962730612</v>
      </c>
      <c r="E39" s="7" t="n">
        <v>28</v>
      </c>
      <c r="F39" s="13" t="n">
        <v>1619</v>
      </c>
      <c r="G39" s="6" t="n">
        <v>0.003116536121211888</v>
      </c>
    </row>
    <row r="40" spans="1:12">
      <c r="A40" t="n">
        <v>29</v>
      </c>
      <c r="B40" s="11" t="n">
        <v>0</v>
      </c>
      <c r="C40" s="6" t="n">
        <v>0</v>
      </c>
      <c r="E40" s="7" t="n">
        <v>29</v>
      </c>
      <c r="F40" s="13" t="n">
        <v>1626</v>
      </c>
      <c r="G40" s="6" t="n">
        <v>0.00313001095311336</v>
      </c>
    </row>
    <row r="41" spans="1:12">
      <c r="A41" t="n">
        <v>30</v>
      </c>
      <c r="B41" s="11" t="n">
        <v>0</v>
      </c>
      <c r="C41" s="6" t="n">
        <v>0</v>
      </c>
      <c r="E41" s="7" t="n">
        <v>30</v>
      </c>
      <c r="F41" s="13" t="n">
        <v>1537</v>
      </c>
      <c r="G41" s="6" t="n">
        <v>0.002958688090366073</v>
      </c>
    </row>
    <row r="42" spans="1:12">
      <c r="A42" t="n">
        <v>31</v>
      </c>
      <c r="B42" s="11" t="n">
        <v>0</v>
      </c>
      <c r="C42" s="6" t="n">
        <v>0</v>
      </c>
      <c r="E42" s="7" t="n">
        <v>31</v>
      </c>
      <c r="F42" s="13" t="n">
        <v>1041</v>
      </c>
      <c r="G42" s="6" t="n">
        <v>0.002003900001347483</v>
      </c>
    </row>
    <row r="43" spans="1:12">
      <c r="A43" t="n">
        <v>32</v>
      </c>
      <c r="B43" s="11" t="n">
        <v>0</v>
      </c>
      <c r="C43" s="6" t="n">
        <v>0</v>
      </c>
      <c r="E43" s="7" t="n">
        <v>32</v>
      </c>
      <c r="F43" s="13" t="n">
        <v>891</v>
      </c>
      <c r="G43" s="6" t="n">
        <v>0.001715153603458797</v>
      </c>
    </row>
    <row r="44" spans="1:12">
      <c r="A44" t="n">
        <v>33</v>
      </c>
      <c r="B44" s="11" t="n">
        <v>572.866861522</v>
      </c>
      <c r="C44" s="6" t="n">
        <v>0.001047680928992031</v>
      </c>
      <c r="E44" s="7" t="n">
        <v>33</v>
      </c>
      <c r="F44" s="13" t="n">
        <v>738</v>
      </c>
      <c r="G44" s="6" t="n">
        <v>0.001420632277612337</v>
      </c>
    </row>
    <row r="45" spans="1:12">
      <c r="A45" t="n">
        <v>34</v>
      </c>
      <c r="B45" s="11" t="n">
        <v>1426.6504365116</v>
      </c>
      <c r="C45" s="6" t="n">
        <v>0.002609113137911818</v>
      </c>
      <c r="E45" s="7" t="n">
        <v>34</v>
      </c>
      <c r="F45" s="13" t="n">
        <v>738</v>
      </c>
      <c r="G45" s="6" t="n">
        <v>0.001420632277612337</v>
      </c>
    </row>
    <row r="46" spans="1:12">
      <c r="A46" t="n">
        <v>35</v>
      </c>
      <c r="B46" s="11" t="n">
        <v>0</v>
      </c>
      <c r="C46" s="6" t="n">
        <v>0</v>
      </c>
      <c r="E46" s="7" t="n">
        <v>35</v>
      </c>
      <c r="F46" s="13" t="n">
        <v>481</v>
      </c>
      <c r="G46" s="6" t="n">
        <v>0.0009259134492297209</v>
      </c>
    </row>
    <row r="47" spans="1:12">
      <c r="A47" t="n">
        <v>36</v>
      </c>
      <c r="B47" s="11" t="n">
        <v>0</v>
      </c>
      <c r="C47" s="6" t="n">
        <v>0</v>
      </c>
      <c r="E47" s="7" t="n">
        <v>36</v>
      </c>
      <c r="F47" s="13" t="n">
        <v>823</v>
      </c>
      <c r="G47" s="6" t="n">
        <v>0.001584255236415926</v>
      </c>
    </row>
    <row r="48" spans="1:12">
      <c r="A48" t="n">
        <v>37</v>
      </c>
      <c r="B48" s="11" t="n">
        <v>0</v>
      </c>
      <c r="C48" s="6" t="n">
        <v>0</v>
      </c>
      <c r="E48" s="7" t="n">
        <v>37</v>
      </c>
      <c r="F48" s="13" t="n">
        <v>498</v>
      </c>
      <c r="G48" s="6" t="n">
        <v>0.0009586380409904386</v>
      </c>
    </row>
    <row r="49" spans="1:12">
      <c r="A49" t="n">
        <v>38</v>
      </c>
      <c r="B49" s="11" t="n">
        <v>292.681617382</v>
      </c>
      <c r="C49" s="6" t="n">
        <v>0.0005352673882775957</v>
      </c>
      <c r="E49" s="7" t="n">
        <v>38</v>
      </c>
      <c r="F49" s="13" t="n">
        <v>493</v>
      </c>
      <c r="G49" s="6" t="n">
        <v>0.0009490131610608158</v>
      </c>
    </row>
    <row r="50" spans="1:12">
      <c r="A50" t="n">
        <v>39</v>
      </c>
      <c r="B50" s="11" t="n">
        <v>0</v>
      </c>
      <c r="C50" s="6" t="n">
        <v>0</v>
      </c>
      <c r="E50" s="7" t="n">
        <v>39</v>
      </c>
      <c r="F50" s="13" t="n">
        <v>335</v>
      </c>
      <c r="G50" s="6" t="n">
        <v>0.0006448669552847328</v>
      </c>
    </row>
    <row r="51" spans="1:12">
      <c r="A51" t="n">
        <v>40</v>
      </c>
      <c r="B51" s="11" t="n">
        <v>0</v>
      </c>
      <c r="C51" s="6" t="n">
        <v>0</v>
      </c>
      <c r="E51" s="7" t="n">
        <v>40</v>
      </c>
      <c r="F51" s="13" t="n">
        <v>362</v>
      </c>
      <c r="G51" s="6" t="n">
        <v>0.0006968413069046963</v>
      </c>
    </row>
    <row r="52" spans="1:12">
      <c r="A52" t="n">
        <v>41</v>
      </c>
      <c r="B52" s="11" t="n">
        <v>0</v>
      </c>
      <c r="C52" s="6" t="n">
        <v>0</v>
      </c>
      <c r="E52" s="7" t="n">
        <v>41</v>
      </c>
      <c r="F52" s="13" t="n">
        <v>298</v>
      </c>
      <c r="G52" s="6" t="n">
        <v>0.0005736428438055236</v>
      </c>
    </row>
    <row r="53" spans="1:12">
      <c r="A53" t="n">
        <v>42</v>
      </c>
      <c r="B53" s="11" t="n">
        <v>0</v>
      </c>
      <c r="C53" s="6" t="n">
        <v>0</v>
      </c>
      <c r="E53" s="7" t="n">
        <v>42</v>
      </c>
      <c r="F53" s="13" t="n">
        <v>235</v>
      </c>
      <c r="G53" s="6" t="n">
        <v>0.0004523693566922753</v>
      </c>
    </row>
    <row r="54" spans="1:12">
      <c r="A54" t="n">
        <v>43</v>
      </c>
      <c r="B54" s="11" t="n">
        <v>0</v>
      </c>
      <c r="C54" s="6" t="n">
        <v>0</v>
      </c>
      <c r="E54" s="7" t="n">
        <v>43</v>
      </c>
      <c r="F54" s="13" t="n">
        <v>195</v>
      </c>
      <c r="G54" s="6" t="n">
        <v>0.0003753703172552922</v>
      </c>
    </row>
    <row r="55" spans="1:12">
      <c r="A55" t="n">
        <v>44</v>
      </c>
      <c r="B55" s="11" t="n">
        <v>0</v>
      </c>
      <c r="C55" s="6" t="n">
        <v>0</v>
      </c>
      <c r="E55" s="7" t="n">
        <v>44</v>
      </c>
      <c r="F55" s="13" t="n">
        <v>243</v>
      </c>
      <c r="G55" s="6" t="n">
        <v>0.0004677691645796719</v>
      </c>
    </row>
    <row r="56" spans="1:12">
      <c r="A56" t="n">
        <v>45</v>
      </c>
      <c r="B56" s="11" t="n">
        <v>0</v>
      </c>
      <c r="C56" s="6" t="n">
        <v>0</v>
      </c>
      <c r="E56" s="7" t="n">
        <v>45</v>
      </c>
      <c r="F56" s="13" t="n">
        <v>134</v>
      </c>
      <c r="G56" s="6" t="n">
        <v>0.0002579467821138931</v>
      </c>
    </row>
    <row r="57" spans="1:12">
      <c r="A57" t="n">
        <v>46</v>
      </c>
      <c r="B57" s="11" t="n">
        <v>0</v>
      </c>
      <c r="C57" s="6" t="n">
        <v>0</v>
      </c>
      <c r="E57" s="7" t="n">
        <v>46</v>
      </c>
      <c r="F57" s="13" t="n">
        <v>205</v>
      </c>
      <c r="G57" s="6" t="n">
        <v>0.000394620077114538</v>
      </c>
    </row>
    <row r="58" spans="1:12">
      <c r="A58" t="n">
        <v>47</v>
      </c>
      <c r="B58" s="11" t="n">
        <v>0</v>
      </c>
      <c r="C58" s="6" t="n">
        <v>0</v>
      </c>
      <c r="E58" s="7" t="n">
        <v>47</v>
      </c>
      <c r="F58" s="13" t="n">
        <v>158</v>
      </c>
      <c r="G58" s="6" t="n">
        <v>0.000304146205776083</v>
      </c>
    </row>
    <row r="59" spans="1:12">
      <c r="A59" t="n">
        <v>48</v>
      </c>
      <c r="B59" s="11" t="n">
        <v>0</v>
      </c>
      <c r="C59" s="6" t="n">
        <v>0</v>
      </c>
      <c r="E59" s="7" t="n">
        <v>48</v>
      </c>
      <c r="F59" s="13" t="n">
        <v>100</v>
      </c>
      <c r="G59" s="6" t="n">
        <v>0.0001924975985924576</v>
      </c>
    </row>
    <row r="60" spans="1:12">
      <c r="A60" t="n">
        <v>49</v>
      </c>
      <c r="B60" s="11" t="n">
        <v>0</v>
      </c>
      <c r="C60" s="6" t="n">
        <v>0</v>
      </c>
      <c r="E60" s="7" t="n">
        <v>49</v>
      </c>
      <c r="F60" s="13" t="n">
        <v>100</v>
      </c>
      <c r="G60" s="6" t="n">
        <v>0.0001924975985924576</v>
      </c>
    </row>
    <row r="61" spans="1:12">
      <c r="A61" t="n">
        <v>50</v>
      </c>
      <c r="B61" s="11" t="n">
        <v>0</v>
      </c>
      <c r="C61" s="6" t="n">
        <v>0</v>
      </c>
      <c r="E61" s="7" t="n">
        <v>50</v>
      </c>
      <c r="F61" s="13" t="n">
        <v>79</v>
      </c>
      <c r="G61" s="6" t="n">
        <v>0.0001520731028880415</v>
      </c>
    </row>
    <row r="62" spans="1:12">
      <c r="A62" t="n">
        <v>51</v>
      </c>
      <c r="B62" s="11" t="n">
        <v>387.674382174</v>
      </c>
      <c r="C62" s="6" t="n">
        <v>0.0007089938066645704</v>
      </c>
      <c r="E62" s="7" t="n">
        <v>51</v>
      </c>
      <c r="F62" s="13" t="n">
        <v>98</v>
      </c>
      <c r="G62" s="6" t="n">
        <v>0.0001886476466206084</v>
      </c>
    </row>
    <row r="63" spans="1:12">
      <c r="A63" t="n">
        <v>52</v>
      </c>
      <c r="B63" s="11" t="n">
        <v>0</v>
      </c>
      <c r="C63" s="6" t="n">
        <v>0</v>
      </c>
      <c r="E63" s="7" t="n">
        <v>52</v>
      </c>
      <c r="F63" s="13" t="n">
        <v>65</v>
      </c>
      <c r="G63" s="6" t="n">
        <v>0.0001251234390850974</v>
      </c>
    </row>
    <row r="64" spans="1:12">
      <c r="A64" t="n">
        <v>53</v>
      </c>
      <c r="B64" s="11" t="n">
        <v>0</v>
      </c>
      <c r="C64" s="6" t="n">
        <v>0</v>
      </c>
      <c r="E64" s="7" t="n">
        <v>53</v>
      </c>
      <c r="F64" s="13" t="n">
        <v>63</v>
      </c>
      <c r="G64" s="6" t="n">
        <v>0.0001212734871132483</v>
      </c>
    </row>
    <row r="65" spans="1:12">
      <c r="A65" t="n">
        <v>54</v>
      </c>
      <c r="B65" s="11" t="n">
        <v>0</v>
      </c>
      <c r="C65" s="6" t="n">
        <v>0</v>
      </c>
      <c r="E65" s="7" t="n">
        <v>54</v>
      </c>
      <c r="F65" s="13" t="n">
        <v>89</v>
      </c>
      <c r="G65" s="6" t="n">
        <v>0.0001713228627472872</v>
      </c>
    </row>
    <row r="66" spans="1:12">
      <c r="A66" t="n">
        <v>55</v>
      </c>
      <c r="B66" s="11" t="n">
        <v>0</v>
      </c>
      <c r="C66" s="6" t="n">
        <v>0</v>
      </c>
      <c r="E66" s="7" t="n">
        <v>55</v>
      </c>
      <c r="F66" s="13" t="n">
        <v>48</v>
      </c>
      <c r="G66" s="6" t="n">
        <v>9.239884732437962e-05</v>
      </c>
    </row>
    <row r="67" spans="1:12">
      <c r="A67" t="n">
        <v>56</v>
      </c>
      <c r="B67" s="11" t="n">
        <v>0</v>
      </c>
      <c r="C67" s="6" t="n">
        <v>0</v>
      </c>
      <c r="E67" s="7" t="n">
        <v>56</v>
      </c>
      <c r="F67" s="13" t="n">
        <v>26</v>
      </c>
      <c r="G67" s="6" t="n">
        <v>5.004937563403896e-05</v>
      </c>
    </row>
    <row r="68" spans="1:12">
      <c r="A68" t="n">
        <v>57</v>
      </c>
      <c r="B68" s="11" t="n">
        <v>0</v>
      </c>
      <c r="C68" s="6" t="n">
        <v>0</v>
      </c>
      <c r="E68" s="7" t="n">
        <v>57</v>
      </c>
      <c r="F68" s="13" t="n">
        <v>27</v>
      </c>
      <c r="G68" s="6" t="n">
        <v>5.197435161996354e-05</v>
      </c>
    </row>
    <row r="69" spans="1:12">
      <c r="A69" t="n">
        <v>58</v>
      </c>
      <c r="B69" s="11" t="n">
        <v>0</v>
      </c>
      <c r="C69" s="6" t="n">
        <v>0</v>
      </c>
      <c r="E69" s="7" t="n">
        <v>58</v>
      </c>
      <c r="F69" s="13" t="n">
        <v>33</v>
      </c>
      <c r="G69" s="6" t="n">
        <v>6.352420753551099e-05</v>
      </c>
    </row>
    <row r="70" spans="1:12">
      <c r="A70" t="n">
        <v>59</v>
      </c>
      <c r="B70" s="11" t="n">
        <v>0</v>
      </c>
      <c r="C70" s="6" t="n">
        <v>0</v>
      </c>
      <c r="E70" s="7" t="n">
        <v>59</v>
      </c>
      <c r="F70" s="13" t="n">
        <v>24</v>
      </c>
      <c r="G70" s="6" t="n">
        <v>4.619942366218981e-05</v>
      </c>
    </row>
    <row r="71" spans="1:12">
      <c r="A71" t="n">
        <v>60</v>
      </c>
      <c r="B71" s="11" t="n">
        <v>0</v>
      </c>
      <c r="C71" s="6" t="n">
        <v>0</v>
      </c>
      <c r="E71" s="7" t="n">
        <v>60</v>
      </c>
      <c r="F71" s="13" t="n">
        <v>8</v>
      </c>
      <c r="G71" s="6" t="n">
        <v>1.539980788739661e-05</v>
      </c>
    </row>
    <row r="72" spans="1:12">
      <c r="A72" t="n">
        <v>61</v>
      </c>
      <c r="B72" s="11" t="n">
        <v>0</v>
      </c>
      <c r="C72" s="6" t="n">
        <v>0</v>
      </c>
      <c r="E72" s="7" t="n">
        <v>61</v>
      </c>
      <c r="F72" s="13" t="n">
        <v>18</v>
      </c>
      <c r="G72" s="6" t="n">
        <v>3.464956774664236e-05</v>
      </c>
    </row>
    <row r="73" spans="1:12">
      <c r="A73" t="n">
        <v>62</v>
      </c>
      <c r="B73" s="11" t="n">
        <v>0</v>
      </c>
      <c r="C73" s="6" t="n">
        <v>0</v>
      </c>
      <c r="E73" s="7" t="n">
        <v>62</v>
      </c>
      <c r="F73" s="13" t="n">
        <v>18</v>
      </c>
      <c r="G73" s="6" t="n">
        <v>3.464956774664236e-05</v>
      </c>
    </row>
    <row r="74" spans="1:12">
      <c r="A74" t="n">
        <v>63</v>
      </c>
      <c r="B74" s="11" t="n">
        <v>0</v>
      </c>
      <c r="C74" s="6" t="n">
        <v>0</v>
      </c>
      <c r="E74" s="7" t="n">
        <v>63</v>
      </c>
      <c r="F74" s="13" t="n">
        <v>5</v>
      </c>
      <c r="G74" s="6" t="n">
        <v>9.624879929622879e-06</v>
      </c>
    </row>
    <row r="75" spans="1:12">
      <c r="A75" t="n">
        <v>64</v>
      </c>
      <c r="B75" s="11" t="n">
        <v>0</v>
      </c>
      <c r="C75" s="6" t="n">
        <v>0</v>
      </c>
      <c r="E75" s="7" t="n">
        <v>64</v>
      </c>
      <c r="F75" s="13" t="n">
        <v>3</v>
      </c>
      <c r="G75" s="6" t="n">
        <v>5.774927957773727e-06</v>
      </c>
    </row>
    <row r="76" spans="1:12">
      <c r="A76" t="n">
        <v>65</v>
      </c>
      <c r="B76" s="11" t="n">
        <v>0</v>
      </c>
      <c r="C76" s="6" t="n">
        <v>0</v>
      </c>
      <c r="E76" s="7" t="n">
        <v>65</v>
      </c>
      <c r="F76" s="13" t="n">
        <v>3</v>
      </c>
      <c r="G76" s="6" t="n">
        <v>5.774927957773727e-06</v>
      </c>
    </row>
    <row r="77" spans="1:12">
      <c r="A77" t="n">
        <v>66</v>
      </c>
      <c r="B77" s="11" t="n">
        <v>0</v>
      </c>
      <c r="C77" s="6" t="n">
        <v>0</v>
      </c>
      <c r="E77" s="7" t="n">
        <v>66</v>
      </c>
      <c r="F77" s="13" t="n">
        <v>8</v>
      </c>
      <c r="G77" s="6" t="n">
        <v>1.539980788739661e-05</v>
      </c>
    </row>
    <row r="78" spans="1:12">
      <c r="A78" t="n">
        <v>67</v>
      </c>
      <c r="B78" s="11" t="n">
        <v>0</v>
      </c>
      <c r="C78" s="6" t="n">
        <v>0</v>
      </c>
      <c r="E78" s="7" t="n">
        <v>67</v>
      </c>
      <c r="F78" s="13" t="n">
        <v>2</v>
      </c>
      <c r="G78" s="6" t="n">
        <v>3.849951971849151e-06</v>
      </c>
    </row>
    <row r="79" spans="1:12">
      <c r="A79" t="n">
        <v>68</v>
      </c>
      <c r="B79" s="11" t="n">
        <v>0</v>
      </c>
      <c r="C79" s="6" t="n">
        <v>0</v>
      </c>
      <c r="E79" s="7" t="n">
        <v>68</v>
      </c>
      <c r="F79" s="13" t="n">
        <v>8</v>
      </c>
      <c r="G79" s="6" t="n">
        <v>1.539980788739661e-05</v>
      </c>
    </row>
    <row r="80" spans="1:12">
      <c r="A80" t="n">
        <v>69</v>
      </c>
      <c r="B80" s="11" t="n">
        <v>0</v>
      </c>
      <c r="C80" s="6" t="n">
        <v>0</v>
      </c>
      <c r="E80" s="7" t="n">
        <v>69</v>
      </c>
      <c r="F80" s="13" t="n">
        <v>0</v>
      </c>
      <c r="G80" s="6" t="n">
        <v>0</v>
      </c>
    </row>
    <row r="81" spans="1:12">
      <c r="A81" t="n">
        <v>70</v>
      </c>
      <c r="B81" s="11" t="n">
        <v>0</v>
      </c>
      <c r="C81" s="6" t="n">
        <v>0</v>
      </c>
      <c r="E81" s="7" t="n">
        <v>70</v>
      </c>
      <c r="F81" s="13" t="n">
        <v>5</v>
      </c>
      <c r="G81" s="6" t="n">
        <v>9.624879929622879e-06</v>
      </c>
    </row>
    <row r="82" spans="1:12">
      <c r="A82" t="n">
        <v>71</v>
      </c>
      <c r="B82" s="11" t="n">
        <v>0</v>
      </c>
      <c r="C82" s="6" t="n">
        <v>0</v>
      </c>
      <c r="E82" s="7" t="n">
        <v>71</v>
      </c>
      <c r="F82" s="13" t="n">
        <v>0</v>
      </c>
      <c r="G82" s="6" t="n">
        <v>0</v>
      </c>
    </row>
    <row r="83" spans="1:12">
      <c r="A83" t="n">
        <v>72</v>
      </c>
      <c r="B83" s="11" t="n">
        <v>0</v>
      </c>
      <c r="C83" s="6" t="n">
        <v>0</v>
      </c>
      <c r="E83" s="7" t="n">
        <v>72</v>
      </c>
      <c r="F83" s="13" t="n">
        <v>1</v>
      </c>
      <c r="G83" s="6" t="n">
        <v>1.924975985924576e-06</v>
      </c>
    </row>
    <row r="84" spans="1:12">
      <c r="A84" t="n">
        <v>73</v>
      </c>
      <c r="B84" s="11" t="n">
        <v>0</v>
      </c>
      <c r="C84" s="6" t="n">
        <v>0</v>
      </c>
      <c r="E84" s="7" t="n">
        <v>73</v>
      </c>
      <c r="F84" s="13" t="n">
        <v>2</v>
      </c>
      <c r="G84" s="6" t="n">
        <v>3.849951971849151e-06</v>
      </c>
    </row>
    <row r="85" spans="1:12">
      <c r="A85" t="n">
        <v>74</v>
      </c>
      <c r="B85" s="11" t="n">
        <v>0</v>
      </c>
      <c r="C85" s="6" t="n">
        <v>0</v>
      </c>
      <c r="E85" s="7" t="n">
        <v>74</v>
      </c>
      <c r="F85" s="13" t="n">
        <v>0</v>
      </c>
      <c r="G85" s="6" t="n">
        <v>0</v>
      </c>
    </row>
    <row r="86" spans="1:12">
      <c r="A86" t="n">
        <v>75</v>
      </c>
      <c r="B86" s="11" t="n">
        <v>0</v>
      </c>
      <c r="C86" s="6" t="n">
        <v>0</v>
      </c>
      <c r="E86" s="7" t="n">
        <v>75</v>
      </c>
      <c r="F86" s="13" t="n">
        <v>3</v>
      </c>
      <c r="G86" s="6" t="n">
        <v>5.774927957773727e-06</v>
      </c>
    </row>
    <row r="87" spans="1:12">
      <c r="A87" t="n">
        <v>76</v>
      </c>
      <c r="B87" s="11" t="n">
        <v>0</v>
      </c>
      <c r="C87" s="6" t="n">
        <v>0</v>
      </c>
      <c r="E87" s="7" t="n">
        <v>76</v>
      </c>
      <c r="F87" s="13" t="n">
        <v>4</v>
      </c>
      <c r="G87" s="6" t="n">
        <v>7.699903943698303e-06</v>
      </c>
    </row>
    <row r="88" spans="1:12">
      <c r="A88" t="n">
        <v>77</v>
      </c>
      <c r="B88" s="11" t="n">
        <v>0</v>
      </c>
      <c r="C88" s="6" t="n">
        <v>0</v>
      </c>
      <c r="E88" s="7" t="n">
        <v>77</v>
      </c>
      <c r="F88" s="13" t="n">
        <v>0</v>
      </c>
      <c r="G88" s="6" t="n">
        <v>0</v>
      </c>
    </row>
    <row r="89" spans="1:12">
      <c r="A89" t="n">
        <v>78</v>
      </c>
      <c r="B89" s="11" t="n">
        <v>0</v>
      </c>
      <c r="C89" s="6" t="n">
        <v>0</v>
      </c>
      <c r="E89" s="7" t="n">
        <v>78</v>
      </c>
      <c r="F89" s="13" t="n">
        <v>2</v>
      </c>
      <c r="G89" s="6" t="n">
        <v>3.849951971849151e-06</v>
      </c>
    </row>
    <row r="90" spans="1:12">
      <c r="A90" t="n">
        <v>79</v>
      </c>
      <c r="B90" s="11" t="n">
        <v>0</v>
      </c>
      <c r="C90" s="6" t="n">
        <v>0</v>
      </c>
      <c r="E90" s="7" t="n">
        <v>79</v>
      </c>
      <c r="F90" s="13" t="n">
        <v>2</v>
      </c>
      <c r="G90" s="6" t="n">
        <v>3.849951971849151e-06</v>
      </c>
    </row>
    <row r="91" spans="1:12">
      <c r="A91" t="n">
        <v>80</v>
      </c>
      <c r="B91" s="11" t="n">
        <v>0</v>
      </c>
      <c r="C91" s="6" t="n">
        <v>0</v>
      </c>
      <c r="E91" s="7" t="n">
        <v>80</v>
      </c>
      <c r="F91" s="13" t="n">
        <v>1</v>
      </c>
      <c r="G91" s="6" t="n">
        <v>1.924975985924576e-06</v>
      </c>
    </row>
    <row r="92" spans="1:12">
      <c r="A92" t="n">
        <v>81</v>
      </c>
      <c r="B92" s="11" t="n">
        <v>0</v>
      </c>
      <c r="C92" s="6" t="n">
        <v>0</v>
      </c>
      <c r="E92" s="7" t="n">
        <v>81</v>
      </c>
      <c r="F92" s="13" t="n">
        <v>0</v>
      </c>
      <c r="G92" s="6" t="n">
        <v>0</v>
      </c>
    </row>
    <row r="93" spans="1:12">
      <c r="A93" t="n">
        <v>82</v>
      </c>
      <c r="B93" s="11" t="n">
        <v>0</v>
      </c>
      <c r="C93" s="6" t="n">
        <v>0</v>
      </c>
      <c r="E93" s="7" t="n">
        <v>82</v>
      </c>
      <c r="F93" s="13" t="n">
        <v>0</v>
      </c>
      <c r="G93" s="6" t="n">
        <v>0</v>
      </c>
    </row>
    <row r="94" spans="1:12">
      <c r="A94" t="n">
        <v>83</v>
      </c>
      <c r="B94" s="11" t="n">
        <v>0</v>
      </c>
      <c r="C94" s="6" t="n">
        <v>0</v>
      </c>
      <c r="E94" s="7" t="n">
        <v>83</v>
      </c>
      <c r="F94" s="13" t="n">
        <v>0</v>
      </c>
      <c r="G94" s="6" t="n">
        <v>0</v>
      </c>
    </row>
    <row r="95" spans="1:12">
      <c r="A95" t="n">
        <v>84</v>
      </c>
      <c r="B95" s="11" t="n">
        <v>0</v>
      </c>
      <c r="C95" s="6" t="n">
        <v>0</v>
      </c>
      <c r="E95" s="7" t="n">
        <v>84</v>
      </c>
      <c r="F95" s="13" t="n">
        <v>0</v>
      </c>
      <c r="G95" s="6" t="n">
        <v>0</v>
      </c>
    </row>
    <row r="96" spans="1:12">
      <c r="A96" t="n">
        <v>85</v>
      </c>
      <c r="B96" s="11" t="n">
        <v>0</v>
      </c>
      <c r="C96" s="6" t="n">
        <v>0</v>
      </c>
      <c r="E96" s="7" t="n">
        <v>85</v>
      </c>
      <c r="F96" s="13" t="n">
        <v>0</v>
      </c>
      <c r="G96" s="6" t="n">
        <v>0</v>
      </c>
    </row>
    <row r="97" spans="1:12">
      <c r="A97" t="n">
        <v>86</v>
      </c>
      <c r="B97" s="11" t="n">
        <v>0</v>
      </c>
      <c r="C97" s="6" t="n">
        <v>0</v>
      </c>
      <c r="E97" s="7" t="n">
        <v>86</v>
      </c>
      <c r="F97" s="13" t="n">
        <v>0</v>
      </c>
      <c r="G97" s="6" t="n">
        <v>0</v>
      </c>
    </row>
    <row r="98" spans="1:12">
      <c r="A98" t="n">
        <v>87</v>
      </c>
      <c r="B98" s="11" t="n">
        <v>0</v>
      </c>
      <c r="C98" s="6" t="n">
        <v>0</v>
      </c>
      <c r="E98" s="7" t="n">
        <v>87</v>
      </c>
      <c r="F98" s="13" t="n">
        <v>0</v>
      </c>
      <c r="G98" s="6" t="n">
        <v>0</v>
      </c>
    </row>
    <row r="99" spans="1:12">
      <c r="A99" t="n">
        <v>88</v>
      </c>
      <c r="B99" s="11" t="n">
        <v>0</v>
      </c>
      <c r="C99" s="6" t="n">
        <v>0</v>
      </c>
      <c r="E99" s="7" t="n">
        <v>88</v>
      </c>
      <c r="F99" s="13" t="n">
        <v>0</v>
      </c>
      <c r="G99" s="6" t="n">
        <v>0</v>
      </c>
    </row>
    <row r="100" spans="1:12">
      <c r="A100" t="n">
        <v>89</v>
      </c>
      <c r="B100" s="11" t="n">
        <v>0</v>
      </c>
      <c r="C100" s="6" t="n">
        <v>0</v>
      </c>
      <c r="E100" s="7" t="n">
        <v>89</v>
      </c>
      <c r="F100" s="13" t="n">
        <v>0</v>
      </c>
      <c r="G100" s="6" t="n">
        <v>0</v>
      </c>
    </row>
    <row customHeight="1" ht="15.75" r="101" spans="1:12">
      <c r="A101" s="1" t="n">
        <v>90</v>
      </c>
      <c r="B101" s="12" t="n">
        <v>0</v>
      </c>
      <c r="C101" s="6" t="n">
        <v>0</v>
      </c>
      <c r="E101" s="8" t="n">
        <v>90</v>
      </c>
      <c r="F101" s="14" t="n">
        <v>0</v>
      </c>
      <c r="G101" s="6" t="n">
        <v>0</v>
      </c>
    </row>
    <row r="102" spans="1:12">
      <c r="B102" s="11" t="n">
        <v>546795.1603100692</v>
      </c>
      <c r="C102" s="6" t="n">
        <v>1</v>
      </c>
      <c r="F102" s="11" t="n">
        <v>519487</v>
      </c>
      <c r="G102" s="6" t="n">
        <v>1</v>
      </c>
    </row>
  </sheetData>
  <pageMargins bottom="0.75" footer="0.3" header="0.3" left="0.7" right="0.7" top="0.75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>
  <dc:creator xmlns:dc="http://purl.org/dc/elements/1.1/">Bhargava Sana</dc:creator>
  <dcterms:created xmlns:dcterms="http://purl.org/dc/terms/" xmlns:xsi="http://www.w3.org/2001/XMLSchema-instance" xsi:type="dcterms:W3CDTF">2011-01-31T15:16:09Z</dcterms:created>
  <dcterms:modified xmlns:dcterms="http://purl.org/dc/terms/" xmlns:xsi="http://www.w3.org/2001/XMLSchema-instance" xsi:type="dcterms:W3CDTF">2017-07-06T17:41:32Z</dcterms:modified>
  <cp:lastModifiedBy>Nagendra Dhakar</cp:lastModifiedBy>
</cp:coreProperties>
</file>