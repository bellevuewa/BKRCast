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<sst xmlns="http://schemas.openxmlformats.org/spreadsheetml/2006/main" uniqueCount="17">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</sst>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16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0" fillId="0" fontId="0" numFmtId="2" pivotButton="0" quotePrefix="0" xfId="0"/>
    <xf borderId="1" fillId="0" fontId="0" numFmtId="2" pivotButton="0" quotePrefix="0" xfId="0"/>
    <xf borderId="0" fillId="0" fontId="1" numFmtId="0" pivotButton="0" quotePrefix="0" xfId="0"/>
    <xf borderId="0" fillId="0" fontId="0" numFmtId="10" pivotButton="0" quotePrefix="0" xfId="0"/>
    <xf borderId="0" fillId="0" fontId="2" numFmtId="0" pivotButton="0" quotePrefix="0" xfId="1"/>
    <xf borderId="1" fillId="0" fontId="2" numFmtId="0" pivotButton="0" quotePrefix="0" xfId="1"/>
    <xf applyAlignment="1" borderId="2" fillId="0" fontId="0" numFmtId="0" pivotButton="0" quotePrefix="0" xfId="0">
      <alignment horizontal="center" vertical="top"/>
    </xf>
    <xf borderId="0" fillId="0" fontId="0" numFmtId="0" pivotButton="0" quotePrefix="0" xfId="0"/>
    <xf borderId="0" fillId="3" fontId="0" numFmtId="0" pivotButton="0" quotePrefix="0" xfId="0"/>
    <xf borderId="0" fillId="3" fontId="0" numFmtId="0" pivotButton="0" quotePrefix="0" xfId="0"/>
    <xf applyAlignment="1" borderId="2" fillId="3" fontId="0" numFmtId="0" pivotButton="0" quotePrefix="0" xfId="0">
      <alignment horizontal="center" vertical="top"/>
    </xf>
    <xf borderId="0" fillId="3" fontId="0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3" sqref="L13"/>
    </sheetView>
  </sheetViews>
  <sheetFormatPr baseColWidth="10" defaultRowHeight="15" outlineLevelCol="0"/>
  <cols>
    <col collapsed="1" customWidth="1" max="1" min="1" style="11" width="13.5703125"/>
    <col bestFit="1" collapsed="1" customWidth="1" max="2" min="2" style="11" width="9.5703125"/>
    <col bestFit="1" collapsed="1" customWidth="1" max="6" min="6" style="11" width="9.5703125"/>
    <col bestFit="1" customWidth="1" max="7" min="7" style="11" width="12.140625"/>
    <col bestFit="1" customWidth="1" max="8" min="8" style="11" width="15.7109375"/>
    <col bestFit="1" customWidth="1" max="9" min="9" style="11" width="17.42578125"/>
    <col bestFit="1" customWidth="1" max="10" min="10" style="11" width="10.28515625"/>
    <col customWidth="1" max="13" min="13" style="11" width="7.7109375"/>
    <col bestFit="1" customWidth="1" max="15" min="15" style="11" width="10.28515625"/>
    <col bestFit="1" customWidth="1" max="16" min="16" style="11" width="12.140625"/>
    <col bestFit="1" customWidth="1" max="17" min="17" style="11" width="15.7109375"/>
    <col bestFit="1" customWidth="1" max="18" min="18" style="11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11" spans="1:18">
      <c r="A9" s="3" t="s">
        <v>6</v>
      </c>
      <c r="B9" s="1" t="n"/>
      <c r="E9" s="3" t="s">
        <v>7</v>
      </c>
      <c r="F9" s="1" t="n"/>
      <c r="M9" s="6" t="s">
        <v>8</v>
      </c>
      <c r="N9" s="13" t="n"/>
      <c r="O9" s="13" t="n"/>
      <c r="P9" s="13" t="n"/>
      <c r="Q9" s="13" t="n"/>
      <c r="R9" s="13" t="n"/>
    </row>
    <row r="10" spans="1:18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12</v>
      </c>
      <c r="H10" s="10" t="s">
        <v>13</v>
      </c>
      <c r="I10" s="10" t="s">
        <v>14</v>
      </c>
      <c r="J10" s="10" t="s">
        <v>15</v>
      </c>
      <c r="K10">
        <f>C10</f>
        <v/>
      </c>
      <c r="M10" s="2" t="n"/>
      <c r="N10" s="14" t="s">
        <v>10</v>
      </c>
      <c r="O10" s="14" t="s">
        <v>15</v>
      </c>
      <c r="P10" s="14" t="s">
        <v>12</v>
      </c>
      <c r="Q10" s="14" t="s">
        <v>13</v>
      </c>
      <c r="R10" s="14" t="s">
        <v>14</v>
      </c>
    </row>
    <row r="11" spans="1:18">
      <c r="A11" t="n">
        <v>0</v>
      </c>
      <c r="B11" s="4" t="n">
        <v>113881.348423815</v>
      </c>
      <c r="C11" s="7">
        <f>bkrcast_all!C11</f>
        <v/>
      </c>
      <c r="E11" s="8" t="n">
        <v>0</v>
      </c>
      <c r="F11" s="8" t="n">
        <v>63641.43932416785</v>
      </c>
      <c r="G11" s="7">
        <f>bkrcast_all!G11</f>
        <v/>
      </c>
      <c r="H11" s="7">
        <f>bkrcast_inbkr!G11</f>
        <v/>
      </c>
      <c r="I11" s="7">
        <f>bkrcast_outbkr!G11</f>
        <v/>
      </c>
      <c r="J11" s="7">
        <f>soundcast!G11</f>
        <v/>
      </c>
      <c r="K11" s="7">
        <f>C11</f>
        <v/>
      </c>
      <c r="N11" s="15">
        <f>bkrcast_all!K11</f>
        <v/>
      </c>
      <c r="O11" s="15">
        <f>soundcast!L11</f>
        <v/>
      </c>
      <c r="P11" s="15">
        <f>bkrcast_all!L11</f>
        <v/>
      </c>
      <c r="Q11" s="15">
        <f>bkrcast_inbkr!L11</f>
        <v/>
      </c>
      <c r="R11" s="15">
        <f>bkrcast_outbkr!L11</f>
        <v/>
      </c>
    </row>
    <row r="12" spans="1:18">
      <c r="A12" t="n">
        <v>1</v>
      </c>
      <c r="B12" s="4" t="n">
        <v>110125.3825130949</v>
      </c>
      <c r="C12" s="7">
        <f>bkrcast_all!C12</f>
        <v/>
      </c>
      <c r="E12" s="8" t="n">
        <v>1</v>
      </c>
      <c r="F12" s="8" t="n">
        <v>48115.15070349456</v>
      </c>
      <c r="G12" s="7">
        <f>bkrcast_all!G12</f>
        <v/>
      </c>
      <c r="H12" s="7">
        <f>bkrcast_inbkr!G12</f>
        <v/>
      </c>
      <c r="I12" s="7">
        <f>bkrcast_outbkr!G12</f>
        <v/>
      </c>
      <c r="J12" s="7">
        <f>soundcast!G12</f>
        <v/>
      </c>
      <c r="K12" s="7">
        <f>C12</f>
        <v/>
      </c>
      <c r="N12" s="4" t="n"/>
      <c r="O12" s="8" t="n"/>
    </row>
    <row r="13" spans="1:18">
      <c r="A13" t="n">
        <v>2</v>
      </c>
      <c r="B13" s="4" t="n">
        <v>92924.11762198911</v>
      </c>
      <c r="C13" s="7">
        <f>bkrcast_all!C13</f>
        <v/>
      </c>
      <c r="E13" s="8" t="n">
        <v>2</v>
      </c>
      <c r="F13" s="8" t="n">
        <v>30950.37461004246</v>
      </c>
      <c r="G13" s="7">
        <f>bkrcast_all!G13</f>
        <v/>
      </c>
      <c r="H13" s="7">
        <f>bkrcast_inbkr!G13</f>
        <v/>
      </c>
      <c r="I13" s="7">
        <f>bkrcast_outbkr!G13</f>
        <v/>
      </c>
      <c r="J13" s="7">
        <f>soundcast!G13</f>
        <v/>
      </c>
      <c r="K13" s="7">
        <f>C13</f>
        <v/>
      </c>
    </row>
    <row r="14" spans="1:18">
      <c r="A14" t="n">
        <v>3</v>
      </c>
      <c r="B14" s="4" t="n">
        <v>90989.884522195</v>
      </c>
      <c r="C14" s="7">
        <f>bkrcast_all!C14</f>
        <v/>
      </c>
      <c r="E14" s="8" t="n">
        <v>3</v>
      </c>
      <c r="F14" s="8" t="n">
        <v>19951.47126957855</v>
      </c>
      <c r="G14" s="7">
        <f>bkrcast_all!G14</f>
        <v/>
      </c>
      <c r="H14" s="7">
        <f>bkrcast_inbkr!G14</f>
        <v/>
      </c>
      <c r="I14" s="7">
        <f>bkrcast_outbkr!G14</f>
        <v/>
      </c>
      <c r="J14" s="7">
        <f>soundcast!G14</f>
        <v/>
      </c>
      <c r="K14" s="7">
        <f>C14</f>
        <v/>
      </c>
    </row>
    <row r="15" spans="1:18">
      <c r="A15" t="n">
        <v>4</v>
      </c>
      <c r="B15" s="4" t="n">
        <v>39817.5364404419</v>
      </c>
      <c r="C15" s="7">
        <f>bkrcast_all!C15</f>
        <v/>
      </c>
      <c r="E15" s="8" t="n">
        <v>4</v>
      </c>
      <c r="F15" s="8" t="n">
        <v>77738.28796408228</v>
      </c>
      <c r="G15" s="7">
        <f>bkrcast_all!G15</f>
        <v/>
      </c>
      <c r="H15" s="7">
        <f>bkrcast_inbkr!G15</f>
        <v/>
      </c>
      <c r="I15" s="7">
        <f>bkrcast_outbkr!G15</f>
        <v/>
      </c>
      <c r="J15" s="7">
        <f>soundcast!G15</f>
        <v/>
      </c>
      <c r="K15" s="7">
        <f>C15</f>
        <v/>
      </c>
    </row>
    <row r="16" spans="1:18">
      <c r="A16" t="n">
        <v>5</v>
      </c>
      <c r="B16" s="4" t="n">
        <v>36417.5714868351</v>
      </c>
      <c r="C16" s="7">
        <f>bkrcast_all!C16</f>
        <v/>
      </c>
      <c r="E16" s="8" t="n">
        <v>5</v>
      </c>
      <c r="F16" s="8" t="n">
        <v>50596.78565581427</v>
      </c>
      <c r="G16" s="7">
        <f>bkrcast_all!G16</f>
        <v/>
      </c>
      <c r="H16" s="7">
        <f>bkrcast_inbkr!G16</f>
        <v/>
      </c>
      <c r="I16" s="7">
        <f>bkrcast_outbkr!G16</f>
        <v/>
      </c>
      <c r="J16" s="7">
        <f>soundcast!G16</f>
        <v/>
      </c>
      <c r="K16" s="7">
        <f>C16</f>
        <v/>
      </c>
    </row>
    <row r="17" spans="1:18">
      <c r="A17" t="n">
        <v>6</v>
      </c>
      <c r="B17" s="4" t="n">
        <v>24712.06207012</v>
      </c>
      <c r="C17" s="7">
        <f>bkrcast_all!C17</f>
        <v/>
      </c>
      <c r="E17" s="8" t="n">
        <v>6</v>
      </c>
      <c r="F17" s="8" t="n">
        <v>41816.86776873645</v>
      </c>
      <c r="G17" s="7">
        <f>bkrcast_all!G17</f>
        <v/>
      </c>
      <c r="H17" s="7">
        <f>bkrcast_inbkr!G17</f>
        <v/>
      </c>
      <c r="I17" s="7">
        <f>bkrcast_outbkr!G17</f>
        <v/>
      </c>
      <c r="J17" s="7">
        <f>soundcast!G17</f>
        <v/>
      </c>
      <c r="K17" s="7">
        <f>C17</f>
        <v/>
      </c>
    </row>
    <row r="18" spans="1:18">
      <c r="A18" t="n">
        <v>7</v>
      </c>
      <c r="B18" s="4" t="n">
        <v>22371.4182386035</v>
      </c>
      <c r="C18" s="7">
        <f>bkrcast_all!C18</f>
        <v/>
      </c>
      <c r="E18" s="8" t="n">
        <v>7</v>
      </c>
      <c r="F18" s="8" t="n">
        <v>23021.69587424101</v>
      </c>
      <c r="G18" s="7">
        <f>bkrcast_all!G18</f>
        <v/>
      </c>
      <c r="H18" s="7">
        <f>bkrcast_inbkr!G18</f>
        <v/>
      </c>
      <c r="I18" s="7">
        <f>bkrcast_outbkr!G18</f>
        <v/>
      </c>
      <c r="J18" s="7">
        <f>soundcast!G18</f>
        <v/>
      </c>
      <c r="K18" s="7">
        <f>C18</f>
        <v/>
      </c>
    </row>
    <row r="19" spans="1:18">
      <c r="A19" t="n">
        <v>8</v>
      </c>
      <c r="B19" s="4" t="n">
        <v>27832.8721386069</v>
      </c>
      <c r="C19" s="7">
        <f>bkrcast_all!C19</f>
        <v/>
      </c>
      <c r="E19" s="8" t="n">
        <v>8</v>
      </c>
      <c r="F19" s="8" t="n">
        <v>38232.73298784107</v>
      </c>
      <c r="G19" s="7">
        <f>bkrcast_all!G19</f>
        <v/>
      </c>
      <c r="H19" s="7">
        <f>bkrcast_inbkr!G19</f>
        <v/>
      </c>
      <c r="I19" s="7">
        <f>bkrcast_outbkr!G19</f>
        <v/>
      </c>
      <c r="J19" s="7">
        <f>soundcast!G19</f>
        <v/>
      </c>
      <c r="K19" s="7">
        <f>C19</f>
        <v/>
      </c>
    </row>
    <row r="20" spans="1:18">
      <c r="A20" t="n">
        <v>9</v>
      </c>
      <c r="B20" s="4" t="n">
        <v>19259.8190671318</v>
      </c>
      <c r="C20" s="7">
        <f>bkrcast_all!C20</f>
        <v/>
      </c>
      <c r="E20" s="8" t="n">
        <v>9</v>
      </c>
      <c r="F20" s="8" t="n">
        <v>16514.5738844455</v>
      </c>
      <c r="G20" s="7">
        <f>bkrcast_all!G20</f>
        <v/>
      </c>
      <c r="H20" s="7">
        <f>bkrcast_inbkr!G20</f>
        <v/>
      </c>
      <c r="I20" s="7">
        <f>bkrcast_outbkr!G20</f>
        <v/>
      </c>
      <c r="J20" s="7">
        <f>soundcast!G20</f>
        <v/>
      </c>
      <c r="K20" s="7">
        <f>C20</f>
        <v/>
      </c>
    </row>
    <row r="21" spans="1:18">
      <c r="A21" t="n">
        <v>10</v>
      </c>
      <c r="B21" s="4" t="n">
        <v>22617.7153821786</v>
      </c>
      <c r="C21" s="7">
        <f>bkrcast_all!C21</f>
        <v/>
      </c>
      <c r="E21" s="8" t="n">
        <v>10</v>
      </c>
      <c r="F21" s="8" t="n">
        <v>12244.74073884859</v>
      </c>
      <c r="G21" s="7">
        <f>bkrcast_all!G21</f>
        <v/>
      </c>
      <c r="H21" s="7">
        <f>bkrcast_inbkr!G21</f>
        <v/>
      </c>
      <c r="I21" s="7">
        <f>bkrcast_outbkr!G21</f>
        <v/>
      </c>
      <c r="J21" s="7">
        <f>soundcast!G21</f>
        <v/>
      </c>
      <c r="K21" s="7">
        <f>C21</f>
        <v/>
      </c>
    </row>
    <row r="22" spans="1:18">
      <c r="A22" t="n">
        <v>11</v>
      </c>
      <c r="B22" s="4" t="n">
        <v>10271.4012465247</v>
      </c>
      <c r="C22" s="7">
        <f>bkrcast_all!C22</f>
        <v/>
      </c>
      <c r="E22" s="8" t="n">
        <v>11</v>
      </c>
      <c r="F22" s="8" t="n">
        <v>13558.76349084059</v>
      </c>
      <c r="G22" s="7">
        <f>bkrcast_all!G22</f>
        <v/>
      </c>
      <c r="H22" s="7">
        <f>bkrcast_inbkr!G22</f>
        <v/>
      </c>
      <c r="I22" s="7">
        <f>bkrcast_outbkr!G22</f>
        <v/>
      </c>
      <c r="J22" s="7">
        <f>soundcast!G22</f>
        <v/>
      </c>
      <c r="K22" s="7">
        <f>C22</f>
        <v/>
      </c>
    </row>
    <row r="23" spans="1:18">
      <c r="A23" t="n">
        <v>12</v>
      </c>
      <c r="B23" s="4" t="n">
        <v>10025.5599618669</v>
      </c>
      <c r="C23" s="7">
        <f>bkrcast_all!C23</f>
        <v/>
      </c>
      <c r="E23" s="8" t="n">
        <v>12</v>
      </c>
      <c r="F23" s="8" t="n">
        <v>9910.392651174623</v>
      </c>
      <c r="G23" s="7">
        <f>bkrcast_all!G23</f>
        <v/>
      </c>
      <c r="H23" s="7">
        <f>bkrcast_inbkr!G23</f>
        <v/>
      </c>
      <c r="I23" s="7">
        <f>bkrcast_outbkr!G23</f>
        <v/>
      </c>
      <c r="J23" s="7">
        <f>soundcast!G23</f>
        <v/>
      </c>
      <c r="K23" s="7">
        <f>C23</f>
        <v/>
      </c>
    </row>
    <row r="24" spans="1:18">
      <c r="A24" t="n">
        <v>13</v>
      </c>
      <c r="B24" s="4" t="n">
        <v>10042.9458127442</v>
      </c>
      <c r="C24" s="7">
        <f>bkrcast_all!C24</f>
        <v/>
      </c>
      <c r="E24" s="8" t="n">
        <v>13</v>
      </c>
      <c r="F24" s="8" t="n">
        <v>10645.88023923647</v>
      </c>
      <c r="G24" s="7">
        <f>bkrcast_all!G24</f>
        <v/>
      </c>
      <c r="H24" s="7">
        <f>bkrcast_inbkr!G24</f>
        <v/>
      </c>
      <c r="I24" s="7">
        <f>bkrcast_outbkr!G24</f>
        <v/>
      </c>
      <c r="J24" s="7">
        <f>soundcast!G24</f>
        <v/>
      </c>
      <c r="K24" s="7">
        <f>C24</f>
        <v/>
      </c>
    </row>
    <row r="25" spans="1:18">
      <c r="A25" t="n">
        <v>14</v>
      </c>
      <c r="B25" s="4" t="n">
        <v>6077.0985107</v>
      </c>
      <c r="C25" s="7">
        <f>bkrcast_all!C25</f>
        <v/>
      </c>
      <c r="E25" s="8" t="n">
        <v>14</v>
      </c>
      <c r="F25" s="8" t="n">
        <v>13140.98793292244</v>
      </c>
      <c r="G25" s="7">
        <f>bkrcast_all!G25</f>
        <v/>
      </c>
      <c r="H25" s="7">
        <f>bkrcast_inbkr!G25</f>
        <v/>
      </c>
      <c r="I25" s="7">
        <f>bkrcast_outbkr!G25</f>
        <v/>
      </c>
      <c r="J25" s="7">
        <f>soundcast!G25</f>
        <v/>
      </c>
      <c r="K25" s="7">
        <f>C25</f>
        <v/>
      </c>
    </row>
    <row r="26" spans="1:18">
      <c r="A26" t="n">
        <v>15</v>
      </c>
      <c r="B26" s="4" t="n">
        <v>6303.9453210146</v>
      </c>
      <c r="C26" s="7">
        <f>bkrcast_all!C26</f>
        <v/>
      </c>
      <c r="E26" s="8" t="n">
        <v>15</v>
      </c>
      <c r="F26" s="8" t="n">
        <v>15538.2481851506</v>
      </c>
      <c r="G26" s="7">
        <f>bkrcast_all!G26</f>
        <v/>
      </c>
      <c r="H26" s="7">
        <f>bkrcast_inbkr!G26</f>
        <v/>
      </c>
      <c r="I26" s="7">
        <f>bkrcast_outbkr!G26</f>
        <v/>
      </c>
      <c r="J26" s="7">
        <f>soundcast!G26</f>
        <v/>
      </c>
      <c r="K26" s="7">
        <f>C26</f>
        <v/>
      </c>
    </row>
    <row r="27" spans="1:18">
      <c r="A27" t="n">
        <v>16</v>
      </c>
      <c r="B27" s="4" t="n">
        <v>5171.9055043693</v>
      </c>
      <c r="C27" s="7">
        <f>bkrcast_all!C27</f>
        <v/>
      </c>
      <c r="E27" s="8" t="n">
        <v>16</v>
      </c>
      <c r="F27" s="8" t="n">
        <v>7614.671234363838</v>
      </c>
      <c r="G27" s="7">
        <f>bkrcast_all!G27</f>
        <v/>
      </c>
      <c r="H27" s="7">
        <f>bkrcast_inbkr!G27</f>
        <v/>
      </c>
      <c r="I27" s="7">
        <f>bkrcast_outbkr!G27</f>
        <v/>
      </c>
      <c r="J27" s="7">
        <f>soundcast!G27</f>
        <v/>
      </c>
      <c r="K27" s="7">
        <f>C27</f>
        <v/>
      </c>
    </row>
    <row r="28" spans="1:18">
      <c r="A28" t="n">
        <v>17</v>
      </c>
      <c r="B28" s="4" t="n">
        <v>10736.193779195</v>
      </c>
      <c r="C28" s="7">
        <f>bkrcast_all!C28</f>
        <v/>
      </c>
      <c r="E28" s="8" t="n">
        <v>17</v>
      </c>
      <c r="F28" s="8" t="n">
        <v>7941.67983690065</v>
      </c>
      <c r="G28" s="7">
        <f>bkrcast_all!G28</f>
        <v/>
      </c>
      <c r="H28" s="7">
        <f>bkrcast_inbkr!G28</f>
        <v/>
      </c>
      <c r="I28" s="7">
        <f>bkrcast_outbkr!G28</f>
        <v/>
      </c>
      <c r="J28" s="7">
        <f>soundcast!G28</f>
        <v/>
      </c>
      <c r="K28" s="7">
        <f>C28</f>
        <v/>
      </c>
    </row>
    <row r="29" spans="1:18">
      <c r="A29" t="n">
        <v>18</v>
      </c>
      <c r="B29" s="4" t="n">
        <v>5566.13608091</v>
      </c>
      <c r="C29" s="7">
        <f>bkrcast_all!C29</f>
        <v/>
      </c>
      <c r="E29" s="8" t="n">
        <v>18</v>
      </c>
      <c r="F29" s="8" t="n">
        <v>6357.623292740413</v>
      </c>
      <c r="G29" s="7">
        <f>bkrcast_all!G29</f>
        <v/>
      </c>
      <c r="H29" s="7">
        <f>bkrcast_inbkr!G29</f>
        <v/>
      </c>
      <c r="I29" s="7">
        <f>bkrcast_outbkr!G29</f>
        <v/>
      </c>
      <c r="J29" s="7">
        <f>soundcast!G29</f>
        <v/>
      </c>
      <c r="K29" s="7">
        <f>C29</f>
        <v/>
      </c>
    </row>
    <row r="30" spans="1:18">
      <c r="A30" t="n">
        <v>19</v>
      </c>
      <c r="B30" s="4" t="n">
        <v>4536.5608674624</v>
      </c>
      <c r="C30" s="7">
        <f>bkrcast_all!C30</f>
        <v/>
      </c>
      <c r="E30" s="8" t="n">
        <v>19</v>
      </c>
      <c r="F30" s="8" t="n">
        <v>5425.904677607528</v>
      </c>
      <c r="G30" s="7">
        <f>bkrcast_all!G30</f>
        <v/>
      </c>
      <c r="H30" s="7">
        <f>bkrcast_inbkr!G30</f>
        <v/>
      </c>
      <c r="I30" s="7">
        <f>bkrcast_outbkr!G30</f>
        <v/>
      </c>
      <c r="J30" s="7">
        <f>soundcast!G30</f>
        <v/>
      </c>
      <c r="K30" s="7">
        <f>C30</f>
        <v/>
      </c>
    </row>
    <row r="31" spans="1:18">
      <c r="A31" t="n">
        <v>20</v>
      </c>
      <c r="B31" s="4" t="n">
        <v>1527.012805536</v>
      </c>
      <c r="C31" s="7">
        <f>bkrcast_all!C31</f>
        <v/>
      </c>
      <c r="E31" s="8" t="n">
        <v>20</v>
      </c>
      <c r="F31" s="8" t="n">
        <v>4805.131504064943</v>
      </c>
      <c r="G31" s="7">
        <f>bkrcast_all!G31</f>
        <v/>
      </c>
      <c r="H31" s="7">
        <f>bkrcast_inbkr!G31</f>
        <v/>
      </c>
      <c r="I31" s="7">
        <f>bkrcast_outbkr!G31</f>
        <v/>
      </c>
      <c r="J31" s="7">
        <f>soundcast!G31</f>
        <v/>
      </c>
      <c r="K31" s="7">
        <f>C31</f>
        <v/>
      </c>
    </row>
    <row r="32" spans="1:18">
      <c r="A32" t="n">
        <v>21</v>
      </c>
      <c r="B32" s="4" t="n">
        <v>3183.247148347</v>
      </c>
      <c r="C32" s="7">
        <f>bkrcast_all!C32</f>
        <v/>
      </c>
      <c r="E32" s="8" t="n">
        <v>21</v>
      </c>
      <c r="F32" s="8" t="n">
        <v>4875.224122700956</v>
      </c>
      <c r="G32" s="7">
        <f>bkrcast_all!G32</f>
        <v/>
      </c>
      <c r="H32" s="7">
        <f>bkrcast_inbkr!G32</f>
        <v/>
      </c>
      <c r="I32" s="7">
        <f>bkrcast_outbkr!G32</f>
        <v/>
      </c>
      <c r="J32" s="7">
        <f>soundcast!G32</f>
        <v/>
      </c>
      <c r="K32" s="7">
        <f>C32</f>
        <v/>
      </c>
    </row>
    <row r="33" spans="1:18">
      <c r="A33" t="n">
        <v>22</v>
      </c>
      <c r="B33" s="4" t="n">
        <v>5082.3535289585</v>
      </c>
      <c r="C33" s="7">
        <f>bkrcast_all!C33</f>
        <v/>
      </c>
      <c r="E33" s="8" t="n">
        <v>22</v>
      </c>
      <c r="F33" s="8" t="n">
        <v>3663.871350106856</v>
      </c>
      <c r="G33" s="7">
        <f>bkrcast_all!G33</f>
        <v/>
      </c>
      <c r="H33" s="7">
        <f>bkrcast_inbkr!G33</f>
        <v/>
      </c>
      <c r="I33" s="7">
        <f>bkrcast_outbkr!G33</f>
        <v/>
      </c>
      <c r="J33" s="7">
        <f>soundcast!G33</f>
        <v/>
      </c>
      <c r="K33" s="7">
        <f>C33</f>
        <v/>
      </c>
    </row>
    <row r="34" spans="1:18">
      <c r="A34" t="n">
        <v>23</v>
      </c>
      <c r="B34" s="4" t="n">
        <v>5034.874011897</v>
      </c>
      <c r="C34" s="7">
        <f>bkrcast_all!C34</f>
        <v/>
      </c>
      <c r="E34" s="8" t="n">
        <v>23</v>
      </c>
      <c r="F34" s="8" t="n">
        <v>4392.193894278206</v>
      </c>
      <c r="G34" s="7">
        <f>bkrcast_all!G34</f>
        <v/>
      </c>
      <c r="H34" s="7">
        <f>bkrcast_inbkr!G34</f>
        <v/>
      </c>
      <c r="I34" s="7">
        <f>bkrcast_outbkr!G34</f>
        <v/>
      </c>
      <c r="J34" s="7">
        <f>soundcast!G34</f>
        <v/>
      </c>
      <c r="K34" s="7">
        <f>C34</f>
        <v/>
      </c>
    </row>
    <row r="35" spans="1:18">
      <c r="A35" t="n">
        <v>24</v>
      </c>
      <c r="B35" s="4" t="n">
        <v>1310.600950395</v>
      </c>
      <c r="C35" s="7">
        <f>bkrcast_all!C35</f>
        <v/>
      </c>
      <c r="E35" s="8" t="n">
        <v>24</v>
      </c>
      <c r="F35" s="8" t="n">
        <v>3191.964711123703</v>
      </c>
      <c r="G35" s="7">
        <f>bkrcast_all!G35</f>
        <v/>
      </c>
      <c r="H35" s="7">
        <f>bkrcast_inbkr!G35</f>
        <v/>
      </c>
      <c r="I35" s="7">
        <f>bkrcast_outbkr!G35</f>
        <v/>
      </c>
      <c r="J35" s="7">
        <f>soundcast!G35</f>
        <v/>
      </c>
      <c r="K35" s="7">
        <f>C35</f>
        <v/>
      </c>
    </row>
    <row r="36" spans="1:18">
      <c r="A36" t="n">
        <v>25</v>
      </c>
      <c r="B36" s="4" t="n">
        <v>6231.3993225662</v>
      </c>
      <c r="C36" s="7">
        <f>bkrcast_all!C36</f>
        <v/>
      </c>
      <c r="E36" s="8" t="n">
        <v>25</v>
      </c>
      <c r="F36" s="8" t="n">
        <v>2789.982125652974</v>
      </c>
      <c r="G36" s="7">
        <f>bkrcast_all!G36</f>
        <v/>
      </c>
      <c r="H36" s="7">
        <f>bkrcast_inbkr!G36</f>
        <v/>
      </c>
      <c r="I36" s="7">
        <f>bkrcast_outbkr!G36</f>
        <v/>
      </c>
      <c r="J36" s="7">
        <f>soundcast!G36</f>
        <v/>
      </c>
      <c r="K36" s="7">
        <f>C36</f>
        <v/>
      </c>
    </row>
    <row r="37" spans="1:18">
      <c r="A37" t="n">
        <v>26</v>
      </c>
      <c r="B37" s="4" t="n">
        <v>1513.0198815763</v>
      </c>
      <c r="C37" s="7">
        <f>bkrcast_all!C37</f>
        <v/>
      </c>
      <c r="E37" s="8" t="n">
        <v>26</v>
      </c>
      <c r="F37" s="8" t="n">
        <v>2195.705092513792</v>
      </c>
      <c r="G37" s="7">
        <f>bkrcast_all!G37</f>
        <v/>
      </c>
      <c r="H37" s="7">
        <f>bkrcast_inbkr!G37</f>
        <v/>
      </c>
      <c r="I37" s="7">
        <f>bkrcast_outbkr!G37</f>
        <v/>
      </c>
      <c r="J37" s="7">
        <f>soundcast!G37</f>
        <v/>
      </c>
      <c r="K37" s="7">
        <f>C37</f>
        <v/>
      </c>
    </row>
    <row r="38" spans="1:18">
      <c r="A38" t="n">
        <v>27</v>
      </c>
      <c r="B38" s="4" t="n">
        <v>486.7110785753</v>
      </c>
      <c r="C38" s="7">
        <f>bkrcast_all!C38</f>
        <v/>
      </c>
      <c r="E38" s="8" t="n">
        <v>27</v>
      </c>
      <c r="F38" s="8" t="n">
        <v>4189.253507315897</v>
      </c>
      <c r="G38" s="7">
        <f>bkrcast_all!G38</f>
        <v/>
      </c>
      <c r="H38" s="7">
        <f>bkrcast_inbkr!G38</f>
        <v/>
      </c>
      <c r="I38" s="7">
        <f>bkrcast_outbkr!G38</f>
        <v/>
      </c>
      <c r="J38" s="7">
        <f>soundcast!G38</f>
        <v/>
      </c>
      <c r="K38" s="7">
        <f>C38</f>
        <v/>
      </c>
    </row>
    <row r="39" spans="1:18">
      <c r="A39" t="n">
        <v>28</v>
      </c>
      <c r="B39" s="4" t="n">
        <v>639.898885364</v>
      </c>
      <c r="C39" s="7">
        <f>bkrcast_all!C39</f>
        <v/>
      </c>
      <c r="E39" s="8" t="n">
        <v>28</v>
      </c>
      <c r="F39" s="8" t="n">
        <v>1807.107548014651</v>
      </c>
      <c r="G39" s="7">
        <f>bkrcast_all!G39</f>
        <v/>
      </c>
      <c r="H39" s="7">
        <f>bkrcast_inbkr!G39</f>
        <v/>
      </c>
      <c r="I39" s="7">
        <f>bkrcast_outbkr!G39</f>
        <v/>
      </c>
      <c r="J39" s="7">
        <f>soundcast!G39</f>
        <v/>
      </c>
      <c r="K39" s="7">
        <f>C39</f>
        <v/>
      </c>
    </row>
    <row r="40" spans="1:18">
      <c r="A40" t="n">
        <v>29</v>
      </c>
      <c r="B40" s="4" t="n">
        <v>1415.4203657682</v>
      </c>
      <c r="C40" s="7">
        <f>bkrcast_all!C40</f>
        <v/>
      </c>
      <c r="E40" s="8" t="n">
        <v>29</v>
      </c>
      <c r="F40" s="8" t="n">
        <v>2328.575904002189</v>
      </c>
      <c r="G40" s="7">
        <f>bkrcast_all!G40</f>
        <v/>
      </c>
      <c r="H40" s="7">
        <f>bkrcast_inbkr!G40</f>
        <v/>
      </c>
      <c r="I40" s="7">
        <f>bkrcast_outbkr!G40</f>
        <v/>
      </c>
      <c r="J40" s="7">
        <f>soundcast!G40</f>
        <v/>
      </c>
      <c r="K40" s="7">
        <f>C40</f>
        <v/>
      </c>
    </row>
    <row r="41" spans="1:18">
      <c r="A41" t="n">
        <v>30</v>
      </c>
      <c r="B41" s="4" t="n">
        <v>1754.689538959</v>
      </c>
      <c r="C41" s="7">
        <f>bkrcast_all!C41</f>
        <v/>
      </c>
      <c r="E41" s="8" t="n">
        <v>30</v>
      </c>
      <c r="F41" s="8" t="n">
        <v>1278.549826065537</v>
      </c>
      <c r="G41" s="7">
        <f>bkrcast_all!G41</f>
        <v/>
      </c>
      <c r="H41" s="7">
        <f>bkrcast_inbkr!G41</f>
        <v/>
      </c>
      <c r="I41" s="7">
        <f>bkrcast_outbkr!G41</f>
        <v/>
      </c>
      <c r="J41" s="7">
        <f>soundcast!G41</f>
        <v/>
      </c>
      <c r="K41" s="7">
        <f>C41</f>
        <v/>
      </c>
    </row>
    <row r="42" spans="1:18">
      <c r="A42" t="n">
        <v>31</v>
      </c>
      <c r="B42" s="4" t="n">
        <v>0</v>
      </c>
      <c r="C42" s="7">
        <f>bkrcast_all!C42</f>
        <v/>
      </c>
      <c r="E42" s="8" t="n">
        <v>31</v>
      </c>
      <c r="F42" s="8" t="n">
        <v>1189.97713852469</v>
      </c>
      <c r="G42" s="7">
        <f>bkrcast_all!G42</f>
        <v/>
      </c>
      <c r="H42" s="7">
        <f>bkrcast_inbkr!G42</f>
        <v/>
      </c>
      <c r="I42" s="7">
        <f>bkrcast_outbkr!G42</f>
        <v/>
      </c>
      <c r="J42" s="7">
        <f>soundcast!G42</f>
        <v/>
      </c>
      <c r="K42" s="7">
        <f>C42</f>
        <v/>
      </c>
    </row>
    <row r="43" spans="1:18">
      <c r="A43" t="n">
        <v>32</v>
      </c>
      <c r="B43" s="4" t="n">
        <v>735.005061211</v>
      </c>
      <c r="C43" s="7">
        <f>bkrcast_all!C43</f>
        <v/>
      </c>
      <c r="E43" s="8" t="n">
        <v>32</v>
      </c>
      <c r="F43" s="8" t="n">
        <v>1032.530489696523</v>
      </c>
      <c r="G43" s="7">
        <f>bkrcast_all!G43</f>
        <v/>
      </c>
      <c r="H43" s="7">
        <f>bkrcast_inbkr!G43</f>
        <v/>
      </c>
      <c r="I43" s="7">
        <f>bkrcast_outbkr!G43</f>
        <v/>
      </c>
      <c r="J43" s="7">
        <f>soundcast!G43</f>
        <v/>
      </c>
      <c r="K43" s="7">
        <f>C43</f>
        <v/>
      </c>
    </row>
    <row r="44" spans="1:18">
      <c r="A44" t="n">
        <v>33</v>
      </c>
      <c r="B44" s="4" t="n">
        <v>3644.885985334</v>
      </c>
      <c r="C44" s="7">
        <f>bkrcast_all!C44</f>
        <v/>
      </c>
      <c r="E44" s="8" t="n">
        <v>33</v>
      </c>
      <c r="F44" s="8" t="n">
        <v>888.9741592928665</v>
      </c>
      <c r="G44" s="7">
        <f>bkrcast_all!G44</f>
        <v/>
      </c>
      <c r="H44" s="7">
        <f>bkrcast_inbkr!G44</f>
        <v/>
      </c>
      <c r="I44" s="7">
        <f>bkrcast_outbkr!G44</f>
        <v/>
      </c>
      <c r="J44" s="7">
        <f>soundcast!G44</f>
        <v/>
      </c>
      <c r="K44" s="7">
        <f>C44</f>
        <v/>
      </c>
    </row>
    <row r="45" spans="1:18">
      <c r="A45" t="n">
        <v>34</v>
      </c>
      <c r="B45" s="4" t="n">
        <v>1540.543198134</v>
      </c>
      <c r="C45" s="7">
        <f>bkrcast_all!C45</f>
        <v/>
      </c>
      <c r="E45" s="8" t="n">
        <v>34</v>
      </c>
      <c r="F45" s="8" t="n">
        <v>651.5718869918992</v>
      </c>
      <c r="G45" s="7">
        <f>bkrcast_all!G45</f>
        <v/>
      </c>
      <c r="H45" s="7">
        <f>bkrcast_inbkr!G45</f>
        <v/>
      </c>
      <c r="I45" s="7">
        <f>bkrcast_outbkr!G45</f>
        <v/>
      </c>
      <c r="J45" s="7">
        <f>soundcast!G45</f>
        <v/>
      </c>
      <c r="K45" s="7">
        <f>C45</f>
        <v/>
      </c>
    </row>
    <row r="46" spans="1:18">
      <c r="A46" t="n">
        <v>35</v>
      </c>
      <c r="B46" s="4" t="n">
        <v>284.671377348</v>
      </c>
      <c r="C46" s="7">
        <f>bkrcast_all!C46</f>
        <v/>
      </c>
      <c r="E46" s="8" t="n">
        <v>35</v>
      </c>
      <c r="F46" s="8" t="n">
        <v>538.4400762944164</v>
      </c>
      <c r="G46" s="7">
        <f>bkrcast_all!G46</f>
        <v/>
      </c>
      <c r="H46" s="7">
        <f>bkrcast_inbkr!G46</f>
        <v/>
      </c>
      <c r="I46" s="7">
        <f>bkrcast_outbkr!G46</f>
        <v/>
      </c>
      <c r="J46" s="7">
        <f>soundcast!G46</f>
        <v/>
      </c>
      <c r="K46" s="7">
        <f>C46</f>
        <v/>
      </c>
    </row>
    <row r="47" spans="1:18">
      <c r="A47" t="n">
        <v>36</v>
      </c>
      <c r="B47" s="4" t="n">
        <v>1840.803556985</v>
      </c>
      <c r="C47" s="7">
        <f>bkrcast_all!C47</f>
        <v/>
      </c>
      <c r="E47" s="8" t="n">
        <v>36</v>
      </c>
      <c r="F47" s="8" t="n">
        <v>888.8217640590894</v>
      </c>
      <c r="G47" s="7">
        <f>bkrcast_all!G47</f>
        <v/>
      </c>
      <c r="H47" s="7">
        <f>bkrcast_inbkr!G47</f>
        <v/>
      </c>
      <c r="I47" s="7">
        <f>bkrcast_outbkr!G47</f>
        <v/>
      </c>
      <c r="J47" s="7">
        <f>soundcast!G47</f>
        <v/>
      </c>
      <c r="K47" s="7">
        <f>C47</f>
        <v/>
      </c>
    </row>
    <row r="48" spans="1:18">
      <c r="A48" t="n">
        <v>37</v>
      </c>
      <c r="B48" s="4" t="n">
        <v>619.342925768</v>
      </c>
      <c r="C48" s="7">
        <f>bkrcast_all!C48</f>
        <v/>
      </c>
      <c r="E48" s="8" t="n">
        <v>37</v>
      </c>
      <c r="F48" s="8" t="n">
        <v>530.1550789830058</v>
      </c>
      <c r="G48" s="7">
        <f>bkrcast_all!G48</f>
        <v/>
      </c>
      <c r="H48" s="7">
        <f>bkrcast_inbkr!G48</f>
        <v/>
      </c>
      <c r="I48" s="7">
        <f>bkrcast_outbkr!G48</f>
        <v/>
      </c>
      <c r="J48" s="7">
        <f>soundcast!G48</f>
        <v/>
      </c>
      <c r="K48" s="7">
        <f>C48</f>
        <v/>
      </c>
    </row>
    <row r="49" spans="1:18">
      <c r="A49" t="n">
        <v>38</v>
      </c>
      <c r="B49" s="4" t="n">
        <v>80.5029056468</v>
      </c>
      <c r="C49" s="7">
        <f>bkrcast_all!C49</f>
        <v/>
      </c>
      <c r="E49" s="8" t="n">
        <v>38</v>
      </c>
      <c r="F49" s="8" t="n">
        <v>519.5918332549497</v>
      </c>
      <c r="G49" s="7">
        <f>bkrcast_all!G49</f>
        <v/>
      </c>
      <c r="H49" s="7">
        <f>bkrcast_inbkr!G49</f>
        <v/>
      </c>
      <c r="I49" s="7">
        <f>bkrcast_outbkr!G49</f>
        <v/>
      </c>
      <c r="J49" s="7">
        <f>soundcast!G49</f>
        <v/>
      </c>
      <c r="K49" s="7">
        <f>C49</f>
        <v/>
      </c>
    </row>
    <row r="50" spans="1:18">
      <c r="A50" t="n">
        <v>39</v>
      </c>
      <c r="B50" s="4" t="n">
        <v>0</v>
      </c>
      <c r="C50" s="7">
        <f>bkrcast_all!C50</f>
        <v/>
      </c>
      <c r="E50" s="8" t="n">
        <v>39</v>
      </c>
      <c r="F50" s="8" t="n">
        <v>676.3504608042576</v>
      </c>
      <c r="G50" s="7">
        <f>bkrcast_all!G50</f>
        <v/>
      </c>
      <c r="H50" s="7">
        <f>bkrcast_inbkr!G50</f>
        <v/>
      </c>
      <c r="I50" s="7">
        <f>bkrcast_outbkr!G50</f>
        <v/>
      </c>
      <c r="J50" s="7">
        <f>soundcast!G50</f>
        <v/>
      </c>
      <c r="K50" s="7">
        <f>C50</f>
        <v/>
      </c>
    </row>
    <row r="51" spans="1:18">
      <c r="A51" t="n">
        <v>40</v>
      </c>
      <c r="B51" s="4" t="n">
        <v>4804.7305938</v>
      </c>
      <c r="C51" s="7">
        <f>bkrcast_all!C51</f>
        <v/>
      </c>
      <c r="E51" s="8" t="n">
        <v>40</v>
      </c>
      <c r="F51" s="8" t="n">
        <v>474.9386661864791</v>
      </c>
      <c r="G51" s="7">
        <f>bkrcast_all!G51</f>
        <v/>
      </c>
      <c r="H51" s="7">
        <f>bkrcast_inbkr!G51</f>
        <v/>
      </c>
      <c r="I51" s="7">
        <f>bkrcast_outbkr!G51</f>
        <v/>
      </c>
      <c r="J51" s="7">
        <f>soundcast!G51</f>
        <v/>
      </c>
      <c r="K51" s="7">
        <f>C51</f>
        <v/>
      </c>
    </row>
    <row r="52" spans="1:18">
      <c r="A52" t="n">
        <v>41</v>
      </c>
      <c r="B52" s="4" t="n">
        <v>1124.843484173</v>
      </c>
      <c r="C52" s="7">
        <f>bkrcast_all!C52</f>
        <v/>
      </c>
      <c r="E52" s="8" t="n">
        <v>41</v>
      </c>
      <c r="F52" s="8" t="n">
        <v>345.5768616684264</v>
      </c>
      <c r="G52" s="7">
        <f>bkrcast_all!G52</f>
        <v/>
      </c>
      <c r="H52" s="7">
        <f>bkrcast_inbkr!G52</f>
        <v/>
      </c>
      <c r="I52" s="7">
        <f>bkrcast_outbkr!G52</f>
        <v/>
      </c>
      <c r="J52" s="7">
        <f>soundcast!G52</f>
        <v/>
      </c>
      <c r="K52" s="7">
        <f>C52</f>
        <v/>
      </c>
    </row>
    <row r="53" spans="1:18">
      <c r="A53" t="n">
        <v>42</v>
      </c>
      <c r="B53" s="4" t="n">
        <v>0</v>
      </c>
      <c r="C53" s="7">
        <f>bkrcast_all!C53</f>
        <v/>
      </c>
      <c r="E53" s="8" t="n">
        <v>42</v>
      </c>
      <c r="F53" s="8" t="n">
        <v>261.4281312595775</v>
      </c>
      <c r="G53" s="7">
        <f>bkrcast_all!G53</f>
        <v/>
      </c>
      <c r="H53" s="7">
        <f>bkrcast_inbkr!G53</f>
        <v/>
      </c>
      <c r="I53" s="7">
        <f>bkrcast_outbkr!G53</f>
        <v/>
      </c>
      <c r="J53" s="7">
        <f>soundcast!G53</f>
        <v/>
      </c>
      <c r="K53" s="7">
        <f>C53</f>
        <v/>
      </c>
    </row>
    <row r="54" spans="1:18">
      <c r="A54" t="n">
        <v>43</v>
      </c>
      <c r="B54" s="4" t="n">
        <v>403.086772515</v>
      </c>
      <c r="C54" s="7">
        <f>bkrcast_all!C54</f>
        <v/>
      </c>
      <c r="E54" s="8" t="n">
        <v>43</v>
      </c>
      <c r="F54" s="8" t="n">
        <v>133.3430015237817</v>
      </c>
      <c r="G54" s="7">
        <f>bkrcast_all!G54</f>
        <v/>
      </c>
      <c r="H54" s="7">
        <f>bkrcast_inbkr!G54</f>
        <v/>
      </c>
      <c r="I54" s="7">
        <f>bkrcast_outbkr!G54</f>
        <v/>
      </c>
      <c r="J54" s="7">
        <f>soundcast!G54</f>
        <v/>
      </c>
      <c r="K54" s="7">
        <f>C54</f>
        <v/>
      </c>
    </row>
    <row r="55" spans="1:18">
      <c r="A55" t="n">
        <v>44</v>
      </c>
      <c r="B55" s="4" t="n">
        <v>452.223951952</v>
      </c>
      <c r="C55" s="7">
        <f>bkrcast_all!C55</f>
        <v/>
      </c>
      <c r="E55" s="8" t="n">
        <v>44</v>
      </c>
      <c r="F55" s="8" t="n">
        <v>163.3697195805587</v>
      </c>
      <c r="G55" s="7">
        <f>bkrcast_all!G55</f>
        <v/>
      </c>
      <c r="H55" s="7">
        <f>bkrcast_inbkr!G55</f>
        <v/>
      </c>
      <c r="I55" s="7">
        <f>bkrcast_outbkr!G55</f>
        <v/>
      </c>
      <c r="J55" s="7">
        <f>soundcast!G55</f>
        <v/>
      </c>
      <c r="K55" s="7">
        <f>C55</f>
        <v/>
      </c>
    </row>
    <row r="56" spans="1:18">
      <c r="A56" t="n">
        <v>45</v>
      </c>
      <c r="B56" s="4" t="n">
        <v>0</v>
      </c>
      <c r="C56" s="7">
        <f>bkrcast_all!C56</f>
        <v/>
      </c>
      <c r="E56" s="8" t="n">
        <v>45</v>
      </c>
      <c r="F56" s="8" t="n">
        <v>186.4384035572967</v>
      </c>
      <c r="G56" s="7">
        <f>bkrcast_all!G56</f>
        <v/>
      </c>
      <c r="H56" s="7">
        <f>bkrcast_inbkr!G56</f>
        <v/>
      </c>
      <c r="I56" s="7">
        <f>bkrcast_outbkr!G56</f>
        <v/>
      </c>
      <c r="J56" s="7">
        <f>soundcast!G56</f>
        <v/>
      </c>
      <c r="K56" s="7">
        <f>C56</f>
        <v/>
      </c>
    </row>
    <row r="57" spans="1:18">
      <c r="A57" t="n">
        <v>46</v>
      </c>
      <c r="B57" s="4" t="n">
        <v>0</v>
      </c>
      <c r="C57" s="7">
        <f>bkrcast_all!C57</f>
        <v/>
      </c>
      <c r="E57" s="8" t="n">
        <v>46</v>
      </c>
      <c r="F57" s="8" t="n">
        <v>178.736798330344</v>
      </c>
      <c r="G57" s="7">
        <f>bkrcast_all!G57</f>
        <v/>
      </c>
      <c r="H57" s="7">
        <f>bkrcast_inbkr!G57</f>
        <v/>
      </c>
      <c r="I57" s="7">
        <f>bkrcast_outbkr!G57</f>
        <v/>
      </c>
      <c r="J57" s="7">
        <f>soundcast!G57</f>
        <v/>
      </c>
      <c r="K57" s="7">
        <f>C57</f>
        <v/>
      </c>
    </row>
    <row r="58" spans="1:18">
      <c r="A58" t="n">
        <v>47</v>
      </c>
      <c r="B58" s="4" t="n">
        <v>549.0917200658</v>
      </c>
      <c r="C58" s="7">
        <f>bkrcast_all!C58</f>
        <v/>
      </c>
      <c r="E58" s="8" t="n">
        <v>47</v>
      </c>
      <c r="F58" s="8" t="n">
        <v>196.2709801936095</v>
      </c>
      <c r="G58" s="7">
        <f>bkrcast_all!G58</f>
        <v/>
      </c>
      <c r="H58" s="7">
        <f>bkrcast_inbkr!G58</f>
        <v/>
      </c>
      <c r="I58" s="7">
        <f>bkrcast_outbkr!G58</f>
        <v/>
      </c>
      <c r="J58" s="7">
        <f>soundcast!G58</f>
        <v/>
      </c>
      <c r="K58" s="7">
        <f>C58</f>
        <v/>
      </c>
    </row>
    <row r="59" spans="1:18">
      <c r="A59" t="n">
        <v>48</v>
      </c>
      <c r="B59" s="4" t="n">
        <v>213.886510635</v>
      </c>
      <c r="C59" s="7">
        <f>bkrcast_all!C59</f>
        <v/>
      </c>
      <c r="E59" s="8" t="n">
        <v>48</v>
      </c>
      <c r="F59" s="8" t="n">
        <v>100.921307272428</v>
      </c>
      <c r="G59" s="7">
        <f>bkrcast_all!G59</f>
        <v/>
      </c>
      <c r="H59" s="7">
        <f>bkrcast_inbkr!G59</f>
        <v/>
      </c>
      <c r="I59" s="7">
        <f>bkrcast_outbkr!G59</f>
        <v/>
      </c>
      <c r="J59" s="7">
        <f>soundcast!G59</f>
        <v/>
      </c>
      <c r="K59" s="7">
        <f>C59</f>
        <v/>
      </c>
    </row>
    <row r="60" spans="1:18">
      <c r="A60" t="n">
        <v>49</v>
      </c>
      <c r="B60" s="4" t="n">
        <v>0</v>
      </c>
      <c r="C60" s="7">
        <f>bkrcast_all!C60</f>
        <v/>
      </c>
      <c r="E60" s="8" t="n">
        <v>49</v>
      </c>
      <c r="F60" s="8" t="n">
        <v>88.25280108646317</v>
      </c>
      <c r="G60" s="7">
        <f>bkrcast_all!G60</f>
        <v/>
      </c>
      <c r="H60" s="7">
        <f>bkrcast_inbkr!G60</f>
        <v/>
      </c>
      <c r="I60" s="7">
        <f>bkrcast_outbkr!G60</f>
        <v/>
      </c>
      <c r="J60" s="7">
        <f>soundcast!G60</f>
        <v/>
      </c>
      <c r="K60" s="7">
        <f>C60</f>
        <v/>
      </c>
    </row>
    <row r="61" spans="1:18">
      <c r="A61" t="n">
        <v>50</v>
      </c>
      <c r="B61" s="4" t="n">
        <v>0</v>
      </c>
      <c r="C61" s="7">
        <f>bkrcast_all!C61</f>
        <v/>
      </c>
      <c r="E61" s="8" t="n">
        <v>50</v>
      </c>
      <c r="F61" s="8" t="n">
        <v>108.9105938188112</v>
      </c>
      <c r="G61" s="7">
        <f>bkrcast_all!G61</f>
        <v/>
      </c>
      <c r="H61" s="7">
        <f>bkrcast_inbkr!G61</f>
        <v/>
      </c>
      <c r="I61" s="7">
        <f>bkrcast_outbkr!G61</f>
        <v/>
      </c>
      <c r="J61" s="7">
        <f>soundcast!G61</f>
        <v/>
      </c>
      <c r="K61" s="7">
        <f>C61</f>
        <v/>
      </c>
    </row>
    <row r="62" spans="1:18">
      <c r="A62" t="n">
        <v>51</v>
      </c>
      <c r="B62" s="4" t="n">
        <v>0</v>
      </c>
      <c r="C62" s="7">
        <f>bkrcast_all!C62</f>
        <v/>
      </c>
      <c r="E62" s="8" t="n">
        <v>51</v>
      </c>
      <c r="F62" s="8" t="n">
        <v>61.45084334319492</v>
      </c>
      <c r="G62" s="7">
        <f>bkrcast_all!G62</f>
        <v/>
      </c>
      <c r="H62" s="7">
        <f>bkrcast_inbkr!G62</f>
        <v/>
      </c>
      <c r="I62" s="7">
        <f>bkrcast_outbkr!G62</f>
        <v/>
      </c>
      <c r="J62" s="7">
        <f>soundcast!G62</f>
        <v/>
      </c>
      <c r="K62" s="7">
        <f>C62</f>
        <v/>
      </c>
    </row>
    <row r="63" spans="1:18">
      <c r="A63" t="n">
        <v>52</v>
      </c>
      <c r="B63" s="4" t="n">
        <v>0</v>
      </c>
      <c r="C63" s="7">
        <f>bkrcast_all!C63</f>
        <v/>
      </c>
      <c r="E63" s="8" t="n">
        <v>52</v>
      </c>
      <c r="F63" s="8" t="n">
        <v>42.8111989260912</v>
      </c>
      <c r="G63" s="7">
        <f>bkrcast_all!G63</f>
        <v/>
      </c>
      <c r="H63" s="7">
        <f>bkrcast_inbkr!G63</f>
        <v/>
      </c>
      <c r="I63" s="7">
        <f>bkrcast_outbkr!G63</f>
        <v/>
      </c>
      <c r="J63" s="7">
        <f>soundcast!G63</f>
        <v/>
      </c>
      <c r="K63" s="7">
        <f>C63</f>
        <v/>
      </c>
    </row>
    <row r="64" spans="1:18">
      <c r="A64" t="n">
        <v>53</v>
      </c>
      <c r="B64" s="4" t="n">
        <v>0</v>
      </c>
      <c r="C64" s="7">
        <f>bkrcast_all!C64</f>
        <v/>
      </c>
      <c r="E64" s="8" t="n">
        <v>53</v>
      </c>
      <c r="F64" s="8" t="n">
        <v>25.74148655190801</v>
      </c>
      <c r="G64" s="7">
        <f>bkrcast_all!G64</f>
        <v/>
      </c>
      <c r="H64" s="7">
        <f>bkrcast_inbkr!G64</f>
        <v/>
      </c>
      <c r="I64" s="7">
        <f>bkrcast_outbkr!G64</f>
        <v/>
      </c>
      <c r="J64" s="7">
        <f>soundcast!G64</f>
        <v/>
      </c>
      <c r="K64" s="7">
        <f>C64</f>
        <v/>
      </c>
    </row>
    <row r="65" spans="1:18">
      <c r="A65" t="n">
        <v>54</v>
      </c>
      <c r="B65" s="4" t="n">
        <v>0</v>
      </c>
      <c r="C65" s="7">
        <f>bkrcast_all!C65</f>
        <v/>
      </c>
      <c r="E65" s="8" t="n">
        <v>54</v>
      </c>
      <c r="F65" s="8" t="n">
        <v>25.72667855332557</v>
      </c>
      <c r="G65" s="7">
        <f>bkrcast_all!G65</f>
        <v/>
      </c>
      <c r="H65" s="7">
        <f>bkrcast_inbkr!G65</f>
        <v/>
      </c>
      <c r="I65" s="7">
        <f>bkrcast_outbkr!G65</f>
        <v/>
      </c>
      <c r="J65" s="7">
        <f>soundcast!G65</f>
        <v/>
      </c>
      <c r="K65" s="7">
        <f>C65</f>
        <v/>
      </c>
    </row>
    <row r="66" spans="1:18">
      <c r="A66" t="n">
        <v>55</v>
      </c>
      <c r="B66" s="4" t="n">
        <v>0</v>
      </c>
      <c r="C66" s="7">
        <f>bkrcast_all!C66</f>
        <v/>
      </c>
      <c r="E66" s="8" t="n">
        <v>55</v>
      </c>
      <c r="F66" s="8" t="n">
        <v>49.99218809377299</v>
      </c>
      <c r="G66" s="7">
        <f>bkrcast_all!G66</f>
        <v/>
      </c>
      <c r="H66" s="7">
        <f>bkrcast_inbkr!G66</f>
        <v/>
      </c>
      <c r="I66" s="7">
        <f>bkrcast_outbkr!G66</f>
        <v/>
      </c>
      <c r="J66" s="7">
        <f>soundcast!G66</f>
        <v/>
      </c>
      <c r="K66" s="7">
        <f>C66</f>
        <v/>
      </c>
    </row>
    <row r="67" spans="1:18">
      <c r="A67" t="n">
        <v>56</v>
      </c>
      <c r="B67" s="4" t="n">
        <v>0</v>
      </c>
      <c r="C67" s="7">
        <f>bkrcast_all!C67</f>
        <v/>
      </c>
      <c r="E67" s="8" t="n">
        <v>56</v>
      </c>
      <c r="F67" s="8" t="n">
        <v>0</v>
      </c>
      <c r="G67" s="7">
        <f>bkrcast_all!G67</f>
        <v/>
      </c>
      <c r="H67" s="7">
        <f>bkrcast_inbkr!G67</f>
        <v/>
      </c>
      <c r="I67" s="7">
        <f>bkrcast_outbkr!G67</f>
        <v/>
      </c>
      <c r="J67" s="7">
        <f>soundcast!G67</f>
        <v/>
      </c>
      <c r="K67" s="7">
        <f>C67</f>
        <v/>
      </c>
    </row>
    <row r="68" spans="1:18">
      <c r="A68" t="n">
        <v>57</v>
      </c>
      <c r="B68" s="4" t="n">
        <v>0</v>
      </c>
      <c r="C68" s="7">
        <f>bkrcast_all!C68</f>
        <v/>
      </c>
      <c r="E68" s="8" t="n">
        <v>57</v>
      </c>
      <c r="F68" s="8" t="n">
        <v>15.25861148197602</v>
      </c>
      <c r="G68" s="7">
        <f>bkrcast_all!G68</f>
        <v/>
      </c>
      <c r="H68" s="7">
        <f>bkrcast_inbkr!G68</f>
        <v/>
      </c>
      <c r="I68" s="7">
        <f>bkrcast_outbkr!G68</f>
        <v/>
      </c>
      <c r="J68" s="7">
        <f>soundcast!G68</f>
        <v/>
      </c>
      <c r="K68" s="7">
        <f>C68</f>
        <v/>
      </c>
    </row>
    <row r="69" spans="1:18">
      <c r="A69" t="n">
        <v>58</v>
      </c>
      <c r="B69" s="4" t="n">
        <v>0</v>
      </c>
      <c r="C69" s="7">
        <f>bkrcast_all!C69</f>
        <v/>
      </c>
      <c r="E69" s="8" t="n">
        <v>58</v>
      </c>
      <c r="F69" s="8" t="n">
        <v>20.0888888888889</v>
      </c>
      <c r="G69" s="7">
        <f>bkrcast_all!G69</f>
        <v/>
      </c>
      <c r="H69" s="7">
        <f>bkrcast_inbkr!G69</f>
        <v/>
      </c>
      <c r="I69" s="7">
        <f>bkrcast_outbkr!G69</f>
        <v/>
      </c>
      <c r="J69" s="7">
        <f>soundcast!G69</f>
        <v/>
      </c>
      <c r="K69" s="7">
        <f>C69</f>
        <v/>
      </c>
    </row>
    <row r="70" spans="1:18">
      <c r="A70" t="n">
        <v>59</v>
      </c>
      <c r="B70" s="4" t="n">
        <v>0</v>
      </c>
      <c r="C70" s="7">
        <f>bkrcast_all!C70</f>
        <v/>
      </c>
      <c r="E70" s="8" t="n">
        <v>59</v>
      </c>
      <c r="F70" s="8" t="n">
        <v>39.97786198026987</v>
      </c>
      <c r="G70" s="7">
        <f>bkrcast_all!G70</f>
        <v/>
      </c>
      <c r="H70" s="7">
        <f>bkrcast_inbkr!G70</f>
        <v/>
      </c>
      <c r="I70" s="7">
        <f>bkrcast_outbkr!G70</f>
        <v/>
      </c>
      <c r="J70" s="7">
        <f>soundcast!G70</f>
        <v/>
      </c>
      <c r="K70" s="7">
        <f>C70</f>
        <v/>
      </c>
    </row>
    <row r="71" spans="1:18">
      <c r="A71" t="n">
        <v>60</v>
      </c>
      <c r="B71" s="4" t="n">
        <v>0</v>
      </c>
      <c r="C71" s="7">
        <f>bkrcast_all!C71</f>
        <v/>
      </c>
      <c r="E71" s="8" t="n">
        <v>60</v>
      </c>
      <c r="F71" s="8" t="n">
        <v>9.969387755102041</v>
      </c>
      <c r="G71" s="7">
        <f>bkrcast_all!G71</f>
        <v/>
      </c>
      <c r="H71" s="7">
        <f>bkrcast_inbkr!G71</f>
        <v/>
      </c>
      <c r="I71" s="7">
        <f>bkrcast_outbkr!G71</f>
        <v/>
      </c>
      <c r="J71" s="7">
        <f>soundcast!G71</f>
        <v/>
      </c>
      <c r="K71" s="7">
        <f>C71</f>
        <v/>
      </c>
    </row>
    <row r="72" spans="1:18">
      <c r="A72" t="n">
        <v>61</v>
      </c>
      <c r="B72" s="4" t="n">
        <v>0</v>
      </c>
      <c r="C72" s="7">
        <f>bkrcast_all!C72</f>
        <v/>
      </c>
      <c r="E72" s="8" t="n">
        <v>61</v>
      </c>
      <c r="F72" s="8" t="n">
        <v>29.99479876160992</v>
      </c>
      <c r="G72" s="7">
        <f>bkrcast_all!G72</f>
        <v/>
      </c>
      <c r="H72" s="7">
        <f>bkrcast_inbkr!G72</f>
        <v/>
      </c>
      <c r="I72" s="7">
        <f>bkrcast_outbkr!G72</f>
        <v/>
      </c>
      <c r="J72" s="7">
        <f>soundcast!G72</f>
        <v/>
      </c>
      <c r="K72" s="7">
        <f>C72</f>
        <v/>
      </c>
    </row>
    <row r="73" spans="1:18">
      <c r="A73" t="n">
        <v>62</v>
      </c>
      <c r="B73" s="4" t="n">
        <v>0</v>
      </c>
      <c r="C73" s="7">
        <f>bkrcast_all!C73</f>
        <v/>
      </c>
      <c r="E73" s="8" t="n">
        <v>62</v>
      </c>
      <c r="F73" s="8" t="n">
        <v>0</v>
      </c>
      <c r="G73" s="7">
        <f>bkrcast_all!G73</f>
        <v/>
      </c>
      <c r="H73" s="7">
        <f>bkrcast_inbkr!G73</f>
        <v/>
      </c>
      <c r="I73" s="7">
        <f>bkrcast_outbkr!G73</f>
        <v/>
      </c>
      <c r="J73" s="7">
        <f>soundcast!G73</f>
        <v/>
      </c>
      <c r="K73" s="7">
        <f>C73</f>
        <v/>
      </c>
    </row>
    <row r="74" spans="1:18">
      <c r="A74" t="n">
        <v>63</v>
      </c>
      <c r="B74" s="4" t="n">
        <v>0</v>
      </c>
      <c r="C74" s="7">
        <f>bkrcast_all!C74</f>
        <v/>
      </c>
      <c r="E74" s="8" t="n">
        <v>63</v>
      </c>
      <c r="F74" s="8" t="n">
        <v>0</v>
      </c>
      <c r="G74" s="7">
        <f>bkrcast_all!G74</f>
        <v/>
      </c>
      <c r="H74" s="7">
        <f>bkrcast_inbkr!G74</f>
        <v/>
      </c>
      <c r="I74" s="7">
        <f>bkrcast_outbkr!G74</f>
        <v/>
      </c>
      <c r="J74" s="7">
        <f>soundcast!G74</f>
        <v/>
      </c>
      <c r="K74" s="7">
        <f>C74</f>
        <v/>
      </c>
    </row>
    <row r="75" spans="1:18">
      <c r="A75" t="n">
        <v>64</v>
      </c>
      <c r="B75" s="4" t="n">
        <v>0</v>
      </c>
      <c r="C75" s="7">
        <f>bkrcast_all!C75</f>
        <v/>
      </c>
      <c r="E75" s="8" t="n">
        <v>64</v>
      </c>
      <c r="F75" s="8" t="n">
        <v>0</v>
      </c>
      <c r="G75" s="7">
        <f>bkrcast_all!G75</f>
        <v/>
      </c>
      <c r="H75" s="7">
        <f>bkrcast_inbkr!G75</f>
        <v/>
      </c>
      <c r="I75" s="7">
        <f>bkrcast_outbkr!G75</f>
        <v/>
      </c>
      <c r="J75" s="7">
        <f>soundcast!G75</f>
        <v/>
      </c>
      <c r="K75" s="7">
        <f>C75</f>
        <v/>
      </c>
    </row>
    <row r="76" spans="1:18">
      <c r="A76" t="n">
        <v>65</v>
      </c>
      <c r="B76" s="4" t="n">
        <v>0</v>
      </c>
      <c r="C76" s="7">
        <f>bkrcast_all!C76</f>
        <v/>
      </c>
      <c r="E76" s="8" t="n">
        <v>65</v>
      </c>
      <c r="F76" s="8" t="n">
        <v>0</v>
      </c>
      <c r="G76" s="7">
        <f>bkrcast_all!G76</f>
        <v/>
      </c>
      <c r="H76" s="7">
        <f>bkrcast_inbkr!G76</f>
        <v/>
      </c>
      <c r="I76" s="7">
        <f>bkrcast_outbkr!G76</f>
        <v/>
      </c>
      <c r="J76" s="7">
        <f>soundcast!G76</f>
        <v/>
      </c>
      <c r="K76" s="7">
        <f>C76</f>
        <v/>
      </c>
    </row>
    <row r="77" spans="1:18">
      <c r="A77" t="n">
        <v>66</v>
      </c>
      <c r="B77" s="4" t="n">
        <v>191.142673602</v>
      </c>
      <c r="C77" s="7">
        <f>bkrcast_all!C77</f>
        <v/>
      </c>
      <c r="E77" s="8" t="n">
        <v>66</v>
      </c>
      <c r="F77" s="8" t="n">
        <v>0.25</v>
      </c>
      <c r="G77" s="7">
        <f>bkrcast_all!G77</f>
        <v/>
      </c>
      <c r="H77" s="7">
        <f>bkrcast_inbkr!G77</f>
        <v/>
      </c>
      <c r="I77" s="7">
        <f>bkrcast_outbkr!G77</f>
        <v/>
      </c>
      <c r="J77" s="7">
        <f>soundcast!G77</f>
        <v/>
      </c>
      <c r="K77" s="7">
        <f>C77</f>
        <v/>
      </c>
    </row>
    <row r="78" spans="1:18">
      <c r="A78" t="n">
        <v>67</v>
      </c>
      <c r="B78" s="4" t="n">
        <v>0</v>
      </c>
      <c r="C78" s="7">
        <f>bkrcast_all!C78</f>
        <v/>
      </c>
      <c r="E78" s="8" t="n">
        <v>67</v>
      </c>
      <c r="F78" s="8" t="n">
        <v>9.571428571428569</v>
      </c>
      <c r="G78" s="7">
        <f>bkrcast_all!G78</f>
        <v/>
      </c>
      <c r="H78" s="7">
        <f>bkrcast_inbkr!G78</f>
        <v/>
      </c>
      <c r="I78" s="7">
        <f>bkrcast_outbkr!G78</f>
        <v/>
      </c>
      <c r="J78" s="7">
        <f>soundcast!G78</f>
        <v/>
      </c>
      <c r="K78" s="7">
        <f>C78</f>
        <v/>
      </c>
    </row>
    <row r="79" spans="1:18">
      <c r="A79" t="n">
        <v>68</v>
      </c>
      <c r="B79" s="4" t="n">
        <v>0</v>
      </c>
      <c r="C79" s="7">
        <f>bkrcast_all!C79</f>
        <v/>
      </c>
      <c r="E79" s="8" t="n">
        <v>68</v>
      </c>
      <c r="F79" s="8" t="n">
        <v>0</v>
      </c>
      <c r="G79" s="7">
        <f>bkrcast_all!G79</f>
        <v/>
      </c>
      <c r="H79" s="7">
        <f>bkrcast_inbkr!G79</f>
        <v/>
      </c>
      <c r="I79" s="7">
        <f>bkrcast_outbkr!G79</f>
        <v/>
      </c>
      <c r="J79" s="7">
        <f>soundcast!G79</f>
        <v/>
      </c>
      <c r="K79" s="7">
        <f>C79</f>
        <v/>
      </c>
    </row>
    <row r="80" spans="1:18">
      <c r="A80" t="n">
        <v>69</v>
      </c>
      <c r="B80" s="4" t="n">
        <v>224.140299381</v>
      </c>
      <c r="C80" s="7">
        <f>bkrcast_all!C80</f>
        <v/>
      </c>
      <c r="E80" s="8" t="n">
        <v>69</v>
      </c>
      <c r="F80" s="8" t="n">
        <v>0</v>
      </c>
      <c r="G80" s="7">
        <f>bkrcast_all!G80</f>
        <v/>
      </c>
      <c r="H80" s="7">
        <f>bkrcast_inbkr!G80</f>
        <v/>
      </c>
      <c r="I80" s="7">
        <f>bkrcast_outbkr!G80</f>
        <v/>
      </c>
      <c r="J80" s="7">
        <f>soundcast!G80</f>
        <v/>
      </c>
      <c r="K80" s="7">
        <f>C80</f>
        <v/>
      </c>
    </row>
    <row r="81" spans="1:18">
      <c r="A81" t="n">
        <v>70</v>
      </c>
      <c r="B81" s="4" t="n">
        <v>0</v>
      </c>
      <c r="C81" s="7">
        <f>bkrcast_all!C81</f>
        <v/>
      </c>
      <c r="E81" s="8" t="n">
        <v>70</v>
      </c>
      <c r="F81" s="8" t="n">
        <v>9.93333333333333</v>
      </c>
      <c r="G81" s="7">
        <f>bkrcast_all!G81</f>
        <v/>
      </c>
      <c r="H81" s="7">
        <f>bkrcast_inbkr!G81</f>
        <v/>
      </c>
      <c r="I81" s="7">
        <f>bkrcast_outbkr!G81</f>
        <v/>
      </c>
      <c r="J81" s="7">
        <f>soundcast!G81</f>
        <v/>
      </c>
      <c r="K81" s="7">
        <f>C81</f>
        <v/>
      </c>
    </row>
    <row r="82" spans="1:18">
      <c r="A82" t="n">
        <v>71</v>
      </c>
      <c r="B82" s="4" t="n">
        <v>0</v>
      </c>
      <c r="C82" s="7">
        <f>bkrcast_all!C82</f>
        <v/>
      </c>
      <c r="E82" s="8" t="n">
        <v>71</v>
      </c>
      <c r="F82" s="8" t="n">
        <v>0</v>
      </c>
      <c r="G82" s="7">
        <f>bkrcast_all!G82</f>
        <v/>
      </c>
      <c r="H82" s="7">
        <f>bkrcast_inbkr!G82</f>
        <v/>
      </c>
      <c r="I82" s="7">
        <f>bkrcast_outbkr!G82</f>
        <v/>
      </c>
      <c r="J82" s="7">
        <f>soundcast!G82</f>
        <v/>
      </c>
      <c r="K82" s="7">
        <f>C82</f>
        <v/>
      </c>
    </row>
    <row r="83" spans="1:18">
      <c r="A83" t="n">
        <v>72</v>
      </c>
      <c r="B83" s="4" t="n">
        <v>0</v>
      </c>
      <c r="C83" s="7">
        <f>bkrcast_all!C83</f>
        <v/>
      </c>
      <c r="E83" s="8" t="n">
        <v>72</v>
      </c>
      <c r="F83" s="8" t="n">
        <v>0</v>
      </c>
      <c r="G83" s="7">
        <f>bkrcast_all!G83</f>
        <v/>
      </c>
      <c r="H83" s="7">
        <f>bkrcast_inbkr!G83</f>
        <v/>
      </c>
      <c r="I83" s="7">
        <f>bkrcast_outbkr!G83</f>
        <v/>
      </c>
      <c r="J83" s="7">
        <f>soundcast!G83</f>
        <v/>
      </c>
      <c r="K83" s="7">
        <f>C83</f>
        <v/>
      </c>
    </row>
    <row r="84" spans="1:18">
      <c r="A84" t="n">
        <v>73</v>
      </c>
      <c r="B84" s="4" t="n">
        <v>376.597523036</v>
      </c>
      <c r="C84" s="7">
        <f>bkrcast_all!C84</f>
        <v/>
      </c>
      <c r="E84" s="8" t="n">
        <v>73</v>
      </c>
      <c r="F84" s="8" t="n">
        <v>0</v>
      </c>
      <c r="G84" s="7">
        <f>bkrcast_all!G84</f>
        <v/>
      </c>
      <c r="H84" s="7">
        <f>bkrcast_inbkr!G84</f>
        <v/>
      </c>
      <c r="I84" s="7">
        <f>bkrcast_outbkr!G84</f>
        <v/>
      </c>
      <c r="J84" s="7">
        <f>soundcast!G84</f>
        <v/>
      </c>
      <c r="K84" s="7">
        <f>C84</f>
        <v/>
      </c>
    </row>
    <row r="85" spans="1:18">
      <c r="A85" t="n">
        <v>74</v>
      </c>
      <c r="B85" s="4" t="n">
        <v>0</v>
      </c>
      <c r="C85" s="7">
        <f>bkrcast_all!C85</f>
        <v/>
      </c>
      <c r="E85" s="8" t="n">
        <v>74</v>
      </c>
      <c r="F85" s="8" t="n">
        <v>10</v>
      </c>
      <c r="G85" s="7">
        <f>bkrcast_all!G85</f>
        <v/>
      </c>
      <c r="H85" s="7">
        <f>bkrcast_inbkr!G85</f>
        <v/>
      </c>
      <c r="I85" s="7">
        <f>bkrcast_outbkr!G85</f>
        <v/>
      </c>
      <c r="J85" s="7">
        <f>soundcast!G85</f>
        <v/>
      </c>
      <c r="K85" s="7">
        <f>C85</f>
        <v/>
      </c>
    </row>
    <row r="86" spans="1:18">
      <c r="A86" t="n">
        <v>75</v>
      </c>
      <c r="B86" s="4" t="n">
        <v>0</v>
      </c>
      <c r="C86" s="7">
        <f>bkrcast_all!C86</f>
        <v/>
      </c>
      <c r="E86" s="8" t="n">
        <v>75</v>
      </c>
      <c r="F86" s="8" t="n">
        <v>0</v>
      </c>
      <c r="G86" s="7">
        <f>bkrcast_all!G86</f>
        <v/>
      </c>
      <c r="H86" s="7">
        <f>bkrcast_inbkr!G86</f>
        <v/>
      </c>
      <c r="I86" s="7">
        <f>bkrcast_outbkr!G86</f>
        <v/>
      </c>
      <c r="J86" s="7">
        <f>soundcast!G86</f>
        <v/>
      </c>
      <c r="K86" s="7">
        <f>C86</f>
        <v/>
      </c>
    </row>
    <row r="87" spans="1:18">
      <c r="A87" t="n">
        <v>76</v>
      </c>
      <c r="B87" s="4" t="n">
        <v>0</v>
      </c>
      <c r="C87" s="7">
        <f>bkrcast_all!C87</f>
        <v/>
      </c>
      <c r="E87" s="8" t="n">
        <v>76</v>
      </c>
      <c r="F87" s="8" t="n">
        <v>0</v>
      </c>
      <c r="G87" s="7">
        <f>bkrcast_all!G87</f>
        <v/>
      </c>
      <c r="H87" s="7">
        <f>bkrcast_inbkr!G87</f>
        <v/>
      </c>
      <c r="I87" s="7">
        <f>bkrcast_outbkr!G87</f>
        <v/>
      </c>
      <c r="J87" s="7">
        <f>soundcast!G87</f>
        <v/>
      </c>
      <c r="K87" s="7">
        <f>C87</f>
        <v/>
      </c>
    </row>
    <row r="88" spans="1:18">
      <c r="A88" t="n">
        <v>77</v>
      </c>
      <c r="B88" s="4" t="n">
        <v>0</v>
      </c>
      <c r="C88" s="7">
        <f>bkrcast_all!C88</f>
        <v/>
      </c>
      <c r="E88" s="8" t="n">
        <v>77</v>
      </c>
      <c r="F88" s="8" t="n">
        <v>0</v>
      </c>
      <c r="G88" s="7">
        <f>bkrcast_all!G88</f>
        <v/>
      </c>
      <c r="H88" s="7">
        <f>bkrcast_inbkr!G88</f>
        <v/>
      </c>
      <c r="I88" s="7">
        <f>bkrcast_outbkr!G88</f>
        <v/>
      </c>
      <c r="J88" s="7">
        <f>soundcast!G88</f>
        <v/>
      </c>
      <c r="K88" s="7">
        <f>C88</f>
        <v/>
      </c>
    </row>
    <row r="89" spans="1:18">
      <c r="A89" t="n">
        <v>78</v>
      </c>
      <c r="B89" s="4" t="n">
        <v>0</v>
      </c>
      <c r="C89" s="7">
        <f>bkrcast_all!C89</f>
        <v/>
      </c>
      <c r="E89" s="8" t="n">
        <v>78</v>
      </c>
      <c r="F89" s="8" t="n">
        <v>0</v>
      </c>
      <c r="G89" s="7">
        <f>bkrcast_all!G89</f>
        <v/>
      </c>
      <c r="H89" s="7">
        <f>bkrcast_inbkr!G89</f>
        <v/>
      </c>
      <c r="I89" s="7">
        <f>bkrcast_outbkr!G89</f>
        <v/>
      </c>
      <c r="J89" s="7">
        <f>soundcast!G89</f>
        <v/>
      </c>
      <c r="K89" s="7">
        <f>C89</f>
        <v/>
      </c>
    </row>
    <row r="90" spans="1:18">
      <c r="A90" t="n">
        <v>79</v>
      </c>
      <c r="B90" s="4" t="n">
        <v>0</v>
      </c>
      <c r="C90" s="7">
        <f>bkrcast_all!C90</f>
        <v/>
      </c>
      <c r="E90" s="8" t="n">
        <v>79</v>
      </c>
      <c r="F90" s="8" t="n">
        <v>0</v>
      </c>
      <c r="G90" s="7">
        <f>bkrcast_all!G90</f>
        <v/>
      </c>
      <c r="H90" s="7">
        <f>bkrcast_inbkr!G90</f>
        <v/>
      </c>
      <c r="I90" s="7">
        <f>bkrcast_outbkr!G90</f>
        <v/>
      </c>
      <c r="J90" s="7">
        <f>soundcast!G90</f>
        <v/>
      </c>
      <c r="K90" s="7">
        <f>C90</f>
        <v/>
      </c>
    </row>
    <row r="91" spans="1:18">
      <c r="A91" t="n">
        <v>80</v>
      </c>
      <c r="B91" s="4" t="n">
        <v>0</v>
      </c>
      <c r="C91" s="7">
        <f>bkrcast_all!C91</f>
        <v/>
      </c>
      <c r="E91" s="8" t="n">
        <v>80</v>
      </c>
      <c r="F91" s="8" t="n">
        <v>0</v>
      </c>
      <c r="G91" s="7">
        <f>bkrcast_all!G91</f>
        <v/>
      </c>
      <c r="H91" s="7">
        <f>bkrcast_inbkr!G91</f>
        <v/>
      </c>
      <c r="I91" s="7">
        <f>bkrcast_outbkr!G91</f>
        <v/>
      </c>
      <c r="J91" s="7">
        <f>soundcast!G91</f>
        <v/>
      </c>
      <c r="K91" s="7">
        <f>C91</f>
        <v/>
      </c>
    </row>
    <row r="92" spans="1:18">
      <c r="A92" t="n">
        <v>81</v>
      </c>
      <c r="B92" s="4" t="n">
        <v>0</v>
      </c>
      <c r="C92" s="7">
        <f>bkrcast_all!C92</f>
        <v/>
      </c>
      <c r="E92" s="8" t="n">
        <v>81</v>
      </c>
      <c r="F92" s="8" t="n">
        <v>0</v>
      </c>
      <c r="G92" s="7">
        <f>bkrcast_all!G92</f>
        <v/>
      </c>
      <c r="H92" s="7">
        <f>bkrcast_inbkr!G92</f>
        <v/>
      </c>
      <c r="I92" s="7">
        <f>bkrcast_outbkr!G92</f>
        <v/>
      </c>
      <c r="J92" s="7">
        <f>soundcast!G92</f>
        <v/>
      </c>
      <c r="K92" s="7">
        <f>C92</f>
        <v/>
      </c>
    </row>
    <row r="93" spans="1:18">
      <c r="A93" t="n">
        <v>82</v>
      </c>
      <c r="B93" s="4" t="n">
        <v>0</v>
      </c>
      <c r="C93" s="7">
        <f>bkrcast_all!C93</f>
        <v/>
      </c>
      <c r="E93" s="8" t="n">
        <v>82</v>
      </c>
      <c r="F93" s="8" t="n">
        <v>0</v>
      </c>
      <c r="G93" s="7">
        <f>bkrcast_all!G93</f>
        <v/>
      </c>
      <c r="H93" s="7">
        <f>bkrcast_inbkr!G93</f>
        <v/>
      </c>
      <c r="I93" s="7">
        <f>bkrcast_outbkr!G93</f>
        <v/>
      </c>
      <c r="J93" s="7">
        <f>soundcast!G93</f>
        <v/>
      </c>
      <c r="K93" s="7">
        <f>C93</f>
        <v/>
      </c>
    </row>
    <row r="94" spans="1:18">
      <c r="A94" t="n">
        <v>83</v>
      </c>
      <c r="B94" s="4" t="n">
        <v>0</v>
      </c>
      <c r="C94" s="7">
        <f>bkrcast_all!C94</f>
        <v/>
      </c>
      <c r="E94" s="8" t="n">
        <v>83</v>
      </c>
      <c r="F94" s="8" t="n">
        <v>0</v>
      </c>
      <c r="G94" s="7">
        <f>bkrcast_all!G94</f>
        <v/>
      </c>
      <c r="H94" s="7">
        <f>bkrcast_inbkr!G94</f>
        <v/>
      </c>
      <c r="I94" s="7">
        <f>bkrcast_outbkr!G94</f>
        <v/>
      </c>
      <c r="J94" s="7">
        <f>soundcast!G94</f>
        <v/>
      </c>
      <c r="K94" s="7">
        <f>C94</f>
        <v/>
      </c>
    </row>
    <row r="95" spans="1:18">
      <c r="A95" t="n">
        <v>84</v>
      </c>
      <c r="B95" s="4" t="n">
        <v>0</v>
      </c>
      <c r="C95" s="7">
        <f>bkrcast_all!C95</f>
        <v/>
      </c>
      <c r="E95" s="8" t="n">
        <v>84</v>
      </c>
      <c r="F95" s="8" t="n">
        <v>0</v>
      </c>
      <c r="G95" s="7">
        <f>bkrcast_all!G95</f>
        <v/>
      </c>
      <c r="H95" s="7">
        <f>bkrcast_inbkr!G95</f>
        <v/>
      </c>
      <c r="I95" s="7">
        <f>bkrcast_outbkr!G95</f>
        <v/>
      </c>
      <c r="J95" s="7">
        <f>soundcast!G95</f>
        <v/>
      </c>
      <c r="K95" s="7">
        <f>C95</f>
        <v/>
      </c>
    </row>
    <row r="96" spans="1:18">
      <c r="A96" t="n">
        <v>85</v>
      </c>
      <c r="B96" s="4" t="n">
        <v>0</v>
      </c>
      <c r="C96" s="7">
        <f>bkrcast_all!C96</f>
        <v/>
      </c>
      <c r="E96" s="8" t="n">
        <v>85</v>
      </c>
      <c r="F96" s="8" t="n">
        <v>0</v>
      </c>
      <c r="G96" s="7">
        <f>bkrcast_all!G96</f>
        <v/>
      </c>
      <c r="H96" s="7">
        <f>bkrcast_inbkr!G96</f>
        <v/>
      </c>
      <c r="I96" s="7">
        <f>bkrcast_outbkr!G96</f>
        <v/>
      </c>
      <c r="J96" s="7">
        <f>soundcast!G96</f>
        <v/>
      </c>
      <c r="K96" s="7">
        <f>C96</f>
        <v/>
      </c>
    </row>
    <row r="97" spans="1:18">
      <c r="A97" t="n">
        <v>86</v>
      </c>
      <c r="B97" s="4" t="n">
        <v>0</v>
      </c>
      <c r="C97" s="7">
        <f>bkrcast_all!C97</f>
        <v/>
      </c>
      <c r="E97" s="8" t="n">
        <v>86</v>
      </c>
      <c r="F97" s="8" t="n">
        <v>0</v>
      </c>
      <c r="G97" s="7">
        <f>bkrcast_all!G97</f>
        <v/>
      </c>
      <c r="H97" s="7">
        <f>bkrcast_inbkr!G97</f>
        <v/>
      </c>
      <c r="I97" s="7">
        <f>bkrcast_outbkr!G97</f>
        <v/>
      </c>
      <c r="J97" s="7">
        <f>soundcast!G97</f>
        <v/>
      </c>
      <c r="K97" s="7">
        <f>C97</f>
        <v/>
      </c>
    </row>
    <row r="98" spans="1:18">
      <c r="A98" t="n">
        <v>87</v>
      </c>
      <c r="B98" s="4" t="n">
        <v>0</v>
      </c>
      <c r="C98" s="7">
        <f>bkrcast_all!C98</f>
        <v/>
      </c>
      <c r="E98" s="8" t="n">
        <v>87</v>
      </c>
      <c r="F98" s="8" t="n">
        <v>0</v>
      </c>
      <c r="G98" s="7">
        <f>bkrcast_all!G98</f>
        <v/>
      </c>
      <c r="H98" s="7">
        <f>bkrcast_inbkr!G98</f>
        <v/>
      </c>
      <c r="I98" s="7">
        <f>bkrcast_outbkr!G98</f>
        <v/>
      </c>
      <c r="J98" s="7">
        <f>soundcast!G98</f>
        <v/>
      </c>
      <c r="K98" s="7">
        <f>C98</f>
        <v/>
      </c>
    </row>
    <row r="99" spans="1:18">
      <c r="A99" t="n">
        <v>88</v>
      </c>
      <c r="B99" s="4" t="n">
        <v>0</v>
      </c>
      <c r="C99" s="7">
        <f>bkrcast_all!C99</f>
        <v/>
      </c>
      <c r="E99" s="8" t="n">
        <v>88</v>
      </c>
      <c r="F99" s="8" t="n">
        <v>0</v>
      </c>
      <c r="G99" s="7">
        <f>bkrcast_all!G99</f>
        <v/>
      </c>
      <c r="H99" s="7">
        <f>bkrcast_inbkr!G99</f>
        <v/>
      </c>
      <c r="I99" s="7">
        <f>bkrcast_outbkr!G99</f>
        <v/>
      </c>
      <c r="J99" s="7">
        <f>soundcast!G99</f>
        <v/>
      </c>
      <c r="K99" s="7">
        <f>C99</f>
        <v/>
      </c>
    </row>
    <row r="100" spans="1:18">
      <c r="A100" t="n">
        <v>89</v>
      </c>
      <c r="B100" s="4" t="n">
        <v>0</v>
      </c>
      <c r="C100" s="7">
        <f>bkrcast_all!C100</f>
        <v/>
      </c>
      <c r="E100" s="8" t="n">
        <v>89</v>
      </c>
      <c r="F100" s="8" t="n">
        <v>0</v>
      </c>
      <c r="G100" s="7">
        <f>bkrcast_all!G100</f>
        <v/>
      </c>
      <c r="H100" s="7">
        <f>bkrcast_inbkr!G100</f>
        <v/>
      </c>
      <c r="I100" s="7">
        <f>bkrcast_outbkr!G100</f>
        <v/>
      </c>
      <c r="J100" s="7">
        <f>soundcast!G100</f>
        <v/>
      </c>
      <c r="K100" s="7">
        <f>C100</f>
        <v/>
      </c>
    </row>
    <row customHeight="1" ht="15.75" r="101" s="11" spans="1:18">
      <c r="A101" s="1" t="n">
        <v>90</v>
      </c>
      <c r="B101" s="5" t="n">
        <v>0</v>
      </c>
      <c r="C101" s="7">
        <f>bkrcast_all!C101</f>
        <v/>
      </c>
      <c r="E101" s="9" t="n">
        <v>90</v>
      </c>
      <c r="F101" s="9" t="n">
        <v>0</v>
      </c>
      <c r="G101" s="7">
        <f>bkrcast_all!G101</f>
        <v/>
      </c>
      <c r="H101" s="7">
        <f>bkrcast_inbkr!G101</f>
        <v/>
      </c>
      <c r="I101" s="7">
        <f>bkrcast_outbkr!G101</f>
        <v/>
      </c>
      <c r="J101" s="7">
        <f>soundcast!G101</f>
        <v/>
      </c>
      <c r="K101" s="7">
        <f>C101</f>
        <v/>
      </c>
    </row>
    <row r="102" spans="1:18">
      <c r="B102" s="4" t="n">
        <v>714946.2010473278</v>
      </c>
      <c r="C102" s="7">
        <f>bkrcast_all!C102</f>
        <v/>
      </c>
      <c r="F102" s="4">
        <f>SUM(F11:F101)</f>
        <v/>
      </c>
      <c r="G102" s="7">
        <f>F102/F$102</f>
        <v/>
      </c>
      <c r="H102" s="7" t="n">
        <v>1</v>
      </c>
      <c r="I102" s="7" t="n">
        <v>1</v>
      </c>
      <c r="J102" s="7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J14" sqref="J14"/>
    </sheetView>
  </sheetViews>
  <sheetFormatPr baseColWidth="10" defaultRowHeight="15" outlineLevelCol="0"/>
  <cols>
    <col collapsed="1" customWidth="1" max="1" min="1" style="11" width="13.5703125"/>
    <col collapsed="1" customWidth="1" max="2" min="2" style="11" width="9.5703125"/>
    <col collapsed="1" customWidth="1" max="6" min="6" style="11" width="9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1" spans="1:12">
      <c r="A9" s="3" t="s">
        <v>6</v>
      </c>
      <c r="B9" s="1" t="n"/>
      <c r="E9" s="3" t="s">
        <v>7</v>
      </c>
      <c r="F9" s="1" t="n"/>
      <c r="J9" s="6" t="s">
        <v>16</v>
      </c>
    </row>
    <row r="10" spans="1:12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11</v>
      </c>
      <c r="J10" s="2" t="n"/>
      <c r="K10" s="10" t="s">
        <v>10</v>
      </c>
      <c r="L10" s="10" t="s">
        <v>11</v>
      </c>
    </row>
    <row r="11" spans="1:12">
      <c r="A11" t="n">
        <v>0</v>
      </c>
      <c r="B11" s="4" t="n">
        <v>113881.348423815</v>
      </c>
      <c r="C11" s="7" t="n">
        <v>0.1592865984279512</v>
      </c>
      <c r="E11" s="8" t="n">
        <v>0</v>
      </c>
      <c r="F11" s="8" t="n">
        <v>89889</v>
      </c>
      <c r="G11" s="7" t="n">
        <v>0.1259242344858889</v>
      </c>
      <c r="K11" s="4" t="n">
        <v>6.318173723016204</v>
      </c>
      <c r="L11" s="4" t="n">
        <v>6.966415813499018</v>
      </c>
    </row>
    <row r="12" spans="1:12">
      <c r="A12" t="n">
        <v>1</v>
      </c>
      <c r="B12" s="4" t="n">
        <v>110125.3825130949</v>
      </c>
      <c r="C12" s="7" t="n">
        <v>0.1540331039619089</v>
      </c>
      <c r="E12" s="8" t="n">
        <v>1</v>
      </c>
      <c r="F12" s="8" t="n">
        <v>95482</v>
      </c>
      <c r="G12" s="7" t="n">
        <v>0.1337593894378805</v>
      </c>
      <c r="K12" s="4" t="n"/>
      <c r="L12" s="8" t="n"/>
    </row>
    <row r="13" spans="1:12">
      <c r="A13" t="n">
        <v>2</v>
      </c>
      <c r="B13" s="4" t="n">
        <v>92924.11762198911</v>
      </c>
      <c r="C13" s="7" t="n">
        <v>0.129973580509784</v>
      </c>
      <c r="E13" s="8" t="n">
        <v>2</v>
      </c>
      <c r="F13" s="8" t="n">
        <v>82725</v>
      </c>
      <c r="G13" s="7" t="n">
        <v>0.1158882877531751</v>
      </c>
    </row>
    <row r="14" spans="1:12">
      <c r="A14" t="n">
        <v>3</v>
      </c>
      <c r="B14" s="4" t="n">
        <v>90989.884522195</v>
      </c>
      <c r="C14" s="7" t="n">
        <v>0.1272681558261356</v>
      </c>
      <c r="E14" s="8" t="n">
        <v>3</v>
      </c>
      <c r="F14" s="8" t="n">
        <v>64969</v>
      </c>
      <c r="G14" s="7" t="n">
        <v>0.09101415735311011</v>
      </c>
    </row>
    <row r="15" spans="1:12">
      <c r="A15" t="n">
        <v>4</v>
      </c>
      <c r="B15" s="4" t="n">
        <v>39817.5364404419</v>
      </c>
      <c r="C15" s="7" t="n">
        <v>0.05569305268300331</v>
      </c>
      <c r="E15" s="8" t="n">
        <v>4</v>
      </c>
      <c r="F15" s="8" t="n">
        <v>54280</v>
      </c>
      <c r="G15" s="7" t="n">
        <v>0.07604008775149404</v>
      </c>
    </row>
    <row r="16" spans="1:12">
      <c r="A16" t="n">
        <v>5</v>
      </c>
      <c r="B16" s="4" t="n">
        <v>36417.5714868351</v>
      </c>
      <c r="C16" s="7" t="n">
        <v>0.05093749912019511</v>
      </c>
      <c r="E16" s="8" t="n">
        <v>5</v>
      </c>
      <c r="F16" s="8" t="n">
        <v>46292</v>
      </c>
      <c r="G16" s="7" t="n">
        <v>0.06484981102048935</v>
      </c>
    </row>
    <row r="17" spans="1:12">
      <c r="A17" t="n">
        <v>6</v>
      </c>
      <c r="B17" s="4" t="n">
        <v>24712.06207012</v>
      </c>
      <c r="C17" s="7" t="n">
        <v>0.03456492535231209</v>
      </c>
      <c r="E17" s="8" t="n">
        <v>6</v>
      </c>
      <c r="F17" s="8" t="n">
        <v>38063</v>
      </c>
      <c r="G17" s="7" t="n">
        <v>0.05332192078270298</v>
      </c>
    </row>
    <row r="18" spans="1:12">
      <c r="A18" t="n">
        <v>7</v>
      </c>
      <c r="B18" s="4" t="n">
        <v>22371.4182386035</v>
      </c>
      <c r="C18" s="7" t="n">
        <v>0.03129105127886757</v>
      </c>
      <c r="E18" s="8" t="n">
        <v>7</v>
      </c>
      <c r="F18" s="8" t="n">
        <v>31062</v>
      </c>
      <c r="G18" s="7" t="n">
        <v>0.04351431845499094</v>
      </c>
    </row>
    <row r="19" spans="1:12">
      <c r="A19" t="n">
        <v>8</v>
      </c>
      <c r="B19" s="4" t="n">
        <v>27832.8721386069</v>
      </c>
      <c r="C19" s="7" t="n">
        <v>0.03893002312318661</v>
      </c>
      <c r="E19" s="8" t="n">
        <v>8</v>
      </c>
      <c r="F19" s="8" t="n">
        <v>24724</v>
      </c>
      <c r="G19" s="7" t="n">
        <v>0.0346355034924086</v>
      </c>
    </row>
    <row r="20" spans="1:12">
      <c r="A20" t="n">
        <v>9</v>
      </c>
      <c r="B20" s="4" t="n">
        <v>19259.8190671318</v>
      </c>
      <c r="C20" s="7" t="n">
        <v>0.02693883685082599</v>
      </c>
      <c r="E20" s="8" t="n">
        <v>9</v>
      </c>
      <c r="F20" s="8" t="n">
        <v>20139</v>
      </c>
      <c r="G20" s="7" t="n">
        <v>0.02821244154803498</v>
      </c>
    </row>
    <row r="21" spans="1:12">
      <c r="A21" t="n">
        <v>10</v>
      </c>
      <c r="B21" s="4" t="n">
        <v>22617.7153821786</v>
      </c>
      <c r="C21" s="7" t="n">
        <v>0.03163554872946497</v>
      </c>
      <c r="E21" s="8" t="n">
        <v>10</v>
      </c>
      <c r="F21" s="8" t="n">
        <v>17139</v>
      </c>
      <c r="G21" s="7" t="n">
        <v>0.02400978378726707</v>
      </c>
    </row>
    <row r="22" spans="1:12">
      <c r="A22" t="n">
        <v>11</v>
      </c>
      <c r="B22" s="4" t="n">
        <v>10271.4012465247</v>
      </c>
      <c r="C22" s="7" t="n">
        <v>0.01436667714504683</v>
      </c>
      <c r="E22" s="8" t="n">
        <v>11</v>
      </c>
      <c r="F22" s="8" t="n">
        <v>16144</v>
      </c>
      <c r="G22" s="7" t="n">
        <v>0.02261590229661238</v>
      </c>
    </row>
    <row r="23" spans="1:12">
      <c r="A23" t="n">
        <v>12</v>
      </c>
      <c r="B23" s="4" t="n">
        <v>10025.5599618669</v>
      </c>
      <c r="C23" s="7" t="n">
        <v>0.01402281730734482</v>
      </c>
      <c r="E23" s="8" t="n">
        <v>12</v>
      </c>
      <c r="F23" s="8" t="n">
        <v>14694</v>
      </c>
      <c r="G23" s="7" t="n">
        <v>0.02058461771224122</v>
      </c>
    </row>
    <row r="24" spans="1:12">
      <c r="A24" t="n">
        <v>13</v>
      </c>
      <c r="B24" s="4" t="n">
        <v>10042.9458127442</v>
      </c>
      <c r="C24" s="7" t="n">
        <v>0.01404713501244184</v>
      </c>
      <c r="E24" s="8" t="n">
        <v>13</v>
      </c>
      <c r="F24" s="8" t="n">
        <v>13369</v>
      </c>
      <c r="G24" s="7" t="n">
        <v>0.01872844386790206</v>
      </c>
    </row>
    <row r="25" spans="1:12">
      <c r="A25" t="n">
        <v>14</v>
      </c>
      <c r="B25" s="4" t="n">
        <v>6077.0985107</v>
      </c>
      <c r="C25" s="7" t="n">
        <v>0.00850007805034509</v>
      </c>
      <c r="E25" s="8" t="n">
        <v>14</v>
      </c>
      <c r="F25" s="8" t="n">
        <v>12452</v>
      </c>
      <c r="G25" s="7" t="n">
        <v>0.01744383147902734</v>
      </c>
    </row>
    <row r="26" spans="1:12">
      <c r="A26" t="n">
        <v>15</v>
      </c>
      <c r="B26" s="4" t="n">
        <v>6303.9453210146</v>
      </c>
      <c r="C26" s="7" t="n">
        <v>0.008817370190624027</v>
      </c>
      <c r="E26" s="8" t="n">
        <v>15</v>
      </c>
      <c r="F26" s="8" t="n">
        <v>11212</v>
      </c>
      <c r="G26" s="7" t="n">
        <v>0.01570673293790993</v>
      </c>
    </row>
    <row r="27" spans="1:12">
      <c r="A27" t="n">
        <v>16</v>
      </c>
      <c r="B27" s="4" t="n">
        <v>5171.9055043693</v>
      </c>
      <c r="C27" s="7" t="n">
        <v>0.007233978580196598</v>
      </c>
      <c r="E27" s="8" t="n">
        <v>16</v>
      </c>
      <c r="F27" s="8" t="n">
        <v>9948</v>
      </c>
      <c r="G27" s="7" t="n">
        <v>0.01393601313470639</v>
      </c>
    </row>
    <row r="28" spans="1:12">
      <c r="A28" t="n">
        <v>17</v>
      </c>
      <c r="B28" s="4" t="n">
        <v>10736.193779195</v>
      </c>
      <c r="C28" s="7" t="n">
        <v>0.01501678554759435</v>
      </c>
      <c r="E28" s="8" t="n">
        <v>17</v>
      </c>
      <c r="F28" s="8" t="n">
        <v>8991</v>
      </c>
      <c r="G28" s="7" t="n">
        <v>0.01259536530902143</v>
      </c>
    </row>
    <row r="29" spans="1:12">
      <c r="A29" t="n">
        <v>18</v>
      </c>
      <c r="B29" s="4" t="n">
        <v>5566.13608091</v>
      </c>
      <c r="C29" s="7" t="n">
        <v>0.007785391506040793</v>
      </c>
      <c r="E29" s="8" t="n">
        <v>18</v>
      </c>
      <c r="F29" s="8" t="n">
        <v>7915</v>
      </c>
      <c r="G29" s="7" t="n">
        <v>0.011088012058826</v>
      </c>
    </row>
    <row r="30" spans="1:12">
      <c r="A30" t="n">
        <v>19</v>
      </c>
      <c r="B30" s="4" t="n">
        <v>4536.5608674624</v>
      </c>
      <c r="C30" s="7" t="n">
        <v>0.006345317816664768</v>
      </c>
      <c r="E30" s="8" t="n">
        <v>19</v>
      </c>
      <c r="F30" s="8" t="n">
        <v>6929</v>
      </c>
      <c r="G30" s="7" t="n">
        <v>0.009706738541453616</v>
      </c>
    </row>
    <row r="31" spans="1:12">
      <c r="A31" t="n">
        <v>20</v>
      </c>
      <c r="B31" s="4" t="n">
        <v>1527.012805536</v>
      </c>
      <c r="C31" s="7" t="n">
        <v>0.002135842953356591</v>
      </c>
      <c r="E31" s="8" t="n">
        <v>20</v>
      </c>
      <c r="F31" s="8" t="n">
        <v>6144</v>
      </c>
      <c r="G31" s="7" t="n">
        <v>0.008607043094052679</v>
      </c>
    </row>
    <row r="32" spans="1:12">
      <c r="A32" t="n">
        <v>21</v>
      </c>
      <c r="B32" s="4" t="n">
        <v>3183.247148347</v>
      </c>
      <c r="C32" s="7" t="n">
        <v>0.004452428929175157</v>
      </c>
      <c r="E32" s="8" t="n">
        <v>21</v>
      </c>
      <c r="F32" s="8" t="n">
        <v>5450</v>
      </c>
      <c r="G32" s="7" t="n">
        <v>0.007634828265395036</v>
      </c>
    </row>
    <row r="33" spans="1:12">
      <c r="A33" t="n">
        <v>22</v>
      </c>
      <c r="B33" s="4" t="n">
        <v>5082.3535289585</v>
      </c>
      <c r="C33" s="7" t="n">
        <v>0.007108721637395007</v>
      </c>
      <c r="E33" s="8" t="n">
        <v>22</v>
      </c>
      <c r="F33" s="8" t="n">
        <v>4755</v>
      </c>
      <c r="G33" s="7" t="n">
        <v>0.006661212550817136</v>
      </c>
    </row>
    <row r="34" spans="1:12">
      <c r="A34" t="n">
        <v>23</v>
      </c>
      <c r="B34" s="4" t="n">
        <v>5034.874011897</v>
      </c>
      <c r="C34" s="7" t="n">
        <v>0.007042311721527286</v>
      </c>
      <c r="E34" s="8" t="n">
        <v>23</v>
      </c>
      <c r="F34" s="8" t="n">
        <v>4199</v>
      </c>
      <c r="G34" s="7" t="n">
        <v>0.005882319979154818</v>
      </c>
    </row>
    <row r="35" spans="1:12">
      <c r="A35" t="n">
        <v>24</v>
      </c>
      <c r="B35" s="4" t="n">
        <v>1310.600950395</v>
      </c>
      <c r="C35" s="7" t="n">
        <v>0.001833146254186811</v>
      </c>
      <c r="E35" s="8" t="n">
        <v>24</v>
      </c>
      <c r="F35" s="8" t="n">
        <v>3521</v>
      </c>
      <c r="G35" s="7" t="n">
        <v>0.00493251932522127</v>
      </c>
    </row>
    <row r="36" spans="1:12">
      <c r="A36" t="n">
        <v>25</v>
      </c>
      <c r="B36" s="4" t="n">
        <v>6231.3993225662</v>
      </c>
      <c r="C36" s="7" t="n">
        <v>0.008715899620751597</v>
      </c>
      <c r="E36" s="8" t="n">
        <v>25</v>
      </c>
      <c r="F36" s="8" t="n">
        <v>3086</v>
      </c>
      <c r="G36" s="7" t="n">
        <v>0.004323133949909923</v>
      </c>
    </row>
    <row r="37" spans="1:12">
      <c r="A37" t="n">
        <v>26</v>
      </c>
      <c r="B37" s="4" t="n">
        <v>1513.0198815763</v>
      </c>
      <c r="C37" s="7" t="n">
        <v>0.002116270957674676</v>
      </c>
      <c r="E37" s="8" t="n">
        <v>26</v>
      </c>
      <c r="F37" s="8" t="n">
        <v>2534</v>
      </c>
      <c r="G37" s="7" t="n">
        <v>0.003549844921928628</v>
      </c>
    </row>
    <row r="38" spans="1:12">
      <c r="A38" t="n">
        <v>27</v>
      </c>
      <c r="B38" s="4" t="n">
        <v>486.7110785753</v>
      </c>
      <c r="C38" s="7" t="n">
        <v>0.0006807660182854525</v>
      </c>
      <c r="E38" s="8" t="n">
        <v>27</v>
      </c>
      <c r="F38" s="8" t="n">
        <v>2307</v>
      </c>
      <c r="G38" s="7" t="n">
        <v>0.003231843818030523</v>
      </c>
    </row>
    <row r="39" spans="1:12">
      <c r="A39" t="n">
        <v>28</v>
      </c>
      <c r="B39" s="4" t="n">
        <v>639.898885364</v>
      </c>
      <c r="C39" s="7" t="n">
        <v>0.0008950308210976005</v>
      </c>
      <c r="E39" s="8" t="n">
        <v>28</v>
      </c>
      <c r="F39" s="8" t="n">
        <v>2075</v>
      </c>
      <c r="G39" s="7" t="n">
        <v>0.002906838284531137</v>
      </c>
    </row>
    <row r="40" spans="1:12">
      <c r="A40" t="n">
        <v>29</v>
      </c>
      <c r="B40" s="4" t="n">
        <v>1415.4203657682</v>
      </c>
      <c r="C40" s="7" t="n">
        <v>0.001979757866668491</v>
      </c>
      <c r="E40" s="8" t="n">
        <v>29</v>
      </c>
      <c r="F40" s="8" t="n">
        <v>1733</v>
      </c>
      <c r="G40" s="7" t="n">
        <v>0.002427735299803596</v>
      </c>
    </row>
    <row r="41" spans="1:12">
      <c r="A41" t="n">
        <v>30</v>
      </c>
      <c r="B41" s="4" t="n">
        <v>1754.689538959</v>
      </c>
      <c r="C41" s="7" t="n">
        <v>0.002454295912599504</v>
      </c>
      <c r="E41" s="8" t="n">
        <v>30</v>
      </c>
      <c r="F41" s="8" t="n">
        <v>1503</v>
      </c>
      <c r="G41" s="7" t="n">
        <v>0.002105531538144723</v>
      </c>
    </row>
    <row r="42" spans="1:12">
      <c r="A42" t="n">
        <v>31</v>
      </c>
      <c r="B42" s="4" t="n">
        <v>0</v>
      </c>
      <c r="C42" s="7" t="n">
        <v>0</v>
      </c>
      <c r="E42" s="8" t="n">
        <v>31</v>
      </c>
      <c r="F42" s="8" t="n">
        <v>1351</v>
      </c>
      <c r="G42" s="7" t="n">
        <v>0.001892596878265815</v>
      </c>
    </row>
    <row r="43" spans="1:12">
      <c r="A43" t="n">
        <v>32</v>
      </c>
      <c r="B43" s="4" t="n">
        <v>735.005061211</v>
      </c>
      <c r="C43" s="7" t="n">
        <v>0.001028056460939701</v>
      </c>
      <c r="E43" s="8" t="n">
        <v>32</v>
      </c>
      <c r="F43" s="8" t="n">
        <v>1144</v>
      </c>
      <c r="G43" s="7" t="n">
        <v>0.00160261349277283</v>
      </c>
    </row>
    <row r="44" spans="1:12">
      <c r="A44" t="n">
        <v>33</v>
      </c>
      <c r="B44" s="4" t="n">
        <v>3644.885985334</v>
      </c>
      <c r="C44" s="7" t="n">
        <v>0.005098126236623945</v>
      </c>
      <c r="E44" s="8" t="n">
        <v>33</v>
      </c>
      <c r="F44" s="8" t="n">
        <v>1000</v>
      </c>
      <c r="G44" s="7" t="n">
        <v>0.00140088592025597</v>
      </c>
    </row>
    <row r="45" spans="1:12">
      <c r="A45" t="n">
        <v>34</v>
      </c>
      <c r="B45" s="4" t="n">
        <v>1540.543198134</v>
      </c>
      <c r="C45" s="7" t="n">
        <v>0.002154768003350814</v>
      </c>
      <c r="E45" s="8" t="n">
        <v>34</v>
      </c>
      <c r="F45" s="8" t="n">
        <v>878</v>
      </c>
      <c r="G45" s="7" t="n">
        <v>0.001229977837984742</v>
      </c>
    </row>
    <row r="46" spans="1:12">
      <c r="A46" t="n">
        <v>35</v>
      </c>
      <c r="B46" s="4" t="n">
        <v>284.671377348</v>
      </c>
      <c r="C46" s="7" t="n">
        <v>0.0003981717462530519</v>
      </c>
      <c r="E46" s="8" t="n">
        <v>35</v>
      </c>
      <c r="F46" s="8" t="n">
        <v>726</v>
      </c>
      <c r="G46" s="7" t="n">
        <v>0.001017043178105834</v>
      </c>
    </row>
    <row r="47" spans="1:12">
      <c r="A47" t="n">
        <v>36</v>
      </c>
      <c r="B47" s="4" t="n">
        <v>1840.803556985</v>
      </c>
      <c r="C47" s="7" t="n">
        <v>0.002574744161572435</v>
      </c>
      <c r="E47" s="8" t="n">
        <v>36</v>
      </c>
      <c r="F47" s="8" t="n">
        <v>638</v>
      </c>
      <c r="G47" s="7" t="n">
        <v>0.0008937652171233087</v>
      </c>
    </row>
    <row r="48" spans="1:12">
      <c r="A48" t="n">
        <v>37</v>
      </c>
      <c r="B48" s="4" t="n">
        <v>619.342925768</v>
      </c>
      <c r="C48" s="7" t="n">
        <v>0.0008662790638802218</v>
      </c>
      <c r="E48" s="8" t="n">
        <v>37</v>
      </c>
      <c r="F48" s="8" t="n">
        <v>499</v>
      </c>
      <c r="G48" s="7" t="n">
        <v>0.0006990420742077289</v>
      </c>
    </row>
    <row r="49" spans="1:12">
      <c r="A49" t="n">
        <v>38</v>
      </c>
      <c r="B49" s="4" t="n">
        <v>80.5029056468</v>
      </c>
      <c r="C49" s="7" t="n">
        <v>0.0001125999488197447</v>
      </c>
      <c r="E49" s="8" t="n">
        <v>38</v>
      </c>
      <c r="F49" s="8" t="n">
        <v>479</v>
      </c>
      <c r="G49" s="7" t="n">
        <v>0.0006710243558026096</v>
      </c>
    </row>
    <row r="50" spans="1:12">
      <c r="A50" t="n">
        <v>39</v>
      </c>
      <c r="B50" s="4" t="n">
        <v>0</v>
      </c>
      <c r="C50" s="7" t="n">
        <v>0</v>
      </c>
      <c r="E50" s="8" t="n">
        <v>39</v>
      </c>
      <c r="F50" s="8" t="n">
        <v>412</v>
      </c>
      <c r="G50" s="7" t="n">
        <v>0.0005771649991454596</v>
      </c>
    </row>
    <row r="51" spans="1:12">
      <c r="A51" t="n">
        <v>40</v>
      </c>
      <c r="B51" s="4" t="n">
        <v>4804.7305938</v>
      </c>
      <c r="C51" s="7" t="n">
        <v>0.006720408594047397</v>
      </c>
      <c r="E51" s="8" t="n">
        <v>40</v>
      </c>
      <c r="F51" s="8" t="n">
        <v>398</v>
      </c>
      <c r="G51" s="7" t="n">
        <v>0.000557552596261876</v>
      </c>
    </row>
    <row r="52" spans="1:12">
      <c r="A52" t="n">
        <v>41</v>
      </c>
      <c r="B52" s="4" t="n">
        <v>1124.843484173</v>
      </c>
      <c r="C52" s="7" t="n">
        <v>0.001573326052401162</v>
      </c>
      <c r="E52" s="8" t="n">
        <v>41</v>
      </c>
      <c r="F52" s="8" t="n">
        <v>381</v>
      </c>
      <c r="G52" s="7" t="n">
        <v>0.0005337375356175246</v>
      </c>
    </row>
    <row r="53" spans="1:12">
      <c r="A53" t="n">
        <v>42</v>
      </c>
      <c r="B53" s="4" t="n">
        <v>0</v>
      </c>
      <c r="C53" s="7" t="n">
        <v>0</v>
      </c>
      <c r="E53" s="8" t="n">
        <v>42</v>
      </c>
      <c r="F53" s="8" t="n">
        <v>310</v>
      </c>
      <c r="G53" s="7" t="n">
        <v>0.0004342746352793507</v>
      </c>
    </row>
    <row r="54" spans="1:12">
      <c r="A54" t="n">
        <v>43</v>
      </c>
      <c r="B54" s="4" t="n">
        <v>403.086772515</v>
      </c>
      <c r="C54" s="7" t="n">
        <v>0.0005638001459753425</v>
      </c>
      <c r="E54" s="8" t="n">
        <v>43</v>
      </c>
      <c r="F54" s="8" t="n">
        <v>274</v>
      </c>
      <c r="G54" s="7" t="n">
        <v>0.0003838427421501357</v>
      </c>
    </row>
    <row r="55" spans="1:12">
      <c r="A55" t="n">
        <v>44</v>
      </c>
      <c r="B55" s="4" t="n">
        <v>452.223951952</v>
      </c>
      <c r="C55" s="7" t="n">
        <v>0.0006325286452176893</v>
      </c>
      <c r="E55" s="8" t="n">
        <v>44</v>
      </c>
      <c r="F55" s="8" t="n">
        <v>217</v>
      </c>
      <c r="G55" s="7" t="n">
        <v>0.0003039922446955455</v>
      </c>
    </row>
    <row r="56" spans="1:12">
      <c r="A56" t="n">
        <v>45</v>
      </c>
      <c r="B56" s="4" t="n">
        <v>0</v>
      </c>
      <c r="C56" s="7" t="n">
        <v>0</v>
      </c>
      <c r="E56" s="8" t="n">
        <v>45</v>
      </c>
      <c r="F56" s="8" t="n">
        <v>194</v>
      </c>
      <c r="G56" s="7" t="n">
        <v>0.0002717718685296582</v>
      </c>
    </row>
    <row r="57" spans="1:12">
      <c r="A57" t="n">
        <v>46</v>
      </c>
      <c r="B57" s="4" t="n">
        <v>0</v>
      </c>
      <c r="C57" s="7" t="n">
        <v>0</v>
      </c>
      <c r="E57" s="8" t="n">
        <v>46</v>
      </c>
      <c r="F57" s="8" t="n">
        <v>149</v>
      </c>
      <c r="G57" s="7" t="n">
        <v>0.0002087320021181395</v>
      </c>
    </row>
    <row r="58" spans="1:12">
      <c r="A58" t="n">
        <v>47</v>
      </c>
      <c r="B58" s="4" t="n">
        <v>549.0917200658</v>
      </c>
      <c r="C58" s="7" t="n">
        <v>0.000768018235863668</v>
      </c>
      <c r="E58" s="8" t="n">
        <v>47</v>
      </c>
      <c r="F58" s="8" t="n">
        <v>170</v>
      </c>
      <c r="G58" s="7" t="n">
        <v>0.0002381506064435149</v>
      </c>
    </row>
    <row r="59" spans="1:12">
      <c r="A59" t="n">
        <v>48</v>
      </c>
      <c r="B59" s="4" t="n">
        <v>213.886510635</v>
      </c>
      <c r="C59" s="7" t="n">
        <v>0.0002991644830361735</v>
      </c>
      <c r="E59" s="8" t="n">
        <v>48</v>
      </c>
      <c r="F59" s="8" t="n">
        <v>142</v>
      </c>
      <c r="G59" s="7" t="n">
        <v>0.0001989258006763477</v>
      </c>
    </row>
    <row r="60" spans="1:12">
      <c r="A60" t="n">
        <v>49</v>
      </c>
      <c r="B60" s="4" t="n">
        <v>0</v>
      </c>
      <c r="C60" s="7" t="n">
        <v>0</v>
      </c>
      <c r="E60" s="8" t="n">
        <v>49</v>
      </c>
      <c r="F60" s="8" t="n">
        <v>95</v>
      </c>
      <c r="G60" s="7" t="n">
        <v>0.0001330841624243171</v>
      </c>
    </row>
    <row r="61" spans="1:12">
      <c r="A61" t="n">
        <v>50</v>
      </c>
      <c r="B61" s="4" t="n">
        <v>0</v>
      </c>
      <c r="C61" s="7" t="n">
        <v>0</v>
      </c>
      <c r="E61" s="8" t="n">
        <v>50</v>
      </c>
      <c r="F61" s="8" t="n">
        <v>91</v>
      </c>
      <c r="G61" s="7" t="n">
        <v>0.0001274806187432932</v>
      </c>
    </row>
    <row r="62" spans="1:12">
      <c r="A62" t="n">
        <v>51</v>
      </c>
      <c r="B62" s="4" t="n">
        <v>0</v>
      </c>
      <c r="C62" s="7" t="n">
        <v>0</v>
      </c>
      <c r="E62" s="8" t="n">
        <v>51</v>
      </c>
      <c r="F62" s="8" t="n">
        <v>78</v>
      </c>
      <c r="G62" s="7" t="n">
        <v>0.0001092691017799657</v>
      </c>
    </row>
    <row r="63" spans="1:12">
      <c r="A63" t="n">
        <v>52</v>
      </c>
      <c r="B63" s="4" t="n">
        <v>0</v>
      </c>
      <c r="C63" s="7" t="n">
        <v>0</v>
      </c>
      <c r="E63" s="8" t="n">
        <v>52</v>
      </c>
      <c r="F63" s="8" t="n">
        <v>66</v>
      </c>
      <c r="G63" s="7" t="n">
        <v>9.245847073689401e-05</v>
      </c>
    </row>
    <row r="64" spans="1:12">
      <c r="A64" t="n">
        <v>53</v>
      </c>
      <c r="B64" s="4" t="n">
        <v>0</v>
      </c>
      <c r="C64" s="7" t="n">
        <v>0</v>
      </c>
      <c r="E64" s="8" t="n">
        <v>53</v>
      </c>
      <c r="F64" s="8" t="n">
        <v>60</v>
      </c>
      <c r="G64" s="7" t="n">
        <v>8.405315521535819e-05</v>
      </c>
    </row>
    <row r="65" spans="1:12">
      <c r="A65" t="n">
        <v>54</v>
      </c>
      <c r="B65" s="4" t="n">
        <v>0</v>
      </c>
      <c r="C65" s="7" t="n">
        <v>0</v>
      </c>
      <c r="E65" s="8" t="n">
        <v>54</v>
      </c>
      <c r="F65" s="8" t="n">
        <v>48</v>
      </c>
      <c r="G65" s="7" t="n">
        <v>6.724252417228655e-05</v>
      </c>
    </row>
    <row r="66" spans="1:12">
      <c r="A66" t="n">
        <v>55</v>
      </c>
      <c r="B66" s="4" t="n">
        <v>0</v>
      </c>
      <c r="C66" s="7" t="n">
        <v>0</v>
      </c>
      <c r="E66" s="8" t="n">
        <v>55</v>
      </c>
      <c r="F66" s="8" t="n">
        <v>46</v>
      </c>
      <c r="G66" s="7" t="n">
        <v>6.444075233177461e-05</v>
      </c>
    </row>
    <row r="67" spans="1:12">
      <c r="A67" t="n">
        <v>56</v>
      </c>
      <c r="B67" s="4" t="n">
        <v>0</v>
      </c>
      <c r="C67" s="7" t="n">
        <v>0</v>
      </c>
      <c r="E67" s="8" t="n">
        <v>56</v>
      </c>
      <c r="F67" s="8" t="n">
        <v>27</v>
      </c>
      <c r="G67" s="7" t="n">
        <v>3.782391984691119e-05</v>
      </c>
    </row>
    <row r="68" spans="1:12">
      <c r="A68" t="n">
        <v>57</v>
      </c>
      <c r="B68" s="4" t="n">
        <v>0</v>
      </c>
      <c r="C68" s="7" t="n">
        <v>0</v>
      </c>
      <c r="E68" s="8" t="n">
        <v>57</v>
      </c>
      <c r="F68" s="8" t="n">
        <v>33</v>
      </c>
      <c r="G68" s="7" t="n">
        <v>4.6229235368447e-05</v>
      </c>
    </row>
    <row r="69" spans="1:12">
      <c r="A69" t="n">
        <v>58</v>
      </c>
      <c r="B69" s="4" t="n">
        <v>0</v>
      </c>
      <c r="C69" s="7" t="n">
        <v>0</v>
      </c>
      <c r="E69" s="8" t="n">
        <v>58</v>
      </c>
      <c r="F69" s="8" t="n">
        <v>23</v>
      </c>
      <c r="G69" s="7" t="n">
        <v>3.22203761658873e-05</v>
      </c>
    </row>
    <row r="70" spans="1:12">
      <c r="A70" t="n">
        <v>59</v>
      </c>
      <c r="B70" s="4" t="n">
        <v>0</v>
      </c>
      <c r="C70" s="7" t="n">
        <v>0</v>
      </c>
      <c r="E70" s="8" t="n">
        <v>59</v>
      </c>
      <c r="F70" s="8" t="n">
        <v>21</v>
      </c>
      <c r="G70" s="7" t="n">
        <v>2.941860432537537e-05</v>
      </c>
    </row>
    <row r="71" spans="1:12">
      <c r="A71" t="n">
        <v>60</v>
      </c>
      <c r="B71" s="4" t="n">
        <v>0</v>
      </c>
      <c r="C71" s="7" t="n">
        <v>0</v>
      </c>
      <c r="E71" s="8" t="n">
        <v>60</v>
      </c>
      <c r="F71" s="8" t="n">
        <v>25</v>
      </c>
      <c r="G71" s="7" t="n">
        <v>3.502214800639925e-05</v>
      </c>
    </row>
    <row r="72" spans="1:12">
      <c r="A72" t="n">
        <v>61</v>
      </c>
      <c r="B72" s="4" t="n">
        <v>0</v>
      </c>
      <c r="C72" s="7" t="n">
        <v>0</v>
      </c>
      <c r="E72" s="8" t="n">
        <v>61</v>
      </c>
      <c r="F72" s="8" t="n">
        <v>18</v>
      </c>
      <c r="G72" s="7" t="n">
        <v>2.521594656460746e-05</v>
      </c>
    </row>
    <row r="73" spans="1:12">
      <c r="A73" t="n">
        <v>62</v>
      </c>
      <c r="B73" s="4" t="n">
        <v>0</v>
      </c>
      <c r="C73" s="7" t="n">
        <v>0</v>
      </c>
      <c r="E73" s="8" t="n">
        <v>62</v>
      </c>
      <c r="F73" s="8" t="n">
        <v>21</v>
      </c>
      <c r="G73" s="7" t="n">
        <v>2.941860432537537e-05</v>
      </c>
    </row>
    <row r="74" spans="1:12">
      <c r="A74" t="n">
        <v>63</v>
      </c>
      <c r="B74" s="4" t="n">
        <v>0</v>
      </c>
      <c r="C74" s="7" t="n">
        <v>0</v>
      </c>
      <c r="E74" s="8" t="n">
        <v>63</v>
      </c>
      <c r="F74" s="8" t="n">
        <v>10</v>
      </c>
      <c r="G74" s="7" t="n">
        <v>1.40088592025597e-05</v>
      </c>
    </row>
    <row r="75" spans="1:12">
      <c r="A75" t="n">
        <v>64</v>
      </c>
      <c r="B75" s="4" t="n">
        <v>0</v>
      </c>
      <c r="C75" s="7" t="n">
        <v>0</v>
      </c>
      <c r="E75" s="8" t="n">
        <v>64</v>
      </c>
      <c r="F75" s="8" t="n">
        <v>12</v>
      </c>
      <c r="G75" s="7" t="n">
        <v>1.681063104307164e-05</v>
      </c>
    </row>
    <row r="76" spans="1:12">
      <c r="A76" t="n">
        <v>65</v>
      </c>
      <c r="B76" s="4" t="n">
        <v>0</v>
      </c>
      <c r="C76" s="7" t="n">
        <v>0</v>
      </c>
      <c r="E76" s="8" t="n">
        <v>65</v>
      </c>
      <c r="F76" s="8" t="n">
        <v>9</v>
      </c>
      <c r="G76" s="7" t="n">
        <v>1.260797328230373e-05</v>
      </c>
    </row>
    <row r="77" spans="1:12">
      <c r="A77" t="n">
        <v>66</v>
      </c>
      <c r="B77" s="4" t="n">
        <v>191.142673602</v>
      </c>
      <c r="C77" s="7" t="n">
        <v>0.0002673525271160183</v>
      </c>
      <c r="E77" s="8" t="n">
        <v>66</v>
      </c>
      <c r="F77" s="8" t="n">
        <v>7</v>
      </c>
      <c r="G77" s="7" t="n">
        <v>9.806201441791789e-06</v>
      </c>
    </row>
    <row r="78" spans="1:12">
      <c r="A78" t="n">
        <v>67</v>
      </c>
      <c r="B78" s="4" t="n">
        <v>0</v>
      </c>
      <c r="C78" s="7" t="n">
        <v>0</v>
      </c>
      <c r="E78" s="8" t="n">
        <v>67</v>
      </c>
      <c r="F78" s="8" t="n">
        <v>10</v>
      </c>
      <c r="G78" s="7" t="n">
        <v>1.40088592025597e-05</v>
      </c>
    </row>
    <row r="79" spans="1:12">
      <c r="A79" t="n">
        <v>68</v>
      </c>
      <c r="B79" s="4" t="n">
        <v>0</v>
      </c>
      <c r="C79" s="7" t="n">
        <v>0</v>
      </c>
      <c r="E79" s="8" t="n">
        <v>68</v>
      </c>
      <c r="F79" s="8" t="n">
        <v>7</v>
      </c>
      <c r="G79" s="7" t="n">
        <v>9.806201441791789e-06</v>
      </c>
    </row>
    <row r="80" spans="1:12">
      <c r="A80" t="n">
        <v>69</v>
      </c>
      <c r="B80" s="4" t="n">
        <v>224.140299381</v>
      </c>
      <c r="C80" s="7" t="n">
        <v>0.0003135065254597561</v>
      </c>
      <c r="E80" s="8" t="n">
        <v>69</v>
      </c>
      <c r="F80" s="8" t="n">
        <v>7</v>
      </c>
      <c r="G80" s="7" t="n">
        <v>9.806201441791789e-06</v>
      </c>
    </row>
    <row r="81" spans="1:12">
      <c r="A81" t="n">
        <v>70</v>
      </c>
      <c r="B81" s="4" t="n">
        <v>0</v>
      </c>
      <c r="C81" s="7" t="n">
        <v>0</v>
      </c>
      <c r="E81" s="8" t="n">
        <v>70</v>
      </c>
      <c r="F81" s="8" t="n">
        <v>10</v>
      </c>
      <c r="G81" s="7" t="n">
        <v>1.40088592025597e-05</v>
      </c>
    </row>
    <row r="82" spans="1:12">
      <c r="A82" t="n">
        <v>71</v>
      </c>
      <c r="B82" s="4" t="n">
        <v>0</v>
      </c>
      <c r="C82" s="7" t="n">
        <v>0</v>
      </c>
      <c r="E82" s="8" t="n">
        <v>71</v>
      </c>
      <c r="F82" s="8" t="n">
        <v>2</v>
      </c>
      <c r="G82" s="7" t="n">
        <v>2.80177184051194e-06</v>
      </c>
    </row>
    <row r="83" spans="1:12">
      <c r="A83" t="n">
        <v>72</v>
      </c>
      <c r="B83" s="4" t="n">
        <v>0</v>
      </c>
      <c r="C83" s="7" t="n">
        <v>0</v>
      </c>
      <c r="E83" s="8" t="n">
        <v>72</v>
      </c>
      <c r="F83" s="8" t="n">
        <v>3</v>
      </c>
      <c r="G83" s="7" t="n">
        <v>4.20265776076791e-06</v>
      </c>
    </row>
    <row r="84" spans="1:12">
      <c r="A84" t="n">
        <v>73</v>
      </c>
      <c r="B84" s="4" t="n">
        <v>376.597523036</v>
      </c>
      <c r="C84" s="7" t="n">
        <v>0.000526749456790344</v>
      </c>
      <c r="E84" s="8" t="n">
        <v>73</v>
      </c>
      <c r="F84" s="8" t="n">
        <v>4</v>
      </c>
      <c r="G84" s="7" t="n">
        <v>5.60354368102388e-06</v>
      </c>
    </row>
    <row r="85" spans="1:12">
      <c r="A85" t="n">
        <v>74</v>
      </c>
      <c r="B85" s="4" t="n">
        <v>0</v>
      </c>
      <c r="C85" s="7" t="n">
        <v>0</v>
      </c>
      <c r="E85" s="8" t="n">
        <v>74</v>
      </c>
      <c r="F85" s="8" t="n">
        <v>2</v>
      </c>
      <c r="G85" s="7" t="n">
        <v>2.80177184051194e-06</v>
      </c>
    </row>
    <row r="86" spans="1:12">
      <c r="A86" t="n">
        <v>75</v>
      </c>
      <c r="B86" s="4" t="n">
        <v>0</v>
      </c>
      <c r="C86" s="7" t="n">
        <v>0</v>
      </c>
      <c r="E86" s="8" t="n">
        <v>75</v>
      </c>
      <c r="F86" s="8" t="n">
        <v>1</v>
      </c>
      <c r="G86" s="7" t="n">
        <v>1.40088592025597e-06</v>
      </c>
    </row>
    <row r="87" spans="1:12">
      <c r="A87" t="n">
        <v>76</v>
      </c>
      <c r="B87" s="4" t="n">
        <v>0</v>
      </c>
      <c r="C87" s="7" t="n">
        <v>0</v>
      </c>
      <c r="E87" s="8" t="n">
        <v>76</v>
      </c>
      <c r="F87" s="8" t="n">
        <v>3</v>
      </c>
      <c r="G87" s="7" t="n">
        <v>4.20265776076791e-06</v>
      </c>
    </row>
    <row r="88" spans="1:12">
      <c r="A88" t="n">
        <v>77</v>
      </c>
      <c r="B88" s="4" t="n">
        <v>0</v>
      </c>
      <c r="C88" s="7" t="n">
        <v>0</v>
      </c>
      <c r="E88" s="8" t="n">
        <v>77</v>
      </c>
      <c r="F88" s="8" t="n">
        <v>2</v>
      </c>
      <c r="G88" s="7" t="n">
        <v>2.80177184051194e-06</v>
      </c>
    </row>
    <row r="89" spans="1:12">
      <c r="A89" t="n">
        <v>78</v>
      </c>
      <c r="B89" s="4" t="n">
        <v>0</v>
      </c>
      <c r="C89" s="7" t="n">
        <v>0</v>
      </c>
      <c r="E89" s="8" t="n">
        <v>78</v>
      </c>
      <c r="F89" s="8" t="n">
        <v>2</v>
      </c>
      <c r="G89" s="7" t="n">
        <v>2.80177184051194e-06</v>
      </c>
    </row>
    <row r="90" spans="1:12">
      <c r="A90" t="n">
        <v>79</v>
      </c>
      <c r="B90" s="4" t="n">
        <v>0</v>
      </c>
      <c r="C90" s="7" t="n">
        <v>0</v>
      </c>
      <c r="E90" s="8" t="n">
        <v>79</v>
      </c>
      <c r="F90" s="8" t="n">
        <v>1</v>
      </c>
      <c r="G90" s="7" t="n">
        <v>1.40088592025597e-06</v>
      </c>
    </row>
    <row r="91" spans="1:12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 spans="1:1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 spans="1:12">
      <c r="A93" t="n">
        <v>82</v>
      </c>
      <c r="B93" s="4" t="n">
        <v>0</v>
      </c>
      <c r="C93" s="7" t="n">
        <v>0</v>
      </c>
      <c r="E93" s="8" t="n">
        <v>82</v>
      </c>
      <c r="F93" s="8" t="n">
        <v>0</v>
      </c>
      <c r="G93" s="7" t="n">
        <v>0</v>
      </c>
    </row>
    <row r="94" spans="1:12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 spans="1:12">
      <c r="A95" t="n">
        <v>84</v>
      </c>
      <c r="B95" s="4" t="n">
        <v>0</v>
      </c>
      <c r="C95" s="7" t="n">
        <v>0</v>
      </c>
      <c r="E95" s="8" t="n">
        <v>84</v>
      </c>
      <c r="F95" s="8" t="n">
        <v>1</v>
      </c>
      <c r="G95" s="7" t="n">
        <v>1.40088592025597e-06</v>
      </c>
    </row>
    <row r="96" spans="1:12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 spans="1:12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 spans="1:12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 spans="1:12">
      <c r="A99" t="n">
        <v>88</v>
      </c>
      <c r="B99" s="4" t="n">
        <v>0</v>
      </c>
      <c r="C99" s="7" t="n">
        <v>0</v>
      </c>
      <c r="E99" s="8" t="n">
        <v>88</v>
      </c>
      <c r="F99" s="8" t="n">
        <v>1</v>
      </c>
      <c r="G99" s="7" t="n">
        <v>1.40088592025597e-06</v>
      </c>
    </row>
    <row r="100" spans="1:12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customHeight="1" ht="15.75" r="101" s="11" spans="1:12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1</v>
      </c>
      <c r="G101" s="7" t="n">
        <v>1.40088592025597e-06</v>
      </c>
    </row>
    <row r="102" spans="1:12">
      <c r="B102" s="4" t="n">
        <v>714946.2010473278</v>
      </c>
      <c r="C102" s="7" t="n">
        <v>1</v>
      </c>
      <c r="F102" s="4" t="n">
        <v>713834</v>
      </c>
      <c r="G102" s="7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 outlineLevelCol="0"/>
  <cols>
    <col collapsed="1" customWidth="1" max="1" min="1" style="11" width="13.5703125"/>
    <col collapsed="1" customWidth="1" max="2" min="2" style="11" width="9.5703125"/>
    <col collapsed="1" customWidth="1" max="6" min="6" style="11" width="9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1" spans="1:12">
      <c r="A9" s="3" t="s">
        <v>6</v>
      </c>
      <c r="B9" s="1" t="n"/>
      <c r="E9" s="3" t="s">
        <v>7</v>
      </c>
      <c r="F9" s="1" t="n"/>
      <c r="J9" s="6" t="s">
        <v>16</v>
      </c>
    </row>
    <row r="10" spans="1:12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11</v>
      </c>
      <c r="J10" s="2" t="n"/>
      <c r="K10" s="10" t="s">
        <v>10</v>
      </c>
      <c r="L10" s="10" t="s">
        <v>11</v>
      </c>
    </row>
    <row r="11" spans="1:12">
      <c r="A11" t="n">
        <v>0</v>
      </c>
      <c r="B11" s="4" t="n">
        <v>27663.8319596798</v>
      </c>
      <c r="C11" s="7" t="n">
        <v>0.03875504674456876</v>
      </c>
      <c r="E11" s="8" t="n">
        <v>0</v>
      </c>
      <c r="F11" s="8" t="n">
        <v>95893</v>
      </c>
      <c r="G11" s="7" t="n">
        <v>0.1323596802155453</v>
      </c>
      <c r="K11" s="4" t="n">
        <v>7.366351838634833</v>
      </c>
      <c r="L11" s="4" t="n">
        <v>7.024385483450247</v>
      </c>
    </row>
    <row r="12" spans="1:12">
      <c r="A12" t="n">
        <v>1</v>
      </c>
      <c r="B12" s="4" t="n">
        <v>33777.3254511565</v>
      </c>
      <c r="C12" s="7" t="n">
        <v>0.04731961315677519</v>
      </c>
      <c r="E12" s="8" t="n">
        <v>1</v>
      </c>
      <c r="F12" s="8" t="n">
        <v>71384</v>
      </c>
      <c r="G12" s="7" t="n">
        <v>0.09853027241306965</v>
      </c>
      <c r="K12" s="4" t="n"/>
      <c r="L12" s="8" t="n"/>
    </row>
    <row r="13" spans="1:12">
      <c r="A13" t="n">
        <v>2</v>
      </c>
      <c r="B13" s="4" t="n">
        <v>48075.5858341662</v>
      </c>
      <c r="C13" s="7" t="n">
        <v>0.06735045162908822</v>
      </c>
      <c r="E13" s="8" t="n">
        <v>2</v>
      </c>
      <c r="F13" s="8" t="n">
        <v>44772</v>
      </c>
      <c r="G13" s="7" t="n">
        <v>0.06179812502070427</v>
      </c>
    </row>
    <row r="14" spans="1:12">
      <c r="A14" t="n">
        <v>3</v>
      </c>
      <c r="B14" s="4" t="n">
        <v>67958.3713310867</v>
      </c>
      <c r="C14" s="7" t="n">
        <v>0.09520480971181808</v>
      </c>
      <c r="E14" s="8" t="n">
        <v>3</v>
      </c>
      <c r="F14" s="8" t="n">
        <v>28502</v>
      </c>
      <c r="G14" s="7" t="n">
        <v>0.03934088625346452</v>
      </c>
    </row>
    <row r="15" spans="1:12">
      <c r="A15" t="n">
        <v>4</v>
      </c>
      <c r="B15" s="4" t="n">
        <v>114566.1354852887</v>
      </c>
      <c r="C15" s="7" t="n">
        <v>0.1604989483217044</v>
      </c>
      <c r="E15" s="8" t="n">
        <v>4</v>
      </c>
      <c r="F15" s="8" t="n">
        <v>111699</v>
      </c>
      <c r="G15" s="7" t="n">
        <v>0.1541764666909597</v>
      </c>
    </row>
    <row r="16" spans="1:12">
      <c r="A16" t="n">
        <v>5</v>
      </c>
      <c r="B16" s="4" t="n">
        <v>79182.5808357054</v>
      </c>
      <c r="C16" s="7" t="n">
        <v>0.1109291231278458</v>
      </c>
      <c r="E16" s="8" t="n">
        <v>5</v>
      </c>
      <c r="F16" s="8" t="n">
        <v>62762</v>
      </c>
      <c r="G16" s="7" t="n">
        <v>0.08662945418005544</v>
      </c>
    </row>
    <row r="17" spans="1:12">
      <c r="A17" t="n">
        <v>6</v>
      </c>
      <c r="B17" s="4" t="n">
        <v>76842.4210128425</v>
      </c>
      <c r="C17" s="7" t="n">
        <v>0.1076507268645589</v>
      </c>
      <c r="E17" s="8" t="n">
        <v>6</v>
      </c>
      <c r="F17" s="8" t="n">
        <v>61103</v>
      </c>
      <c r="G17" s="7" t="n">
        <v>0.08433956117975729</v>
      </c>
    </row>
    <row r="18" spans="1:12">
      <c r="A18" t="n">
        <v>7</v>
      </c>
      <c r="B18" s="4" t="n">
        <v>48964.2011561719</v>
      </c>
      <c r="C18" s="7" t="n">
        <v>0.06859533803500859</v>
      </c>
      <c r="E18" s="8" t="n">
        <v>7</v>
      </c>
      <c r="F18" s="8" t="n">
        <v>28611</v>
      </c>
      <c r="G18" s="7" t="n">
        <v>0.03949133733063902</v>
      </c>
    </row>
    <row r="19" spans="1:12">
      <c r="A19" t="n">
        <v>8</v>
      </c>
      <c r="B19" s="4" t="n">
        <v>32389.3908588605</v>
      </c>
      <c r="C19" s="7" t="n">
        <v>0.04537521622430272</v>
      </c>
      <c r="E19" s="8" t="n">
        <v>8</v>
      </c>
      <c r="F19" s="8" t="n">
        <v>43799</v>
      </c>
      <c r="G19" s="7" t="n">
        <v>0.0604551076070273</v>
      </c>
    </row>
    <row r="20" spans="1:12">
      <c r="A20" t="n">
        <v>9</v>
      </c>
      <c r="B20" s="4" t="n">
        <v>24334.0130252145</v>
      </c>
      <c r="C20" s="7" t="n">
        <v>0.03409020896489167</v>
      </c>
      <c r="E20" s="8" t="n">
        <v>9</v>
      </c>
      <c r="F20" s="8" t="n">
        <v>22120</v>
      </c>
      <c r="G20" s="7" t="n">
        <v>0.03053190667064189</v>
      </c>
    </row>
    <row r="21" spans="1:12">
      <c r="A21" t="n">
        <v>10</v>
      </c>
      <c r="B21" s="4" t="n">
        <v>36790.9844365816</v>
      </c>
      <c r="C21" s="7" t="n">
        <v>0.05154153349747739</v>
      </c>
      <c r="E21" s="8" t="n">
        <v>10</v>
      </c>
      <c r="F21" s="8" t="n">
        <v>11991</v>
      </c>
      <c r="G21" s="7" t="n">
        <v>0.01655099877430682</v>
      </c>
    </row>
    <row r="22" spans="1:12">
      <c r="A22" t="n">
        <v>11</v>
      </c>
      <c r="B22" s="4" t="n">
        <v>18757.3982035027</v>
      </c>
      <c r="C22" s="7" t="n">
        <v>0.026277771107154</v>
      </c>
      <c r="E22" s="8" t="n">
        <v>11</v>
      </c>
      <c r="F22" s="8" t="n">
        <v>13977</v>
      </c>
      <c r="G22" s="7" t="n">
        <v>0.01929224500612847</v>
      </c>
    </row>
    <row r="23" spans="1:12">
      <c r="A23" t="n">
        <v>12</v>
      </c>
      <c r="B23" s="4" t="n">
        <v>12068.5149468976</v>
      </c>
      <c r="C23" s="7" t="n">
        <v>0.0169071248548011</v>
      </c>
      <c r="E23" s="8" t="n">
        <v>12</v>
      </c>
      <c r="F23" s="8" t="n">
        <v>14190</v>
      </c>
      <c r="G23" s="7" t="n">
        <v>0.01958624573491901</v>
      </c>
    </row>
    <row r="24" spans="1:12">
      <c r="A24" t="n">
        <v>13</v>
      </c>
      <c r="B24" s="4" t="n">
        <v>7143.7357422256</v>
      </c>
      <c r="C24" s="7" t="n">
        <v>0.01000786199917346</v>
      </c>
      <c r="E24" s="8" t="n">
        <v>13</v>
      </c>
      <c r="F24" s="8" t="n">
        <v>17840</v>
      </c>
      <c r="G24" s="7" t="n">
        <v>0.02462428639259726</v>
      </c>
    </row>
    <row r="25" spans="1:12">
      <c r="A25" t="n">
        <v>14</v>
      </c>
      <c r="B25" s="4" t="n">
        <v>3895.864526835</v>
      </c>
      <c r="C25" s="7" t="n">
        <v>0.005457827103203142</v>
      </c>
      <c r="E25" s="8" t="n">
        <v>14</v>
      </c>
      <c r="F25" s="8" t="n">
        <v>9438</v>
      </c>
      <c r="G25" s="7" t="n">
        <v>0.01302713088415543</v>
      </c>
    </row>
    <row r="26" spans="1:12">
      <c r="A26" t="n">
        <v>15</v>
      </c>
      <c r="B26" s="4" t="n">
        <v>4083.9489840013</v>
      </c>
      <c r="C26" s="7" t="n">
        <v>0.005721319953363268</v>
      </c>
      <c r="E26" s="8" t="n">
        <v>15</v>
      </c>
      <c r="F26" s="8" t="n">
        <v>14291</v>
      </c>
      <c r="G26" s="7" t="n">
        <v>0.01972565453119996</v>
      </c>
    </row>
    <row r="27" spans="1:12">
      <c r="A27" t="n">
        <v>16</v>
      </c>
      <c r="B27" s="4" t="n">
        <v>12432.3392043248</v>
      </c>
      <c r="C27" s="7" t="n">
        <v>0.01741681657516543</v>
      </c>
      <c r="E27" s="8" t="n">
        <v>16</v>
      </c>
      <c r="F27" s="8" t="n">
        <v>9675</v>
      </c>
      <c r="G27" s="7" t="n">
        <v>0.01335425845562659</v>
      </c>
    </row>
    <row r="28" spans="1:12">
      <c r="A28" t="n">
        <v>17</v>
      </c>
      <c r="B28" s="4" t="n">
        <v>4142.9865766036</v>
      </c>
      <c r="C28" s="7" t="n">
        <v>0.005804027391158715</v>
      </c>
      <c r="E28" s="8" t="n">
        <v>17</v>
      </c>
      <c r="F28" s="8" t="n">
        <v>8293</v>
      </c>
      <c r="G28" s="7" t="n">
        <v>0.01144670443126732</v>
      </c>
    </row>
    <row r="29" spans="1:12">
      <c r="A29" t="n">
        <v>18</v>
      </c>
      <c r="B29" s="4" t="n">
        <v>4448.78633809</v>
      </c>
      <c r="C29" s="7" t="n">
        <v>0.006232430949572341</v>
      </c>
      <c r="E29" s="8" t="n">
        <v>18</v>
      </c>
      <c r="F29" s="8" t="n">
        <v>6639</v>
      </c>
      <c r="G29" s="7" t="n">
        <v>0.009163712856527645</v>
      </c>
    </row>
    <row r="30" spans="1:12">
      <c r="A30" t="n">
        <v>19</v>
      </c>
      <c r="B30" s="4" t="n">
        <v>10699.580245124</v>
      </c>
      <c r="C30" s="7" t="n">
        <v>0.01498934540780245</v>
      </c>
      <c r="E30" s="8" t="n">
        <v>19</v>
      </c>
      <c r="F30" s="8" t="n">
        <v>5183</v>
      </c>
      <c r="G30" s="7" t="n">
        <v>0.007154017733903115</v>
      </c>
    </row>
    <row r="31" spans="1:12">
      <c r="A31" t="n">
        <v>20</v>
      </c>
      <c r="B31" s="4" t="n">
        <v>5949.2070240465</v>
      </c>
      <c r="C31" s="7" t="n">
        <v>0.008334412840783739</v>
      </c>
      <c r="E31" s="8" t="n">
        <v>20</v>
      </c>
      <c r="F31" s="8" t="n">
        <v>4821</v>
      </c>
      <c r="G31" s="7" t="n">
        <v>0.006654354523470368</v>
      </c>
    </row>
    <row r="32" spans="1:12">
      <c r="A32" t="n">
        <v>21</v>
      </c>
      <c r="B32" s="4" t="n">
        <v>5916.144499352</v>
      </c>
      <c r="C32" s="7" t="n">
        <v>0.008288094612278868</v>
      </c>
      <c r="E32" s="8" t="n">
        <v>21</v>
      </c>
      <c r="F32" s="8" t="n">
        <v>5706</v>
      </c>
      <c r="G32" s="7" t="n">
        <v>0.007875906847318382</v>
      </c>
    </row>
    <row r="33" spans="1:12">
      <c r="A33" t="n">
        <v>22</v>
      </c>
      <c r="B33" s="4" t="n">
        <v>6841.0360580808</v>
      </c>
      <c r="C33" s="7" t="n">
        <v>0.009583801427026545</v>
      </c>
      <c r="E33" s="8" t="n">
        <v>22</v>
      </c>
      <c r="F33" s="8" t="n">
        <v>3604</v>
      </c>
      <c r="G33" s="7" t="n">
        <v>0.004974547542540387</v>
      </c>
    </row>
    <row r="34" spans="1:12">
      <c r="A34" t="n">
        <v>23</v>
      </c>
      <c r="B34" s="4" t="n">
        <v>4890.604549589</v>
      </c>
      <c r="C34" s="7" t="n">
        <v>0.006851386612121257</v>
      </c>
      <c r="E34" s="8" t="n">
        <v>23</v>
      </c>
      <c r="F34" s="8" t="n">
        <v>3553</v>
      </c>
      <c r="G34" s="7" t="n">
        <v>0.004904153001844061</v>
      </c>
    </row>
    <row r="35" spans="1:12">
      <c r="A35" t="n">
        <v>24</v>
      </c>
      <c r="B35" s="4" t="n">
        <v>691.8091138029999</v>
      </c>
      <c r="C35" s="7" t="n">
        <v>0.00096917500738261</v>
      </c>
      <c r="E35" s="8" t="n">
        <v>24</v>
      </c>
      <c r="F35" s="8" t="n">
        <v>3186</v>
      </c>
      <c r="G35" s="7" t="n">
        <v>0.004397588365852851</v>
      </c>
    </row>
    <row r="36" spans="1:12">
      <c r="A36" t="n">
        <v>25</v>
      </c>
      <c r="B36" s="4" t="n">
        <v>899.7607167359999</v>
      </c>
      <c r="C36" s="7" t="n">
        <v>0.001260500305483853</v>
      </c>
      <c r="E36" s="8" t="n">
        <v>25</v>
      </c>
      <c r="F36" s="8" t="n">
        <v>2575</v>
      </c>
      <c r="G36" s="7" t="n">
        <v>0.003554234162608628</v>
      </c>
    </row>
    <row r="37" spans="1:12">
      <c r="A37" t="n">
        <v>26</v>
      </c>
      <c r="B37" s="4" t="n">
        <v>994.02148134</v>
      </c>
      <c r="C37" s="7" t="n">
        <v>0.001392552883873254</v>
      </c>
      <c r="E37" s="8" t="n">
        <v>26</v>
      </c>
      <c r="F37" s="8" t="n">
        <v>2095</v>
      </c>
      <c r="G37" s="7" t="n">
        <v>0.002891697308996146</v>
      </c>
    </row>
    <row r="38" spans="1:12">
      <c r="A38" t="n">
        <v>27</v>
      </c>
      <c r="B38" s="4" t="n">
        <v>2067.125837326</v>
      </c>
      <c r="C38" s="7" t="n">
        <v>0.002895895209645505</v>
      </c>
      <c r="E38" s="8" t="n">
        <v>27</v>
      </c>
      <c r="F38" s="8" t="n">
        <v>4098</v>
      </c>
      <c r="G38" s="7" t="n">
        <v>0.005656408387716567</v>
      </c>
    </row>
    <row r="39" spans="1:12">
      <c r="A39" t="n">
        <v>28</v>
      </c>
      <c r="B39" s="4" t="n">
        <v>290.667683824</v>
      </c>
      <c r="C39" s="7" t="n">
        <v>0.0004072046016673765</v>
      </c>
      <c r="E39" s="8" t="n">
        <v>28</v>
      </c>
      <c r="F39" s="8" t="n">
        <v>1710</v>
      </c>
      <c r="G39" s="7" t="n">
        <v>0.002360287540994468</v>
      </c>
    </row>
    <row r="40" spans="1:12">
      <c r="A40" t="n">
        <v>29</v>
      </c>
      <c r="B40" s="4" t="n">
        <v>711.387405665</v>
      </c>
      <c r="C40" s="7" t="n">
        <v>0.0009966027916966744</v>
      </c>
      <c r="E40" s="8" t="n">
        <v>29</v>
      </c>
      <c r="F40" s="8" t="n">
        <v>1702</v>
      </c>
      <c r="G40" s="7" t="n">
        <v>0.002349245260100926</v>
      </c>
    </row>
    <row r="41" spans="1:12">
      <c r="A41" t="n">
        <v>30</v>
      </c>
      <c r="B41" s="4" t="n">
        <v>1402.4810608782</v>
      </c>
      <c r="C41" s="7" t="n">
        <v>0.001964775492850273</v>
      </c>
      <c r="E41" s="8" t="n">
        <v>30</v>
      </c>
      <c r="F41" s="8" t="n">
        <v>1461</v>
      </c>
      <c r="G41" s="7" t="n">
        <v>0.002016596548182993</v>
      </c>
    </row>
    <row r="42" spans="1:12">
      <c r="A42" t="n">
        <v>31</v>
      </c>
      <c r="B42" s="4" t="n">
        <v>1540.58640738</v>
      </c>
      <c r="C42" s="7" t="n">
        <v>0.002158251189462121</v>
      </c>
      <c r="E42" s="8" t="n">
        <v>31</v>
      </c>
      <c r="F42" s="8" t="n">
        <v>1024</v>
      </c>
      <c r="G42" s="7" t="n">
        <v>0.001413411954373295</v>
      </c>
    </row>
    <row r="43" spans="1:12">
      <c r="A43" t="n">
        <v>32</v>
      </c>
      <c r="B43" s="4" t="n">
        <v>0</v>
      </c>
      <c r="C43" s="7" t="n">
        <v>0</v>
      </c>
      <c r="E43" s="8" t="n">
        <v>32</v>
      </c>
      <c r="F43" s="8" t="n">
        <v>907</v>
      </c>
      <c r="G43" s="7" t="n">
        <v>0.001251918596305253</v>
      </c>
    </row>
    <row r="44" spans="1:12">
      <c r="A44" t="n">
        <v>33</v>
      </c>
      <c r="B44" s="4" t="n">
        <v>815.028179101</v>
      </c>
      <c r="C44" s="7" t="n">
        <v>0.001141796090477901</v>
      </c>
      <c r="E44" s="8" t="n">
        <v>33</v>
      </c>
      <c r="F44" s="8" t="n">
        <v>975</v>
      </c>
      <c r="G44" s="7" t="n">
        <v>0.001345777983900354</v>
      </c>
    </row>
    <row r="45" spans="1:12">
      <c r="A45" t="n">
        <v>34</v>
      </c>
      <c r="B45" s="4" t="n">
        <v>735.005061211</v>
      </c>
      <c r="C45" s="7" t="n">
        <v>0.001029689435152882</v>
      </c>
      <c r="E45" s="8" t="n">
        <v>34</v>
      </c>
      <c r="F45" s="8" t="n">
        <v>608</v>
      </c>
      <c r="G45" s="7" t="n">
        <v>0.0008392133479091441</v>
      </c>
    </row>
    <row r="46" spans="1:12">
      <c r="A46" t="n">
        <v>35</v>
      </c>
      <c r="B46" s="4" t="n">
        <v>1498.404540075</v>
      </c>
      <c r="C46" s="7" t="n">
        <v>0.002099157415267673</v>
      </c>
      <c r="E46" s="8" t="n">
        <v>35</v>
      </c>
      <c r="F46" s="8" t="n">
        <v>483</v>
      </c>
      <c r="G46" s="7" t="n">
        <v>0.0006666777089475602</v>
      </c>
    </row>
    <row r="47" spans="1:12">
      <c r="A47" t="n">
        <v>36</v>
      </c>
      <c r="B47" s="4" t="n">
        <v>152.330625679</v>
      </c>
      <c r="C47" s="7" t="n">
        <v>0.0002134042936431784</v>
      </c>
      <c r="E47" s="8" t="n">
        <v>36</v>
      </c>
      <c r="F47" s="8" t="n">
        <v>686</v>
      </c>
      <c r="G47" s="7" t="n">
        <v>0.0009468755866211724</v>
      </c>
    </row>
    <row r="48" spans="1:12">
      <c r="A48" t="n">
        <v>37</v>
      </c>
      <c r="B48" s="4" t="n">
        <v>0</v>
      </c>
      <c r="C48" s="7" t="n">
        <v>0</v>
      </c>
      <c r="E48" s="8" t="n">
        <v>37</v>
      </c>
      <c r="F48" s="8" t="n">
        <v>514</v>
      </c>
      <c r="G48" s="7" t="n">
        <v>0.0007094665474100331</v>
      </c>
    </row>
    <row r="49" spans="1:12">
      <c r="A49" t="n">
        <v>38</v>
      </c>
      <c r="B49" s="4" t="n">
        <v>4.59375</v>
      </c>
      <c r="C49" s="7" t="n">
        <v>6.435514654742842e-06</v>
      </c>
      <c r="E49" s="8" t="n">
        <v>38</v>
      </c>
      <c r="F49" s="8" t="n">
        <v>502</v>
      </c>
      <c r="G49" s="7" t="n">
        <v>0.000692903126069721</v>
      </c>
    </row>
    <row r="50" spans="1:12">
      <c r="A50" t="n">
        <v>39</v>
      </c>
      <c r="B50" s="4" t="n">
        <v>80.5029056468</v>
      </c>
      <c r="C50" s="7" t="n">
        <v>0.0001127788036004053</v>
      </c>
      <c r="E50" s="8" t="n">
        <v>39</v>
      </c>
      <c r="F50" s="8" t="n">
        <v>364</v>
      </c>
      <c r="G50" s="7" t="n">
        <v>0.0005024237806561323</v>
      </c>
    </row>
    <row r="51" spans="1:12">
      <c r="A51" t="n">
        <v>40</v>
      </c>
      <c r="B51" s="4" t="n">
        <v>6381.798029925</v>
      </c>
      <c r="C51" s="7" t="n">
        <v>0.008940441849293353</v>
      </c>
      <c r="E51" s="8" t="n">
        <v>40</v>
      </c>
      <c r="F51" s="8" t="n">
        <v>293</v>
      </c>
      <c r="G51" s="7" t="n">
        <v>0.0004044235377259527</v>
      </c>
    </row>
    <row r="52" spans="1:12">
      <c r="A52" t="n">
        <v>41</v>
      </c>
      <c r="B52" s="4" t="n">
        <v>1219.07842926</v>
      </c>
      <c r="C52" s="7" t="n">
        <v>0.001707841544878066</v>
      </c>
      <c r="E52" s="8" t="n">
        <v>41</v>
      </c>
      <c r="F52" s="8" t="n">
        <v>224</v>
      </c>
      <c r="G52" s="7" t="n">
        <v>0.0003091838650191583</v>
      </c>
    </row>
    <row r="53" spans="1:12">
      <c r="A53" t="n">
        <v>42</v>
      </c>
      <c r="B53" s="4" t="n">
        <v>0</v>
      </c>
      <c r="C53" s="7" t="n">
        <v>0</v>
      </c>
      <c r="E53" s="8" t="n">
        <v>42</v>
      </c>
      <c r="F53" s="8" t="n">
        <v>175</v>
      </c>
      <c r="G53" s="7" t="n">
        <v>0.0002415498945462175</v>
      </c>
    </row>
    <row r="54" spans="1:12">
      <c r="A54" t="n">
        <v>43</v>
      </c>
      <c r="B54" s="4" t="n">
        <v>0</v>
      </c>
      <c r="C54" s="7" t="n">
        <v>0</v>
      </c>
      <c r="E54" s="8" t="n">
        <v>43</v>
      </c>
      <c r="F54" s="8" t="n">
        <v>117</v>
      </c>
      <c r="G54" s="7" t="n">
        <v>0.0001614933580680425</v>
      </c>
    </row>
    <row r="55" spans="1:12">
      <c r="A55" t="n">
        <v>44</v>
      </c>
      <c r="B55" s="4" t="n">
        <v>77.4485081528</v>
      </c>
      <c r="C55" s="7" t="n">
        <v>0.0001084998115276876</v>
      </c>
      <c r="E55" s="8" t="n">
        <v>44</v>
      </c>
      <c r="F55" s="8" t="n">
        <v>162</v>
      </c>
      <c r="G55" s="7" t="n">
        <v>0.0002236061880942127</v>
      </c>
    </row>
    <row r="56" spans="1:12">
      <c r="A56" t="n">
        <v>45</v>
      </c>
      <c r="B56" s="4" t="n">
        <v>0</v>
      </c>
      <c r="C56" s="7" t="n">
        <v>0</v>
      </c>
      <c r="E56" s="8" t="n">
        <v>45</v>
      </c>
      <c r="F56" s="8" t="n">
        <v>145</v>
      </c>
      <c r="G56" s="7" t="n">
        <v>0.0002001413411954373</v>
      </c>
    </row>
    <row r="57" spans="1:12">
      <c r="A57" t="n">
        <v>46</v>
      </c>
      <c r="B57" s="4" t="n">
        <v>0</v>
      </c>
      <c r="C57" s="7" t="n">
        <v>0</v>
      </c>
      <c r="E57" s="8" t="n">
        <v>46</v>
      </c>
      <c r="F57" s="8" t="n">
        <v>127</v>
      </c>
      <c r="G57" s="7" t="n">
        <v>0.0001752962091849693</v>
      </c>
    </row>
    <row r="58" spans="1:12">
      <c r="A58" t="n">
        <v>47</v>
      </c>
      <c r="B58" s="4" t="n">
        <v>0</v>
      </c>
      <c r="C58" s="7" t="n">
        <v>0</v>
      </c>
      <c r="E58" s="8" t="n">
        <v>47</v>
      </c>
      <c r="F58" s="8" t="n">
        <v>103</v>
      </c>
      <c r="G58" s="7" t="n">
        <v>0.0001421693665043451</v>
      </c>
    </row>
    <row r="59" spans="1:12">
      <c r="A59" t="n">
        <v>48</v>
      </c>
      <c r="B59" s="4" t="n">
        <v>213.886510635</v>
      </c>
      <c r="C59" s="7" t="n">
        <v>0.0002996396786162402</v>
      </c>
      <c r="E59" s="8" t="n">
        <v>48</v>
      </c>
      <c r="F59" s="8" t="n">
        <v>67</v>
      </c>
      <c r="G59" s="7" t="n">
        <v>9.247910248340897e-05</v>
      </c>
    </row>
    <row r="60" spans="1:12">
      <c r="A60" t="n">
        <v>49</v>
      </c>
      <c r="B60" s="4" t="n">
        <v>0</v>
      </c>
      <c r="C60" s="7" t="n">
        <v>0</v>
      </c>
      <c r="E60" s="8" t="n">
        <v>49</v>
      </c>
      <c r="F60" s="8" t="n">
        <v>54</v>
      </c>
      <c r="G60" s="7" t="n">
        <v>7.453539603140425e-05</v>
      </c>
    </row>
    <row r="61" spans="1:12">
      <c r="A61" t="n">
        <v>50</v>
      </c>
      <c r="B61" s="4" t="n">
        <v>454.367233631</v>
      </c>
      <c r="C61" s="7" t="n">
        <v>0.0006365359435466155</v>
      </c>
      <c r="E61" s="8" t="n">
        <v>50</v>
      </c>
      <c r="F61" s="8" t="n">
        <v>48</v>
      </c>
      <c r="G61" s="7" t="n">
        <v>6.625368536124821e-05</v>
      </c>
    </row>
    <row r="62" spans="1:12">
      <c r="A62" t="n">
        <v>51</v>
      </c>
      <c r="B62" s="4" t="n">
        <v>94.7244864348</v>
      </c>
      <c r="C62" s="7" t="n">
        <v>0.0001327022194534193</v>
      </c>
      <c r="E62" s="8" t="n">
        <v>51</v>
      </c>
      <c r="F62" s="8" t="n">
        <v>47</v>
      </c>
      <c r="G62" s="7" t="n">
        <v>6.487340024955555e-05</v>
      </c>
    </row>
    <row r="63" spans="1:12">
      <c r="A63" t="n">
        <v>52</v>
      </c>
      <c r="B63" s="4" t="n">
        <v>0</v>
      </c>
      <c r="C63" s="7" t="n">
        <v>0</v>
      </c>
      <c r="E63" s="8" t="n">
        <v>52</v>
      </c>
      <c r="F63" s="8" t="n">
        <v>38</v>
      </c>
      <c r="G63" s="7" t="n">
        <v>5.245083424432151e-05</v>
      </c>
    </row>
    <row r="64" spans="1:12">
      <c r="A64" t="n">
        <v>53</v>
      </c>
      <c r="B64" s="4" t="n">
        <v>0</v>
      </c>
      <c r="C64" s="7" t="n">
        <v>0</v>
      </c>
      <c r="E64" s="8" t="n">
        <v>53</v>
      </c>
      <c r="F64" s="8" t="n">
        <v>17</v>
      </c>
      <c r="G64" s="7" t="n">
        <v>2.346484689877541e-05</v>
      </c>
    </row>
    <row r="65" spans="1:12">
      <c r="A65" t="n">
        <v>54</v>
      </c>
      <c r="B65" s="4" t="n">
        <v>0</v>
      </c>
      <c r="C65" s="7" t="n">
        <v>0</v>
      </c>
      <c r="E65" s="8" t="n">
        <v>54</v>
      </c>
      <c r="F65" s="8" t="n">
        <v>28</v>
      </c>
      <c r="G65" s="7" t="n">
        <v>3.864798312739479e-05</v>
      </c>
    </row>
    <row r="66" spans="1:12">
      <c r="A66" t="n">
        <v>55</v>
      </c>
      <c r="B66" s="4" t="n">
        <v>0</v>
      </c>
      <c r="C66" s="7" t="n">
        <v>0</v>
      </c>
      <c r="E66" s="8" t="n">
        <v>55</v>
      </c>
      <c r="F66" s="8" t="n">
        <v>24</v>
      </c>
      <c r="G66" s="7" t="n">
        <v>3.312684268062411e-05</v>
      </c>
    </row>
    <row r="67" spans="1:12">
      <c r="A67" t="n">
        <v>56</v>
      </c>
      <c r="B67" s="4" t="n">
        <v>767.701778901</v>
      </c>
      <c r="C67" s="7" t="n">
        <v>0.001075495194250783</v>
      </c>
      <c r="E67" s="8" t="n">
        <v>56</v>
      </c>
      <c r="F67" s="8" t="n">
        <v>17</v>
      </c>
      <c r="G67" s="7" t="n">
        <v>2.346484689877541e-05</v>
      </c>
    </row>
    <row r="68" spans="1:12">
      <c r="A68" t="n">
        <v>57</v>
      </c>
      <c r="B68" s="4" t="n">
        <v>303.939138892</v>
      </c>
      <c r="C68" s="7" t="n">
        <v>0.0004257969594534718</v>
      </c>
      <c r="E68" s="8" t="n">
        <v>57</v>
      </c>
      <c r="F68" s="8" t="n">
        <v>13</v>
      </c>
      <c r="G68" s="7" t="n">
        <v>1.794370645200472e-05</v>
      </c>
    </row>
    <row r="69" spans="1:12">
      <c r="A69" t="n">
        <v>58</v>
      </c>
      <c r="B69" s="4" t="n">
        <v>0</v>
      </c>
      <c r="C69" s="7" t="n">
        <v>0</v>
      </c>
      <c r="E69" s="8" t="n">
        <v>58</v>
      </c>
      <c r="F69" s="8" t="n">
        <v>20</v>
      </c>
      <c r="G69" s="7" t="n">
        <v>2.760570223385342e-05</v>
      </c>
    </row>
    <row r="70" spans="1:12">
      <c r="A70" t="n">
        <v>59</v>
      </c>
      <c r="B70" s="4" t="n">
        <v>0</v>
      </c>
      <c r="C70" s="7" t="n">
        <v>0</v>
      </c>
      <c r="E70" s="8" t="n">
        <v>59</v>
      </c>
      <c r="F70" s="8" t="n">
        <v>6</v>
      </c>
      <c r="G70" s="7" t="n">
        <v>8.281710670156027e-06</v>
      </c>
    </row>
    <row r="71" spans="1:12">
      <c r="A71" t="n">
        <v>60</v>
      </c>
      <c r="B71" s="4" t="n">
        <v>0</v>
      </c>
      <c r="C71" s="7" t="n">
        <v>0</v>
      </c>
      <c r="E71" s="8" t="n">
        <v>60</v>
      </c>
      <c r="F71" s="8" t="n">
        <v>13</v>
      </c>
      <c r="G71" s="7" t="n">
        <v>1.794370645200472e-05</v>
      </c>
    </row>
    <row r="72" spans="1:12">
      <c r="A72" t="n">
        <v>61</v>
      </c>
      <c r="B72" s="4" t="n">
        <v>0</v>
      </c>
      <c r="C72" s="7" t="n">
        <v>0</v>
      </c>
      <c r="E72" s="8" t="n">
        <v>61</v>
      </c>
      <c r="F72" s="8" t="n">
        <v>4</v>
      </c>
      <c r="G72" s="7" t="n">
        <v>5.521140446770685e-06</v>
      </c>
    </row>
    <row r="73" spans="1:12">
      <c r="A73" t="n">
        <v>62</v>
      </c>
      <c r="B73" s="4" t="n">
        <v>0</v>
      </c>
      <c r="C73" s="7" t="n">
        <v>0</v>
      </c>
      <c r="E73" s="8" t="n">
        <v>62</v>
      </c>
      <c r="F73" s="8" t="n">
        <v>1</v>
      </c>
      <c r="G73" s="7" t="n">
        <v>1.380285111692671e-06</v>
      </c>
    </row>
    <row r="74" spans="1:12">
      <c r="A74" t="n">
        <v>63</v>
      </c>
      <c r="B74" s="4" t="n">
        <v>0</v>
      </c>
      <c r="C74" s="7" t="n">
        <v>0</v>
      </c>
      <c r="E74" s="8" t="n">
        <v>63</v>
      </c>
      <c r="F74" s="8" t="n">
        <v>2</v>
      </c>
      <c r="G74" s="7" t="n">
        <v>2.760570223385342e-06</v>
      </c>
    </row>
    <row r="75" spans="1:12">
      <c r="A75" t="n">
        <v>64</v>
      </c>
      <c r="B75" s="4" t="n">
        <v>0</v>
      </c>
      <c r="C75" s="7" t="n">
        <v>0</v>
      </c>
      <c r="E75" s="8" t="n">
        <v>64</v>
      </c>
      <c r="F75" s="8" t="n">
        <v>2</v>
      </c>
      <c r="G75" s="7" t="n">
        <v>2.760570223385342e-06</v>
      </c>
    </row>
    <row r="76" spans="1:12">
      <c r="A76" t="n">
        <v>65</v>
      </c>
      <c r="B76" s="4" t="n">
        <v>0</v>
      </c>
      <c r="C76" s="7" t="n">
        <v>0</v>
      </c>
      <c r="E76" s="8" t="n">
        <v>65</v>
      </c>
      <c r="F76" s="8" t="n">
        <v>0</v>
      </c>
      <c r="G76" s="7" t="n">
        <v>0</v>
      </c>
    </row>
    <row r="77" spans="1:12">
      <c r="A77" t="n">
        <v>66</v>
      </c>
      <c r="B77" s="4" t="n">
        <v>0</v>
      </c>
      <c r="C77" s="7" t="n">
        <v>0</v>
      </c>
      <c r="E77" s="8" t="n">
        <v>66</v>
      </c>
      <c r="F77" s="8" t="n">
        <v>1</v>
      </c>
      <c r="G77" s="7" t="n">
        <v>1.380285111692671e-06</v>
      </c>
    </row>
    <row r="78" spans="1:12">
      <c r="A78" t="n">
        <v>67</v>
      </c>
      <c r="B78" s="4" t="n">
        <v>0</v>
      </c>
      <c r="C78" s="7" t="n">
        <v>0</v>
      </c>
      <c r="E78" s="8" t="n">
        <v>67</v>
      </c>
      <c r="F78" s="8" t="n">
        <v>0</v>
      </c>
      <c r="G78" s="7" t="n">
        <v>0</v>
      </c>
    </row>
    <row r="79" spans="1:12">
      <c r="A79" t="n">
        <v>68</v>
      </c>
      <c r="B79" s="4" t="n">
        <v>0</v>
      </c>
      <c r="C79" s="7" t="n">
        <v>0</v>
      </c>
      <c r="E79" s="8" t="n">
        <v>68</v>
      </c>
      <c r="F79" s="8" t="n">
        <v>0</v>
      </c>
      <c r="G79" s="7" t="n">
        <v>0</v>
      </c>
    </row>
    <row r="80" spans="1:12">
      <c r="A80" t="n">
        <v>69</v>
      </c>
      <c r="B80" s="4" t="n">
        <v>376.597523036</v>
      </c>
      <c r="C80" s="7" t="n">
        <v>0.0005275861504082793</v>
      </c>
      <c r="E80" s="8" t="n">
        <v>69</v>
      </c>
      <c r="F80" s="8" t="n">
        <v>0</v>
      </c>
      <c r="G80" s="7" t="n">
        <v>0</v>
      </c>
    </row>
    <row r="81" spans="1:12">
      <c r="A81" t="n">
        <v>70</v>
      </c>
      <c r="B81" s="4" t="n">
        <v>0</v>
      </c>
      <c r="C81" s="7" t="n">
        <v>0</v>
      </c>
      <c r="E81" s="8" t="n">
        <v>70</v>
      </c>
      <c r="F81" s="8" t="n">
        <v>1</v>
      </c>
      <c r="G81" s="7" t="n">
        <v>1.380285111692671e-06</v>
      </c>
    </row>
    <row r="82" spans="1:12">
      <c r="A82" t="n">
        <v>71</v>
      </c>
      <c r="B82" s="4" t="n">
        <v>0</v>
      </c>
      <c r="C82" s="7" t="n">
        <v>0</v>
      </c>
      <c r="E82" s="8" t="n">
        <v>71</v>
      </c>
      <c r="F82" s="8" t="n">
        <v>1</v>
      </c>
      <c r="G82" s="7" t="n">
        <v>1.380285111692671e-06</v>
      </c>
    </row>
    <row r="83" spans="1:12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0</v>
      </c>
    </row>
    <row r="84" spans="1:12">
      <c r="A84" t="n">
        <v>73</v>
      </c>
      <c r="B84" s="4" t="n">
        <v>224.140299381</v>
      </c>
      <c r="C84" s="7" t="n">
        <v>0.0003140045020701766</v>
      </c>
      <c r="E84" s="8" t="n">
        <v>73</v>
      </c>
      <c r="F84" s="8" t="n">
        <v>0</v>
      </c>
      <c r="G84" s="7" t="n">
        <v>0</v>
      </c>
    </row>
    <row r="85" spans="1:12">
      <c r="A85" t="n">
        <v>74</v>
      </c>
      <c r="B85" s="4" t="n">
        <v>0</v>
      </c>
      <c r="C85" s="7" t="n">
        <v>0</v>
      </c>
      <c r="E85" s="8" t="n">
        <v>74</v>
      </c>
      <c r="F85" s="8" t="n">
        <v>1</v>
      </c>
      <c r="G85" s="7" t="n">
        <v>1.380285111692671e-06</v>
      </c>
    </row>
    <row r="86" spans="1:12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 spans="1:12">
      <c r="A87" t="n">
        <v>76</v>
      </c>
      <c r="B87" s="4" t="n">
        <v>0</v>
      </c>
      <c r="C87" s="7" t="n">
        <v>0</v>
      </c>
      <c r="E87" s="8" t="n">
        <v>76</v>
      </c>
      <c r="F87" s="8" t="n">
        <v>0</v>
      </c>
      <c r="G87" s="7" t="n">
        <v>0</v>
      </c>
    </row>
    <row r="88" spans="1:12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 spans="1:12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 spans="1:12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 spans="1:12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 spans="1:1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 spans="1:12">
      <c r="A93" t="n">
        <v>82</v>
      </c>
      <c r="B93" s="4" t="n">
        <v>0</v>
      </c>
      <c r="C93" s="7" t="n">
        <v>0</v>
      </c>
      <c r="E93" s="8" t="n">
        <v>82</v>
      </c>
      <c r="F93" s="8" t="n">
        <v>0</v>
      </c>
      <c r="G93" s="7" t="n">
        <v>0</v>
      </c>
    </row>
    <row r="94" spans="1:12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 spans="1:12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 spans="1:12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 spans="1:12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 spans="1:12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 spans="1:12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 spans="1:12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customHeight="1" ht="15.75" r="101" s="11" spans="1:12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1</v>
      </c>
      <c r="G101" s="7" t="n">
        <v>1.380285111692671e-06</v>
      </c>
    </row>
    <row r="102" spans="1:12">
      <c r="B102" s="4" t="n">
        <v>713812.3749923405</v>
      </c>
      <c r="C102" s="7" t="n">
        <v>1</v>
      </c>
      <c r="F102" s="4" t="n">
        <v>724488</v>
      </c>
      <c r="G102" s="7" t="n">
        <v>1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 outlineLevelCol="0"/>
  <cols>
    <col collapsed="1" customWidth="1" max="1" min="1" style="11" width="13.5703125"/>
    <col collapsed="1" customWidth="1" max="2" min="2" style="11" width="9.5703125"/>
    <col collapsed="1" customWidth="1" max="6" min="6" style="11" width="9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1" spans="1:12">
      <c r="A9" s="3" t="s">
        <v>6</v>
      </c>
      <c r="B9" s="1" t="n"/>
      <c r="E9" s="3" t="s">
        <v>7</v>
      </c>
      <c r="F9" s="1" t="n"/>
      <c r="J9" s="6" t="s">
        <v>16</v>
      </c>
    </row>
    <row r="10" spans="1:12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11</v>
      </c>
      <c r="J10" s="2" t="n"/>
      <c r="K10" s="10" t="s">
        <v>10</v>
      </c>
      <c r="L10" s="10" t="s">
        <v>11</v>
      </c>
    </row>
    <row r="11" spans="1:12">
      <c r="A11" t="n">
        <v>0</v>
      </c>
      <c r="B11" s="4" t="n">
        <v>17690.6551255313</v>
      </c>
      <c r="C11" s="7" t="n">
        <v>0.2201750437048253</v>
      </c>
      <c r="E11" s="8" t="n">
        <v>0</v>
      </c>
      <c r="F11" s="8" t="n">
        <v>24148</v>
      </c>
      <c r="G11" s="7" t="n">
        <v>0.118486388883437</v>
      </c>
      <c r="K11" s="4" t="n">
        <v>4.993831860891899</v>
      </c>
      <c r="L11" s="4" t="n">
        <v>8.251599704033636</v>
      </c>
    </row>
    <row r="12" spans="1:12">
      <c r="A12" t="n">
        <v>1</v>
      </c>
      <c r="B12" s="4" t="n">
        <v>17124.2394432038</v>
      </c>
      <c r="C12" s="7" t="n">
        <v>0.21312552537288</v>
      </c>
      <c r="E12" s="8" t="n">
        <v>1</v>
      </c>
      <c r="F12" s="8" t="n">
        <v>19951</v>
      </c>
      <c r="G12" s="7" t="n">
        <v>0.09789307373751251</v>
      </c>
      <c r="K12" s="4" t="n"/>
      <c r="L12" s="8" t="n"/>
    </row>
    <row r="13" spans="1:12">
      <c r="A13" t="n">
        <v>2</v>
      </c>
      <c r="B13" s="4" t="n">
        <v>7228.1700902274</v>
      </c>
      <c r="C13" s="7" t="n">
        <v>0.08996064047537261</v>
      </c>
      <c r="E13" s="8" t="n">
        <v>2</v>
      </c>
      <c r="F13" s="8" t="n">
        <v>12888</v>
      </c>
      <c r="G13" s="7" t="n">
        <v>0.06323722792486899</v>
      </c>
    </row>
    <row r="14" spans="1:12">
      <c r="A14" t="n">
        <v>3</v>
      </c>
      <c r="B14" s="4" t="n">
        <v>7803.3832071221</v>
      </c>
      <c r="C14" s="7" t="n">
        <v>0.09711965026066319</v>
      </c>
      <c r="E14" s="8" t="n">
        <v>3</v>
      </c>
      <c r="F14" s="8" t="n">
        <v>10312</v>
      </c>
      <c r="G14" s="7" t="n">
        <v>0.05059763301996036</v>
      </c>
    </row>
    <row r="15" spans="1:12">
      <c r="A15" t="n">
        <v>4</v>
      </c>
      <c r="B15" s="4" t="n">
        <v>5648.239209787</v>
      </c>
      <c r="C15" s="7" t="n">
        <v>0.07029707526633003</v>
      </c>
      <c r="E15" s="8" t="n">
        <v>4</v>
      </c>
      <c r="F15" s="8" t="n">
        <v>22641</v>
      </c>
      <c r="G15" s="7" t="n">
        <v>0.1110920295970639</v>
      </c>
    </row>
    <row r="16" spans="1:12">
      <c r="A16" t="n">
        <v>5</v>
      </c>
      <c r="B16" s="4" t="n">
        <v>6006.366500939</v>
      </c>
      <c r="C16" s="7" t="n">
        <v>0.07475426983723567</v>
      </c>
      <c r="E16" s="8" t="n">
        <v>5</v>
      </c>
      <c r="F16" s="8" t="n">
        <v>14219</v>
      </c>
      <c r="G16" s="7" t="n">
        <v>0.0697680124040745</v>
      </c>
    </row>
    <row r="17" spans="1:12">
      <c r="A17" t="n">
        <v>6</v>
      </c>
      <c r="B17" s="4" t="n">
        <v>2475.9821996355</v>
      </c>
      <c r="C17" s="7" t="n">
        <v>0.03081567557271248</v>
      </c>
      <c r="E17" s="8" t="n">
        <v>6</v>
      </c>
      <c r="F17" s="8" t="n">
        <v>15512</v>
      </c>
      <c r="G17" s="7" t="n">
        <v>0.07611234323173245</v>
      </c>
    </row>
    <row r="18" spans="1:12">
      <c r="A18" t="n">
        <v>7</v>
      </c>
      <c r="B18" s="4" t="n">
        <v>622.248414605</v>
      </c>
      <c r="C18" s="7" t="n">
        <v>0.007744403523145362</v>
      </c>
      <c r="E18" s="8" t="n">
        <v>7</v>
      </c>
      <c r="F18" s="8" t="n">
        <v>8017</v>
      </c>
      <c r="G18" s="7" t="n">
        <v>0.03933681380149556</v>
      </c>
    </row>
    <row r="19" spans="1:12">
      <c r="A19" t="n">
        <v>8</v>
      </c>
      <c r="B19" s="4" t="n">
        <v>785.551886675</v>
      </c>
      <c r="C19" s="7" t="n">
        <v>0.009776852228126949</v>
      </c>
      <c r="E19" s="8" t="n">
        <v>8</v>
      </c>
      <c r="F19" s="8" t="n">
        <v>9070</v>
      </c>
      <c r="G19" s="7" t="n">
        <v>0.0445035426193794</v>
      </c>
    </row>
    <row r="20" spans="1:12">
      <c r="A20" t="n">
        <v>9</v>
      </c>
      <c r="B20" s="4" t="n">
        <v>1281.08180092</v>
      </c>
      <c r="C20" s="7" t="n">
        <v>0.01594413771030688</v>
      </c>
      <c r="E20" s="8" t="n">
        <v>9</v>
      </c>
      <c r="F20" s="8" t="n">
        <v>5831</v>
      </c>
      <c r="G20" s="7" t="n">
        <v>0.02861082216246982</v>
      </c>
    </row>
    <row r="21" spans="1:12">
      <c r="A21" t="n">
        <v>10</v>
      </c>
      <c r="B21" s="4" t="n">
        <v>195.446561408</v>
      </c>
      <c r="C21" s="7" t="n">
        <v>0.00243249641658886</v>
      </c>
      <c r="E21" s="8" t="n">
        <v>10</v>
      </c>
      <c r="F21" s="8" t="n">
        <v>5140</v>
      </c>
      <c r="G21" s="7" t="n">
        <v>0.02522030970932857</v>
      </c>
    </row>
    <row r="22" spans="1:12">
      <c r="A22" t="n">
        <v>11</v>
      </c>
      <c r="B22" s="4" t="n">
        <v>2084.968877218</v>
      </c>
      <c r="C22" s="7" t="n">
        <v>0.02594918675465881</v>
      </c>
      <c r="E22" s="8" t="n">
        <v>11</v>
      </c>
      <c r="F22" s="8" t="n">
        <v>5185</v>
      </c>
      <c r="G22" s="7" t="n">
        <v>0.02544111008616121</v>
      </c>
    </row>
    <row r="23" spans="1:12">
      <c r="A23" t="n">
        <v>12</v>
      </c>
      <c r="B23" s="4" t="n">
        <v>538.968377424</v>
      </c>
      <c r="C23" s="7" t="n">
        <v>0.006707913596912883</v>
      </c>
      <c r="E23" s="8" t="n">
        <v>12</v>
      </c>
      <c r="F23" s="8" t="n">
        <v>5101</v>
      </c>
      <c r="G23" s="7" t="n">
        <v>0.02502894938274028</v>
      </c>
    </row>
    <row r="24" spans="1:12">
      <c r="A24" t="n">
        <v>13</v>
      </c>
      <c r="B24" s="4" t="n">
        <v>198.734123894</v>
      </c>
      <c r="C24" s="7" t="n">
        <v>0.002473412889659026</v>
      </c>
      <c r="E24" s="8" t="n">
        <v>13</v>
      </c>
      <c r="F24" s="8" t="n">
        <v>4936</v>
      </c>
      <c r="G24" s="7" t="n">
        <v>0.02421934800102059</v>
      </c>
    </row>
    <row r="25" spans="1:12">
      <c r="A25" t="n">
        <v>14</v>
      </c>
      <c r="B25" s="4" t="n">
        <v>1621.540989168</v>
      </c>
      <c r="C25" s="7" t="n">
        <v>0.02018143791882369</v>
      </c>
      <c r="E25" s="8" t="n">
        <v>14</v>
      </c>
      <c r="F25" s="8" t="n">
        <v>4340</v>
      </c>
      <c r="G25" s="7" t="n">
        <v>0.02129496967674825</v>
      </c>
    </row>
    <row r="26" spans="1:12">
      <c r="A26" t="n">
        <v>15</v>
      </c>
      <c r="B26" s="4" t="n">
        <v>634.003120299</v>
      </c>
      <c r="C26" s="7" t="n">
        <v>0.007890700696514518</v>
      </c>
      <c r="E26" s="8" t="n">
        <v>15</v>
      </c>
      <c r="F26" s="8" t="n">
        <v>4685</v>
      </c>
      <c r="G26" s="7" t="n">
        <v>0.02298777256579851</v>
      </c>
    </row>
    <row r="27" spans="1:12">
      <c r="A27" t="n">
        <v>16</v>
      </c>
      <c r="B27" s="4" t="n">
        <v>490.984563626</v>
      </c>
      <c r="C27" s="7" t="n">
        <v>0.006110714780637753</v>
      </c>
      <c r="E27" s="8" t="n">
        <v>16</v>
      </c>
      <c r="F27" s="8" t="n">
        <v>4035</v>
      </c>
      <c r="G27" s="7" t="n">
        <v>0.019798433789327</v>
      </c>
    </row>
    <row r="28" spans="1:12">
      <c r="A28" t="n">
        <v>17</v>
      </c>
      <c r="B28" s="4" t="n">
        <v>0</v>
      </c>
      <c r="C28" s="7" t="n">
        <v>0</v>
      </c>
      <c r="E28" s="8" t="n">
        <v>17</v>
      </c>
      <c r="F28" s="8" t="n">
        <v>3519</v>
      </c>
      <c r="G28" s="7" t="n">
        <v>0.01726658946831269</v>
      </c>
    </row>
    <row r="29" spans="1:12">
      <c r="A29" t="n">
        <v>18</v>
      </c>
      <c r="B29" s="4" t="n">
        <v>767.7199127419999</v>
      </c>
      <c r="C29" s="7" t="n">
        <v>0.009554918353311011</v>
      </c>
      <c r="E29" s="8" t="n">
        <v>18</v>
      </c>
      <c r="F29" s="8" t="n">
        <v>3206</v>
      </c>
      <c r="G29" s="7" t="n">
        <v>0.01573080018056564</v>
      </c>
    </row>
    <row r="30" spans="1:12">
      <c r="A30" t="n">
        <v>19</v>
      </c>
      <c r="B30" s="4" t="n">
        <v>3553.899831225</v>
      </c>
      <c r="C30" s="7" t="n">
        <v>0.04423126476154374</v>
      </c>
      <c r="E30" s="8" t="n">
        <v>19</v>
      </c>
      <c r="F30" s="8" t="n">
        <v>2672</v>
      </c>
      <c r="G30" s="7" t="n">
        <v>0.01311063570881828</v>
      </c>
    </row>
    <row r="31" spans="1:12">
      <c r="A31" t="n">
        <v>20</v>
      </c>
      <c r="B31" s="4" t="n">
        <v>842.220796176</v>
      </c>
      <c r="C31" s="7" t="n">
        <v>0.01048214434634141</v>
      </c>
      <c r="E31" s="8" t="n">
        <v>20</v>
      </c>
      <c r="F31" s="8" t="n">
        <v>2520</v>
      </c>
      <c r="G31" s="7" t="n">
        <v>0.01236482110262802</v>
      </c>
    </row>
    <row r="32" spans="1:12">
      <c r="A32" t="n">
        <v>21</v>
      </c>
      <c r="B32" s="4" t="n">
        <v>187.462250712</v>
      </c>
      <c r="C32" s="7" t="n">
        <v>0.002333124971949276</v>
      </c>
      <c r="E32" s="8" t="n">
        <v>21</v>
      </c>
      <c r="F32" s="8" t="n">
        <v>2224</v>
      </c>
      <c r="G32" s="7" t="n">
        <v>0.0109124452905733</v>
      </c>
    </row>
    <row r="33" spans="1:12">
      <c r="A33" t="n">
        <v>22</v>
      </c>
      <c r="B33" s="4" t="n">
        <v>1310.847583535</v>
      </c>
      <c r="C33" s="7" t="n">
        <v>0.0163145978454269</v>
      </c>
      <c r="E33" s="8" t="n">
        <v>22</v>
      </c>
      <c r="F33" s="8" t="n">
        <v>2021</v>
      </c>
      <c r="G33" s="7" t="n">
        <v>0.00991639025730604</v>
      </c>
    </row>
    <row r="34" spans="1:12">
      <c r="A34" t="n">
        <v>23</v>
      </c>
      <c r="B34" s="4" t="n">
        <v>0</v>
      </c>
      <c r="C34" s="7" t="n">
        <v>0</v>
      </c>
      <c r="E34" s="8" t="n">
        <v>23</v>
      </c>
      <c r="F34" s="8" t="n">
        <v>1820</v>
      </c>
      <c r="G34" s="7" t="n">
        <v>0.008930148574120233</v>
      </c>
    </row>
    <row r="35" spans="1:12">
      <c r="A35" t="n">
        <v>24</v>
      </c>
      <c r="B35" s="4" t="n">
        <v>0</v>
      </c>
      <c r="C35" s="7" t="n">
        <v>0</v>
      </c>
      <c r="E35" s="8" t="n">
        <v>24</v>
      </c>
      <c r="F35" s="8" t="n">
        <v>1624</v>
      </c>
      <c r="G35" s="7" t="n">
        <v>0.007968440266138055</v>
      </c>
    </row>
    <row r="36" spans="1:12">
      <c r="A36" t="n">
        <v>25</v>
      </c>
      <c r="B36" s="4" t="n">
        <v>0</v>
      </c>
      <c r="C36" s="7" t="n">
        <v>0</v>
      </c>
      <c r="E36" s="8" t="n">
        <v>25</v>
      </c>
      <c r="F36" s="8" t="n">
        <v>1154</v>
      </c>
      <c r="G36" s="7" t="n">
        <v>0.005662302996997115</v>
      </c>
    </row>
    <row r="37" spans="1:12">
      <c r="A37" t="n">
        <v>26</v>
      </c>
      <c r="B37" s="4" t="n">
        <v>0</v>
      </c>
      <c r="C37" s="7" t="n">
        <v>0</v>
      </c>
      <c r="E37" s="8" t="n">
        <v>26</v>
      </c>
      <c r="F37" s="8" t="n">
        <v>964</v>
      </c>
      <c r="G37" s="7" t="n">
        <v>0.004730034739259288</v>
      </c>
    </row>
    <row r="38" spans="1:12">
      <c r="A38" t="n">
        <v>27</v>
      </c>
      <c r="B38" s="4" t="n">
        <v>0</v>
      </c>
      <c r="C38" s="7" t="n">
        <v>0</v>
      </c>
      <c r="E38" s="8" t="n">
        <v>27</v>
      </c>
      <c r="F38" s="8" t="n">
        <v>849</v>
      </c>
      <c r="G38" s="7" t="n">
        <v>0.004165767109575867</v>
      </c>
    </row>
    <row r="39" spans="1:12">
      <c r="A39" t="n">
        <v>28</v>
      </c>
      <c r="B39" s="4" t="n">
        <v>0</v>
      </c>
      <c r="C39" s="7" t="n">
        <v>0</v>
      </c>
      <c r="E39" s="8" t="n">
        <v>28</v>
      </c>
      <c r="F39" s="8" t="n">
        <v>753</v>
      </c>
      <c r="G39" s="7" t="n">
        <v>0.003694726305666228</v>
      </c>
    </row>
    <row r="40" spans="1:12">
      <c r="A40" t="n">
        <v>29</v>
      </c>
      <c r="B40" s="4" t="n">
        <v>0</v>
      </c>
      <c r="C40" s="7" t="n">
        <v>0</v>
      </c>
      <c r="E40" s="8" t="n">
        <v>29</v>
      </c>
      <c r="F40" s="8" t="n">
        <v>753</v>
      </c>
      <c r="G40" s="7" t="n">
        <v>0.003694726305666228</v>
      </c>
    </row>
    <row r="41" spans="1:12">
      <c r="A41" t="n">
        <v>30</v>
      </c>
      <c r="B41" s="4" t="n">
        <v>0</v>
      </c>
      <c r="C41" s="7" t="n">
        <v>0</v>
      </c>
      <c r="E41" s="8" t="n">
        <v>30</v>
      </c>
      <c r="F41" s="8" t="n">
        <v>570</v>
      </c>
      <c r="G41" s="7" t="n">
        <v>0.00279680477321348</v>
      </c>
    </row>
    <row r="42" spans="1:12">
      <c r="A42" t="n">
        <v>31</v>
      </c>
      <c r="B42" s="4" t="n">
        <v>0</v>
      </c>
      <c r="C42" s="7" t="n">
        <v>0</v>
      </c>
      <c r="E42" s="8" t="n">
        <v>31</v>
      </c>
      <c r="F42" s="8" t="n">
        <v>418</v>
      </c>
      <c r="G42" s="7" t="n">
        <v>0.002050990167023219</v>
      </c>
    </row>
    <row r="43" spans="1:12">
      <c r="A43" t="n">
        <v>32</v>
      </c>
      <c r="B43" s="4" t="n">
        <v>0</v>
      </c>
      <c r="C43" s="7" t="n">
        <v>0</v>
      </c>
      <c r="E43" s="8" t="n">
        <v>32</v>
      </c>
      <c r="F43" s="8" t="n">
        <v>427</v>
      </c>
      <c r="G43" s="7" t="n">
        <v>0.002095150242389747</v>
      </c>
    </row>
    <row r="44" spans="1:12">
      <c r="A44" t="n">
        <v>33</v>
      </c>
      <c r="B44" s="4" t="n">
        <v>411.941406586</v>
      </c>
      <c r="C44" s="7" t="n">
        <v>0.005126956382073263</v>
      </c>
      <c r="E44" s="8" t="n">
        <v>33</v>
      </c>
      <c r="F44" s="8" t="n">
        <v>434</v>
      </c>
      <c r="G44" s="7" t="n">
        <v>0.002129496967674825</v>
      </c>
    </row>
    <row r="45" spans="1:12">
      <c r="A45" t="n">
        <v>34</v>
      </c>
      <c r="B45" s="4" t="n">
        <v>0</v>
      </c>
      <c r="C45" s="7" t="n">
        <v>0</v>
      </c>
      <c r="E45" s="8" t="n">
        <v>34</v>
      </c>
      <c r="F45" s="8" t="n">
        <v>243</v>
      </c>
      <c r="G45" s="7" t="n">
        <v>0.001192322034896273</v>
      </c>
    </row>
    <row r="46" spans="1:12">
      <c r="A46" t="n">
        <v>35</v>
      </c>
      <c r="B46" s="4" t="n">
        <v>619.342925768</v>
      </c>
      <c r="C46" s="7" t="n">
        <v>0.007708242277158088</v>
      </c>
      <c r="E46" s="8" t="n">
        <v>35</v>
      </c>
      <c r="F46" s="8" t="n">
        <v>176</v>
      </c>
      <c r="G46" s="7" t="n">
        <v>0.0008635748071676709</v>
      </c>
    </row>
    <row r="47" spans="1:12">
      <c r="A47" t="n">
        <v>36</v>
      </c>
      <c r="B47" s="4" t="n">
        <v>0</v>
      </c>
      <c r="C47" s="7" t="n">
        <v>0</v>
      </c>
      <c r="E47" s="8" t="n">
        <v>36</v>
      </c>
      <c r="F47" s="8" t="n">
        <v>250</v>
      </c>
      <c r="G47" s="7" t="n">
        <v>0.001226668760181351</v>
      </c>
    </row>
    <row r="48" spans="1:12">
      <c r="A48" t="n">
        <v>37</v>
      </c>
      <c r="B48" s="4" t="n">
        <v>0</v>
      </c>
      <c r="C48" s="7" t="n">
        <v>0</v>
      </c>
      <c r="E48" s="8" t="n">
        <v>37</v>
      </c>
      <c r="F48" s="8" t="n">
        <v>198</v>
      </c>
      <c r="G48" s="7" t="n">
        <v>0.0009715216580636298</v>
      </c>
    </row>
    <row r="49" spans="1:12">
      <c r="A49" t="n">
        <v>38</v>
      </c>
      <c r="B49" s="4" t="n">
        <v>0</v>
      </c>
      <c r="C49" s="7" t="n">
        <v>0</v>
      </c>
      <c r="E49" s="8" t="n">
        <v>38</v>
      </c>
      <c r="F49" s="8" t="n">
        <v>195</v>
      </c>
      <c r="G49" s="7" t="n">
        <v>0.0009568016329414536</v>
      </c>
    </row>
    <row r="50" spans="1:12">
      <c r="A50" t="n">
        <v>39</v>
      </c>
      <c r="B50" s="4" t="n">
        <v>0</v>
      </c>
      <c r="C50" s="7" t="n">
        <v>0</v>
      </c>
      <c r="E50" s="8" t="n">
        <v>39</v>
      </c>
      <c r="F50" s="8" t="n">
        <v>147</v>
      </c>
      <c r="G50" s="7" t="n">
        <v>0.0007212812309866342</v>
      </c>
    </row>
    <row r="51" spans="1:12">
      <c r="A51" t="n">
        <v>40</v>
      </c>
      <c r="B51" s="4" t="n">
        <v>0</v>
      </c>
      <c r="C51" s="7" t="n">
        <v>0</v>
      </c>
      <c r="E51" s="8" t="n">
        <v>40</v>
      </c>
      <c r="F51" s="8" t="n">
        <v>123</v>
      </c>
      <c r="G51" s="7" t="n">
        <v>0.0006035210300092246</v>
      </c>
    </row>
    <row r="52" spans="1:12">
      <c r="A52" t="n">
        <v>41</v>
      </c>
      <c r="B52" s="4" t="n">
        <v>0</v>
      </c>
      <c r="C52" s="7" t="n">
        <v>0</v>
      </c>
      <c r="E52" s="8" t="n">
        <v>41</v>
      </c>
      <c r="F52" s="8" t="n">
        <v>99</v>
      </c>
      <c r="G52" s="7" t="n">
        <v>0.0004857608290318149</v>
      </c>
    </row>
    <row r="53" spans="1:12">
      <c r="A53" t="n">
        <v>42</v>
      </c>
      <c r="B53" s="4" t="n">
        <v>0</v>
      </c>
      <c r="C53" s="7" t="n">
        <v>0</v>
      </c>
      <c r="E53" s="8" t="n">
        <v>42</v>
      </c>
      <c r="F53" s="8" t="n">
        <v>63</v>
      </c>
      <c r="G53" s="7" t="n">
        <v>0.0003091205275657004</v>
      </c>
    </row>
    <row r="54" spans="1:12">
      <c r="A54" t="n">
        <v>43</v>
      </c>
      <c r="B54" s="4" t="n">
        <v>0</v>
      </c>
      <c r="C54" s="7" t="n">
        <v>0</v>
      </c>
      <c r="E54" s="8" t="n">
        <v>43</v>
      </c>
      <c r="F54" s="8" t="n">
        <v>31</v>
      </c>
      <c r="G54" s="7" t="n">
        <v>0.0001521069262624875</v>
      </c>
    </row>
    <row r="55" spans="1:12">
      <c r="A55" t="n">
        <v>44</v>
      </c>
      <c r="B55" s="4" t="n">
        <v>0</v>
      </c>
      <c r="C55" s="7" t="n">
        <v>0</v>
      </c>
      <c r="E55" s="8" t="n">
        <v>44</v>
      </c>
      <c r="F55" s="8" t="n">
        <v>55</v>
      </c>
      <c r="G55" s="7" t="n">
        <v>0.0002698671272398971</v>
      </c>
    </row>
    <row r="56" spans="1:12">
      <c r="A56" t="n">
        <v>45</v>
      </c>
      <c r="B56" s="4" t="n">
        <v>0</v>
      </c>
      <c r="C56" s="7" t="n">
        <v>0</v>
      </c>
      <c r="E56" s="8" t="n">
        <v>45</v>
      </c>
      <c r="F56" s="8" t="n">
        <v>49</v>
      </c>
      <c r="G56" s="7" t="n">
        <v>0.0002404270769955447</v>
      </c>
    </row>
    <row r="57" spans="1:12">
      <c r="A57" t="n">
        <v>46</v>
      </c>
      <c r="B57" s="4" t="n">
        <v>0</v>
      </c>
      <c r="C57" s="7" t="n">
        <v>0</v>
      </c>
      <c r="E57" s="8" t="n">
        <v>46</v>
      </c>
      <c r="F57" s="8" t="n">
        <v>41</v>
      </c>
      <c r="G57" s="7" t="n">
        <v>0.0002011736766697415</v>
      </c>
    </row>
    <row r="58" spans="1:12">
      <c r="A58" t="n">
        <v>47</v>
      </c>
      <c r="B58" s="4" t="n">
        <v>0</v>
      </c>
      <c r="C58" s="7" t="n">
        <v>0</v>
      </c>
      <c r="E58" s="8" t="n">
        <v>47</v>
      </c>
      <c r="F58" s="8" t="n">
        <v>27</v>
      </c>
      <c r="G58" s="7" t="n">
        <v>0.0001324802260995859</v>
      </c>
    </row>
    <row r="59" spans="1:12">
      <c r="A59" t="n">
        <v>48</v>
      </c>
      <c r="B59" s="4" t="n">
        <v>0</v>
      </c>
      <c r="C59" s="7" t="n">
        <v>0</v>
      </c>
      <c r="E59" s="8" t="n">
        <v>48</v>
      </c>
      <c r="F59" s="8" t="n">
        <v>33</v>
      </c>
      <c r="G59" s="7" t="n">
        <v>0.0001619202763439383</v>
      </c>
    </row>
    <row r="60" spans="1:12">
      <c r="A60" t="n">
        <v>49</v>
      </c>
      <c r="B60" s="4" t="n">
        <v>0</v>
      </c>
      <c r="C60" s="7" t="n">
        <v>0</v>
      </c>
      <c r="E60" s="8" t="n">
        <v>49</v>
      </c>
      <c r="F60" s="8" t="n">
        <v>16</v>
      </c>
      <c r="G60" s="7" t="n">
        <v>7.850680065160644e-05</v>
      </c>
    </row>
    <row r="61" spans="1:12">
      <c r="A61" t="n">
        <v>50</v>
      </c>
      <c r="B61" s="4" t="n">
        <v>0</v>
      </c>
      <c r="C61" s="7" t="n">
        <v>0</v>
      </c>
      <c r="E61" s="8" t="n">
        <v>50</v>
      </c>
      <c r="F61" s="8" t="n">
        <v>22</v>
      </c>
      <c r="G61" s="7" t="n">
        <v>0.0001079468508959589</v>
      </c>
    </row>
    <row r="62" spans="1:12">
      <c r="A62" t="n">
        <v>51</v>
      </c>
      <c r="B62" s="4" t="n">
        <v>0</v>
      </c>
      <c r="C62" s="7" t="n">
        <v>0</v>
      </c>
      <c r="E62" s="8" t="n">
        <v>51</v>
      </c>
      <c r="F62" s="8" t="n">
        <v>26</v>
      </c>
      <c r="G62" s="7" t="n">
        <v>0.0001275735510588605</v>
      </c>
    </row>
    <row r="63" spans="1:12">
      <c r="A63" t="n">
        <v>52</v>
      </c>
      <c r="B63" s="4" t="n">
        <v>0</v>
      </c>
      <c r="C63" s="7" t="n">
        <v>0</v>
      </c>
      <c r="E63" s="8" t="n">
        <v>52</v>
      </c>
      <c r="F63" s="8" t="n">
        <v>13</v>
      </c>
      <c r="G63" s="7" t="n">
        <v>6.378677552943024e-05</v>
      </c>
    </row>
    <row r="64" spans="1:12">
      <c r="A64" t="n">
        <v>53</v>
      </c>
      <c r="B64" s="4" t="n">
        <v>0</v>
      </c>
      <c r="C64" s="7" t="n">
        <v>0</v>
      </c>
      <c r="E64" s="8" t="n">
        <v>53</v>
      </c>
      <c r="F64" s="8" t="n">
        <v>8</v>
      </c>
      <c r="G64" s="7" t="n">
        <v>3.925340032580322e-05</v>
      </c>
    </row>
    <row r="65" spans="1:12">
      <c r="A65" t="n">
        <v>54</v>
      </c>
      <c r="B65" s="4" t="n">
        <v>0</v>
      </c>
      <c r="C65" s="7" t="n">
        <v>0</v>
      </c>
      <c r="E65" s="8" t="n">
        <v>54</v>
      </c>
      <c r="F65" s="8" t="n">
        <v>9</v>
      </c>
      <c r="G65" s="7" t="n">
        <v>4.416007536652863e-05</v>
      </c>
    </row>
    <row r="66" spans="1:12">
      <c r="A66" t="n">
        <v>55</v>
      </c>
      <c r="B66" s="4" t="n">
        <v>0</v>
      </c>
      <c r="C66" s="7" t="n">
        <v>0</v>
      </c>
      <c r="E66" s="8" t="n">
        <v>55</v>
      </c>
      <c r="F66" s="8" t="n">
        <v>5</v>
      </c>
      <c r="G66" s="7" t="n">
        <v>2.453337520362701e-05</v>
      </c>
    </row>
    <row r="67" spans="1:12">
      <c r="A67" t="n">
        <v>56</v>
      </c>
      <c r="B67" s="4" t="n">
        <v>0</v>
      </c>
      <c r="C67" s="7" t="n">
        <v>0</v>
      </c>
      <c r="E67" s="8" t="n">
        <v>56</v>
      </c>
      <c r="F67" s="8" t="n">
        <v>10</v>
      </c>
      <c r="G67" s="7" t="n">
        <v>4.906675040725403e-05</v>
      </c>
    </row>
    <row r="68" spans="1:12">
      <c r="A68" t="n">
        <v>57</v>
      </c>
      <c r="B68" s="4" t="n">
        <v>0</v>
      </c>
      <c r="C68" s="7" t="n">
        <v>0</v>
      </c>
      <c r="E68" s="8" t="n">
        <v>57</v>
      </c>
      <c r="F68" s="8" t="n">
        <v>8</v>
      </c>
      <c r="G68" s="7" t="n">
        <v>3.925340032580322e-05</v>
      </c>
    </row>
    <row r="69" spans="1:12">
      <c r="A69" t="n">
        <v>58</v>
      </c>
      <c r="B69" s="4" t="n">
        <v>0</v>
      </c>
      <c r="C69" s="7" t="n">
        <v>0</v>
      </c>
      <c r="E69" s="8" t="n">
        <v>58</v>
      </c>
      <c r="F69" s="8" t="n">
        <v>6</v>
      </c>
      <c r="G69" s="7" t="n">
        <v>2.944005024435242e-05</v>
      </c>
    </row>
    <row r="70" spans="1:12">
      <c r="A70" t="n">
        <v>59</v>
      </c>
      <c r="B70" s="4" t="n">
        <v>0</v>
      </c>
      <c r="C70" s="7" t="n">
        <v>0</v>
      </c>
      <c r="E70" s="8" t="n">
        <v>59</v>
      </c>
      <c r="F70" s="8" t="n">
        <v>2</v>
      </c>
      <c r="G70" s="7" t="n">
        <v>9.813350081450805e-06</v>
      </c>
    </row>
    <row r="71" spans="1:12">
      <c r="A71" t="n">
        <v>60</v>
      </c>
      <c r="B71" s="4" t="n">
        <v>0</v>
      </c>
      <c r="C71" s="7" t="n">
        <v>0</v>
      </c>
      <c r="E71" s="8" t="n">
        <v>60</v>
      </c>
      <c r="F71" s="8" t="n">
        <v>3</v>
      </c>
      <c r="G71" s="7" t="n">
        <v>1.472002512217621e-05</v>
      </c>
    </row>
    <row r="72" spans="1:12">
      <c r="A72" t="n">
        <v>61</v>
      </c>
      <c r="B72" s="4" t="n">
        <v>0</v>
      </c>
      <c r="C72" s="7" t="n">
        <v>0</v>
      </c>
      <c r="E72" s="8" t="n">
        <v>61</v>
      </c>
      <c r="F72" s="8" t="n">
        <v>3</v>
      </c>
      <c r="G72" s="7" t="n">
        <v>1.472002512217621e-05</v>
      </c>
    </row>
    <row r="73" spans="1:12">
      <c r="A73" t="n">
        <v>62</v>
      </c>
      <c r="B73" s="4" t="n">
        <v>0</v>
      </c>
      <c r="C73" s="7" t="n">
        <v>0</v>
      </c>
      <c r="E73" s="8" t="n">
        <v>62</v>
      </c>
      <c r="F73" s="8" t="n">
        <v>1</v>
      </c>
      <c r="G73" s="7" t="n">
        <v>4.906675040725402e-06</v>
      </c>
    </row>
    <row r="74" spans="1:12">
      <c r="A74" t="n">
        <v>63</v>
      </c>
      <c r="B74" s="4" t="n">
        <v>0</v>
      </c>
      <c r="C74" s="7" t="n">
        <v>0</v>
      </c>
      <c r="E74" s="8" t="n">
        <v>63</v>
      </c>
      <c r="F74" s="8" t="n">
        <v>1</v>
      </c>
      <c r="G74" s="7" t="n">
        <v>4.906675040725402e-06</v>
      </c>
    </row>
    <row r="75" spans="1:12">
      <c r="A75" t="n">
        <v>64</v>
      </c>
      <c r="B75" s="4" t="n">
        <v>0</v>
      </c>
      <c r="C75" s="7" t="n">
        <v>0</v>
      </c>
      <c r="E75" s="8" t="n">
        <v>64</v>
      </c>
      <c r="F75" s="8" t="n">
        <v>2</v>
      </c>
      <c r="G75" s="7" t="n">
        <v>9.813350081450805e-06</v>
      </c>
    </row>
    <row r="76" spans="1:12">
      <c r="A76" t="n">
        <v>65</v>
      </c>
      <c r="B76" s="4" t="n">
        <v>0</v>
      </c>
      <c r="C76" s="7" t="n">
        <v>0</v>
      </c>
      <c r="E76" s="8" t="n">
        <v>65</v>
      </c>
      <c r="F76" s="8" t="n">
        <v>0</v>
      </c>
      <c r="G76" s="7" t="n">
        <v>0</v>
      </c>
    </row>
    <row r="77" spans="1:12">
      <c r="A77" t="n">
        <v>66</v>
      </c>
      <c r="B77" s="4" t="n">
        <v>0</v>
      </c>
      <c r="C77" s="7" t="n">
        <v>0</v>
      </c>
      <c r="E77" s="8" t="n">
        <v>66</v>
      </c>
      <c r="F77" s="8" t="n">
        <v>0</v>
      </c>
      <c r="G77" s="7" t="n">
        <v>0</v>
      </c>
    </row>
    <row r="78" spans="1:12">
      <c r="A78" t="n">
        <v>67</v>
      </c>
      <c r="B78" s="4" t="n">
        <v>0</v>
      </c>
      <c r="C78" s="7" t="n">
        <v>0</v>
      </c>
      <c r="E78" s="8" t="n">
        <v>67</v>
      </c>
      <c r="F78" s="8" t="n">
        <v>0</v>
      </c>
      <c r="G78" s="7" t="n">
        <v>0</v>
      </c>
    </row>
    <row r="79" spans="1:12">
      <c r="A79" t="n">
        <v>68</v>
      </c>
      <c r="B79" s="4" t="n">
        <v>0</v>
      </c>
      <c r="C79" s="7" t="n">
        <v>0</v>
      </c>
      <c r="E79" s="8" t="n">
        <v>68</v>
      </c>
      <c r="F79" s="8" t="n">
        <v>0</v>
      </c>
      <c r="G79" s="7" t="n">
        <v>0</v>
      </c>
    </row>
    <row r="80" spans="1:12">
      <c r="A80" t="n">
        <v>69</v>
      </c>
      <c r="B80" s="4" t="n">
        <v>0</v>
      </c>
      <c r="C80" s="7" t="n">
        <v>0</v>
      </c>
      <c r="E80" s="8" t="n">
        <v>69</v>
      </c>
      <c r="F80" s="8" t="n">
        <v>0</v>
      </c>
      <c r="G80" s="7" t="n">
        <v>0</v>
      </c>
    </row>
    <row r="81" spans="1:12">
      <c r="A81" t="n">
        <v>70</v>
      </c>
      <c r="B81" s="4" t="n">
        <v>0</v>
      </c>
      <c r="C81" s="7" t="n">
        <v>0</v>
      </c>
      <c r="E81" s="8" t="n">
        <v>70</v>
      </c>
      <c r="F81" s="8" t="n">
        <v>0</v>
      </c>
      <c r="G81" s="7" t="n">
        <v>0</v>
      </c>
    </row>
    <row r="82" spans="1:12">
      <c r="A82" t="n">
        <v>71</v>
      </c>
      <c r="B82" s="4" t="n">
        <v>0</v>
      </c>
      <c r="C82" s="7" t="n">
        <v>0</v>
      </c>
      <c r="E82" s="8" t="n">
        <v>71</v>
      </c>
      <c r="F82" s="8" t="n">
        <v>0</v>
      </c>
      <c r="G82" s="7" t="n">
        <v>0</v>
      </c>
    </row>
    <row r="83" spans="1:12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0</v>
      </c>
    </row>
    <row r="84" spans="1:12">
      <c r="A84" t="n">
        <v>73</v>
      </c>
      <c r="B84" s="4" t="n">
        <v>224.140299381</v>
      </c>
      <c r="C84" s="7" t="n">
        <v>0.00278961405680233</v>
      </c>
      <c r="E84" s="8" t="n">
        <v>73</v>
      </c>
      <c r="F84" s="8" t="n">
        <v>0</v>
      </c>
      <c r="G84" s="7" t="n">
        <v>0</v>
      </c>
    </row>
    <row r="85" spans="1:12">
      <c r="A85" t="n">
        <v>74</v>
      </c>
      <c r="B85" s="4" t="n">
        <v>0</v>
      </c>
      <c r="C85" s="7" t="n">
        <v>0</v>
      </c>
      <c r="E85" s="8" t="n">
        <v>74</v>
      </c>
      <c r="F85" s="8" t="n">
        <v>0</v>
      </c>
      <c r="G85" s="7" t="n">
        <v>0</v>
      </c>
    </row>
    <row r="86" spans="1:12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 spans="1:12">
      <c r="A87" t="n">
        <v>76</v>
      </c>
      <c r="B87" s="4" t="n">
        <v>0</v>
      </c>
      <c r="C87" s="7" t="n">
        <v>0</v>
      </c>
      <c r="E87" s="8" t="n">
        <v>76</v>
      </c>
      <c r="F87" s="8" t="n">
        <v>0</v>
      </c>
      <c r="G87" s="7" t="n">
        <v>0</v>
      </c>
    </row>
    <row r="88" spans="1:12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 spans="1:12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 spans="1:12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 spans="1:12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 spans="1:1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 spans="1:12">
      <c r="A93" t="n">
        <v>82</v>
      </c>
      <c r="B93" s="4" t="n">
        <v>0</v>
      </c>
      <c r="C93" s="7" t="n">
        <v>0</v>
      </c>
      <c r="E93" s="8" t="n">
        <v>82</v>
      </c>
      <c r="F93" s="8" t="n">
        <v>0</v>
      </c>
      <c r="G93" s="7" t="n">
        <v>0</v>
      </c>
    </row>
    <row r="94" spans="1:12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 spans="1:12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 spans="1:12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 spans="1:12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 spans="1:12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 spans="1:12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 spans="1:12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customHeight="1" ht="15.75" r="101" s="11" spans="1:12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0</v>
      </c>
      <c r="G101" s="7" t="n">
        <v>0</v>
      </c>
    </row>
    <row r="102" spans="1:12">
      <c r="B102" s="4" t="n">
        <v>80348.13949780809</v>
      </c>
      <c r="C102" s="7" t="n">
        <v>1</v>
      </c>
      <c r="F102" s="4" t="n">
        <v>203804</v>
      </c>
      <c r="G102" s="7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J35" sqref="J35"/>
    </sheetView>
  </sheetViews>
  <sheetFormatPr baseColWidth="10" defaultRowHeight="15" outlineLevelCol="0"/>
  <cols>
    <col collapsed="1" customWidth="1" max="1" min="1" style="11" width="13.5703125"/>
    <col collapsed="1" customWidth="1" max="2" min="2" style="11" width="9.5703125"/>
    <col collapsed="1" customWidth="1" max="6" min="6" style="11" width="9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="11" spans="1:12">
      <c r="A9" s="3" t="s">
        <v>6</v>
      </c>
      <c r="B9" s="1" t="n"/>
      <c r="E9" s="3" t="s">
        <v>7</v>
      </c>
      <c r="F9" s="1" t="n"/>
      <c r="J9" s="6" t="s">
        <v>16</v>
      </c>
    </row>
    <row r="10" spans="1:12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11</v>
      </c>
      <c r="J10" s="2" t="n"/>
      <c r="K10" s="10" t="s">
        <v>10</v>
      </c>
      <c r="L10" s="10" t="s">
        <v>11</v>
      </c>
    </row>
    <row r="11" spans="1:12">
      <c r="A11" t="n">
        <v>0</v>
      </c>
      <c r="B11" s="4" t="n">
        <v>9973.1768341485</v>
      </c>
      <c r="C11" s="7" t="n">
        <v>0.01574386725457775</v>
      </c>
      <c r="E11" s="8" t="n">
        <v>0</v>
      </c>
      <c r="F11" s="8" t="n">
        <v>71745</v>
      </c>
      <c r="G11" s="7" t="n">
        <v>0.1377899071221701</v>
      </c>
      <c r="K11" s="4" t="n">
        <v>7.667280534292302</v>
      </c>
      <c r="L11" s="4" t="n">
        <v>6.544034316501047</v>
      </c>
    </row>
    <row r="12" spans="1:12">
      <c r="A12" t="n">
        <v>1</v>
      </c>
      <c r="B12" s="4" t="n">
        <v>16653.0860079527</v>
      </c>
      <c r="C12" s="7" t="n">
        <v>0.02628891273546323</v>
      </c>
      <c r="E12" s="8" t="n">
        <v>1</v>
      </c>
      <c r="F12" s="8" t="n">
        <v>51433</v>
      </c>
      <c r="G12" s="7" t="n">
        <v>0.09877968211045471</v>
      </c>
      <c r="K12" s="4" t="n"/>
      <c r="L12" s="8" t="n"/>
    </row>
    <row r="13" spans="1:12">
      <c r="A13" t="n">
        <v>2</v>
      </c>
      <c r="B13" s="4" t="n">
        <v>40847.4157439388</v>
      </c>
      <c r="C13" s="7" t="n">
        <v>0.06448259184206358</v>
      </c>
      <c r="E13" s="8" t="n">
        <v>2</v>
      </c>
      <c r="F13" s="8" t="n">
        <v>31884</v>
      </c>
      <c r="G13" s="7" t="n">
        <v>0.06123483725253705</v>
      </c>
    </row>
    <row r="14" spans="1:12">
      <c r="A14" t="n">
        <v>3</v>
      </c>
      <c r="B14" s="4" t="n">
        <v>60154.9881239646</v>
      </c>
      <c r="C14" s="7" t="n">
        <v>0.09496193273958524</v>
      </c>
      <c r="E14" s="8" t="n">
        <v>3</v>
      </c>
      <c r="F14" s="8" t="n">
        <v>18190</v>
      </c>
      <c r="G14" s="7" t="n">
        <v>0.03493481651058992</v>
      </c>
    </row>
    <row r="15" spans="1:12">
      <c r="A15" t="n">
        <v>4</v>
      </c>
      <c r="B15" s="4" t="n">
        <v>108917.8962755017</v>
      </c>
      <c r="C15" s="7" t="n">
        <v>0.1719400878101219</v>
      </c>
      <c r="E15" s="8" t="n">
        <v>4</v>
      </c>
      <c r="F15" s="8" t="n">
        <v>89058</v>
      </c>
      <c r="G15" s="7" t="n">
        <v>0.1710404007036898</v>
      </c>
    </row>
    <row r="16" spans="1:12">
      <c r="A16" t="n">
        <v>5</v>
      </c>
      <c r="B16" s="4" t="n">
        <v>73176.2143347664</v>
      </c>
      <c r="C16" s="7" t="n">
        <v>0.1155175150143073</v>
      </c>
      <c r="E16" s="8" t="n">
        <v>5</v>
      </c>
      <c r="F16" s="8" t="n">
        <v>48543</v>
      </c>
      <c r="G16" s="7" t="n">
        <v>0.09322929070223014</v>
      </c>
    </row>
    <row r="17" spans="1:12">
      <c r="A17" t="n">
        <v>6</v>
      </c>
      <c r="B17" s="4" t="n">
        <v>74366.438813207</v>
      </c>
      <c r="C17" s="7" t="n">
        <v>0.1173964284742147</v>
      </c>
      <c r="E17" s="8" t="n">
        <v>6</v>
      </c>
      <c r="F17" s="8" t="n">
        <v>45591</v>
      </c>
      <c r="G17" s="7" t="n">
        <v>0.08755982515306789</v>
      </c>
    </row>
    <row r="18" spans="1:12">
      <c r="A18" t="n">
        <v>7</v>
      </c>
      <c r="B18" s="4" t="n">
        <v>48341.9527415669</v>
      </c>
      <c r="C18" s="7" t="n">
        <v>0.07631362598367895</v>
      </c>
      <c r="E18" s="8" t="n">
        <v>7</v>
      </c>
      <c r="F18" s="8" t="n">
        <v>20594</v>
      </c>
      <c r="G18" s="7" t="n">
        <v>0.03955182029791582</v>
      </c>
    </row>
    <row r="19" spans="1:12">
      <c r="A19" t="n">
        <v>8</v>
      </c>
      <c r="B19" s="4" t="n">
        <v>31603.8389721855</v>
      </c>
      <c r="C19" s="7" t="n">
        <v>0.04989048663104559</v>
      </c>
      <c r="E19" s="8" t="n">
        <v>8</v>
      </c>
      <c r="F19" s="8" t="n">
        <v>34729</v>
      </c>
      <c r="G19" s="7" t="n">
        <v>0.06669880388104878</v>
      </c>
    </row>
    <row r="20" spans="1:12">
      <c r="A20" t="n">
        <v>9</v>
      </c>
      <c r="B20" s="4" t="n">
        <v>23052.9312242945</v>
      </c>
      <c r="C20" s="7" t="n">
        <v>0.0363918433473952</v>
      </c>
      <c r="E20" s="8" t="n">
        <v>9</v>
      </c>
      <c r="F20" s="8" t="n">
        <v>16289</v>
      </c>
      <c r="G20" s="7" t="n">
        <v>0.03128384970538753</v>
      </c>
    </row>
    <row r="21" spans="1:12">
      <c r="A21" t="n">
        <v>10</v>
      </c>
      <c r="B21" s="4" t="n">
        <v>36595.5378751736</v>
      </c>
      <c r="C21" s="7" t="n">
        <v>0.05777048777916279</v>
      </c>
      <c r="E21" s="8" t="n">
        <v>10</v>
      </c>
      <c r="F21" s="8" t="n">
        <v>6851</v>
      </c>
      <c r="G21" s="7" t="n">
        <v>0.01315769257361471</v>
      </c>
    </row>
    <row r="22" spans="1:12">
      <c r="A22" t="n">
        <v>11</v>
      </c>
      <c r="B22" s="4" t="n">
        <v>16672.4293262847</v>
      </c>
      <c r="C22" s="7" t="n">
        <v>0.02631944850567431</v>
      </c>
      <c r="E22" s="8" t="n">
        <v>11</v>
      </c>
      <c r="F22" s="8" t="n">
        <v>8792</v>
      </c>
      <c r="G22" s="7" t="n">
        <v>0.01688548140522851</v>
      </c>
    </row>
    <row r="23" spans="1:12">
      <c r="A23" t="n">
        <v>12</v>
      </c>
      <c r="B23" s="4" t="n">
        <v>11529.5465694736</v>
      </c>
      <c r="C23" s="7" t="n">
        <v>0.01820078533790107</v>
      </c>
      <c r="E23" s="8" t="n">
        <v>12</v>
      </c>
      <c r="F23" s="8" t="n">
        <v>9089</v>
      </c>
      <c r="G23" s="7" t="n">
        <v>0.01745588495133325</v>
      </c>
    </row>
    <row r="24" spans="1:12">
      <c r="A24" t="n">
        <v>13</v>
      </c>
      <c r="B24" s="4" t="n">
        <v>6945.0016183316</v>
      </c>
      <c r="C24" s="7" t="n">
        <v>0.01096352600381579</v>
      </c>
      <c r="E24" s="8" t="n">
        <v>13</v>
      </c>
      <c r="F24" s="8" t="n">
        <v>12904</v>
      </c>
      <c r="G24" s="7" t="n">
        <v>0.02478278572032173</v>
      </c>
    </row>
    <row r="25" spans="1:12">
      <c r="A25" t="n">
        <v>14</v>
      </c>
      <c r="B25" s="4" t="n">
        <v>2274.323537667</v>
      </c>
      <c r="C25" s="7" t="n">
        <v>0.00359029509517847</v>
      </c>
      <c r="E25" s="8" t="n">
        <v>14</v>
      </c>
      <c r="F25" s="8" t="n">
        <v>5098</v>
      </c>
      <c r="G25" s="7" t="n">
        <v>0.009790967266134546</v>
      </c>
    </row>
    <row r="26" spans="1:12">
      <c r="A26" t="n">
        <v>15</v>
      </c>
      <c r="B26" s="4" t="n">
        <v>3449.9458637023</v>
      </c>
      <c r="C26" s="7" t="n">
        <v>0.005446157289383507</v>
      </c>
      <c r="E26" s="8" t="n">
        <v>15</v>
      </c>
      <c r="F26" s="8" t="n">
        <v>9606</v>
      </c>
      <c r="G26" s="7" t="n">
        <v>0.01844880964270075</v>
      </c>
    </row>
    <row r="27" spans="1:12">
      <c r="A27" t="n">
        <v>16</v>
      </c>
      <c r="B27" s="4" t="n">
        <v>11941.3546406988</v>
      </c>
      <c r="C27" s="7" t="n">
        <v>0.01885087424292616</v>
      </c>
      <c r="E27" s="8" t="n">
        <v>16</v>
      </c>
      <c r="F27" s="8" t="n">
        <v>5640</v>
      </c>
      <c r="G27" s="7" t="n">
        <v>0.01083190572400919</v>
      </c>
    </row>
    <row r="28" spans="1:12">
      <c r="A28" t="n">
        <v>17</v>
      </c>
      <c r="B28" s="4" t="n">
        <v>4142.9865766036</v>
      </c>
      <c r="C28" s="7" t="n">
        <v>0.00654020597290588</v>
      </c>
      <c r="E28" s="8" t="n">
        <v>17</v>
      </c>
      <c r="F28" s="8" t="n">
        <v>4774</v>
      </c>
      <c r="G28" s="7" t="n">
        <v>0.009168708852202103</v>
      </c>
    </row>
    <row r="29" spans="1:12">
      <c r="A29" t="n">
        <v>18</v>
      </c>
      <c r="B29" s="4" t="n">
        <v>3681.066425348</v>
      </c>
      <c r="C29" s="7" t="n">
        <v>0.005811009081632313</v>
      </c>
      <c r="E29" s="8" t="n">
        <v>18</v>
      </c>
      <c r="F29" s="8" t="n">
        <v>3433</v>
      </c>
      <c r="G29" s="7" t="n">
        <v>0.006593250416759493</v>
      </c>
    </row>
    <row r="30" spans="1:12">
      <c r="A30" t="n">
        <v>19</v>
      </c>
      <c r="B30" s="4" t="n">
        <v>7145.680413899</v>
      </c>
      <c r="C30" s="7" t="n">
        <v>0.01128032178220845</v>
      </c>
      <c r="E30" s="8" t="n">
        <v>19</v>
      </c>
      <c r="F30" s="8" t="n">
        <v>2511</v>
      </c>
      <c r="G30" s="7" t="n">
        <v>0.004822502707976431</v>
      </c>
    </row>
    <row r="31" spans="1:12">
      <c r="A31" t="n">
        <v>20</v>
      </c>
      <c r="B31" s="4" t="n">
        <v>5106.9862278705</v>
      </c>
      <c r="C31" s="7" t="n">
        <v>0.008061996150238188</v>
      </c>
      <c r="E31" s="8" t="n">
        <v>20</v>
      </c>
      <c r="F31" s="8" t="n">
        <v>2301</v>
      </c>
      <c r="G31" s="7" t="n">
        <v>0.004419187069316514</v>
      </c>
    </row>
    <row r="32" spans="1:12">
      <c r="A32" t="n">
        <v>21</v>
      </c>
      <c r="B32" s="4" t="n">
        <v>5728.68224864</v>
      </c>
      <c r="C32" s="7" t="n">
        <v>0.009043418598317129</v>
      </c>
      <c r="E32" s="8" t="n">
        <v>21</v>
      </c>
      <c r="F32" s="8" t="n">
        <v>3482</v>
      </c>
      <c r="G32" s="7" t="n">
        <v>0.006687357399113474</v>
      </c>
    </row>
    <row r="33" spans="1:12">
      <c r="A33" t="n">
        <v>22</v>
      </c>
      <c r="B33" s="4" t="n">
        <v>5530.1884745458</v>
      </c>
      <c r="C33" s="7" t="n">
        <v>0.008730072140897573</v>
      </c>
      <c r="E33" s="8" t="n">
        <v>22</v>
      </c>
      <c r="F33" s="8" t="n">
        <v>1583</v>
      </c>
      <c r="G33" s="7" t="n">
        <v>0.003040231695231657</v>
      </c>
    </row>
    <row r="34" spans="1:12">
      <c r="A34" t="n">
        <v>23</v>
      </c>
      <c r="B34" s="4" t="n">
        <v>4890.604549589</v>
      </c>
      <c r="C34" s="7" t="n">
        <v>0.007720411470066663</v>
      </c>
      <c r="E34" s="8" t="n">
        <v>23</v>
      </c>
      <c r="F34" s="8" t="n">
        <v>1733</v>
      </c>
      <c r="G34" s="7" t="n">
        <v>0.003328314294274454</v>
      </c>
    </row>
    <row r="35" spans="1:12">
      <c r="A35" t="n">
        <v>24</v>
      </c>
      <c r="B35" s="4" t="n">
        <v>691.8091138029999</v>
      </c>
      <c r="C35" s="7" t="n">
        <v>0.00109210445521509</v>
      </c>
      <c r="E35" s="8" t="n">
        <v>24</v>
      </c>
      <c r="F35" s="8" t="n">
        <v>1562</v>
      </c>
      <c r="G35" s="7" t="n">
        <v>0.002999900131365665</v>
      </c>
    </row>
    <row r="36" spans="1:12">
      <c r="A36" t="n">
        <v>25</v>
      </c>
      <c r="B36" s="4" t="n">
        <v>899.7607167359999</v>
      </c>
      <c r="C36" s="7" t="n">
        <v>0.001420381240676634</v>
      </c>
      <c r="E36" s="8" t="n">
        <v>25</v>
      </c>
      <c r="F36" s="8" t="n">
        <v>1421</v>
      </c>
      <c r="G36" s="7" t="n">
        <v>0.002729102488265436</v>
      </c>
    </row>
    <row r="37" spans="1:12">
      <c r="A37" t="n">
        <v>26</v>
      </c>
      <c r="B37" s="4" t="n">
        <v>994.02148134</v>
      </c>
      <c r="C37" s="7" t="n">
        <v>0.001569183271355466</v>
      </c>
      <c r="E37" s="8" t="n">
        <v>26</v>
      </c>
      <c r="F37" s="8" t="n">
        <v>1131</v>
      </c>
      <c r="G37" s="7" t="n">
        <v>0.002172142796782693</v>
      </c>
    </row>
    <row r="38" spans="1:12">
      <c r="A38" t="n">
        <v>27</v>
      </c>
      <c r="B38" s="4" t="n">
        <v>2067.125837326</v>
      </c>
      <c r="C38" s="7" t="n">
        <v>0.003263208436246186</v>
      </c>
      <c r="E38" s="8" t="n">
        <v>27</v>
      </c>
      <c r="F38" s="8" t="n">
        <v>3249</v>
      </c>
      <c r="G38" s="7" t="n">
        <v>0.006239869095266995</v>
      </c>
    </row>
    <row r="39" spans="1:12">
      <c r="A39" t="n">
        <v>28</v>
      </c>
      <c r="B39" s="4" t="n">
        <v>290.667683824</v>
      </c>
      <c r="C39" s="7" t="n">
        <v>0.0004588541349885074</v>
      </c>
      <c r="E39" s="8" t="n">
        <v>28</v>
      </c>
      <c r="F39" s="8" t="n">
        <v>957</v>
      </c>
      <c r="G39" s="7" t="n">
        <v>0.001837966981893048</v>
      </c>
    </row>
    <row r="40" spans="1:12">
      <c r="A40" t="n">
        <v>29</v>
      </c>
      <c r="B40" s="4" t="n">
        <v>711.387405665</v>
      </c>
      <c r="C40" s="7" t="n">
        <v>0.001123011159595512</v>
      </c>
      <c r="E40" s="8" t="n">
        <v>29</v>
      </c>
      <c r="F40" s="8" t="n">
        <v>949</v>
      </c>
      <c r="G40" s="7" t="n">
        <v>0.001822602576610766</v>
      </c>
    </row>
    <row r="41" spans="1:12">
      <c r="A41" t="n">
        <v>30</v>
      </c>
      <c r="B41" s="4" t="n">
        <v>1402.4810608782</v>
      </c>
      <c r="C41" s="7" t="n">
        <v>0.002213986176793882</v>
      </c>
      <c r="E41" s="8" t="n">
        <v>30</v>
      </c>
      <c r="F41" s="8" t="n">
        <v>891</v>
      </c>
      <c r="G41" s="7" t="n">
        <v>0.001711210638314217</v>
      </c>
    </row>
    <row r="42" spans="1:12">
      <c r="A42" t="n">
        <v>31</v>
      </c>
      <c r="B42" s="4" t="n">
        <v>1540.58640738</v>
      </c>
      <c r="C42" s="7" t="n">
        <v>0.002432002189006448</v>
      </c>
      <c r="E42" s="8" t="n">
        <v>31</v>
      </c>
      <c r="F42" s="8" t="n">
        <v>606</v>
      </c>
      <c r="G42" s="7" t="n">
        <v>0.001163853700132902</v>
      </c>
    </row>
    <row r="43" spans="1:12">
      <c r="A43" t="n">
        <v>32</v>
      </c>
      <c r="B43" s="4" t="n">
        <v>0</v>
      </c>
      <c r="C43" s="7" t="n">
        <v>0</v>
      </c>
      <c r="E43" s="8" t="n">
        <v>32</v>
      </c>
      <c r="F43" s="8" t="n">
        <v>480</v>
      </c>
      <c r="G43" s="7" t="n">
        <v>0.0009218643169369522</v>
      </c>
    </row>
    <row r="44" spans="1:12">
      <c r="A44" t="n">
        <v>33</v>
      </c>
      <c r="B44" s="4" t="n">
        <v>403.086772515</v>
      </c>
      <c r="C44" s="7" t="n">
        <v>0.0006363212789753131</v>
      </c>
      <c r="E44" s="8" t="n">
        <v>33</v>
      </c>
      <c r="F44" s="8" t="n">
        <v>541</v>
      </c>
      <c r="G44" s="7" t="n">
        <v>0.001039017907214357</v>
      </c>
    </row>
    <row r="45" spans="1:12">
      <c r="A45" t="n">
        <v>34</v>
      </c>
      <c r="B45" s="4" t="n">
        <v>735.005061211</v>
      </c>
      <c r="C45" s="7" t="n">
        <v>0.001160294488665483</v>
      </c>
      <c r="E45" s="8" t="n">
        <v>34</v>
      </c>
      <c r="F45" s="8" t="n">
        <v>365</v>
      </c>
      <c r="G45" s="7" t="n">
        <v>0.0007010009910041407</v>
      </c>
    </row>
    <row r="46" spans="1:12">
      <c r="A46" t="n">
        <v>35</v>
      </c>
      <c r="B46" s="4" t="n">
        <v>879.0616143070001</v>
      </c>
      <c r="C46" s="7" t="n">
        <v>0.001387705201100634</v>
      </c>
      <c r="E46" s="8" t="n">
        <v>35</v>
      </c>
      <c r="F46" s="8" t="n">
        <v>307</v>
      </c>
      <c r="G46" s="7" t="n">
        <v>0.0005896090527075924</v>
      </c>
    </row>
    <row r="47" spans="1:12">
      <c r="A47" t="n">
        <v>36</v>
      </c>
      <c r="B47" s="4" t="n">
        <v>152.330625679</v>
      </c>
      <c r="C47" s="7" t="n">
        <v>0.0002404723378898867</v>
      </c>
      <c r="E47" s="8" t="n">
        <v>36</v>
      </c>
      <c r="F47" s="8" t="n">
        <v>436</v>
      </c>
      <c r="G47" s="7" t="n">
        <v>0.0008373600878843982</v>
      </c>
    </row>
    <row r="48" spans="1:12">
      <c r="A48" t="n">
        <v>37</v>
      </c>
      <c r="B48" s="4" t="n">
        <v>0</v>
      </c>
      <c r="C48" s="7" t="n">
        <v>0</v>
      </c>
      <c r="E48" s="8" t="n">
        <v>37</v>
      </c>
      <c r="F48" s="8" t="n">
        <v>316</v>
      </c>
      <c r="G48" s="7" t="n">
        <v>0.0006068940086501602</v>
      </c>
    </row>
    <row r="49" spans="1:12">
      <c r="A49" t="n">
        <v>38</v>
      </c>
      <c r="B49" s="4" t="n">
        <v>4.59375</v>
      </c>
      <c r="C49" s="7" t="n">
        <v>7.251790618319205e-06</v>
      </c>
      <c r="E49" s="8" t="n">
        <v>38</v>
      </c>
      <c r="F49" s="8" t="n">
        <v>307</v>
      </c>
      <c r="G49" s="7" t="n">
        <v>0.0005896090527075924</v>
      </c>
    </row>
    <row r="50" spans="1:12">
      <c r="A50" t="n">
        <v>39</v>
      </c>
      <c r="B50" s="4" t="n">
        <v>80.5029056468</v>
      </c>
      <c r="C50" s="7" t="n">
        <v>0.0001270835844172845</v>
      </c>
      <c r="E50" s="8" t="n">
        <v>39</v>
      </c>
      <c r="F50" s="8" t="n">
        <v>217</v>
      </c>
      <c r="G50" s="7" t="n">
        <v>0.0004167594932819138</v>
      </c>
    </row>
    <row r="51" spans="1:12">
      <c r="A51" t="n">
        <v>40</v>
      </c>
      <c r="B51" s="4" t="n">
        <v>6381.798029925</v>
      </c>
      <c r="C51" s="7" t="n">
        <v>0.01007444094289374</v>
      </c>
      <c r="E51" s="8" t="n">
        <v>40</v>
      </c>
      <c r="F51" s="8" t="n">
        <v>170</v>
      </c>
      <c r="G51" s="7" t="n">
        <v>0.0003264936122485039</v>
      </c>
    </row>
    <row r="52" spans="1:12">
      <c r="A52" t="n">
        <v>41</v>
      </c>
      <c r="B52" s="4" t="n">
        <v>1219.07842926</v>
      </c>
      <c r="C52" s="7" t="n">
        <v>0.001924462915113574</v>
      </c>
      <c r="E52" s="8" t="n">
        <v>41</v>
      </c>
      <c r="F52" s="8" t="n">
        <v>125</v>
      </c>
      <c r="G52" s="7" t="n">
        <v>0.0002400688325356646</v>
      </c>
    </row>
    <row r="53" spans="1:12">
      <c r="A53" t="n">
        <v>42</v>
      </c>
      <c r="B53" s="4" t="n">
        <v>0</v>
      </c>
      <c r="C53" s="7" t="n">
        <v>0</v>
      </c>
      <c r="E53" s="8" t="n">
        <v>42</v>
      </c>
      <c r="F53" s="8" t="n">
        <v>112</v>
      </c>
      <c r="G53" s="7" t="n">
        <v>0.0002151016739519555</v>
      </c>
    </row>
    <row r="54" spans="1:12">
      <c r="A54" t="n">
        <v>43</v>
      </c>
      <c r="B54" s="4" t="n">
        <v>0</v>
      </c>
      <c r="C54" s="7" t="n">
        <v>0</v>
      </c>
      <c r="E54" s="8" t="n">
        <v>43</v>
      </c>
      <c r="F54" s="8" t="n">
        <v>86</v>
      </c>
      <c r="G54" s="7" t="n">
        <v>0.0001651673567845373</v>
      </c>
    </row>
    <row r="55" spans="1:12">
      <c r="A55" t="n">
        <v>44</v>
      </c>
      <c r="B55" s="4" t="n">
        <v>77.4485081528</v>
      </c>
      <c r="C55" s="7" t="n">
        <v>0.000122261848125234</v>
      </c>
      <c r="E55" s="8" t="n">
        <v>44</v>
      </c>
      <c r="F55" s="8" t="n">
        <v>107</v>
      </c>
      <c r="G55" s="7" t="n">
        <v>0.0002054989206505289</v>
      </c>
    </row>
    <row r="56" spans="1:12">
      <c r="A56" t="n">
        <v>45</v>
      </c>
      <c r="B56" s="4" t="n">
        <v>0</v>
      </c>
      <c r="C56" s="7" t="n">
        <v>0</v>
      </c>
      <c r="E56" s="8" t="n">
        <v>45</v>
      </c>
      <c r="F56" s="8" t="n">
        <v>96</v>
      </c>
      <c r="G56" s="7" t="n">
        <v>0.0001843728633873904</v>
      </c>
    </row>
    <row r="57" spans="1:12">
      <c r="A57" t="n">
        <v>46</v>
      </c>
      <c r="B57" s="4" t="n">
        <v>0</v>
      </c>
      <c r="C57" s="7" t="n">
        <v>0</v>
      </c>
      <c r="E57" s="8" t="n">
        <v>46</v>
      </c>
      <c r="F57" s="8" t="n">
        <v>86</v>
      </c>
      <c r="G57" s="7" t="n">
        <v>0.0001651673567845373</v>
      </c>
    </row>
    <row r="58" spans="1:12">
      <c r="A58" t="n">
        <v>47</v>
      </c>
      <c r="B58" s="4" t="n">
        <v>0</v>
      </c>
      <c r="C58" s="7" t="n">
        <v>0</v>
      </c>
      <c r="E58" s="8" t="n">
        <v>47</v>
      </c>
      <c r="F58" s="8" t="n">
        <v>76</v>
      </c>
      <c r="G58" s="7" t="n">
        <v>0.0001459618501816841</v>
      </c>
    </row>
    <row r="59" spans="1:12">
      <c r="A59" t="n">
        <v>48</v>
      </c>
      <c r="B59" s="4" t="n">
        <v>213.886510635</v>
      </c>
      <c r="C59" s="7" t="n">
        <v>0.0003376457559092079</v>
      </c>
      <c r="E59" s="8" t="n">
        <v>48</v>
      </c>
      <c r="F59" s="8" t="n">
        <v>34</v>
      </c>
      <c r="G59" s="7" t="n">
        <v>6.529872244970078e-05</v>
      </c>
    </row>
    <row r="60" spans="1:12">
      <c r="A60" t="n">
        <v>49</v>
      </c>
      <c r="B60" s="4" t="n">
        <v>0</v>
      </c>
      <c r="C60" s="7" t="n">
        <v>0</v>
      </c>
      <c r="E60" s="8" t="n">
        <v>49</v>
      </c>
      <c r="F60" s="8" t="n">
        <v>38</v>
      </c>
      <c r="G60" s="7" t="n">
        <v>7.298092509084205e-05</v>
      </c>
    </row>
    <row r="61" spans="1:12">
      <c r="A61" t="n">
        <v>50</v>
      </c>
      <c r="B61" s="4" t="n">
        <v>454.367233631</v>
      </c>
      <c r="C61" s="7" t="n">
        <v>0.0007172736962431425</v>
      </c>
      <c r="E61" s="8" t="n">
        <v>50</v>
      </c>
      <c r="F61" s="8" t="n">
        <v>26</v>
      </c>
      <c r="G61" s="7" t="n">
        <v>4.993431716741824e-05</v>
      </c>
    </row>
    <row r="62" spans="1:12">
      <c r="A62" t="n">
        <v>51</v>
      </c>
      <c r="B62" s="4" t="n">
        <v>94.7244864348</v>
      </c>
      <c r="C62" s="7" t="n">
        <v>0.0001495340717394258</v>
      </c>
      <c r="E62" s="8" t="n">
        <v>51</v>
      </c>
      <c r="F62" s="8" t="n">
        <v>21</v>
      </c>
      <c r="G62" s="7" t="n">
        <v>4.033156386599166e-05</v>
      </c>
    </row>
    <row r="63" spans="1:12">
      <c r="A63" t="n">
        <v>52</v>
      </c>
      <c r="B63" s="4" t="n">
        <v>0</v>
      </c>
      <c r="C63" s="7" t="n">
        <v>0</v>
      </c>
      <c r="E63" s="8" t="n">
        <v>52</v>
      </c>
      <c r="F63" s="8" t="n">
        <v>25</v>
      </c>
      <c r="G63" s="7" t="n">
        <v>4.801376650713293e-05</v>
      </c>
    </row>
    <row r="64" spans="1:12">
      <c r="A64" t="n">
        <v>53</v>
      </c>
      <c r="B64" s="4" t="n">
        <v>0</v>
      </c>
      <c r="C64" s="7" t="n">
        <v>0</v>
      </c>
      <c r="E64" s="8" t="n">
        <v>53</v>
      </c>
      <c r="F64" s="8" t="n">
        <v>9</v>
      </c>
      <c r="G64" s="7" t="n">
        <v>1.728495594256785e-05</v>
      </c>
    </row>
    <row r="65" spans="1:12">
      <c r="A65" t="n">
        <v>54</v>
      </c>
      <c r="B65" s="4" t="n">
        <v>0</v>
      </c>
      <c r="C65" s="7" t="n">
        <v>0</v>
      </c>
      <c r="E65" s="8" t="n">
        <v>54</v>
      </c>
      <c r="F65" s="8" t="n">
        <v>19</v>
      </c>
      <c r="G65" s="7" t="n">
        <v>3.649046254542102e-05</v>
      </c>
    </row>
    <row r="66" spans="1:12">
      <c r="A66" t="n">
        <v>55</v>
      </c>
      <c r="B66" s="4" t="n">
        <v>0</v>
      </c>
      <c r="C66" s="7" t="n">
        <v>0</v>
      </c>
      <c r="E66" s="8" t="n">
        <v>55</v>
      </c>
      <c r="F66" s="8" t="n">
        <v>19</v>
      </c>
      <c r="G66" s="7" t="n">
        <v>3.649046254542102e-05</v>
      </c>
    </row>
    <row r="67" spans="1:12">
      <c r="A67" t="n">
        <v>56</v>
      </c>
      <c r="B67" s="4" t="n">
        <v>767.701778901</v>
      </c>
      <c r="C67" s="7" t="n">
        <v>0.001211910216685983</v>
      </c>
      <c r="E67" s="8" t="n">
        <v>56</v>
      </c>
      <c r="F67" s="8" t="n">
        <v>7</v>
      </c>
      <c r="G67" s="7" t="n">
        <v>1.344385462199722e-05</v>
      </c>
    </row>
    <row r="68" spans="1:12">
      <c r="A68" t="n">
        <v>57</v>
      </c>
      <c r="B68" s="4" t="n">
        <v>303.939138892</v>
      </c>
      <c r="C68" s="7" t="n">
        <v>0.0004798047338137738</v>
      </c>
      <c r="E68" s="8" t="n">
        <v>57</v>
      </c>
      <c r="F68" s="8" t="n">
        <v>5</v>
      </c>
      <c r="G68" s="7" t="n">
        <v>9.602753301426585e-06</v>
      </c>
    </row>
    <row r="69" spans="1:12">
      <c r="A69" t="n">
        <v>58</v>
      </c>
      <c r="B69" s="4" t="n">
        <v>0</v>
      </c>
      <c r="C69" s="7" t="n">
        <v>0</v>
      </c>
      <c r="E69" s="8" t="n">
        <v>58</v>
      </c>
      <c r="F69" s="8" t="n">
        <v>14</v>
      </c>
      <c r="G69" s="7" t="n">
        <v>2.688770924399444e-05</v>
      </c>
    </row>
    <row r="70" spans="1:12">
      <c r="A70" t="n">
        <v>59</v>
      </c>
      <c r="B70" s="4" t="n">
        <v>0</v>
      </c>
      <c r="C70" s="7" t="n">
        <v>0</v>
      </c>
      <c r="E70" s="8" t="n">
        <v>59</v>
      </c>
      <c r="F70" s="8" t="n">
        <v>4</v>
      </c>
      <c r="G70" s="7" t="n">
        <v>7.682202641141269e-06</v>
      </c>
    </row>
    <row r="71" spans="1:12">
      <c r="A71" t="n">
        <v>60</v>
      </c>
      <c r="B71" s="4" t="n">
        <v>0</v>
      </c>
      <c r="C71" s="7" t="n">
        <v>0</v>
      </c>
      <c r="E71" s="8" t="n">
        <v>60</v>
      </c>
      <c r="F71" s="8" t="n">
        <v>10</v>
      </c>
      <c r="G71" s="7" t="n">
        <v>1.920550660285317e-05</v>
      </c>
    </row>
    <row r="72" spans="1:12">
      <c r="A72" t="n">
        <v>61</v>
      </c>
      <c r="B72" s="4" t="n">
        <v>0</v>
      </c>
      <c r="C72" s="7" t="n">
        <v>0</v>
      </c>
      <c r="E72" s="8" t="n">
        <v>61</v>
      </c>
      <c r="F72" s="8" t="n">
        <v>1</v>
      </c>
      <c r="G72" s="7" t="n">
        <v>1.920550660285317e-06</v>
      </c>
    </row>
    <row r="73" spans="1:12">
      <c r="A73" t="n">
        <v>62</v>
      </c>
      <c r="B73" s="4" t="n">
        <v>0</v>
      </c>
      <c r="C73" s="7" t="n">
        <v>0</v>
      </c>
      <c r="E73" s="8" t="n">
        <v>62</v>
      </c>
      <c r="F73" s="8" t="n">
        <v>0</v>
      </c>
      <c r="G73" s="7" t="n">
        <v>0</v>
      </c>
    </row>
    <row r="74" spans="1:12">
      <c r="A74" t="n">
        <v>63</v>
      </c>
      <c r="B74" s="4" t="n">
        <v>0</v>
      </c>
      <c r="C74" s="7" t="n">
        <v>0</v>
      </c>
      <c r="E74" s="8" t="n">
        <v>63</v>
      </c>
      <c r="F74" s="8" t="n">
        <v>1</v>
      </c>
      <c r="G74" s="7" t="n">
        <v>1.920550660285317e-06</v>
      </c>
    </row>
    <row r="75" spans="1:12">
      <c r="A75" t="n">
        <v>64</v>
      </c>
      <c r="B75" s="4" t="n">
        <v>0</v>
      </c>
      <c r="C75" s="7" t="n">
        <v>0</v>
      </c>
      <c r="E75" s="8" t="n">
        <v>64</v>
      </c>
      <c r="F75" s="8" t="n">
        <v>0</v>
      </c>
      <c r="G75" s="7" t="n">
        <v>0</v>
      </c>
    </row>
    <row r="76" spans="1:12">
      <c r="A76" t="n">
        <v>65</v>
      </c>
      <c r="B76" s="4" t="n">
        <v>0</v>
      </c>
      <c r="C76" s="7" t="n">
        <v>0</v>
      </c>
      <c r="E76" s="8" t="n">
        <v>65</v>
      </c>
      <c r="F76" s="8" t="n">
        <v>0</v>
      </c>
      <c r="G76" s="7" t="n">
        <v>0</v>
      </c>
    </row>
    <row r="77" spans="1:12">
      <c r="A77" t="n">
        <v>66</v>
      </c>
      <c r="B77" s="4" t="n">
        <v>0</v>
      </c>
      <c r="C77" s="7" t="n">
        <v>0</v>
      </c>
      <c r="E77" s="8" t="n">
        <v>66</v>
      </c>
      <c r="F77" s="8" t="n">
        <v>1</v>
      </c>
      <c r="G77" s="7" t="n">
        <v>1.920550660285317e-06</v>
      </c>
    </row>
    <row r="78" spans="1:12">
      <c r="A78" t="n">
        <v>67</v>
      </c>
      <c r="B78" s="4" t="n">
        <v>0</v>
      </c>
      <c r="C78" s="7" t="n">
        <v>0</v>
      </c>
      <c r="E78" s="8" t="n">
        <v>67</v>
      </c>
      <c r="F78" s="8" t="n">
        <v>0</v>
      </c>
      <c r="G78" s="7" t="n">
        <v>0</v>
      </c>
    </row>
    <row r="79" spans="1:12">
      <c r="A79" t="n">
        <v>68</v>
      </c>
      <c r="B79" s="4" t="n">
        <v>0</v>
      </c>
      <c r="C79" s="7" t="n">
        <v>0</v>
      </c>
      <c r="E79" s="8" t="n">
        <v>68</v>
      </c>
      <c r="F79" s="8" t="n">
        <v>0</v>
      </c>
      <c r="G79" s="7" t="n">
        <v>0</v>
      </c>
    </row>
    <row r="80" spans="1:12">
      <c r="A80" t="n">
        <v>69</v>
      </c>
      <c r="B80" s="4" t="n">
        <v>376.597523036</v>
      </c>
      <c r="C80" s="7" t="n">
        <v>0.0005945047911694618</v>
      </c>
      <c r="E80" s="8" t="n">
        <v>69</v>
      </c>
      <c r="F80" s="8" t="n">
        <v>0</v>
      </c>
      <c r="G80" s="7" t="n">
        <v>0</v>
      </c>
    </row>
    <row r="81" spans="1:12">
      <c r="A81" t="n">
        <v>70</v>
      </c>
      <c r="B81" s="4" t="n">
        <v>0</v>
      </c>
      <c r="C81" s="7" t="n">
        <v>0</v>
      </c>
      <c r="E81" s="8" t="n">
        <v>70</v>
      </c>
      <c r="F81" s="8" t="n">
        <v>1</v>
      </c>
      <c r="G81" s="7" t="n">
        <v>1.920550660285317e-06</v>
      </c>
    </row>
    <row r="82" spans="1:12">
      <c r="A82" t="n">
        <v>71</v>
      </c>
      <c r="B82" s="4" t="n">
        <v>0</v>
      </c>
      <c r="C82" s="7" t="n">
        <v>0</v>
      </c>
      <c r="E82" s="8" t="n">
        <v>71</v>
      </c>
      <c r="F82" s="8" t="n">
        <v>1</v>
      </c>
      <c r="G82" s="7" t="n">
        <v>1.920550660285317e-06</v>
      </c>
    </row>
    <row r="83" spans="1:12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0</v>
      </c>
    </row>
    <row r="84" spans="1:12">
      <c r="A84" t="n">
        <v>73</v>
      </c>
      <c r="B84" s="4" t="n">
        <v>0</v>
      </c>
      <c r="C84" s="7" t="n">
        <v>0</v>
      </c>
      <c r="E84" s="8" t="n">
        <v>73</v>
      </c>
      <c r="F84" s="8" t="n">
        <v>0</v>
      </c>
      <c r="G84" s="7" t="n">
        <v>0</v>
      </c>
    </row>
    <row r="85" spans="1:12">
      <c r="A85" t="n">
        <v>74</v>
      </c>
      <c r="B85" s="4" t="n">
        <v>0</v>
      </c>
      <c r="C85" s="7" t="n">
        <v>0</v>
      </c>
      <c r="E85" s="8" t="n">
        <v>74</v>
      </c>
      <c r="F85" s="8" t="n">
        <v>1</v>
      </c>
      <c r="G85" s="7" t="n">
        <v>1.920550660285317e-06</v>
      </c>
    </row>
    <row r="86" spans="1:12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 spans="1:12">
      <c r="A87" t="n">
        <v>76</v>
      </c>
      <c r="B87" s="4" t="n">
        <v>0</v>
      </c>
      <c r="C87" s="7" t="n">
        <v>0</v>
      </c>
      <c r="E87" s="8" t="n">
        <v>76</v>
      </c>
      <c r="F87" s="8" t="n">
        <v>0</v>
      </c>
      <c r="G87" s="7" t="n">
        <v>0</v>
      </c>
    </row>
    <row r="88" spans="1:12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 spans="1:12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 spans="1:12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 spans="1:12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 spans="1:1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 spans="1:12">
      <c r="A93" t="n">
        <v>82</v>
      </c>
      <c r="B93" s="4" t="n">
        <v>0</v>
      </c>
      <c r="C93" s="7" t="n">
        <v>0</v>
      </c>
      <c r="E93" s="8" t="n">
        <v>82</v>
      </c>
      <c r="F93" s="8" t="n">
        <v>0</v>
      </c>
      <c r="G93" s="7" t="n">
        <v>0</v>
      </c>
    </row>
    <row r="94" spans="1:12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 spans="1:12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 spans="1:12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 spans="1:12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 spans="1:12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 spans="1:12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 spans="1:12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customHeight="1" ht="15.75" r="101" s="11" spans="1:12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1</v>
      </c>
      <c r="G101" s="7" t="n">
        <v>1.920550660285317e-06</v>
      </c>
    </row>
    <row r="102" spans="1:12">
      <c r="B102" s="4" t="n">
        <v>633464.2354945327</v>
      </c>
      <c r="C102" s="7" t="n">
        <v>1</v>
      </c>
      <c r="F102" s="4" t="n">
        <v>520684</v>
      </c>
      <c r="G102" s="7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2017-07-06T17:39:35Z</dcterms:modified>
  <cp:lastModifiedBy>Nagendra Dhakar</cp:lastModifiedBy>
</cp:coreProperties>
</file>