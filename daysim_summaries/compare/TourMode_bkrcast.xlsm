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AllPurposes" sheetId="1" state="visible" r:id="rId1"/>
    <sheet xmlns:r="http://schemas.openxmlformats.org/officeDocument/2006/relationships" name="soundcast" sheetId="2" state="visible" r:id="rId2"/>
    <sheet xmlns:r="http://schemas.openxmlformats.org/officeDocument/2006/relationships" name="bkrcast_all" sheetId="3" state="visible" r:id="rId3"/>
    <sheet xmlns:r="http://schemas.openxmlformats.org/officeDocument/2006/relationships" name="bkrcast_inbkr" sheetId="4" state="visible" r:id="rId4"/>
    <sheet xmlns:r="http://schemas.openxmlformats.org/officeDocument/2006/relationships" name="bkrcast_outbkr" sheetId="5" state="visible" r:id="rId5"/>
  </sheets>
  <definedNames/>
  <calcPr calcId="124519" fullCalcOnLoad="1"/>
</workbook>
</file>

<file path=xl/styles.xml><?xml version="1.0" encoding="utf-8"?>
<styleSheet xmlns="http://schemas.openxmlformats.org/spreadsheetml/2006/main">
  <numFmts count="2">
    <numFmt numFmtId="164" formatCode="0.0%"/>
    <numFmt numFmtId="165" formatCode="_(* #,##0_);_(* \(#,##0\);_(* &quot;-&quot;??_);_(@_)"/>
  </numFmts>
  <fonts count="4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indexed="8"/>
      <sz val="11"/>
      <scheme val="minor"/>
    </font>
    <font>
      <name val="Calibri"/>
      <family val="2"/>
      <color theme="1"/>
      <sz val="11"/>
      <scheme val="minor"/>
    </font>
  </fonts>
  <fills count="3">
    <fill>
      <patternFill/>
    </fill>
    <fill>
      <patternFill patternType="gray125"/>
    </fill>
    <fill>
      <patternFill patternType="solid">
        <fgColor indexed="22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8">
    <xf numFmtId="0" fontId="3" fillId="0" borderId="0"/>
    <xf numFmtId="0" fontId="3" fillId="0" borderId="0"/>
    <xf numFmtId="0" fontId="1" fillId="0" borderId="0"/>
    <xf numFmtId="0" fontId="3" fillId="0" borderId="0"/>
    <xf numFmtId="0" fontId="3" fillId="2" borderId="0"/>
    <xf numFmtId="0" fontId="3" fillId="0" borderId="0"/>
    <xf numFmtId="0" fontId="3" fillId="0" borderId="0"/>
    <xf numFmtId="0" fontId="3" fillId="0" borderId="0"/>
  </cellStyleXfs>
  <cellXfs count="17">
    <xf numFmtId="0" fontId="0" fillId="0" borderId="0" pivotButton="0" quotePrefix="0" xfId="0"/>
    <xf numFmtId="0" fontId="1" fillId="0" borderId="1" pivotButton="0" quotePrefix="0" xfId="3"/>
    <xf numFmtId="0" fontId="0" fillId="0" borderId="2" pivotButton="0" quotePrefix="0" xfId="3"/>
    <xf numFmtId="0" fontId="0" fillId="0" borderId="1" pivotButton="0" quotePrefix="0" xfId="3"/>
    <xf numFmtId="0" fontId="0" fillId="0" borderId="3" applyAlignment="1" pivotButton="0" quotePrefix="0" xfId="3">
      <alignment horizontal="center"/>
    </xf>
    <xf numFmtId="0" fontId="2" fillId="0" borderId="0" pivotButton="0" quotePrefix="0" xfId="1"/>
    <xf numFmtId="3" fontId="0" fillId="0" borderId="0" pivotButton="0" quotePrefix="0" xfId="3"/>
    <xf numFmtId="3" fontId="0" fillId="0" borderId="1" pivotButton="0" quotePrefix="0" xfId="3"/>
    <xf numFmtId="3" fontId="0" fillId="0" borderId="3" pivotButton="0" quotePrefix="0" xfId="3"/>
    <xf numFmtId="164" fontId="0" fillId="0" borderId="0" pivotButton="0" quotePrefix="0" xfId="3"/>
    <xf numFmtId="164" fontId="0" fillId="0" borderId="3" pivotButton="0" quotePrefix="0" xfId="3"/>
    <xf numFmtId="164" fontId="0" fillId="0" borderId="4" pivotButton="0" quotePrefix="0" xfId="3"/>
    <xf numFmtId="165" fontId="0" fillId="0" borderId="0" pivotButton="0" quotePrefix="0" xfId="0"/>
    <xf numFmtId="165" fontId="0" fillId="0" borderId="3" pivotButton="0" quotePrefix="0" xfId="0"/>
    <xf numFmtId="164" fontId="0" fillId="0" borderId="1" pivotButton="0" quotePrefix="0" xfId="3"/>
    <xf numFmtId="165" fontId="0" fillId="0" borderId="1" pivotButton="0" quotePrefix="0" xfId="0"/>
    <xf numFmtId="0" fontId="0" fillId="0" borderId="2" applyAlignment="1" pivotButton="0" quotePrefix="0" xfId="3">
      <alignment horizontal="center"/>
    </xf>
  </cellXfs>
  <cellStyles count="8">
    <cellStyle name="XLConnect.String" xfId="0"/>
    <cellStyle name="XLConnect.DateTime" xfId="1"/>
    <cellStyle name="XLConnect.General" xfId="2"/>
    <cellStyle name="Normal" xfId="3" builtinId="0"/>
    <cellStyle name="XLConnect.Header" xfId="4"/>
    <cellStyle name="XLConnect.Date" xfId="5"/>
    <cellStyle name="XLConnect.Boolean" xfId="6"/>
    <cellStyle name="XLConnect.Numeric" xfId="7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styles" Target="styles.xml" Id="rId6"/><Relationship Type="http://schemas.openxmlformats.org/officeDocument/2006/relationships/theme" Target="theme/theme1.xml" Id="rId7"/><Relationship Type="http://schemas.microsoft.com/office/2006/relationships/vbaProject" Target="vbaProject.bin" Id="rId8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2:H38"/>
  <sheetViews>
    <sheetView tabSelected="1" workbookViewId="0">
      <selection activeCell="J14" sqref="J14"/>
    </sheetView>
  </sheetViews>
  <sheetFormatPr baseColWidth="10" defaultRowHeight="15"/>
  <cols>
    <col collapsed="1" width="16.7109375" customWidth="1" min="1" max="2"/>
    <col hidden="1" width="13" customWidth="1" min="3" max="3"/>
    <col hidden="1" collapsed="1" width="16.7109375" customWidth="1" min="4" max="4"/>
    <col collapsed="1" width="16.7109375" customWidth="1" min="5" max="5"/>
    <col width="15.7109375" bestFit="1" customWidth="1" min="6" max="6"/>
    <col width="13.42578125" bestFit="1" customWidth="1" min="7" max="7"/>
    <col width="16" bestFit="1" customWidth="1" min="8" max="8"/>
  </cols>
  <sheetData>
    <row r="2" ht="15.75" customHeight="1">
      <c r="A2" s="1" t="inlineStr">
        <is>
          <t>Table X. Work Tour Modes All Purposes: Survey</t>
        </is>
      </c>
      <c r="B2" s="3" t="n"/>
      <c r="D2" s="1" t="inlineStr">
        <is>
          <t>Table X. Estimated Tour Modes All Purposes:DaySim</t>
        </is>
      </c>
      <c r="E2" s="3" t="n"/>
      <c r="F2" s="3" t="n"/>
      <c r="G2" s="3" t="n"/>
      <c r="H2" s="3" t="n"/>
    </row>
    <row r="3">
      <c r="A3" s="2" t="inlineStr">
        <is>
          <t>Mode</t>
        </is>
      </c>
      <c r="B3" s="4" t="inlineStr">
        <is>
          <t>Survey</t>
        </is>
      </c>
      <c r="D3" s="2" t="inlineStr">
        <is>
          <t>Mode</t>
        </is>
      </c>
      <c r="E3" s="16" t="inlineStr">
        <is>
          <t>SoundCast</t>
        </is>
      </c>
      <c r="F3" s="16" t="inlineStr">
        <is>
          <t>BKRCast_All</t>
        </is>
      </c>
      <c r="G3" s="16" t="inlineStr">
        <is>
          <t>BKRCast_InBKR</t>
        </is>
      </c>
      <c r="H3" s="16" t="inlineStr">
        <is>
          <t>BKRCast_OutBKR</t>
        </is>
      </c>
    </row>
    <row r="4">
      <c r="A4" s="6" t="inlineStr">
        <is>
          <t>Drive Alone</t>
        </is>
      </c>
      <c r="B4" s="6" t="n">
        <v>2059001.061365914</v>
      </c>
      <c r="D4" s="6" t="inlineStr">
        <is>
          <t>Drive Alone</t>
        </is>
      </c>
      <c r="E4" s="6">
        <f>soundcast!E4</f>
        <v/>
      </c>
      <c r="F4" s="12">
        <f>bkrcast_all!E4</f>
        <v/>
      </c>
      <c r="G4" s="12">
        <f>bkrcast_inbkr!E4</f>
        <v/>
      </c>
      <c r="H4" s="6">
        <f>bkrcast_outbkr!E4</f>
        <v/>
      </c>
    </row>
    <row r="5">
      <c r="A5" s="6" t="inlineStr">
        <is>
          <t>Shared Ride 2</t>
        </is>
      </c>
      <c r="B5" s="6" t="n">
        <v>1339891.910125944</v>
      </c>
      <c r="D5" s="6" t="inlineStr">
        <is>
          <t>Shared Ride 2</t>
        </is>
      </c>
      <c r="E5" s="6">
        <f>soundcast!E5</f>
        <v/>
      </c>
      <c r="F5" s="12">
        <f>bkrcast_all!E5</f>
        <v/>
      </c>
      <c r="G5" s="12">
        <f>bkrcast_inbkr!E5</f>
        <v/>
      </c>
      <c r="H5" s="6">
        <f>bkrcast_outbkr!E5</f>
        <v/>
      </c>
    </row>
    <row r="6">
      <c r="A6" s="6" t="inlineStr">
        <is>
          <t>Shared Ride 3+</t>
        </is>
      </c>
      <c r="B6" s="6" t="n">
        <v>1196740.273783528</v>
      </c>
      <c r="D6" s="6" t="inlineStr">
        <is>
          <t>Shared Ride 3+</t>
        </is>
      </c>
      <c r="E6" s="6">
        <f>soundcast!E6</f>
        <v/>
      </c>
      <c r="F6" s="12">
        <f>bkrcast_all!E6</f>
        <v/>
      </c>
      <c r="G6" s="12">
        <f>bkrcast_inbkr!E6</f>
        <v/>
      </c>
      <c r="H6" s="6">
        <f>bkrcast_outbkr!E6</f>
        <v/>
      </c>
    </row>
    <row r="7">
      <c r="A7" s="6" t="inlineStr">
        <is>
          <t>Drive-Transit</t>
        </is>
      </c>
      <c r="B7" s="6" t="n">
        <v>55903.15756886729</v>
      </c>
      <c r="D7" s="6" t="inlineStr">
        <is>
          <t>Drive-Transit</t>
        </is>
      </c>
      <c r="E7" s="6">
        <f>soundcast!E7</f>
        <v/>
      </c>
      <c r="F7" s="12">
        <f>bkrcast_all!E7</f>
        <v/>
      </c>
      <c r="G7" s="12">
        <f>bkrcast_inbkr!E7</f>
        <v/>
      </c>
      <c r="H7" s="6">
        <f>bkrcast_outbkr!E7</f>
        <v/>
      </c>
    </row>
    <row r="8">
      <c r="A8" s="6" t="inlineStr">
        <is>
          <t>Walk-Transit</t>
        </is>
      </c>
      <c r="B8" s="6" t="n">
        <v>354256.8459214177</v>
      </c>
      <c r="D8" s="6" t="inlineStr">
        <is>
          <t>Walk-Transit</t>
        </is>
      </c>
      <c r="E8" s="6">
        <f>soundcast!E8</f>
        <v/>
      </c>
      <c r="F8" s="12">
        <f>bkrcast_all!E8</f>
        <v/>
      </c>
      <c r="G8" s="12">
        <f>bkrcast_inbkr!E8</f>
        <v/>
      </c>
      <c r="H8" s="6">
        <f>bkrcast_outbkr!E8</f>
        <v/>
      </c>
    </row>
    <row r="9">
      <c r="A9" s="6" t="inlineStr">
        <is>
          <t>Bike</t>
        </is>
      </c>
      <c r="B9" s="6" t="n">
        <v>81898.2824149676</v>
      </c>
      <c r="D9" s="6" t="inlineStr">
        <is>
          <t>Bike</t>
        </is>
      </c>
      <c r="E9" s="6">
        <f>soundcast!E9</f>
        <v/>
      </c>
      <c r="F9" s="12">
        <f>bkrcast_all!E9</f>
        <v/>
      </c>
      <c r="G9" s="12">
        <f>bkrcast_inbkr!E9</f>
        <v/>
      </c>
      <c r="H9" s="6">
        <f>bkrcast_outbkr!E9</f>
        <v/>
      </c>
    </row>
    <row r="10">
      <c r="A10" s="6" t="inlineStr">
        <is>
          <t>Walk</t>
        </is>
      </c>
      <c r="B10" s="6" t="n">
        <v>738869.6440192471</v>
      </c>
      <c r="D10" s="6" t="inlineStr">
        <is>
          <t>Walk</t>
        </is>
      </c>
      <c r="E10" s="6">
        <f>soundcast!E10</f>
        <v/>
      </c>
      <c r="F10" s="12">
        <f>bkrcast_all!E10</f>
        <v/>
      </c>
      <c r="G10" s="12">
        <f>bkrcast_inbkr!E10</f>
        <v/>
      </c>
      <c r="H10" s="6">
        <f>bkrcast_outbkr!E10</f>
        <v/>
      </c>
    </row>
    <row r="11">
      <c r="A11" s="8" t="inlineStr">
        <is>
          <t>School Bus</t>
        </is>
      </c>
      <c r="B11" s="8" t="n">
        <v>211729.817099549</v>
      </c>
      <c r="D11" s="8" t="inlineStr">
        <is>
          <t>School Bus</t>
        </is>
      </c>
      <c r="E11" s="8">
        <f>soundcast!E11</f>
        <v/>
      </c>
      <c r="F11" s="13">
        <f>bkrcast_all!E11</f>
        <v/>
      </c>
      <c r="G11" s="13">
        <f>bkrcast_inbkr!E11</f>
        <v/>
      </c>
      <c r="H11" s="8">
        <f>bkrcast_outbkr!E11</f>
        <v/>
      </c>
    </row>
    <row r="12" ht="15.75" customHeight="1">
      <c r="A12" s="7" t="inlineStr">
        <is>
          <t>Total</t>
        </is>
      </c>
      <c r="B12" s="7">
        <f>SUM(B4:B11)</f>
        <v/>
      </c>
      <c r="D12" s="7" t="inlineStr">
        <is>
          <t>Total</t>
        </is>
      </c>
      <c r="E12" s="7">
        <f>soundcast!E12</f>
        <v/>
      </c>
      <c r="F12" s="15">
        <f>bkrcast_all!E12</f>
        <v/>
      </c>
      <c r="G12" s="15">
        <f>bkrcast_inbkr!E12</f>
        <v/>
      </c>
      <c r="H12" s="7">
        <f>bkrcast_outbkr!E12</f>
        <v/>
      </c>
    </row>
    <row r="14">
      <c r="E14" s="5" t="n"/>
    </row>
    <row r="15" ht="15.75" customHeight="1">
      <c r="A15" s="1" t="inlineStr">
        <is>
          <t>Table X. Observed Tour Mode Shares All Purposes: Survey</t>
        </is>
      </c>
      <c r="B15" s="3" t="n"/>
      <c r="D15" s="1" t="inlineStr">
        <is>
          <t>Table X. Estimated Tour Mode Shares All Purposes:DaySim</t>
        </is>
      </c>
      <c r="E15" s="3" t="n"/>
      <c r="F15" s="3" t="n"/>
      <c r="G15" s="3" t="n"/>
      <c r="H15" s="3" t="n"/>
    </row>
    <row r="16">
      <c r="A16" s="2" t="inlineStr">
        <is>
          <t>Mode</t>
        </is>
      </c>
      <c r="B16" s="4" t="inlineStr">
        <is>
          <t>Survey</t>
        </is>
      </c>
      <c r="D16" s="2" t="inlineStr">
        <is>
          <t>Mode</t>
        </is>
      </c>
      <c r="E16" s="4">
        <f>E3</f>
        <v/>
      </c>
      <c r="F16" s="4">
        <f>F3</f>
        <v/>
      </c>
      <c r="G16" s="4">
        <f>G3</f>
        <v/>
      </c>
      <c r="H16" s="4">
        <f>H3</f>
        <v/>
      </c>
    </row>
    <row r="17">
      <c r="A17" s="6" t="inlineStr">
        <is>
          <t>Drive Alone</t>
        </is>
      </c>
      <c r="B17" s="9">
        <f>B4/$B$12</f>
        <v/>
      </c>
      <c r="D17" s="6" t="inlineStr">
        <is>
          <t>Drive Alone</t>
        </is>
      </c>
      <c r="E17" s="9">
        <f>E4/E$12</f>
        <v/>
      </c>
      <c r="F17" s="9">
        <f>F4/F$12</f>
        <v/>
      </c>
      <c r="G17" s="9">
        <f>G4/G$12</f>
        <v/>
      </c>
      <c r="H17" s="9">
        <f>H4/H$12</f>
        <v/>
      </c>
    </row>
    <row r="18">
      <c r="A18" s="6" t="inlineStr">
        <is>
          <t>Shared Ride 2</t>
        </is>
      </c>
      <c r="B18" s="9">
        <f>B5/$B$12</f>
        <v/>
      </c>
      <c r="D18" s="6" t="inlineStr">
        <is>
          <t>Shared Ride 2</t>
        </is>
      </c>
      <c r="E18" s="9">
        <f>E5/E$12</f>
        <v/>
      </c>
      <c r="F18" s="9">
        <f>F5/F$12</f>
        <v/>
      </c>
      <c r="G18" s="9">
        <f>G5/G$12</f>
        <v/>
      </c>
      <c r="H18" s="9">
        <f>H5/H$12</f>
        <v/>
      </c>
    </row>
    <row r="19">
      <c r="A19" s="6" t="inlineStr">
        <is>
          <t>Shared Ride 3+</t>
        </is>
      </c>
      <c r="B19" s="9">
        <f>B6/$B$12</f>
        <v/>
      </c>
      <c r="D19" s="6" t="inlineStr">
        <is>
          <t>Shared Ride 3+</t>
        </is>
      </c>
      <c r="E19" s="9">
        <f>E6/E$12</f>
        <v/>
      </c>
      <c r="F19" s="9">
        <f>F6/F$12</f>
        <v/>
      </c>
      <c r="G19" s="9">
        <f>G6/G$12</f>
        <v/>
      </c>
      <c r="H19" s="9">
        <f>H6/H$12</f>
        <v/>
      </c>
    </row>
    <row r="20">
      <c r="A20" s="6" t="inlineStr">
        <is>
          <t>Drive-Transit</t>
        </is>
      </c>
      <c r="B20" s="9">
        <f>B7/$B$12</f>
        <v/>
      </c>
      <c r="D20" s="6" t="inlineStr">
        <is>
          <t>Drive-Transit</t>
        </is>
      </c>
      <c r="E20" s="9">
        <f>E7/E$12</f>
        <v/>
      </c>
      <c r="F20" s="9">
        <f>F7/F$12</f>
        <v/>
      </c>
      <c r="G20" s="9">
        <f>G7/G$12</f>
        <v/>
      </c>
      <c r="H20" s="9">
        <f>H7/H$12</f>
        <v/>
      </c>
    </row>
    <row r="21">
      <c r="A21" s="6" t="inlineStr">
        <is>
          <t>Walk-Transit</t>
        </is>
      </c>
      <c r="B21" s="9">
        <f>B8/$B$12</f>
        <v/>
      </c>
      <c r="D21" s="6" t="inlineStr">
        <is>
          <t>Walk-Transit</t>
        </is>
      </c>
      <c r="E21" s="9">
        <f>E8/E$12</f>
        <v/>
      </c>
      <c r="F21" s="9">
        <f>F8/F$12</f>
        <v/>
      </c>
      <c r="G21" s="9">
        <f>G8/G$12</f>
        <v/>
      </c>
      <c r="H21" s="9">
        <f>H8/H$12</f>
        <v/>
      </c>
    </row>
    <row r="22">
      <c r="A22" s="6" t="inlineStr">
        <is>
          <t>Bike</t>
        </is>
      </c>
      <c r="B22" s="9">
        <f>B9/$B$12</f>
        <v/>
      </c>
      <c r="D22" s="6" t="inlineStr">
        <is>
          <t>Bike</t>
        </is>
      </c>
      <c r="E22" s="9">
        <f>E9/E$12</f>
        <v/>
      </c>
      <c r="F22" s="9">
        <f>F9/F$12</f>
        <v/>
      </c>
      <c r="G22" s="9">
        <f>G9/G$12</f>
        <v/>
      </c>
      <c r="H22" s="9">
        <f>H9/H$12</f>
        <v/>
      </c>
    </row>
    <row r="23">
      <c r="A23" s="6" t="inlineStr">
        <is>
          <t>Walk</t>
        </is>
      </c>
      <c r="B23" s="9">
        <f>B10/$B$12</f>
        <v/>
      </c>
      <c r="D23" s="6" t="inlineStr">
        <is>
          <t>Walk</t>
        </is>
      </c>
      <c r="E23" s="9">
        <f>E10/E$12</f>
        <v/>
      </c>
      <c r="F23" s="9">
        <f>F10/F$12</f>
        <v/>
      </c>
      <c r="G23" s="9">
        <f>G10/G$12</f>
        <v/>
      </c>
      <c r="H23" s="9">
        <f>H10/H$12</f>
        <v/>
      </c>
    </row>
    <row r="24">
      <c r="A24" s="8" t="inlineStr">
        <is>
          <t>School Bus</t>
        </is>
      </c>
      <c r="B24" s="10">
        <f>B11/$B$12</f>
        <v/>
      </c>
      <c r="D24" s="8" t="inlineStr">
        <is>
          <t>School Bus</t>
        </is>
      </c>
      <c r="E24" s="10">
        <f>E11/E$12</f>
        <v/>
      </c>
      <c r="F24" s="10">
        <f>F11/F$12</f>
        <v/>
      </c>
      <c r="G24" s="10">
        <f>G11/G$12</f>
        <v/>
      </c>
      <c r="H24" s="10">
        <f>H11/H$12</f>
        <v/>
      </c>
    </row>
    <row r="25" ht="15.75" customHeight="1">
      <c r="A25" s="7" t="inlineStr">
        <is>
          <t>Total</t>
        </is>
      </c>
      <c r="B25" s="11">
        <f>B12/$B$12</f>
        <v/>
      </c>
      <c r="D25" s="7" t="inlineStr">
        <is>
          <t>Total</t>
        </is>
      </c>
      <c r="E25" s="11">
        <f>E12/E$12</f>
        <v/>
      </c>
      <c r="F25" s="11">
        <f>F12/F$12</f>
        <v/>
      </c>
      <c r="G25" s="11">
        <f>G12/G$12</f>
        <v/>
      </c>
      <c r="H25" s="11">
        <f>H12/H$12</f>
        <v/>
      </c>
    </row>
    <row r="28" ht="15.75" customHeight="1">
      <c r="D28" s="1" t="inlineStr">
        <is>
          <t>Table X. Estimated-Observed Different Tour Mode Shares</t>
        </is>
      </c>
      <c r="E28" s="3" t="n"/>
      <c r="F28" s="3" t="n"/>
      <c r="G28" s="3" t="n"/>
      <c r="H28" s="3" t="n"/>
    </row>
    <row r="29">
      <c r="A29" s="2" t="inlineStr">
        <is>
          <t>Mode</t>
        </is>
      </c>
      <c r="D29" s="2" t="inlineStr">
        <is>
          <t>Mode</t>
        </is>
      </c>
      <c r="E29" s="4">
        <f>E16</f>
        <v/>
      </c>
      <c r="F29" s="4">
        <f>F16</f>
        <v/>
      </c>
      <c r="G29" s="4">
        <f>G16</f>
        <v/>
      </c>
      <c r="H29" s="4">
        <f>H16</f>
        <v/>
      </c>
    </row>
    <row r="30">
      <c r="A30" s="6" t="inlineStr">
        <is>
          <t>Drive Alone</t>
        </is>
      </c>
      <c r="D30" s="6" t="inlineStr">
        <is>
          <t>Drive Alone</t>
        </is>
      </c>
      <c r="E30" s="9">
        <f>E17-$B17</f>
        <v/>
      </c>
      <c r="F30" s="9">
        <f>F17-$B17</f>
        <v/>
      </c>
      <c r="G30" s="9">
        <f>G17-$B17</f>
        <v/>
      </c>
      <c r="H30" s="9">
        <f>H17-$B17</f>
        <v/>
      </c>
    </row>
    <row r="31">
      <c r="A31" s="6" t="inlineStr">
        <is>
          <t>Shared Ride 2</t>
        </is>
      </c>
      <c r="D31" s="6" t="inlineStr">
        <is>
          <t>Shared Ride 2</t>
        </is>
      </c>
      <c r="E31" s="9">
        <f>E18-$B18</f>
        <v/>
      </c>
      <c r="F31" s="9">
        <f>F18-$B18</f>
        <v/>
      </c>
      <c r="G31" s="9">
        <f>G18-$B18</f>
        <v/>
      </c>
      <c r="H31" s="9">
        <f>H18-$B18</f>
        <v/>
      </c>
    </row>
    <row r="32">
      <c r="A32" s="6" t="inlineStr">
        <is>
          <t>Shared Ride 3+</t>
        </is>
      </c>
      <c r="D32" s="6" t="inlineStr">
        <is>
          <t>Shared Ride 3+</t>
        </is>
      </c>
      <c r="E32" s="9">
        <f>E19-$B19</f>
        <v/>
      </c>
      <c r="F32" s="9">
        <f>F19-$B19</f>
        <v/>
      </c>
      <c r="G32" s="9">
        <f>G19-$B19</f>
        <v/>
      </c>
      <c r="H32" s="9">
        <f>H19-$B19</f>
        <v/>
      </c>
    </row>
    <row r="33">
      <c r="A33" s="6" t="inlineStr">
        <is>
          <t>Drive-Transit</t>
        </is>
      </c>
      <c r="D33" s="6" t="inlineStr">
        <is>
          <t>Drive-Transit</t>
        </is>
      </c>
      <c r="E33" s="9">
        <f>E20-$B20</f>
        <v/>
      </c>
      <c r="F33" s="9">
        <f>F20-$B20</f>
        <v/>
      </c>
      <c r="G33" s="9">
        <f>G20-$B20</f>
        <v/>
      </c>
      <c r="H33" s="9">
        <f>H20-$B20</f>
        <v/>
      </c>
    </row>
    <row r="34">
      <c r="A34" s="6" t="inlineStr">
        <is>
          <t>Walk-Transit</t>
        </is>
      </c>
      <c r="D34" s="6" t="inlineStr">
        <is>
          <t>Walk-Transit</t>
        </is>
      </c>
      <c r="E34" s="9">
        <f>E21-$B21</f>
        <v/>
      </c>
      <c r="F34" s="9">
        <f>F21-$B21</f>
        <v/>
      </c>
      <c r="G34" s="9">
        <f>G21-$B21</f>
        <v/>
      </c>
      <c r="H34" s="9">
        <f>H21-$B21</f>
        <v/>
      </c>
    </row>
    <row r="35">
      <c r="A35" s="6" t="inlineStr">
        <is>
          <t>Bike</t>
        </is>
      </c>
      <c r="D35" s="6" t="inlineStr">
        <is>
          <t>Bike</t>
        </is>
      </c>
      <c r="E35" s="9">
        <f>E22-$B22</f>
        <v/>
      </c>
      <c r="F35" s="9">
        <f>F22-$B22</f>
        <v/>
      </c>
      <c r="G35" s="9">
        <f>G22-$B22</f>
        <v/>
      </c>
      <c r="H35" s="9">
        <f>H22-$B22</f>
        <v/>
      </c>
    </row>
    <row r="36">
      <c r="A36" s="6" t="inlineStr">
        <is>
          <t>Walk</t>
        </is>
      </c>
      <c r="D36" s="6" t="inlineStr">
        <is>
          <t>Walk</t>
        </is>
      </c>
      <c r="E36" s="9">
        <f>E23-$B23</f>
        <v/>
      </c>
      <c r="F36" s="9">
        <f>F23-$B23</f>
        <v/>
      </c>
      <c r="G36" s="9">
        <f>G23-$B23</f>
        <v/>
      </c>
      <c r="H36" s="9">
        <f>H23-$B23</f>
        <v/>
      </c>
    </row>
    <row r="37">
      <c r="A37" s="8" t="inlineStr">
        <is>
          <t>School Bus</t>
        </is>
      </c>
      <c r="D37" s="8" t="inlineStr">
        <is>
          <t>School Bus</t>
        </is>
      </c>
      <c r="E37" s="10">
        <f>E24-$B24</f>
        <v/>
      </c>
      <c r="F37" s="10">
        <f>F24-$B24</f>
        <v/>
      </c>
      <c r="G37" s="10">
        <f>G24-$B24</f>
        <v/>
      </c>
      <c r="H37" s="10">
        <f>H24-$B24</f>
        <v/>
      </c>
    </row>
    <row r="38" ht="15.75" customHeight="1">
      <c r="A38" s="7" t="inlineStr">
        <is>
          <t>Total</t>
        </is>
      </c>
      <c r="D38" s="7" t="inlineStr">
        <is>
          <t>Total</t>
        </is>
      </c>
      <c r="E38" s="14">
        <f>E25-$B25</f>
        <v/>
      </c>
      <c r="F38" s="14">
        <f>F25-$B25</f>
        <v/>
      </c>
      <c r="G38" s="14">
        <f>G25-$B25</f>
        <v/>
      </c>
      <c r="H38" s="14">
        <f>H25-$B25</f>
        <v/>
      </c>
    </row>
  </sheetData>
  <pageMargins left="0.7" right="0.7" top="0.75" bottom="0.75" header="0.3" footer="0.3"/>
  <pageSetup orientation="portrait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2:E38"/>
  <sheetViews>
    <sheetView workbookViewId="0">
      <selection activeCell="A1" sqref="A1:XFD1048576"/>
    </sheetView>
  </sheetViews>
  <sheetFormatPr baseColWidth="10" defaultRowHeight="15"/>
  <cols>
    <col collapsed="1" width="16.7109375" customWidth="1" min="1" max="2"/>
    <col collapsed="1" width="16.7109375" customWidth="1" min="4" max="5"/>
  </cols>
  <sheetData>
    <row r="2" ht="15.75" customHeight="1">
      <c r="A2" s="1" t="inlineStr">
        <is>
          <t>Table X. Work Tour Modes All Purposes: Survey</t>
        </is>
      </c>
      <c r="B2" s="3" t="n"/>
      <c r="D2" s="1" t="inlineStr">
        <is>
          <t>Table X. Estimated Tour Modes All Purposes:DaySim</t>
        </is>
      </c>
      <c r="E2" s="3" t="n"/>
    </row>
    <row r="3">
      <c r="A3" s="2" t="inlineStr">
        <is>
          <t>Mode</t>
        </is>
      </c>
      <c r="B3" s="4" t="inlineStr">
        <is>
          <t>Total</t>
        </is>
      </c>
      <c r="D3" s="2" t="inlineStr">
        <is>
          <t>Mode</t>
        </is>
      </c>
      <c r="E3" s="4" t="inlineStr">
        <is>
          <t>Total</t>
        </is>
      </c>
    </row>
    <row r="4">
      <c r="A4" s="6" t="inlineStr">
        <is>
          <t>Drive Alone</t>
        </is>
      </c>
      <c r="B4" s="6" t="n">
        <v>2059001.061365914</v>
      </c>
      <c r="D4" s="6" t="inlineStr">
        <is>
          <t>Drive Alone</t>
        </is>
      </c>
      <c r="E4" s="6" t="n">
        <v>1977590</v>
      </c>
    </row>
    <row r="5">
      <c r="A5" s="6" t="inlineStr">
        <is>
          <t>Shared Ride 2</t>
        </is>
      </c>
      <c r="B5" s="6" t="n">
        <v>1339891.910125944</v>
      </c>
      <c r="D5" s="6" t="inlineStr">
        <is>
          <t>Shared Ride 2</t>
        </is>
      </c>
      <c r="E5" s="6" t="n">
        <v>1418799</v>
      </c>
    </row>
    <row r="6">
      <c r="A6" s="6" t="inlineStr">
        <is>
          <t>Shared Ride 3+</t>
        </is>
      </c>
      <c r="B6" s="6" t="n">
        <v>1196740.273783528</v>
      </c>
      <c r="D6" s="6" t="inlineStr">
        <is>
          <t>Shared Ride 3+</t>
        </is>
      </c>
      <c r="E6" s="6" t="n">
        <v>1296826</v>
      </c>
    </row>
    <row r="7">
      <c r="A7" s="6" t="inlineStr">
        <is>
          <t>Drive-Transit</t>
        </is>
      </c>
      <c r="B7" s="6" t="n">
        <v>55903.15756886729</v>
      </c>
      <c r="D7" s="6" t="inlineStr">
        <is>
          <t>Drive-Transit</t>
        </is>
      </c>
      <c r="E7" s="6" t="n">
        <v>31083</v>
      </c>
    </row>
    <row r="8">
      <c r="A8" s="6" t="inlineStr">
        <is>
          <t>Walk-Transit</t>
        </is>
      </c>
      <c r="B8" s="6" t="n">
        <v>354256.8459214177</v>
      </c>
      <c r="D8" s="6" t="inlineStr">
        <is>
          <t>Walk-Transit</t>
        </is>
      </c>
      <c r="E8" s="6" t="n">
        <v>245027</v>
      </c>
    </row>
    <row r="9">
      <c r="A9" s="6" t="inlineStr">
        <is>
          <t>Bike</t>
        </is>
      </c>
      <c r="B9" s="6" t="n">
        <v>81898.2824149676</v>
      </c>
      <c r="D9" s="6" t="inlineStr">
        <is>
          <t>Bike</t>
        </is>
      </c>
      <c r="E9" s="6" t="n">
        <v>90261</v>
      </c>
    </row>
    <row r="10">
      <c r="A10" s="6" t="inlineStr">
        <is>
          <t>Walk</t>
        </is>
      </c>
      <c r="B10" s="6" t="n">
        <v>738869.6440192471</v>
      </c>
      <c r="D10" s="6" t="inlineStr">
        <is>
          <t>Walk</t>
        </is>
      </c>
      <c r="E10" s="6" t="n">
        <v>718984</v>
      </c>
    </row>
    <row r="11">
      <c r="A11" s="8" t="inlineStr">
        <is>
          <t>School Bus</t>
        </is>
      </c>
      <c r="B11" s="8" t="n">
        <v>211729.817099549</v>
      </c>
      <c r="D11" s="8" t="inlineStr">
        <is>
          <t>School Bus</t>
        </is>
      </c>
      <c r="E11" s="8" t="n">
        <v>196630</v>
      </c>
    </row>
    <row r="12" ht="15.75" customHeight="1">
      <c r="A12" s="7" t="inlineStr">
        <is>
          <t>Total</t>
        </is>
      </c>
      <c r="B12" s="7" t="n">
        <v>6038290.992299433</v>
      </c>
      <c r="D12" s="7" t="inlineStr">
        <is>
          <t>Total</t>
        </is>
      </c>
      <c r="E12" s="7" t="n">
        <v>5975200</v>
      </c>
    </row>
    <row r="14">
      <c r="E14" s="5" t="n"/>
    </row>
    <row r="15" ht="15.75" customHeight="1">
      <c r="A15" s="1" t="inlineStr">
        <is>
          <t>Table X. Observed Tour Mode Shares All Purposes: Survey</t>
        </is>
      </c>
      <c r="B15" s="3" t="n"/>
      <c r="D15" s="1" t="inlineStr">
        <is>
          <t>Table X. Estimated Tour Mode Shares All Purposes:DaySim</t>
        </is>
      </c>
      <c r="E15" s="3" t="n"/>
    </row>
    <row r="16">
      <c r="A16" s="2" t="inlineStr">
        <is>
          <t>Mode</t>
        </is>
      </c>
      <c r="B16" s="4" t="inlineStr">
        <is>
          <t>Total</t>
        </is>
      </c>
      <c r="D16" s="2" t="inlineStr">
        <is>
          <t>Mode</t>
        </is>
      </c>
      <c r="E16" s="4" t="inlineStr">
        <is>
          <t>Total</t>
        </is>
      </c>
    </row>
    <row r="17">
      <c r="A17" s="6" t="inlineStr">
        <is>
          <t>Drive Alone</t>
        </is>
      </c>
      <c r="B17" s="9" t="n">
        <v>0.3409906981945281</v>
      </c>
      <c r="D17" s="6" t="inlineStr">
        <is>
          <t>Drive Alone</t>
        </is>
      </c>
      <c r="E17" s="9" t="n">
        <v>0.330966327486946</v>
      </c>
    </row>
    <row r="18">
      <c r="A18" s="6" t="inlineStr">
        <is>
          <t>Shared Ride 2</t>
        </is>
      </c>
      <c r="B18" s="9" t="n">
        <v>0.2218991949600795</v>
      </c>
      <c r="D18" s="6" t="inlineStr">
        <is>
          <t>Shared Ride 2</t>
        </is>
      </c>
      <c r="E18" s="9" t="n">
        <v>0.2374479515330031</v>
      </c>
    </row>
    <row r="19">
      <c r="A19" s="6" t="inlineStr">
        <is>
          <t>Shared Ride 3+</t>
        </is>
      </c>
      <c r="B19" s="9" t="n">
        <v>0.1981918849736983</v>
      </c>
      <c r="D19" s="6" t="inlineStr">
        <is>
          <t>Shared Ride 3+</t>
        </is>
      </c>
      <c r="E19" s="9" t="n">
        <v>0.2170347436069086</v>
      </c>
    </row>
    <row r="20">
      <c r="A20" s="6" t="inlineStr">
        <is>
          <t>Drive-Transit</t>
        </is>
      </c>
      <c r="B20" s="9" t="n">
        <v>0.009258109229939394</v>
      </c>
      <c r="D20" s="6" t="inlineStr">
        <is>
          <t>Drive-Transit</t>
        </is>
      </c>
      <c r="E20" s="9" t="n">
        <v>0.005202001606640782</v>
      </c>
    </row>
    <row r="21">
      <c r="A21" s="6" t="inlineStr">
        <is>
          <t>Walk-Transit</t>
        </is>
      </c>
      <c r="B21" s="9" t="n">
        <v>0.05866839580490533</v>
      </c>
      <c r="D21" s="6" t="inlineStr">
        <is>
          <t>Walk-Transit</t>
        </is>
      </c>
      <c r="E21" s="9" t="n">
        <v>0.04100733029856742</v>
      </c>
    </row>
    <row r="22">
      <c r="A22" s="6" t="inlineStr">
        <is>
          <t>Bike</t>
        </is>
      </c>
      <c r="B22" s="9" t="n">
        <v>0.01356315595247258</v>
      </c>
      <c r="D22" s="6" t="inlineStr">
        <is>
          <t>Bike</t>
        </is>
      </c>
      <c r="E22" s="9" t="n">
        <v>0.01510593787655643</v>
      </c>
    </row>
    <row r="23">
      <c r="A23" s="6" t="inlineStr">
        <is>
          <t>Walk</t>
        </is>
      </c>
      <c r="B23" s="9" t="n">
        <v>0.122364033956217</v>
      </c>
      <c r="D23" s="6" t="inlineStr">
        <is>
          <t>Walk</t>
        </is>
      </c>
      <c r="E23" s="9" t="n">
        <v>0.1203280224929709</v>
      </c>
    </row>
    <row r="24">
      <c r="A24" s="8" t="inlineStr">
        <is>
          <t>School Bus</t>
        </is>
      </c>
      <c r="B24" s="10" t="n">
        <v>0.03506452692815993</v>
      </c>
      <c r="D24" s="8" t="inlineStr">
        <is>
          <t>School Bus</t>
        </is>
      </c>
      <c r="E24" s="10" t="n">
        <v>0.03290768509840675</v>
      </c>
    </row>
    <row r="25" ht="15.75" customHeight="1">
      <c r="A25" s="7" t="inlineStr">
        <is>
          <t>Total</t>
        </is>
      </c>
      <c r="B25" s="11" t="n">
        <v>1</v>
      </c>
      <c r="D25" s="7" t="inlineStr">
        <is>
          <t>Total</t>
        </is>
      </c>
      <c r="E25" s="11" t="n">
        <v>1</v>
      </c>
    </row>
    <row r="28" ht="15.75" customHeight="1">
      <c r="D28" s="1" t="inlineStr">
        <is>
          <t>Table X. Estimated-Observed Different Tour Mode Shares</t>
        </is>
      </c>
      <c r="E28" s="3" t="n"/>
    </row>
    <row r="29">
      <c r="D29" s="2" t="inlineStr">
        <is>
          <t>Mode</t>
        </is>
      </c>
      <c r="E29" s="4" t="inlineStr">
        <is>
          <t>Total</t>
        </is>
      </c>
    </row>
    <row r="30">
      <c r="D30" s="6" t="inlineStr">
        <is>
          <t>Drive Alone</t>
        </is>
      </c>
      <c r="E30" s="9" t="n">
        <v>-0.01002437070758205</v>
      </c>
    </row>
    <row r="31">
      <c r="D31" s="6" t="inlineStr">
        <is>
          <t>Shared Ride 2</t>
        </is>
      </c>
      <c r="E31" s="9" t="n">
        <v>0.01554875657292359</v>
      </c>
    </row>
    <row r="32">
      <c r="D32" s="6" t="inlineStr">
        <is>
          <t>Shared Ride 3+</t>
        </is>
      </c>
      <c r="E32" s="9" t="n">
        <v>0.01884285863321028</v>
      </c>
    </row>
    <row r="33">
      <c r="D33" s="6" t="inlineStr">
        <is>
          <t>Drive-Transit</t>
        </is>
      </c>
      <c r="E33" s="9" t="n">
        <v>-0.004056107623298612</v>
      </c>
    </row>
    <row r="34">
      <c r="D34" s="6" t="inlineStr">
        <is>
          <t>Walk-Transit</t>
        </is>
      </c>
      <c r="E34" s="9" t="n">
        <v>-0.01766106550633791</v>
      </c>
    </row>
    <row r="35">
      <c r="D35" s="6" t="inlineStr">
        <is>
          <t>Bike</t>
        </is>
      </c>
      <c r="E35" s="9" t="n">
        <v>0.001542781924083855</v>
      </c>
    </row>
    <row r="36">
      <c r="D36" s="6" t="inlineStr">
        <is>
          <t>Walk</t>
        </is>
      </c>
      <c r="E36" s="9" t="n">
        <v>-0.002036011463246071</v>
      </c>
    </row>
    <row r="37">
      <c r="D37" s="8" t="inlineStr">
        <is>
          <t>School Bus</t>
        </is>
      </c>
      <c r="E37" s="10" t="n">
        <v>-0.002156841829753182</v>
      </c>
    </row>
    <row r="38" ht="15.75" customHeight="1">
      <c r="D38" s="7" t="inlineStr">
        <is>
          <t>Total</t>
        </is>
      </c>
      <c r="E38" s="11" t="n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2:E38"/>
  <sheetViews>
    <sheetView workbookViewId="0">
      <selection activeCell="A1" sqref="A1:XFD1048576"/>
    </sheetView>
  </sheetViews>
  <sheetFormatPr baseColWidth="10" defaultRowHeight="15"/>
  <cols>
    <col collapsed="1" width="16.7109375" customWidth="1" min="1" max="2"/>
    <col collapsed="1" width="16.7109375" customWidth="1" min="4" max="5"/>
  </cols>
  <sheetData>
    <row r="2" ht="15.75" customHeight="1">
      <c r="A2" s="1" t="inlineStr">
        <is>
          <t>Table X. Work Tour Modes All Purposes: Survey</t>
        </is>
      </c>
      <c r="B2" s="3" t="inlineStr"/>
      <c r="D2" s="1" t="inlineStr">
        <is>
          <t>Table X. Estimated Tour Modes All Purposes:DaySim</t>
        </is>
      </c>
      <c r="E2" s="3" t="inlineStr"/>
    </row>
    <row r="3">
      <c r="A3" s="2" t="inlineStr">
        <is>
          <t>Mode</t>
        </is>
      </c>
      <c r="B3" s="4" t="inlineStr">
        <is>
          <t>Total</t>
        </is>
      </c>
      <c r="D3" s="2" t="inlineStr">
        <is>
          <t>Mode</t>
        </is>
      </c>
      <c r="E3" s="4" t="inlineStr">
        <is>
          <t>Total</t>
        </is>
      </c>
    </row>
    <row r="4">
      <c r="A4" s="6" t="inlineStr">
        <is>
          <t>Drive Alone</t>
        </is>
      </c>
      <c r="B4" s="6" t="n">
        <v>2059001.061365914</v>
      </c>
      <c r="D4" s="6" t="inlineStr">
        <is>
          <t>Drive Alone</t>
        </is>
      </c>
      <c r="E4" s="6" t="n">
        <v>2239946</v>
      </c>
    </row>
    <row r="5">
      <c r="A5" s="6" t="inlineStr">
        <is>
          <t>Shared Ride 2</t>
        </is>
      </c>
      <c r="B5" s="6" t="n">
        <v>1339891.910125944</v>
      </c>
      <c r="D5" s="6" t="inlineStr">
        <is>
          <t>Shared Ride 2</t>
        </is>
      </c>
      <c r="E5" s="6" t="n">
        <v>1654657</v>
      </c>
    </row>
    <row r="6">
      <c r="A6" s="6" t="inlineStr">
        <is>
          <t>Shared Ride 3+</t>
        </is>
      </c>
      <c r="B6" s="6" t="n">
        <v>1196740.273783528</v>
      </c>
      <c r="D6" s="6" t="inlineStr">
        <is>
          <t>Shared Ride 3+</t>
        </is>
      </c>
      <c r="E6" s="6" t="n">
        <v>1517549</v>
      </c>
    </row>
    <row r="7">
      <c r="A7" s="6" t="inlineStr">
        <is>
          <t>Drive-Transit</t>
        </is>
      </c>
      <c r="B7" s="6" t="n">
        <v>55903.15756886729</v>
      </c>
      <c r="D7" s="6" t="inlineStr">
        <is>
          <t>Drive-Transit</t>
        </is>
      </c>
      <c r="E7" s="6" t="n">
        <v>57337</v>
      </c>
    </row>
    <row r="8">
      <c r="A8" s="6" t="inlineStr">
        <is>
          <t>Walk-Transit</t>
        </is>
      </c>
      <c r="B8" s="6" t="n">
        <v>354256.8459214177</v>
      </c>
      <c r="D8" s="6" t="inlineStr">
        <is>
          <t>Walk-Transit</t>
        </is>
      </c>
      <c r="E8" s="6" t="n">
        <v>198293</v>
      </c>
    </row>
    <row r="9">
      <c r="A9" s="6" t="inlineStr">
        <is>
          <t>Bike</t>
        </is>
      </c>
      <c r="B9" s="6" t="n">
        <v>81898.2824149676</v>
      </c>
      <c r="D9" s="6" t="inlineStr">
        <is>
          <t>Bike</t>
        </is>
      </c>
      <c r="E9" s="6" t="n">
        <v>87688</v>
      </c>
    </row>
    <row r="10">
      <c r="A10" s="6" t="inlineStr">
        <is>
          <t>Walk</t>
        </is>
      </c>
      <c r="B10" s="6" t="n">
        <v>738869.6440192471</v>
      </c>
      <c r="D10" s="6" t="inlineStr">
        <is>
          <t>Walk</t>
        </is>
      </c>
      <c r="E10" s="6" t="n">
        <v>638359</v>
      </c>
    </row>
    <row r="11">
      <c r="A11" s="8" t="inlineStr">
        <is>
          <t>School Bus</t>
        </is>
      </c>
      <c r="B11" s="8" t="n">
        <v>389300.9220221348</v>
      </c>
      <c r="D11" s="8" t="inlineStr">
        <is>
          <t>School Bus</t>
        </is>
      </c>
      <c r="E11" s="8" t="n">
        <v>218330</v>
      </c>
    </row>
    <row r="12" ht="15.75" customHeight="1">
      <c r="A12" s="7" t="inlineStr">
        <is>
          <t>Total</t>
        </is>
      </c>
      <c r="B12" s="7" t="n">
        <v>6215862.097222019</v>
      </c>
      <c r="D12" s="7" t="inlineStr">
        <is>
          <t>Total</t>
        </is>
      </c>
      <c r="E12" s="7" t="n">
        <v>6612159</v>
      </c>
    </row>
    <row r="14">
      <c r="E14" s="5" t="inlineStr"/>
    </row>
    <row r="15" ht="15.75" customHeight="1">
      <c r="A15" s="1" t="inlineStr">
        <is>
          <t>Table X. Observed Tour Mode Shares All Purposes: Survey</t>
        </is>
      </c>
      <c r="B15" s="3" t="inlineStr"/>
      <c r="D15" s="1" t="inlineStr">
        <is>
          <t>Table X. Estimated Tour Mode Shares All Purposes:DaySim</t>
        </is>
      </c>
      <c r="E15" s="3" t="inlineStr"/>
    </row>
    <row r="16">
      <c r="A16" s="2" t="inlineStr">
        <is>
          <t>Mode</t>
        </is>
      </c>
      <c r="B16" s="4" t="inlineStr">
        <is>
          <t>Total</t>
        </is>
      </c>
      <c r="D16" s="2" t="inlineStr">
        <is>
          <t>Mode</t>
        </is>
      </c>
      <c r="E16" s="4" t="inlineStr">
        <is>
          <t>Total</t>
        </is>
      </c>
    </row>
    <row r="17">
      <c r="A17" s="6" t="inlineStr">
        <is>
          <t>Drive Alone</t>
        </is>
      </c>
      <c r="B17" s="9" t="n">
        <v>0.3312494758025791</v>
      </c>
      <c r="D17" s="6" t="inlineStr">
        <is>
          <t>Drive Alone</t>
        </is>
      </c>
      <c r="E17" s="9" t="n">
        <v>0.3387616661970773</v>
      </c>
    </row>
    <row r="18">
      <c r="A18" s="6" t="inlineStr">
        <is>
          <t>Shared Ride 2</t>
        </is>
      </c>
      <c r="B18" s="9" t="n">
        <v>0.2155601088262183</v>
      </c>
      <c r="D18" s="6" t="inlineStr">
        <is>
          <t>Shared Ride 2</t>
        </is>
      </c>
      <c r="E18" s="9" t="n">
        <v>0.2502445872823083</v>
      </c>
    </row>
    <row r="19">
      <c r="A19" s="6" t="inlineStr">
        <is>
          <t>Shared Ride 3+</t>
        </is>
      </c>
      <c r="B19" s="9" t="n">
        <v>0.1925300553753231</v>
      </c>
      <c r="D19" s="6" t="inlineStr">
        <is>
          <t>Shared Ride 3+</t>
        </is>
      </c>
      <c r="E19" s="9" t="n">
        <v>0.2295088487739027</v>
      </c>
    </row>
    <row r="20">
      <c r="A20" s="6" t="inlineStr">
        <is>
          <t>Drive-Transit</t>
        </is>
      </c>
      <c r="B20" s="9" t="n">
        <v>0.008993628992163681</v>
      </c>
      <c r="D20" s="6" t="inlineStr">
        <is>
          <t>Drive-Transit</t>
        </is>
      </c>
      <c r="E20" s="9" t="n">
        <v>0.008671449068299779</v>
      </c>
    </row>
    <row r="21">
      <c r="A21" s="6" t="inlineStr">
        <is>
          <t>Walk-Transit</t>
        </is>
      </c>
      <c r="B21" s="9" t="n">
        <v>0.05699239146243953</v>
      </c>
      <c r="D21" s="6" t="inlineStr">
        <is>
          <t>Walk-Transit</t>
        </is>
      </c>
      <c r="E21" s="9" t="n">
        <v>0.02998914575405703</v>
      </c>
    </row>
    <row r="22">
      <c r="A22" s="6" t="inlineStr">
        <is>
          <t>Bike</t>
        </is>
      </c>
      <c r="B22" s="9" t="n">
        <v>0.01317569166336065</v>
      </c>
      <c r="D22" s="6" t="inlineStr">
        <is>
          <t>Bike</t>
        </is>
      </c>
      <c r="E22" s="9" t="n">
        <v>0.01326162906850849</v>
      </c>
    </row>
    <row r="23">
      <c r="A23" s="6" t="inlineStr">
        <is>
          <t>Walk</t>
        </is>
      </c>
      <c r="B23" s="9" t="n">
        <v>0.1188684099586864</v>
      </c>
      <c r="D23" s="6" t="inlineStr">
        <is>
          <t>Walk</t>
        </is>
      </c>
      <c r="E23" s="9" t="n">
        <v>0.09654320169856774</v>
      </c>
    </row>
    <row r="24">
      <c r="A24" s="8" t="inlineStr">
        <is>
          <t>School Bus</t>
        </is>
      </c>
      <c r="B24" s="10" t="n">
        <v>0.06263023791922932</v>
      </c>
      <c r="D24" s="8" t="inlineStr">
        <is>
          <t>School Bus</t>
        </is>
      </c>
      <c r="E24" s="10" t="n">
        <v>0.03301947215727873</v>
      </c>
    </row>
    <row r="25" ht="15.75" customHeight="1">
      <c r="A25" s="7" t="inlineStr">
        <is>
          <t>Total</t>
        </is>
      </c>
      <c r="B25" s="11" t="n">
        <v>1</v>
      </c>
      <c r="D25" s="7" t="inlineStr">
        <is>
          <t>Total</t>
        </is>
      </c>
      <c r="E25" s="11" t="n">
        <v>1</v>
      </c>
    </row>
    <row r="28" ht="15.75" customHeight="1">
      <c r="D28" s="1" t="inlineStr">
        <is>
          <t>Table X. Estimated-Observed Different Tour Mode Shares</t>
        </is>
      </c>
      <c r="E28" s="3" t="inlineStr"/>
    </row>
    <row r="29">
      <c r="D29" s="2" t="inlineStr">
        <is>
          <t>Mode</t>
        </is>
      </c>
      <c r="E29" s="4" t="inlineStr">
        <is>
          <t>Total</t>
        </is>
      </c>
    </row>
    <row r="30">
      <c r="D30" s="6" t="inlineStr">
        <is>
          <t>Drive Alone</t>
        </is>
      </c>
      <c r="E30" s="9" t="n">
        <v>0.007512190394498186</v>
      </c>
    </row>
    <row r="31">
      <c r="D31" s="6" t="inlineStr">
        <is>
          <t>Shared Ride 2</t>
        </is>
      </c>
      <c r="E31" s="9" t="n">
        <v>0.03468447845608999</v>
      </c>
    </row>
    <row r="32">
      <c r="D32" s="6" t="inlineStr">
        <is>
          <t>Shared Ride 3+</t>
        </is>
      </c>
      <c r="E32" s="9" t="n">
        <v>0.0369787933985796</v>
      </c>
    </row>
    <row r="33">
      <c r="D33" s="6" t="inlineStr">
        <is>
          <t>Drive-Transit</t>
        </is>
      </c>
      <c r="E33" s="9" t="n">
        <v>-0.0003221799238639026</v>
      </c>
    </row>
    <row r="34">
      <c r="D34" s="6" t="inlineStr">
        <is>
          <t>Walk-Transit</t>
        </is>
      </c>
      <c r="E34" s="9" t="n">
        <v>-0.0270032457083825</v>
      </c>
    </row>
    <row r="35">
      <c r="D35" s="6" t="inlineStr">
        <is>
          <t>Bike</t>
        </is>
      </c>
      <c r="E35" s="9" t="n">
        <v>8.593740514783663e-05</v>
      </c>
    </row>
    <row r="36">
      <c r="D36" s="6" t="inlineStr">
        <is>
          <t>Walk</t>
        </is>
      </c>
      <c r="E36" s="9" t="n">
        <v>-0.02232520826011866</v>
      </c>
    </row>
    <row r="37">
      <c r="D37" s="8" t="inlineStr">
        <is>
          <t>School Bus</t>
        </is>
      </c>
      <c r="E37" s="10" t="n">
        <v>-0.02961076576195059</v>
      </c>
    </row>
    <row r="38" ht="15.75" customHeight="1">
      <c r="D38" s="7" t="inlineStr">
        <is>
          <t>Total</t>
        </is>
      </c>
      <c r="E38" s="11" t="n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E38"/>
  <sheetViews>
    <sheetView workbookViewId="0">
      <selection activeCell="A1" sqref="A1:XFD1048576"/>
    </sheetView>
  </sheetViews>
  <sheetFormatPr baseColWidth="10" defaultRowHeight="15"/>
  <cols>
    <col collapsed="1" width="16.7109375" customWidth="1" min="1" max="2"/>
    <col collapsed="1" width="16.7109375" customWidth="1" min="4" max="5"/>
  </cols>
  <sheetData>
    <row r="1"/>
    <row r="2" ht="15.75" customHeight="1">
      <c r="A2" s="1" t="inlineStr">
        <is>
          <t>Table X. Work Tour Modes All Purposes: Survey</t>
        </is>
      </c>
      <c r="B2" s="3" t="inlineStr"/>
      <c r="D2" s="1" t="inlineStr">
        <is>
          <t>Table X. Estimated Tour Modes All Purposes:DaySim</t>
        </is>
      </c>
      <c r="E2" s="3" t="inlineStr"/>
    </row>
    <row r="3">
      <c r="A3" s="2" t="inlineStr">
        <is>
          <t>Mode</t>
        </is>
      </c>
      <c r="B3" s="4" t="inlineStr">
        <is>
          <t>Total</t>
        </is>
      </c>
      <c r="D3" s="2" t="inlineStr">
        <is>
          <t>Mode</t>
        </is>
      </c>
      <c r="E3" s="4" t="inlineStr">
        <is>
          <t>Total</t>
        </is>
      </c>
    </row>
    <row r="4">
      <c r="A4" s="6" t="inlineStr">
        <is>
          <t>Drive Alone</t>
        </is>
      </c>
      <c r="B4" s="6" t="n">
        <v>221111.5960357368</v>
      </c>
      <c r="D4" s="6" t="inlineStr">
        <is>
          <t>Drive Alone</t>
        </is>
      </c>
      <c r="E4" s="6" t="n">
        <v>271342</v>
      </c>
    </row>
    <row r="5">
      <c r="A5" s="6" t="inlineStr">
        <is>
          <t>Shared Ride 2</t>
        </is>
      </c>
      <c r="B5" s="6" t="n">
        <v>201819.2680131838</v>
      </c>
      <c r="D5" s="6" t="inlineStr">
        <is>
          <t>Shared Ride 2</t>
        </is>
      </c>
      <c r="E5" s="6" t="n">
        <v>197882</v>
      </c>
    </row>
    <row r="6">
      <c r="A6" s="6" t="inlineStr">
        <is>
          <t>Shared Ride 3+</t>
        </is>
      </c>
      <c r="B6" s="6" t="n">
        <v>140885.8635106099</v>
      </c>
      <c r="D6" s="6" t="inlineStr">
        <is>
          <t>Shared Ride 3+</t>
        </is>
      </c>
      <c r="E6" s="6" t="n">
        <v>164918</v>
      </c>
    </row>
    <row r="7">
      <c r="A7" s="6" t="inlineStr">
        <is>
          <t>Drive-Transit</t>
        </is>
      </c>
      <c r="B7" s="6" t="n">
        <v>6240.015903990001</v>
      </c>
      <c r="D7" s="6" t="inlineStr">
        <is>
          <t>Drive-Transit</t>
        </is>
      </c>
      <c r="E7" s="6" t="n">
        <v>11309</v>
      </c>
    </row>
    <row r="8">
      <c r="A8" s="6" t="inlineStr">
        <is>
          <t>Walk-Transit</t>
        </is>
      </c>
      <c r="B8" s="6" t="n">
        <v>45697.3255881232</v>
      </c>
      <c r="D8" s="6" t="inlineStr">
        <is>
          <t>Walk-Transit</t>
        </is>
      </c>
      <c r="E8" s="6" t="n">
        <v>9393</v>
      </c>
    </row>
    <row r="9">
      <c r="A9" s="6" t="inlineStr">
        <is>
          <t>Bike</t>
        </is>
      </c>
      <c r="B9" s="6" t="n">
        <v>8451.982376559001</v>
      </c>
      <c r="D9" s="6" t="inlineStr">
        <is>
          <t>Bike</t>
        </is>
      </c>
      <c r="E9" s="6" t="n">
        <v>9609</v>
      </c>
    </row>
    <row r="10">
      <c r="A10" s="6" t="inlineStr">
        <is>
          <t>Walk</t>
        </is>
      </c>
      <c r="B10" s="6" t="n">
        <v>67580.68957765961</v>
      </c>
      <c r="D10" s="6" t="inlineStr">
        <is>
          <t>Walk</t>
        </is>
      </c>
      <c r="E10" s="6" t="n">
        <v>63639</v>
      </c>
    </row>
    <row r="11">
      <c r="A11" s="8" t="inlineStr">
        <is>
          <t>School Bus</t>
        </is>
      </c>
      <c r="B11" s="8" t="n">
        <v>17474.710270342</v>
      </c>
      <c r="D11" s="8" t="inlineStr">
        <is>
          <t>School Bus</t>
        </is>
      </c>
      <c r="E11" s="8" t="n">
        <v>25300</v>
      </c>
    </row>
    <row r="12" ht="15.75" customHeight="1">
      <c r="A12" s="7" t="inlineStr">
        <is>
          <t>Total</t>
        </is>
      </c>
      <c r="B12" s="7" t="n">
        <v>709261.4512762043</v>
      </c>
      <c r="D12" s="7" t="inlineStr">
        <is>
          <t>Total</t>
        </is>
      </c>
      <c r="E12" s="7" t="n">
        <v>753392</v>
      </c>
    </row>
    <row r="13"/>
    <row r="14">
      <c r="E14" s="5" t="inlineStr"/>
    </row>
    <row r="15" ht="15.75" customHeight="1">
      <c r="A15" s="1" t="inlineStr">
        <is>
          <t>Table X. Observed Tour Mode Shares All Purposes: Survey</t>
        </is>
      </c>
      <c r="B15" s="3" t="inlineStr"/>
      <c r="D15" s="1" t="inlineStr">
        <is>
          <t>Table X. Estimated Tour Mode Shares All Purposes:DaySim</t>
        </is>
      </c>
      <c r="E15" s="3" t="inlineStr"/>
    </row>
    <row r="16">
      <c r="A16" s="2" t="inlineStr">
        <is>
          <t>Mode</t>
        </is>
      </c>
      <c r="B16" s="4" t="inlineStr">
        <is>
          <t>Total</t>
        </is>
      </c>
      <c r="D16" s="2" t="inlineStr">
        <is>
          <t>Mode</t>
        </is>
      </c>
      <c r="E16" s="4" t="inlineStr">
        <is>
          <t>Total</t>
        </is>
      </c>
    </row>
    <row r="17">
      <c r="A17" s="6" t="inlineStr">
        <is>
          <t>Drive Alone</t>
        </is>
      </c>
      <c r="B17" s="9" t="n">
        <v>0.3117490674812248</v>
      </c>
      <c r="D17" s="6" t="inlineStr">
        <is>
          <t>Drive Alone</t>
        </is>
      </c>
      <c r="E17" s="9" t="n">
        <v>0.3601604476819504</v>
      </c>
    </row>
    <row r="18">
      <c r="A18" s="6" t="inlineStr">
        <is>
          <t>Shared Ride 2</t>
        </is>
      </c>
      <c r="B18" s="9" t="n">
        <v>0.2845484801832129</v>
      </c>
      <c r="D18" s="6" t="inlineStr">
        <is>
          <t>Shared Ride 2</t>
        </is>
      </c>
      <c r="E18" s="9" t="n">
        <v>0.2626547667084334</v>
      </c>
    </row>
    <row r="19">
      <c r="A19" s="6" t="inlineStr">
        <is>
          <t>Shared Ride 3+</t>
        </is>
      </c>
      <c r="B19" s="9" t="n">
        <v>0.1986374182004506</v>
      </c>
      <c r="D19" s="6" t="inlineStr">
        <is>
          <t>Shared Ride 3+</t>
        </is>
      </c>
      <c r="E19" s="9" t="n">
        <v>0.2189006519846242</v>
      </c>
    </row>
    <row r="20">
      <c r="A20" s="6" t="inlineStr">
        <is>
          <t>Drive-Transit</t>
        </is>
      </c>
      <c r="B20" s="9" t="n">
        <v>0.008797906459969133</v>
      </c>
      <c r="D20" s="6" t="inlineStr">
        <is>
          <t>Drive-Transit</t>
        </is>
      </c>
      <c r="E20" s="9" t="n">
        <v>0.01501077792171937</v>
      </c>
    </row>
    <row r="21">
      <c r="A21" s="6" t="inlineStr">
        <is>
          <t>Walk-Transit</t>
        </is>
      </c>
      <c r="B21" s="9" t="n">
        <v>0.06442945053040464</v>
      </c>
      <c r="D21" s="6" t="inlineStr">
        <is>
          <t>Walk-Transit</t>
        </is>
      </c>
      <c r="E21" s="9" t="n">
        <v>0.01246761314163145</v>
      </c>
    </row>
    <row r="22">
      <c r="A22" s="6" t="inlineStr">
        <is>
          <t>Bike</t>
        </is>
      </c>
      <c r="B22" s="9" t="n">
        <v>0.01191659628667396</v>
      </c>
      <c r="D22" s="6" t="inlineStr">
        <is>
          <t>Bike</t>
        </is>
      </c>
      <c r="E22" s="9" t="n">
        <v>0.01275431647800879</v>
      </c>
    </row>
    <row r="23">
      <c r="A23" s="6" t="inlineStr">
        <is>
          <t>Walk</t>
        </is>
      </c>
      <c r="B23" s="9" t="n">
        <v>0.09528318429834132</v>
      </c>
      <c r="D23" s="6" t="inlineStr">
        <is>
          <t>Walk</t>
        </is>
      </c>
      <c r="E23" s="9" t="n">
        <v>0.08446997048017499</v>
      </c>
    </row>
    <row r="24">
      <c r="A24" s="8" t="inlineStr">
        <is>
          <t>School Bus</t>
        </is>
      </c>
      <c r="B24" s="10" t="n">
        <v>0.02463789655972281</v>
      </c>
      <c r="D24" s="8" t="inlineStr">
        <is>
          <t>School Bus</t>
        </is>
      </c>
      <c r="E24" s="10" t="n">
        <v>0.03358145560345743</v>
      </c>
    </row>
    <row r="25" ht="15.75" customHeight="1">
      <c r="A25" s="7" t="inlineStr">
        <is>
          <t>Total</t>
        </is>
      </c>
      <c r="B25" s="11" t="n">
        <v>1</v>
      </c>
      <c r="D25" s="7" t="inlineStr">
        <is>
          <t>Total</t>
        </is>
      </c>
      <c r="E25" s="11" t="n">
        <v>1</v>
      </c>
    </row>
    <row r="26"/>
    <row r="27"/>
    <row r="28" ht="15.75" customHeight="1">
      <c r="D28" s="1" t="inlineStr">
        <is>
          <t>Table X. Estimated-Observed Different Tour Mode Shares</t>
        </is>
      </c>
      <c r="E28" s="3" t="inlineStr"/>
    </row>
    <row r="29">
      <c r="D29" s="2" t="inlineStr">
        <is>
          <t>Mode</t>
        </is>
      </c>
      <c r="E29" s="4" t="inlineStr">
        <is>
          <t>Total</t>
        </is>
      </c>
    </row>
    <row r="30">
      <c r="D30" s="6" t="inlineStr">
        <is>
          <t>Drive Alone</t>
        </is>
      </c>
      <c r="E30" s="9" t="n">
        <v>0.04841138020072566</v>
      </c>
    </row>
    <row r="31">
      <c r="D31" s="6" t="inlineStr">
        <is>
          <t>Shared Ride 2</t>
        </is>
      </c>
      <c r="E31" s="9" t="n">
        <v>-0.02189371347477953</v>
      </c>
    </row>
    <row r="32">
      <c r="D32" s="6" t="inlineStr">
        <is>
          <t>Shared Ride 3+</t>
        </is>
      </c>
      <c r="E32" s="9" t="n">
        <v>0.02026323378417363</v>
      </c>
    </row>
    <row r="33">
      <c r="D33" s="6" t="inlineStr">
        <is>
          <t>Drive-Transit</t>
        </is>
      </c>
      <c r="E33" s="9" t="n">
        <v>0.006212871461750237</v>
      </c>
    </row>
    <row r="34">
      <c r="D34" s="6" t="inlineStr">
        <is>
          <t>Walk-Transit</t>
        </is>
      </c>
      <c r="E34" s="9" t="n">
        <v>-0.05196183738877319</v>
      </c>
    </row>
    <row r="35">
      <c r="D35" s="6" t="inlineStr">
        <is>
          <t>Bike</t>
        </is>
      </c>
      <c r="E35" s="9" t="n">
        <v>0.0008377201913348318</v>
      </c>
    </row>
    <row r="36">
      <c r="D36" s="6" t="inlineStr">
        <is>
          <t>Walk</t>
        </is>
      </c>
      <c r="E36" s="9" t="n">
        <v>-0.01081321381816633</v>
      </c>
    </row>
    <row r="37">
      <c r="D37" s="8" t="inlineStr">
        <is>
          <t>School Bus</t>
        </is>
      </c>
      <c r="E37" s="10" t="n">
        <v>0.008943559043734624</v>
      </c>
    </row>
    <row r="38" ht="15.75" customHeight="1">
      <c r="D38" s="7" t="inlineStr">
        <is>
          <t>Total</t>
        </is>
      </c>
      <c r="E38" s="11" t="n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E38"/>
  <sheetViews>
    <sheetView workbookViewId="0">
      <selection activeCell="H20" sqref="H20"/>
    </sheetView>
  </sheetViews>
  <sheetFormatPr baseColWidth="10" defaultRowHeight="15"/>
  <cols>
    <col collapsed="1" width="16.7109375" customWidth="1" min="1" max="2"/>
    <col collapsed="1" width="16.7109375" customWidth="1" min="4" max="5"/>
  </cols>
  <sheetData>
    <row r="1">
      <c r="A1" t="inlineStr"/>
      <c r="B1" t="inlineStr"/>
      <c r="C1" t="inlineStr"/>
      <c r="D1" t="inlineStr"/>
      <c r="E1" t="inlineStr"/>
    </row>
    <row r="2" ht="15.75" customHeight="1">
      <c r="A2" s="1" t="inlineStr">
        <is>
          <t>Table X. Work Tour Modes All Purposes: Survey</t>
        </is>
      </c>
      <c r="B2" s="3" t="inlineStr"/>
      <c r="C2" t="inlineStr"/>
      <c r="D2" s="1" t="inlineStr">
        <is>
          <t>Table X. Estimated Tour Modes All Purposes:DaySim</t>
        </is>
      </c>
      <c r="E2" s="3" t="inlineStr"/>
    </row>
    <row r="3">
      <c r="A3" s="2" t="inlineStr">
        <is>
          <t>Mode</t>
        </is>
      </c>
      <c r="B3" s="4" t="inlineStr">
        <is>
          <t>Total</t>
        </is>
      </c>
      <c r="C3" t="inlineStr"/>
      <c r="D3" s="2" t="inlineStr">
        <is>
          <t>Mode</t>
        </is>
      </c>
      <c r="E3" s="4" t="inlineStr">
        <is>
          <t>Total</t>
        </is>
      </c>
    </row>
    <row r="4">
      <c r="A4" s="6" t="inlineStr">
        <is>
          <t>Drive Alone</t>
        </is>
      </c>
      <c r="B4" s="6" t="n">
        <v>1837889.465330177</v>
      </c>
      <c r="C4" t="inlineStr"/>
      <c r="D4" s="6" t="inlineStr">
        <is>
          <t>Drive Alone</t>
        </is>
      </c>
      <c r="E4" s="6" t="n">
        <v>1968604</v>
      </c>
    </row>
    <row r="5">
      <c r="A5" s="6" t="inlineStr">
        <is>
          <t>Shared Ride 2</t>
        </is>
      </c>
      <c r="B5" s="6" t="n">
        <v>1138072.64211276</v>
      </c>
      <c r="C5" t="inlineStr"/>
      <c r="D5" s="6" t="inlineStr">
        <is>
          <t>Shared Ride 2</t>
        </is>
      </c>
      <c r="E5" s="6" t="n">
        <v>1456775</v>
      </c>
    </row>
    <row r="6">
      <c r="A6" s="6" t="inlineStr">
        <is>
          <t>Shared Ride 3+</t>
        </is>
      </c>
      <c r="B6" s="6" t="n">
        <v>1055854.410272918</v>
      </c>
      <c r="C6" t="inlineStr"/>
      <c r="D6" s="6" t="inlineStr">
        <is>
          <t>Shared Ride 3+</t>
        </is>
      </c>
      <c r="E6" s="6" t="n">
        <v>1352631</v>
      </c>
    </row>
    <row r="7">
      <c r="A7" s="6" t="inlineStr">
        <is>
          <t>Drive-Transit</t>
        </is>
      </c>
      <c r="B7" s="6" t="n">
        <v>49663.14166487729</v>
      </c>
      <c r="C7" t="inlineStr"/>
      <c r="D7" s="6" t="inlineStr">
        <is>
          <t>Drive-Transit</t>
        </is>
      </c>
      <c r="E7" s="6" t="n">
        <v>46028</v>
      </c>
    </row>
    <row r="8">
      <c r="A8" s="6" t="inlineStr">
        <is>
          <t>Walk-Transit</t>
        </is>
      </c>
      <c r="B8" s="6" t="n">
        <v>308559.5203332945</v>
      </c>
      <c r="C8" t="inlineStr"/>
      <c r="D8" s="6" t="inlineStr">
        <is>
          <t>Walk-Transit</t>
        </is>
      </c>
      <c r="E8" s="6" t="n">
        <v>188900</v>
      </c>
    </row>
    <row r="9">
      <c r="A9" s="6" t="inlineStr">
        <is>
          <t>Bike</t>
        </is>
      </c>
      <c r="B9" s="6" t="n">
        <v>73446.3000384086</v>
      </c>
      <c r="C9" t="inlineStr"/>
      <c r="D9" s="6" t="inlineStr">
        <is>
          <t>Bike</t>
        </is>
      </c>
      <c r="E9" s="6" t="n">
        <v>78079</v>
      </c>
    </row>
    <row r="10">
      <c r="A10" s="6" t="inlineStr">
        <is>
          <t>Walk</t>
        </is>
      </c>
      <c r="B10" s="6" t="n">
        <v>671288.9544415874</v>
      </c>
      <c r="C10" t="inlineStr"/>
      <c r="D10" s="6" t="inlineStr">
        <is>
          <t>Walk</t>
        </is>
      </c>
      <c r="E10" s="6" t="n">
        <v>574720</v>
      </c>
    </row>
    <row r="11">
      <c r="A11" s="8" t="inlineStr">
        <is>
          <t>School Bus</t>
        </is>
      </c>
      <c r="B11" s="8" t="n">
        <v>194255.106829207</v>
      </c>
      <c r="C11" t="inlineStr"/>
      <c r="D11" s="8" t="inlineStr">
        <is>
          <t>School Bus</t>
        </is>
      </c>
      <c r="E11" s="8" t="n">
        <v>193030</v>
      </c>
    </row>
    <row r="12" ht="15.75" customHeight="1">
      <c r="A12" s="7" t="inlineStr">
        <is>
          <t>Total</t>
        </is>
      </c>
      <c r="B12" s="7" t="n">
        <v>5329029.541023229</v>
      </c>
      <c r="C12" t="inlineStr"/>
      <c r="D12" s="7" t="inlineStr">
        <is>
          <t>Total</t>
        </is>
      </c>
      <c r="E12" s="7" t="n">
        <v>5858767</v>
      </c>
    </row>
    <row r="13">
      <c r="A13" t="inlineStr"/>
      <c r="B13" t="inlineStr"/>
      <c r="C13" t="inlineStr"/>
      <c r="D13" t="inlineStr"/>
      <c r="E13" t="inlineStr"/>
    </row>
    <row r="14">
      <c r="A14" t="inlineStr"/>
      <c r="B14" t="inlineStr"/>
      <c r="C14" t="inlineStr"/>
      <c r="D14" t="inlineStr"/>
      <c r="E14" s="5" t="inlineStr"/>
    </row>
    <row r="15" ht="15.75" customHeight="1">
      <c r="A15" s="1" t="inlineStr">
        <is>
          <t>Table X. Observed Tour Mode Shares All Purposes: Survey</t>
        </is>
      </c>
      <c r="B15" s="3" t="inlineStr"/>
      <c r="C15" t="inlineStr"/>
      <c r="D15" s="1" t="inlineStr">
        <is>
          <t>Table X. Estimated Tour Mode Shares All Purposes:DaySim</t>
        </is>
      </c>
      <c r="E15" s="3" t="inlineStr"/>
    </row>
    <row r="16">
      <c r="A16" s="2" t="inlineStr">
        <is>
          <t>Mode</t>
        </is>
      </c>
      <c r="B16" s="4" t="inlineStr">
        <is>
          <t>Total</t>
        </is>
      </c>
      <c r="C16" t="inlineStr"/>
      <c r="D16" s="2" t="inlineStr">
        <is>
          <t>Mode</t>
        </is>
      </c>
      <c r="E16" s="4" t="inlineStr">
        <is>
          <t>Total</t>
        </is>
      </c>
    </row>
    <row r="17">
      <c r="A17" s="6" t="inlineStr">
        <is>
          <t>Drive Alone</t>
        </is>
      </c>
      <c r="B17" s="9" t="n">
        <v>0.3448825815623613</v>
      </c>
      <c r="C17" t="inlineStr"/>
      <c r="D17" s="6" t="inlineStr">
        <is>
          <t>Drive Alone</t>
        </is>
      </c>
      <c r="E17" s="9" t="n">
        <v>0.3360099488510125</v>
      </c>
    </row>
    <row r="18">
      <c r="A18" s="6" t="inlineStr">
        <is>
          <t>Shared Ride 2</t>
        </is>
      </c>
      <c r="B18" s="9" t="n">
        <v>0.2135609557709898</v>
      </c>
      <c r="C18" t="inlineStr"/>
      <c r="D18" s="6" t="inlineStr">
        <is>
          <t>Shared Ride 2</t>
        </is>
      </c>
      <c r="E18" s="9" t="n">
        <v>0.2486487344521467</v>
      </c>
    </row>
    <row r="19">
      <c r="A19" s="6" t="inlineStr">
        <is>
          <t>Shared Ride 3+</t>
        </is>
      </c>
      <c r="B19" s="9" t="n">
        <v>0.1981325872083987</v>
      </c>
      <c r="C19" t="inlineStr"/>
      <c r="D19" s="6" t="inlineStr">
        <is>
          <t>Shared Ride 3+</t>
        </is>
      </c>
      <c r="E19" s="9" t="n">
        <v>0.2308729806117908</v>
      </c>
    </row>
    <row r="20">
      <c r="A20" s="6" t="inlineStr">
        <is>
          <t>Drive-Transit</t>
        </is>
      </c>
      <c r="B20" s="9" t="n">
        <v>0.009319359422305143</v>
      </c>
      <c r="C20" t="inlineStr"/>
      <c r="D20" s="6" t="inlineStr">
        <is>
          <t>Drive-Transit</t>
        </is>
      </c>
      <c r="E20" s="9" t="n">
        <v>0.007856260540827106</v>
      </c>
    </row>
    <row r="21">
      <c r="A21" s="6" t="inlineStr">
        <is>
          <t>Walk-Transit</t>
        </is>
      </c>
      <c r="B21" s="9" t="n">
        <v>0.05790163442667796</v>
      </c>
      <c r="C21" t="inlineStr"/>
      <c r="D21" s="6" t="inlineStr">
        <is>
          <t>Walk-Transit</t>
        </is>
      </c>
      <c r="E21" s="9" t="n">
        <v>0.03224227896415748</v>
      </c>
    </row>
    <row r="22">
      <c r="A22" s="6" t="inlineStr">
        <is>
          <t>Bike</t>
        </is>
      </c>
      <c r="B22" s="9" t="n">
        <v>0.01378230303904567</v>
      </c>
      <c r="C22" t="inlineStr"/>
      <c r="D22" s="6" t="inlineStr">
        <is>
          <t>Bike</t>
        </is>
      </c>
      <c r="E22" s="9" t="n">
        <v>0.01332686553331102</v>
      </c>
    </row>
    <row r="23">
      <c r="A23" s="6" t="inlineStr">
        <is>
          <t>Walk</t>
        </is>
      </c>
      <c r="B23" s="9" t="n">
        <v>0.1259683304950666</v>
      </c>
      <c r="C23" t="inlineStr"/>
      <c r="D23" s="6" t="inlineStr">
        <is>
          <t>Walk</t>
        </is>
      </c>
      <c r="E23" s="9" t="n">
        <v>0.09809572560233237</v>
      </c>
    </row>
    <row r="24">
      <c r="A24" s="8" t="inlineStr">
        <is>
          <t>School Bus</t>
        </is>
      </c>
      <c r="B24" s="10" t="n">
        <v>0.03645224807515478</v>
      </c>
      <c r="C24" t="inlineStr"/>
      <c r="D24" s="8" t="inlineStr">
        <is>
          <t>School Bus</t>
        </is>
      </c>
      <c r="E24" s="10" t="n">
        <v>0.03294720544442201</v>
      </c>
    </row>
    <row r="25" ht="15.75" customHeight="1">
      <c r="A25" s="7" t="inlineStr">
        <is>
          <t>Total</t>
        </is>
      </c>
      <c r="B25" s="11" t="n">
        <v>1</v>
      </c>
      <c r="C25" t="inlineStr"/>
      <c r="D25" s="7" t="inlineStr">
        <is>
          <t>Total</t>
        </is>
      </c>
      <c r="E25" s="11" t="n">
        <v>1</v>
      </c>
    </row>
    <row r="26">
      <c r="A26" t="inlineStr"/>
      <c r="B26" t="inlineStr"/>
      <c r="C26" t="inlineStr"/>
      <c r="D26" t="inlineStr"/>
      <c r="E26" t="inlineStr"/>
    </row>
    <row r="27">
      <c r="A27" t="inlineStr"/>
      <c r="B27" t="inlineStr"/>
      <c r="C27" t="inlineStr"/>
      <c r="D27" t="inlineStr"/>
      <c r="E27" t="inlineStr"/>
    </row>
    <row r="28" ht="15.75" customHeight="1">
      <c r="A28" t="inlineStr"/>
      <c r="B28" t="inlineStr"/>
      <c r="C28" t="inlineStr"/>
      <c r="D28" s="1" t="inlineStr">
        <is>
          <t>Table X. Estimated-Observed Different Tour Mode Shares</t>
        </is>
      </c>
      <c r="E28" s="3" t="inlineStr"/>
    </row>
    <row r="29">
      <c r="A29" t="inlineStr"/>
      <c r="B29" t="inlineStr"/>
      <c r="C29" t="inlineStr"/>
      <c r="D29" s="2" t="inlineStr">
        <is>
          <t>Mode</t>
        </is>
      </c>
      <c r="E29" s="4" t="inlineStr">
        <is>
          <t>Total</t>
        </is>
      </c>
    </row>
    <row r="30">
      <c r="A30" t="inlineStr"/>
      <c r="B30" t="inlineStr"/>
      <c r="C30" t="inlineStr"/>
      <c r="D30" s="6" t="inlineStr">
        <is>
          <t>Drive Alone</t>
        </is>
      </c>
      <c r="E30" s="9" t="n">
        <v>-0.008872632711348805</v>
      </c>
    </row>
    <row r="31">
      <c r="A31" t="inlineStr"/>
      <c r="B31" t="inlineStr"/>
      <c r="C31" t="inlineStr"/>
      <c r="D31" s="6" t="inlineStr">
        <is>
          <t>Shared Ride 2</t>
        </is>
      </c>
      <c r="E31" s="9" t="n">
        <v>0.03508777868115687</v>
      </c>
    </row>
    <row r="32">
      <c r="A32" t="inlineStr"/>
      <c r="B32" t="inlineStr"/>
      <c r="C32" t="inlineStr"/>
      <c r="D32" s="6" t="inlineStr">
        <is>
          <t>Shared Ride 3+</t>
        </is>
      </c>
      <c r="E32" s="9" t="n">
        <v>0.03274039340339213</v>
      </c>
    </row>
    <row r="33">
      <c r="A33" t="inlineStr"/>
      <c r="B33" t="inlineStr"/>
      <c r="C33" t="inlineStr"/>
      <c r="D33" s="6" t="inlineStr">
        <is>
          <t>Drive-Transit</t>
        </is>
      </c>
      <c r="E33" s="9" t="n">
        <v>-0.001463098881478038</v>
      </c>
    </row>
    <row r="34">
      <c r="A34" t="inlineStr"/>
      <c r="B34" t="inlineStr"/>
      <c r="C34" t="inlineStr"/>
      <c r="D34" s="6" t="inlineStr">
        <is>
          <t>Walk-Transit</t>
        </is>
      </c>
      <c r="E34" s="9" t="n">
        <v>-0.02565935546252049</v>
      </c>
    </row>
    <row r="35">
      <c r="A35" t="inlineStr"/>
      <c r="B35" t="inlineStr"/>
      <c r="C35" t="inlineStr"/>
      <c r="D35" s="6" t="inlineStr">
        <is>
          <t>Bike</t>
        </is>
      </c>
      <c r="E35" s="9" t="n">
        <v>-0.0004554375057346516</v>
      </c>
    </row>
    <row r="36">
      <c r="A36" t="inlineStr"/>
      <c r="B36" t="inlineStr"/>
      <c r="C36" t="inlineStr"/>
      <c r="D36" s="6" t="inlineStr">
        <is>
          <t>Walk</t>
        </is>
      </c>
      <c r="E36" s="9" t="n">
        <v>-0.02787260489273427</v>
      </c>
    </row>
    <row r="37">
      <c r="A37" t="inlineStr"/>
      <c r="B37" t="inlineStr"/>
      <c r="C37" t="inlineStr"/>
      <c r="D37" s="8" t="inlineStr">
        <is>
          <t>School Bus</t>
        </is>
      </c>
      <c r="E37" s="10" t="n">
        <v>-0.003505042630732778</v>
      </c>
    </row>
    <row r="38" ht="15.75" customHeight="1">
      <c r="A38" t="inlineStr"/>
      <c r="B38" t="inlineStr"/>
      <c r="C38" t="inlineStr"/>
      <c r="D38" s="7" t="inlineStr">
        <is>
          <t>Total</t>
        </is>
      </c>
      <c r="E38" s="11" t="n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Bhargava Sana</dc:creator>
  <dcterms:created xmlns:dcterms="http://purl.org/dc/terms/" xmlns:xsi="http://www.w3.org/2001/XMLSchema-instance" xsi:type="dcterms:W3CDTF">2011-03-29T15:31:17Z</dcterms:created>
  <dcterms:modified xmlns:dcterms="http://purl.org/dc/terms/" xmlns:xsi="http://www.w3.org/2001/XMLSchema-instance" xsi:type="dcterms:W3CDTF">2017-07-06T17:34:38Z</dcterms:modified>
  <cp:lastModifiedBy>Nagendra Dhakar</cp:lastModifiedBy>
</cp:coreProperties>
</file>