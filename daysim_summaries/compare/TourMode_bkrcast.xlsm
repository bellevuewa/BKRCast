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AllPurposes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haredStrings.xml><?xml version="1.0" encoding="utf-8"?>
<sst xmlns="http://schemas.openxmlformats.org/spreadsheetml/2006/main" uniqueCount="20">
  <si>
    <t>Table X. Work Tour Modes All Purposes: Survey</t>
  </si>
  <si>
    <t>Table X. Estimated Tour Modes All Purposes:DaySim</t>
  </si>
  <si>
    <t>Mode</t>
  </si>
  <si>
    <t>Survey</t>
  </si>
  <si>
    <t>SoundCast</t>
  </si>
  <si>
    <t>BKRCast_All</t>
  </si>
  <si>
    <t>BKRCast_InBKR</t>
  </si>
  <si>
    <t>BKRCast_OutBKR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</si>
  <si>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</si>
  <si>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</si>
  <si>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</si>
  <si>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</si>
  <si>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</si>
  <si>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</si>
  <si>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</si>
  <si>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</si>
  <si>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Total</t>
  </si>
  <si>
    <t>Table X. Observed Tour Mode Shares All Purposes: Survey</t>
  </si>
  <si>
    <t>Table X. Estimated Tour Mode Shares All Purposes:DaySim</t>
  </si>
  <si>
    <t>Table X. Estimated-Observed Different Tour Mode Shares</t>
  </si>
</sst>
</file>

<file path=xl/styles.xml><?xml version="1.0" encoding="utf-8"?>
<styleSheet xmlns="http://schemas.openxmlformats.org/spreadsheetml/2006/main">
  <numFmts count="2">
    <numFmt formatCode="0.0%" numFmtId="164"/>
    <numFmt formatCode="_(* #,##0_);_(* \(#,##0\);_(* &quot;-&quot;??_);_(@_)" numFmtId="165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3">
    <fill>
      <patternFill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7">
    <xf borderId="0" fillId="0" fontId="0" numFmtId="0" pivotButton="0" quotePrefix="0" xfId="0"/>
    <xf borderId="1" fillId="0" fontId="1" numFmtId="0" pivotButton="0" quotePrefix="0" xfId="3"/>
    <xf borderId="2" fillId="0" fontId="0" numFmtId="0" pivotButton="0" quotePrefix="0" xfId="3"/>
    <xf borderId="1" fillId="0" fontId="0" numFmtId="0" pivotButton="0" quotePrefix="0" xfId="3"/>
    <xf applyAlignment="1" borderId="3" fillId="0" fontId="0" numFmtId="0" pivotButton="0" quotePrefix="0" xfId="3">
      <alignment horizontal="center"/>
    </xf>
    <xf borderId="0" fillId="0" fontId="2" numFmtId="0" pivotButton="0" quotePrefix="0" xfId="1"/>
    <xf borderId="0" fillId="0" fontId="0" numFmtId="3" pivotButton="0" quotePrefix="0" xfId="3"/>
    <xf borderId="1" fillId="0" fontId="0" numFmtId="3" pivotButton="0" quotePrefix="0" xfId="3"/>
    <xf borderId="3" fillId="0" fontId="0" numFmtId="3" pivotButton="0" quotePrefix="0" xfId="3"/>
    <xf borderId="0" fillId="0" fontId="0" numFmtId="164" pivotButton="0" quotePrefix="0" xfId="3"/>
    <xf borderId="3" fillId="0" fontId="0" numFmtId="164" pivotButton="0" quotePrefix="0" xfId="3"/>
    <xf borderId="4" fillId="0" fontId="0" numFmtId="164" pivotButton="0" quotePrefix="0" xfId="3"/>
    <xf borderId="0" fillId="0" fontId="0" numFmtId="165" pivotButton="0" quotePrefix="0" xfId="0"/>
    <xf borderId="3" fillId="0" fontId="0" numFmtId="165" pivotButton="0" quotePrefix="0" xfId="0"/>
    <xf borderId="1" fillId="0" fontId="0" numFmtId="164" pivotButton="0" quotePrefix="0" xfId="3"/>
    <xf borderId="1" fillId="0" fontId="0" numFmtId="165" pivotButton="0" quotePrefix="0" xfId="0"/>
    <xf applyAlignment="1" borderId="2" fillId="0" fontId="0" numFmtId="0" pivotButton="0" quotePrefix="0" xfId="3">
      <alignment horizontal="center"/>
    </xf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H38"/>
  <sheetViews>
    <sheetView tabSelected="1" workbookViewId="0">
      <selection activeCell="J14" sqref="J14"/>
    </sheetView>
  </sheetViews>
  <sheetFormatPr baseColWidth="10" defaultRowHeight="15" outlineLevelCol="0"/>
  <cols>
    <col collapsed="1" customWidth="1" max="2" min="1" width="16.7109375"/>
    <col hidden="1" max="3" min="3"/>
    <col collapsed="1" customWidth="1" hidden="1" max="4" min="4" width="16.7109375"/>
    <col collapsed="1" customWidth="1" max="5" min="5" width="16.7109375"/>
    <col bestFit="1" customWidth="1" max="6" min="6" width="15.7109375"/>
    <col bestFit="1" customWidth="1" max="7" min="7" width="13.42578125"/>
    <col bestFit="1" customWidth="1" max="8" min="8" width="16"/>
  </cols>
  <sheetData>
    <row customHeight="1" ht="15.75" r="2" spans="1:8">
      <c r="A2" s="1" t="s">
        <v>0</v>
      </c>
      <c r="B2" s="3" t="n"/>
      <c r="D2" s="1" t="s">
        <v>1</v>
      </c>
      <c r="E2" s="3" t="n"/>
      <c r="F2" s="3" t="n"/>
      <c r="G2" s="3" t="n"/>
      <c r="H2" s="3" t="n"/>
    </row>
    <row r="3" spans="1:8">
      <c r="A3" s="2" t="s">
        <v>2</v>
      </c>
      <c r="B3" s="4" t="s">
        <v>3</v>
      </c>
      <c r="D3" s="2" t="s">
        <v>2</v>
      </c>
      <c r="E3" s="16" t="s">
        <v>4</v>
      </c>
      <c r="F3" s="16" t="s">
        <v>5</v>
      </c>
      <c r="G3" s="16" t="s">
        <v>6</v>
      </c>
      <c r="H3" s="16" t="s">
        <v>7</v>
      </c>
    </row>
    <row r="4" spans="1:8">
      <c r="A4" s="6" t="s">
        <v>8</v>
      </c>
      <c r="B4" s="6" t="n">
        <v>2059001.061365914</v>
      </c>
      <c r="D4" s="6" t="s">
        <v>8</v>
      </c>
      <c r="E4" s="6">
        <f>soundcast!E4</f>
        <v/>
      </c>
      <c r="F4" s="12">
        <f>bkrcast_all!E4</f>
        <v/>
      </c>
      <c r="G4" s="12">
        <f>bkrcast_inbkr!E4</f>
        <v/>
      </c>
      <c r="H4" s="6">
        <f>bkrcast_outbkr!E4</f>
        <v/>
      </c>
    </row>
    <row r="5" spans="1:8">
      <c r="A5" s="6" t="s">
        <v>9</v>
      </c>
      <c r="B5" s="6" t="n">
        <v>1339891.910125944</v>
      </c>
      <c r="D5" s="6" t="s">
        <v>9</v>
      </c>
      <c r="E5" s="6">
        <f>soundcast!E5</f>
        <v/>
      </c>
      <c r="F5" s="12">
        <f>bkrcast_all!E5</f>
        <v/>
      </c>
      <c r="G5" s="12">
        <f>bkrcast_inbkr!E5</f>
        <v/>
      </c>
      <c r="H5" s="6">
        <f>bkrcast_outbkr!E5</f>
        <v/>
      </c>
    </row>
    <row r="6" spans="1:8">
      <c r="A6" s="6" t="s">
        <v>10</v>
      </c>
      <c r="B6" s="6" t="n">
        <v>1196740.273783528</v>
      </c>
      <c r="D6" s="6" t="s">
        <v>10</v>
      </c>
      <c r="E6" s="6">
        <f>soundcast!E6</f>
        <v/>
      </c>
      <c r="F6" s="12">
        <f>bkrcast_all!E6</f>
        <v/>
      </c>
      <c r="G6" s="12">
        <f>bkrcast_inbkr!E6</f>
        <v/>
      </c>
      <c r="H6" s="6">
        <f>bkrcast_outbkr!E6</f>
        <v/>
      </c>
    </row>
    <row r="7" spans="1:8">
      <c r="A7" s="6" t="s">
        <v>11</v>
      </c>
      <c r="B7" s="6" t="n">
        <v>55903.15756886729</v>
      </c>
      <c r="D7" s="6" t="s">
        <v>11</v>
      </c>
      <c r="E7" s="6">
        <f>soundcast!E7</f>
        <v/>
      </c>
      <c r="F7" s="12">
        <f>bkrcast_all!E7</f>
        <v/>
      </c>
      <c r="G7" s="12">
        <f>bkrcast_inbkr!E7</f>
        <v/>
      </c>
      <c r="H7" s="6">
        <f>bkrcast_outbkr!E7</f>
        <v/>
      </c>
    </row>
    <row r="8" spans="1:8">
      <c r="A8" s="6" t="s">
        <v>12</v>
      </c>
      <c r="B8" s="6" t="n">
        <v>354256.8459214177</v>
      </c>
      <c r="D8" s="6" t="s">
        <v>12</v>
      </c>
      <c r="E8" s="6">
        <f>soundcast!E8</f>
        <v/>
      </c>
      <c r="F8" s="12">
        <f>bkrcast_all!E8</f>
        <v/>
      </c>
      <c r="G8" s="12">
        <f>bkrcast_inbkr!E8</f>
        <v/>
      </c>
      <c r="H8" s="6">
        <f>bkrcast_outbkr!E8</f>
        <v/>
      </c>
    </row>
    <row r="9" spans="1:8">
      <c r="A9" s="6" t="s">
        <v>13</v>
      </c>
      <c r="B9" s="6" t="n">
        <v>81898.2824149676</v>
      </c>
      <c r="D9" s="6" t="s">
        <v>13</v>
      </c>
      <c r="E9" s="6">
        <f>soundcast!E9</f>
        <v/>
      </c>
      <c r="F9" s="12">
        <f>bkrcast_all!E9</f>
        <v/>
      </c>
      <c r="G9" s="12">
        <f>bkrcast_inbkr!E9</f>
        <v/>
      </c>
      <c r="H9" s="6">
        <f>bkrcast_outbkr!E9</f>
        <v/>
      </c>
    </row>
    <row r="10" spans="1:8">
      <c r="A10" s="6" t="s">
        <v>14</v>
      </c>
      <c r="B10" s="6" t="n">
        <v>738869.6440192471</v>
      </c>
      <c r="D10" s="6" t="s">
        <v>14</v>
      </c>
      <c r="E10" s="6">
        <f>soundcast!E10</f>
        <v/>
      </c>
      <c r="F10" s="12">
        <f>bkrcast_all!E10</f>
        <v/>
      </c>
      <c r="G10" s="12">
        <f>bkrcast_inbkr!E10</f>
        <v/>
      </c>
      <c r="H10" s="6">
        <f>bkrcast_outbkr!E10</f>
        <v/>
      </c>
    </row>
    <row r="11" spans="1:8">
      <c r="A11" s="8" t="s">
        <v>15</v>
      </c>
      <c r="B11" s="8" t="n">
        <v>211729.817099549</v>
      </c>
      <c r="D11" s="8" t="s">
        <v>15</v>
      </c>
      <c r="E11" s="8">
        <f>soundcast!E11</f>
        <v/>
      </c>
      <c r="F11" s="13">
        <f>bkrcast_all!E11</f>
        <v/>
      </c>
      <c r="G11" s="13">
        <f>bkrcast_inbkr!E11</f>
        <v/>
      </c>
      <c r="H11" s="8">
        <f>bkrcast_outbkr!E11</f>
        <v/>
      </c>
    </row>
    <row customHeight="1" ht="15.75" r="12" spans="1:8">
      <c r="A12" s="7" t="s">
        <v>16</v>
      </c>
      <c r="B12" s="7">
        <f>SUM(B4:B11)</f>
        <v/>
      </c>
      <c r="D12" s="7" t="s">
        <v>16</v>
      </c>
      <c r="E12" s="7">
        <f>soundcast!E12</f>
        <v/>
      </c>
      <c r="F12" s="15">
        <f>bkrcast_all!E12</f>
        <v/>
      </c>
      <c r="G12" s="15">
        <f>bkrcast_inbkr!E12</f>
        <v/>
      </c>
      <c r="H12" s="7">
        <f>bkrcast_outbkr!E12</f>
        <v/>
      </c>
    </row>
    <row r="14" spans="1:8">
      <c r="E14" s="5" t="n"/>
    </row>
    <row customHeight="1" ht="15.75" r="15" spans="1:8">
      <c r="A15" s="1" t="s">
        <v>17</v>
      </c>
      <c r="B15" s="3" t="n"/>
      <c r="D15" s="1" t="s">
        <v>18</v>
      </c>
      <c r="E15" s="3" t="n"/>
      <c r="F15" s="3" t="n"/>
      <c r="G15" s="3" t="n"/>
      <c r="H15" s="3" t="n"/>
    </row>
    <row r="16" spans="1:8">
      <c r="A16" s="2" t="s">
        <v>2</v>
      </c>
      <c r="B16" s="4" t="s">
        <v>3</v>
      </c>
      <c r="D16" s="2" t="s">
        <v>2</v>
      </c>
      <c r="E16" s="4">
        <f>E3</f>
        <v/>
      </c>
      <c r="F16" s="4">
        <f>F3</f>
        <v/>
      </c>
      <c r="G16" s="4">
        <f>G3</f>
        <v/>
      </c>
      <c r="H16" s="4">
        <f>H3</f>
        <v/>
      </c>
    </row>
    <row r="17" spans="1:8">
      <c r="A17" s="6" t="s">
        <v>8</v>
      </c>
      <c r="B17" s="9">
        <f>B4/$B$12</f>
        <v/>
      </c>
      <c r="D17" s="6" t="s">
        <v>8</v>
      </c>
      <c r="E17" s="9">
        <f>E4/E$12</f>
        <v/>
      </c>
      <c r="F17" s="9">
        <f>F4/F$12</f>
        <v/>
      </c>
      <c r="G17" s="9">
        <f>G4/G$12</f>
        <v/>
      </c>
      <c r="H17" s="9">
        <f>H4/H$12</f>
        <v/>
      </c>
    </row>
    <row r="18" spans="1:8">
      <c r="A18" s="6" t="s">
        <v>9</v>
      </c>
      <c r="B18" s="9">
        <f>B5/$B$12</f>
        <v/>
      </c>
      <c r="D18" s="6" t="s">
        <v>9</v>
      </c>
      <c r="E18" s="9">
        <f>E5/E$12</f>
        <v/>
      </c>
      <c r="F18" s="9">
        <f>F5/F$12</f>
        <v/>
      </c>
      <c r="G18" s="9">
        <f>G5/G$12</f>
        <v/>
      </c>
      <c r="H18" s="9">
        <f>H5/H$12</f>
        <v/>
      </c>
    </row>
    <row r="19" spans="1:8">
      <c r="A19" s="6" t="s">
        <v>10</v>
      </c>
      <c r="B19" s="9">
        <f>B6/$B$12</f>
        <v/>
      </c>
      <c r="D19" s="6" t="s">
        <v>10</v>
      </c>
      <c r="E19" s="9">
        <f>E6/E$12</f>
        <v/>
      </c>
      <c r="F19" s="9">
        <f>F6/F$12</f>
        <v/>
      </c>
      <c r="G19" s="9">
        <f>G6/G$12</f>
        <v/>
      </c>
      <c r="H19" s="9">
        <f>H6/H$12</f>
        <v/>
      </c>
    </row>
    <row r="20" spans="1:8">
      <c r="A20" s="6" t="s">
        <v>11</v>
      </c>
      <c r="B20" s="9">
        <f>B7/$B$12</f>
        <v/>
      </c>
      <c r="D20" s="6" t="s">
        <v>11</v>
      </c>
      <c r="E20" s="9">
        <f>E7/E$12</f>
        <v/>
      </c>
      <c r="F20" s="9">
        <f>F7/F$12</f>
        <v/>
      </c>
      <c r="G20" s="9">
        <f>G7/G$12</f>
        <v/>
      </c>
      <c r="H20" s="9">
        <f>H7/H$12</f>
        <v/>
      </c>
    </row>
    <row r="21" spans="1:8">
      <c r="A21" s="6" t="s">
        <v>12</v>
      </c>
      <c r="B21" s="9">
        <f>B8/$B$12</f>
        <v/>
      </c>
      <c r="D21" s="6" t="s">
        <v>12</v>
      </c>
      <c r="E21" s="9">
        <f>E8/E$12</f>
        <v/>
      </c>
      <c r="F21" s="9">
        <f>F8/F$12</f>
        <v/>
      </c>
      <c r="G21" s="9">
        <f>G8/G$12</f>
        <v/>
      </c>
      <c r="H21" s="9">
        <f>H8/H$12</f>
        <v/>
      </c>
    </row>
    <row r="22" spans="1:8">
      <c r="A22" s="6" t="s">
        <v>13</v>
      </c>
      <c r="B22" s="9">
        <f>B9/$B$12</f>
        <v/>
      </c>
      <c r="D22" s="6" t="s">
        <v>13</v>
      </c>
      <c r="E22" s="9">
        <f>E9/E$12</f>
        <v/>
      </c>
      <c r="F22" s="9">
        <f>F9/F$12</f>
        <v/>
      </c>
      <c r="G22" s="9">
        <f>G9/G$12</f>
        <v/>
      </c>
      <c r="H22" s="9">
        <f>H9/H$12</f>
        <v/>
      </c>
    </row>
    <row r="23" spans="1:8">
      <c r="A23" s="6" t="s">
        <v>14</v>
      </c>
      <c r="B23" s="9">
        <f>B10/$B$12</f>
        <v/>
      </c>
      <c r="D23" s="6" t="s">
        <v>14</v>
      </c>
      <c r="E23" s="9">
        <f>E10/E$12</f>
        <v/>
      </c>
      <c r="F23" s="9">
        <f>F10/F$12</f>
        <v/>
      </c>
      <c r="G23" s="9">
        <f>G10/G$12</f>
        <v/>
      </c>
      <c r="H23" s="9">
        <f>H10/H$12</f>
        <v/>
      </c>
    </row>
    <row r="24" spans="1:8">
      <c r="A24" s="8" t="s">
        <v>15</v>
      </c>
      <c r="B24" s="10">
        <f>B11/$B$12</f>
        <v/>
      </c>
      <c r="D24" s="8" t="s">
        <v>15</v>
      </c>
      <c r="E24" s="10">
        <f>E11/E$12</f>
        <v/>
      </c>
      <c r="F24" s="10">
        <f>F11/F$12</f>
        <v/>
      </c>
      <c r="G24" s="10">
        <f>G11/G$12</f>
        <v/>
      </c>
      <c r="H24" s="10">
        <f>H11/H$12</f>
        <v/>
      </c>
    </row>
    <row customHeight="1" ht="15.75" r="25" spans="1:8">
      <c r="A25" s="7" t="s">
        <v>16</v>
      </c>
      <c r="B25" s="11">
        <f>B12/$B$12</f>
        <v/>
      </c>
      <c r="D25" s="7" t="s">
        <v>16</v>
      </c>
      <c r="E25" s="11">
        <f>E12/E$12</f>
        <v/>
      </c>
      <c r="F25" s="11">
        <f>F12/F$12</f>
        <v/>
      </c>
      <c r="G25" s="11">
        <f>G12/G$12</f>
        <v/>
      </c>
      <c r="H25" s="11">
        <f>H12/H$12</f>
        <v/>
      </c>
    </row>
    <row customHeight="1" ht="15.75" r="28" spans="1:8">
      <c r="D28" s="1" t="s">
        <v>19</v>
      </c>
      <c r="E28" s="3" t="n"/>
      <c r="F28" s="3" t="n"/>
      <c r="G28" s="3" t="n"/>
      <c r="H28" s="3" t="n"/>
    </row>
    <row r="29" spans="1:8">
      <c r="A29" s="2" t="s">
        <v>2</v>
      </c>
      <c r="D29" s="2" t="s">
        <v>2</v>
      </c>
      <c r="E29" s="4">
        <f>E16</f>
        <v/>
      </c>
      <c r="F29" s="4">
        <f>F16</f>
        <v/>
      </c>
      <c r="G29" s="4">
        <f>G16</f>
        <v/>
      </c>
      <c r="H29" s="4">
        <f>H16</f>
        <v/>
      </c>
    </row>
    <row r="30" spans="1:8">
      <c r="A30" s="6" t="s">
        <v>8</v>
      </c>
      <c r="D30" s="6" t="s">
        <v>8</v>
      </c>
      <c r="E30" s="9">
        <f>E17-$B17</f>
        <v/>
      </c>
      <c r="F30" s="9">
        <f>F17-$B17</f>
        <v/>
      </c>
      <c r="G30" s="9">
        <f>G17-$B17</f>
        <v/>
      </c>
      <c r="H30" s="9">
        <f>H17-$B17</f>
        <v/>
      </c>
    </row>
    <row r="31" spans="1:8">
      <c r="A31" s="6" t="s">
        <v>9</v>
      </c>
      <c r="D31" s="6" t="s">
        <v>9</v>
      </c>
      <c r="E31" s="9">
        <f>E18-$B18</f>
        <v/>
      </c>
      <c r="F31" s="9">
        <f>F18-$B18</f>
        <v/>
      </c>
      <c r="G31" s="9">
        <f>G18-$B18</f>
        <v/>
      </c>
      <c r="H31" s="9">
        <f>H18-$B18</f>
        <v/>
      </c>
    </row>
    <row r="32" spans="1:8">
      <c r="A32" s="6" t="s">
        <v>10</v>
      </c>
      <c r="D32" s="6" t="s">
        <v>10</v>
      </c>
      <c r="E32" s="9">
        <f>E19-$B19</f>
        <v/>
      </c>
      <c r="F32" s="9">
        <f>F19-$B19</f>
        <v/>
      </c>
      <c r="G32" s="9">
        <f>G19-$B19</f>
        <v/>
      </c>
      <c r="H32" s="9">
        <f>H19-$B19</f>
        <v/>
      </c>
    </row>
    <row r="33" spans="1:8">
      <c r="A33" s="6" t="s">
        <v>11</v>
      </c>
      <c r="D33" s="6" t="s">
        <v>11</v>
      </c>
      <c r="E33" s="9">
        <f>E20-$B20</f>
        <v/>
      </c>
      <c r="F33" s="9">
        <f>F20-$B20</f>
        <v/>
      </c>
      <c r="G33" s="9">
        <f>G20-$B20</f>
        <v/>
      </c>
      <c r="H33" s="9">
        <f>H20-$B20</f>
        <v/>
      </c>
    </row>
    <row r="34" spans="1:8">
      <c r="A34" s="6" t="s">
        <v>12</v>
      </c>
      <c r="D34" s="6" t="s">
        <v>12</v>
      </c>
      <c r="E34" s="9">
        <f>E21-$B21</f>
        <v/>
      </c>
      <c r="F34" s="9">
        <f>F21-$B21</f>
        <v/>
      </c>
      <c r="G34" s="9">
        <f>G21-$B21</f>
        <v/>
      </c>
      <c r="H34" s="9">
        <f>H21-$B21</f>
        <v/>
      </c>
    </row>
    <row r="35" spans="1:8">
      <c r="A35" s="6" t="s">
        <v>13</v>
      </c>
      <c r="D35" s="6" t="s">
        <v>13</v>
      </c>
      <c r="E35" s="9">
        <f>E22-$B22</f>
        <v/>
      </c>
      <c r="F35" s="9">
        <f>F22-$B22</f>
        <v/>
      </c>
      <c r="G35" s="9">
        <f>G22-$B22</f>
        <v/>
      </c>
      <c r="H35" s="9">
        <f>H22-$B22</f>
        <v/>
      </c>
    </row>
    <row r="36" spans="1:8">
      <c r="A36" s="6" t="s">
        <v>14</v>
      </c>
      <c r="D36" s="6" t="s">
        <v>14</v>
      </c>
      <c r="E36" s="9">
        <f>E23-$B23</f>
        <v/>
      </c>
      <c r="F36" s="9">
        <f>F23-$B23</f>
        <v/>
      </c>
      <c r="G36" s="9">
        <f>G23-$B23</f>
        <v/>
      </c>
      <c r="H36" s="9">
        <f>H23-$B23</f>
        <v/>
      </c>
    </row>
    <row r="37" spans="1:8">
      <c r="A37" s="8" t="s">
        <v>15</v>
      </c>
      <c r="D37" s="8" t="s">
        <v>15</v>
      </c>
      <c r="E37" s="10">
        <f>E24-$B24</f>
        <v/>
      </c>
      <c r="F37" s="10">
        <f>F24-$B24</f>
        <v/>
      </c>
      <c r="G37" s="10">
        <f>G24-$B24</f>
        <v/>
      </c>
      <c r="H37" s="10">
        <f>H24-$B24</f>
        <v/>
      </c>
    </row>
    <row customHeight="1" ht="15.75" r="38" spans="1:8">
      <c r="A38" s="7" t="s">
        <v>16</v>
      </c>
      <c r="D38" s="7" t="s">
        <v>16</v>
      </c>
      <c r="E38" s="14">
        <f>E25-$B25</f>
        <v/>
      </c>
      <c r="F38" s="14">
        <f>F25-$B25</f>
        <v/>
      </c>
      <c r="G38" s="14">
        <f>G25-$B25</f>
        <v/>
      </c>
      <c r="H38" s="14">
        <f>H25-$B25</f>
        <v/>
      </c>
    </row>
  </sheetData>
  <pageMargins bottom="0.75" footer="0.3" header="0.3" left="0.7" right="0.7" top="0.75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E38"/>
  <sheetViews>
    <sheetView workbookViewId="0">
      <selection activeCell="A1" sqref="A1:XFD1048576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customHeight="1" ht="15.75" r="2" spans="1:5">
      <c r="A2" s="1" t="s">
        <v>0</v>
      </c>
      <c r="B2" s="3" t="n"/>
      <c r="D2" s="1" t="s">
        <v>1</v>
      </c>
      <c r="E2" s="3" t="n"/>
    </row>
    <row r="3" spans="1:5">
      <c r="A3" s="2" t="s">
        <v>2</v>
      </c>
      <c r="B3" s="4" t="s">
        <v>16</v>
      </c>
      <c r="D3" s="2" t="s">
        <v>2</v>
      </c>
      <c r="E3" s="4" t="s">
        <v>16</v>
      </c>
    </row>
    <row r="4" spans="1:5">
      <c r="A4" s="6" t="s">
        <v>8</v>
      </c>
      <c r="B4" s="6" t="n">
        <v>2059001.061365914</v>
      </c>
      <c r="D4" s="6" t="s">
        <v>8</v>
      </c>
      <c r="E4" s="6" t="n">
        <v>1977590</v>
      </c>
    </row>
    <row r="5" spans="1:5">
      <c r="A5" s="6" t="s">
        <v>9</v>
      </c>
      <c r="B5" s="6" t="n">
        <v>1339891.910125944</v>
      </c>
      <c r="D5" s="6" t="s">
        <v>9</v>
      </c>
      <c r="E5" s="6" t="n">
        <v>1418799</v>
      </c>
    </row>
    <row r="6" spans="1:5">
      <c r="A6" s="6" t="s">
        <v>10</v>
      </c>
      <c r="B6" s="6" t="n">
        <v>1196740.273783528</v>
      </c>
      <c r="D6" s="6" t="s">
        <v>10</v>
      </c>
      <c r="E6" s="6" t="n">
        <v>1296826</v>
      </c>
    </row>
    <row r="7" spans="1:5">
      <c r="A7" s="6" t="s">
        <v>11</v>
      </c>
      <c r="B7" s="6" t="n">
        <v>55903.15756886729</v>
      </c>
      <c r="D7" s="6" t="s">
        <v>11</v>
      </c>
      <c r="E7" s="6" t="n">
        <v>31083</v>
      </c>
    </row>
    <row r="8" spans="1:5">
      <c r="A8" s="6" t="s">
        <v>12</v>
      </c>
      <c r="B8" s="6" t="n">
        <v>354256.8459214177</v>
      </c>
      <c r="D8" s="6" t="s">
        <v>12</v>
      </c>
      <c r="E8" s="6" t="n">
        <v>245027</v>
      </c>
    </row>
    <row r="9" spans="1:5">
      <c r="A9" s="6" t="s">
        <v>13</v>
      </c>
      <c r="B9" s="6" t="n">
        <v>81898.2824149676</v>
      </c>
      <c r="D9" s="6" t="s">
        <v>13</v>
      </c>
      <c r="E9" s="6" t="n">
        <v>90261</v>
      </c>
    </row>
    <row r="10" spans="1:5">
      <c r="A10" s="6" t="s">
        <v>14</v>
      </c>
      <c r="B10" s="6" t="n">
        <v>738869.6440192471</v>
      </c>
      <c r="D10" s="6" t="s">
        <v>14</v>
      </c>
      <c r="E10" s="6" t="n">
        <v>718984</v>
      </c>
    </row>
    <row r="11" spans="1:5">
      <c r="A11" s="8" t="s">
        <v>15</v>
      </c>
      <c r="B11" s="8" t="n">
        <v>211729.817099549</v>
      </c>
      <c r="D11" s="8" t="s">
        <v>15</v>
      </c>
      <c r="E11" s="8" t="n">
        <v>196630</v>
      </c>
    </row>
    <row customHeight="1" ht="15.75" r="12" spans="1:5">
      <c r="A12" s="7" t="s">
        <v>16</v>
      </c>
      <c r="B12" s="7" t="n">
        <v>6038290.992299433</v>
      </c>
      <c r="D12" s="7" t="s">
        <v>16</v>
      </c>
      <c r="E12" s="7" t="n">
        <v>5975200</v>
      </c>
    </row>
    <row r="14" spans="1:5">
      <c r="E14" s="5" t="n"/>
    </row>
    <row customHeight="1" ht="15.75" r="15" spans="1:5">
      <c r="A15" s="1" t="s">
        <v>17</v>
      </c>
      <c r="B15" s="3" t="n"/>
      <c r="D15" s="1" t="s">
        <v>18</v>
      </c>
      <c r="E15" s="3" t="n"/>
    </row>
    <row r="16" spans="1:5">
      <c r="A16" s="2" t="s">
        <v>2</v>
      </c>
      <c r="B16" s="4" t="s">
        <v>16</v>
      </c>
      <c r="D16" s="2" t="s">
        <v>2</v>
      </c>
      <c r="E16" s="4" t="s">
        <v>16</v>
      </c>
    </row>
    <row r="17" spans="1:5">
      <c r="A17" s="6" t="s">
        <v>8</v>
      </c>
      <c r="B17" s="9" t="n">
        <v>0.3409906981945281</v>
      </c>
      <c r="D17" s="6" t="s">
        <v>8</v>
      </c>
      <c r="E17" s="9" t="n">
        <v>0.330966327486946</v>
      </c>
    </row>
    <row r="18" spans="1:5">
      <c r="A18" s="6" t="s">
        <v>9</v>
      </c>
      <c r="B18" s="9" t="n">
        <v>0.2218991949600795</v>
      </c>
      <c r="D18" s="6" t="s">
        <v>9</v>
      </c>
      <c r="E18" s="9" t="n">
        <v>0.2374479515330031</v>
      </c>
    </row>
    <row r="19" spans="1:5">
      <c r="A19" s="6" t="s">
        <v>10</v>
      </c>
      <c r="B19" s="9" t="n">
        <v>0.1981918849736983</v>
      </c>
      <c r="D19" s="6" t="s">
        <v>10</v>
      </c>
      <c r="E19" s="9" t="n">
        <v>0.2170347436069086</v>
      </c>
    </row>
    <row r="20" spans="1:5">
      <c r="A20" s="6" t="s">
        <v>11</v>
      </c>
      <c r="B20" s="9" t="n">
        <v>0.009258109229939394</v>
      </c>
      <c r="D20" s="6" t="s">
        <v>11</v>
      </c>
      <c r="E20" s="9" t="n">
        <v>0.005202001606640782</v>
      </c>
    </row>
    <row r="21" spans="1:5">
      <c r="A21" s="6" t="s">
        <v>12</v>
      </c>
      <c r="B21" s="9" t="n">
        <v>0.05866839580490533</v>
      </c>
      <c r="D21" s="6" t="s">
        <v>12</v>
      </c>
      <c r="E21" s="9" t="n">
        <v>0.04100733029856742</v>
      </c>
    </row>
    <row r="22" spans="1:5">
      <c r="A22" s="6" t="s">
        <v>13</v>
      </c>
      <c r="B22" s="9" t="n">
        <v>0.01356315595247258</v>
      </c>
      <c r="D22" s="6" t="s">
        <v>13</v>
      </c>
      <c r="E22" s="9" t="n">
        <v>0.01510593787655643</v>
      </c>
    </row>
    <row r="23" spans="1:5">
      <c r="A23" s="6" t="s">
        <v>14</v>
      </c>
      <c r="B23" s="9" t="n">
        <v>0.122364033956217</v>
      </c>
      <c r="D23" s="6" t="s">
        <v>14</v>
      </c>
      <c r="E23" s="9" t="n">
        <v>0.1203280224929709</v>
      </c>
    </row>
    <row r="24" spans="1:5">
      <c r="A24" s="8" t="s">
        <v>15</v>
      </c>
      <c r="B24" s="10" t="n">
        <v>0.03506452692815993</v>
      </c>
      <c r="D24" s="8" t="s">
        <v>15</v>
      </c>
      <c r="E24" s="10" t="n">
        <v>0.03290768509840675</v>
      </c>
    </row>
    <row customHeight="1" ht="15.75" r="25" spans="1:5">
      <c r="A25" s="7" t="s">
        <v>16</v>
      </c>
      <c r="B25" s="11" t="n">
        <v>1</v>
      </c>
      <c r="D25" s="7" t="s">
        <v>16</v>
      </c>
      <c r="E25" s="11" t="n">
        <v>1</v>
      </c>
    </row>
    <row customHeight="1" ht="15.75" r="28" spans="1:5">
      <c r="D28" s="1" t="s">
        <v>19</v>
      </c>
      <c r="E28" s="3" t="n"/>
    </row>
    <row r="29" spans="1:5">
      <c r="D29" s="2" t="s">
        <v>2</v>
      </c>
      <c r="E29" s="4" t="s">
        <v>16</v>
      </c>
    </row>
    <row r="30" spans="1:5">
      <c r="D30" s="6" t="s">
        <v>8</v>
      </c>
      <c r="E30" s="9" t="n">
        <v>-0.01002437070758205</v>
      </c>
    </row>
    <row r="31" spans="1:5">
      <c r="D31" s="6" t="s">
        <v>9</v>
      </c>
      <c r="E31" s="9" t="n">
        <v>0.01554875657292359</v>
      </c>
    </row>
    <row r="32" spans="1:5">
      <c r="D32" s="6" t="s">
        <v>10</v>
      </c>
      <c r="E32" s="9" t="n">
        <v>0.01884285863321028</v>
      </c>
    </row>
    <row r="33" spans="1:5">
      <c r="D33" s="6" t="s">
        <v>11</v>
      </c>
      <c r="E33" s="9" t="n">
        <v>-0.004056107623298612</v>
      </c>
    </row>
    <row r="34" spans="1:5">
      <c r="D34" s="6" t="s">
        <v>12</v>
      </c>
      <c r="E34" s="9" t="n">
        <v>-0.01766106550633791</v>
      </c>
    </row>
    <row r="35" spans="1:5">
      <c r="D35" s="6" t="s">
        <v>13</v>
      </c>
      <c r="E35" s="9" t="n">
        <v>0.001542781924083855</v>
      </c>
    </row>
    <row r="36" spans="1:5">
      <c r="D36" s="6" t="s">
        <v>14</v>
      </c>
      <c r="E36" s="9" t="n">
        <v>-0.002036011463246071</v>
      </c>
    </row>
    <row r="37" spans="1:5">
      <c r="D37" s="8" t="s">
        <v>15</v>
      </c>
      <c r="E37" s="10" t="n">
        <v>-0.002156841829753182</v>
      </c>
    </row>
    <row customHeight="1" ht="15.75" r="38" spans="1:5">
      <c r="D38" s="7" t="s">
        <v>16</v>
      </c>
      <c r="E38" s="11" t="n">
        <v>0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E38"/>
  <sheetViews>
    <sheetView workbookViewId="0">
      <selection activeCell="A1" sqref="A1:XFD1048576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customHeight="1" ht="15.75" r="2" spans="1:5">
      <c r="A2" s="1" t="s">
        <v>0</v>
      </c>
      <c r="B2" s="3" t="n"/>
      <c r="D2" s="1" t="s">
        <v>1</v>
      </c>
      <c r="E2" s="3" t="n"/>
    </row>
    <row r="3" spans="1:5">
      <c r="A3" s="2" t="s">
        <v>2</v>
      </c>
      <c r="B3" s="4" t="s">
        <v>16</v>
      </c>
      <c r="D3" s="2" t="s">
        <v>2</v>
      </c>
      <c r="E3" s="4" t="s">
        <v>16</v>
      </c>
    </row>
    <row r="4" spans="1:5">
      <c r="A4" s="6" t="s">
        <v>8</v>
      </c>
      <c r="B4" s="6" t="n">
        <v>2059001.061365914</v>
      </c>
      <c r="D4" s="6" t="s">
        <v>8</v>
      </c>
      <c r="E4" s="6" t="n">
        <v>2198628</v>
      </c>
    </row>
    <row r="5" spans="1:5">
      <c r="A5" s="6" t="s">
        <v>9</v>
      </c>
      <c r="B5" s="6" t="n">
        <v>1339891.910125944</v>
      </c>
      <c r="D5" s="6" t="s">
        <v>9</v>
      </c>
      <c r="E5" s="6" t="n">
        <v>1613142</v>
      </c>
    </row>
    <row r="6" spans="1:5">
      <c r="A6" s="6" t="s">
        <v>10</v>
      </c>
      <c r="B6" s="6" t="n">
        <v>1196740.273783528</v>
      </c>
      <c r="D6" s="6" t="s">
        <v>10</v>
      </c>
      <c r="E6" s="6" t="n">
        <v>1437085</v>
      </c>
    </row>
    <row r="7" spans="1:5">
      <c r="A7" s="6" t="s">
        <v>11</v>
      </c>
      <c r="B7" s="6" t="n">
        <v>55903.15756886729</v>
      </c>
      <c r="D7" s="6" t="s">
        <v>11</v>
      </c>
      <c r="E7" s="6" t="n">
        <v>58858</v>
      </c>
    </row>
    <row r="8" spans="1:5">
      <c r="A8" s="6" t="s">
        <v>12</v>
      </c>
      <c r="B8" s="6" t="n">
        <v>354256.8459214177</v>
      </c>
      <c r="D8" s="6" t="s">
        <v>12</v>
      </c>
      <c r="E8" s="6" t="n">
        <v>201866</v>
      </c>
    </row>
    <row r="9" spans="1:5">
      <c r="A9" s="6" t="s">
        <v>13</v>
      </c>
      <c r="B9" s="6" t="n">
        <v>81898.2824149676</v>
      </c>
      <c r="D9" s="6" t="s">
        <v>13</v>
      </c>
      <c r="E9" s="6" t="n">
        <v>96832</v>
      </c>
    </row>
    <row r="10" spans="1:5">
      <c r="A10" s="6" t="s">
        <v>14</v>
      </c>
      <c r="B10" s="6" t="n">
        <v>738869.6440192471</v>
      </c>
      <c r="D10" s="6" t="s">
        <v>14</v>
      </c>
      <c r="E10" s="6" t="n">
        <v>609179</v>
      </c>
    </row>
    <row r="11" spans="1:5">
      <c r="A11" s="8" t="s">
        <v>15</v>
      </c>
      <c r="B11" s="8" t="n">
        <v>389300.9220221348</v>
      </c>
      <c r="D11" s="8" t="s">
        <v>15</v>
      </c>
      <c r="E11" s="8" t="n">
        <v>210835</v>
      </c>
    </row>
    <row customHeight="1" ht="15.75" r="12" spans="1:5">
      <c r="A12" s="7" t="s">
        <v>16</v>
      </c>
      <c r="B12" s="7" t="n">
        <v>6215862.097222019</v>
      </c>
      <c r="D12" s="7" t="s">
        <v>16</v>
      </c>
      <c r="E12" s="7" t="n">
        <v>6426425</v>
      </c>
    </row>
    <row r="14" spans="1:5">
      <c r="E14" s="5" t="n"/>
    </row>
    <row customHeight="1" ht="15.75" r="15" spans="1:5">
      <c r="A15" s="1" t="s">
        <v>17</v>
      </c>
      <c r="B15" s="3" t="n"/>
      <c r="D15" s="1" t="s">
        <v>18</v>
      </c>
      <c r="E15" s="3" t="n"/>
    </row>
    <row r="16" spans="1:5">
      <c r="A16" s="2" t="s">
        <v>2</v>
      </c>
      <c r="B16" s="4" t="s">
        <v>16</v>
      </c>
      <c r="D16" s="2" t="s">
        <v>2</v>
      </c>
      <c r="E16" s="4" t="s">
        <v>16</v>
      </c>
    </row>
    <row r="17" spans="1:5">
      <c r="A17" s="6" t="s">
        <v>8</v>
      </c>
      <c r="B17" s="9" t="n">
        <v>0.3312494758025791</v>
      </c>
      <c r="D17" s="6" t="s">
        <v>8</v>
      </c>
      <c r="E17" s="9" t="n">
        <v>0.3421230310787102</v>
      </c>
    </row>
    <row r="18" spans="1:5">
      <c r="A18" s="6" t="s">
        <v>9</v>
      </c>
      <c r="B18" s="9" t="n">
        <v>0.2155601088262183</v>
      </c>
      <c r="D18" s="6" t="s">
        <v>9</v>
      </c>
      <c r="E18" s="9" t="n">
        <v>0.2510170117911592</v>
      </c>
    </row>
    <row r="19" spans="1:5">
      <c r="A19" s="6" t="s">
        <v>10</v>
      </c>
      <c r="B19" s="9" t="n">
        <v>0.1925300553753231</v>
      </c>
      <c r="D19" s="6" t="s">
        <v>10</v>
      </c>
      <c r="E19" s="9" t="n">
        <v>0.2236212201962989</v>
      </c>
    </row>
    <row r="20" spans="1:5">
      <c r="A20" s="6" t="s">
        <v>11</v>
      </c>
      <c r="B20" s="9" t="n">
        <v>0.008993628992163681</v>
      </c>
      <c r="D20" s="6" t="s">
        <v>11</v>
      </c>
      <c r="E20" s="9" t="n">
        <v>0.00915874689271251</v>
      </c>
    </row>
    <row r="21" spans="1:5">
      <c r="A21" s="6" t="s">
        <v>12</v>
      </c>
      <c r="B21" s="9" t="n">
        <v>0.05699239146243953</v>
      </c>
      <c r="D21" s="6" t="s">
        <v>12</v>
      </c>
      <c r="E21" s="9" t="n">
        <v>0.03141186585076462</v>
      </c>
    </row>
    <row r="22" spans="1:5">
      <c r="A22" s="6" t="s">
        <v>13</v>
      </c>
      <c r="B22" s="9" t="n">
        <v>0.01317569166336065</v>
      </c>
      <c r="D22" s="6" t="s">
        <v>13</v>
      </c>
      <c r="E22" s="9" t="n">
        <v>0.01506778652205542</v>
      </c>
    </row>
    <row r="23" spans="1:5">
      <c r="A23" s="6" t="s">
        <v>14</v>
      </c>
      <c r="B23" s="9" t="n">
        <v>0.1188684099586864</v>
      </c>
      <c r="D23" s="6" t="s">
        <v>14</v>
      </c>
      <c r="E23" s="9" t="n">
        <v>0.09479282804980997</v>
      </c>
    </row>
    <row r="24" spans="1:5">
      <c r="A24" s="8" t="s">
        <v>15</v>
      </c>
      <c r="B24" s="10" t="n">
        <v>0.06263023791922932</v>
      </c>
      <c r="D24" s="8" t="s">
        <v>15</v>
      </c>
      <c r="E24" s="10" t="n">
        <v>0.03280750961848929</v>
      </c>
    </row>
    <row customHeight="1" ht="15.75" r="25" spans="1:5">
      <c r="A25" s="7" t="s">
        <v>16</v>
      </c>
      <c r="B25" s="11" t="n">
        <v>1</v>
      </c>
      <c r="D25" s="7" t="s">
        <v>16</v>
      </c>
      <c r="E25" s="11" t="n">
        <v>1</v>
      </c>
    </row>
    <row customHeight="1" ht="15.75" r="28" spans="1:5">
      <c r="D28" s="1" t="s">
        <v>19</v>
      </c>
      <c r="E28" s="3" t="n"/>
    </row>
    <row r="29" spans="1:5">
      <c r="D29" s="2" t="s">
        <v>2</v>
      </c>
      <c r="E29" s="4" t="s">
        <v>16</v>
      </c>
    </row>
    <row r="30" spans="1:5">
      <c r="D30" s="6" t="s">
        <v>8</v>
      </c>
      <c r="E30" s="9" t="n">
        <v>0.0108735552761311</v>
      </c>
    </row>
    <row r="31" spans="1:5">
      <c r="D31" s="6" t="s">
        <v>9</v>
      </c>
      <c r="E31" s="9" t="n">
        <v>0.03545690296494089</v>
      </c>
    </row>
    <row r="32" spans="1:5">
      <c r="D32" s="6" t="s">
        <v>10</v>
      </c>
      <c r="E32" s="9" t="n">
        <v>0.03109116482097574</v>
      </c>
    </row>
    <row r="33" spans="1:5">
      <c r="D33" s="6" t="s">
        <v>11</v>
      </c>
      <c r="E33" s="9" t="n">
        <v>0.0001651179005488293</v>
      </c>
    </row>
    <row r="34" spans="1:5">
      <c r="D34" s="6" t="s">
        <v>12</v>
      </c>
      <c r="E34" s="9" t="n">
        <v>-0.02558052561167492</v>
      </c>
    </row>
    <row r="35" spans="1:5">
      <c r="D35" s="6" t="s">
        <v>13</v>
      </c>
      <c r="E35" s="9" t="n">
        <v>0.00189209485869477</v>
      </c>
    </row>
    <row r="36" spans="1:5">
      <c r="D36" s="6" t="s">
        <v>14</v>
      </c>
      <c r="E36" s="9" t="n">
        <v>-0.02407558190887643</v>
      </c>
    </row>
    <row r="37" spans="1:5">
      <c r="D37" s="8" t="s">
        <v>15</v>
      </c>
      <c r="E37" s="10" t="n">
        <v>-0.02982272830074004</v>
      </c>
    </row>
    <row customHeight="1" ht="15.75" r="38" spans="1:5">
      <c r="D38" s="7" t="s">
        <v>16</v>
      </c>
      <c r="E38" s="11" t="n"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38"/>
  <sheetViews>
    <sheetView workbookViewId="0">
      <selection activeCell="A1" sqref="A1:XFD1048576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r="1" spans="1:5"/>
    <row customHeight="1" ht="15.75" r="2" spans="1:5">
      <c r="A2" s="1" t="s">
        <v>0</v>
      </c>
      <c r="B2" s="3" t="n"/>
      <c r="D2" s="1" t="s">
        <v>1</v>
      </c>
      <c r="E2" s="3" t="n"/>
    </row>
    <row r="3" spans="1:5">
      <c r="A3" s="2" t="s">
        <v>2</v>
      </c>
      <c r="B3" s="4" t="s">
        <v>16</v>
      </c>
      <c r="D3" s="2" t="s">
        <v>2</v>
      </c>
      <c r="E3" s="4" t="s">
        <v>16</v>
      </c>
    </row>
    <row r="4" spans="1:5">
      <c r="A4" s="6" t="s">
        <v>8</v>
      </c>
      <c r="B4" s="6" t="n">
        <v>221111.5960357368</v>
      </c>
      <c r="D4" s="6" t="s">
        <v>8</v>
      </c>
      <c r="E4" s="6" t="n">
        <v>674574</v>
      </c>
    </row>
    <row r="5" spans="1:5">
      <c r="A5" s="6" t="s">
        <v>9</v>
      </c>
      <c r="B5" s="6" t="n">
        <v>201819.2680131838</v>
      </c>
      <c r="D5" s="6" t="s">
        <v>9</v>
      </c>
      <c r="E5" s="6" t="n">
        <v>504468</v>
      </c>
    </row>
    <row r="6" spans="1:5">
      <c r="A6" s="6" t="s">
        <v>10</v>
      </c>
      <c r="B6" s="6" t="n">
        <v>140885.8635106099</v>
      </c>
      <c r="D6" s="6" t="s">
        <v>10</v>
      </c>
      <c r="E6" s="6" t="n">
        <v>476134</v>
      </c>
    </row>
    <row r="7" spans="1:5">
      <c r="A7" s="6" t="s">
        <v>11</v>
      </c>
      <c r="B7" s="6" t="n">
        <v>6240.015903990001</v>
      </c>
      <c r="D7" s="6" t="s">
        <v>11</v>
      </c>
      <c r="E7" s="6" t="n">
        <v>21774</v>
      </c>
    </row>
    <row r="8" spans="1:5">
      <c r="A8" s="6" t="s">
        <v>12</v>
      </c>
      <c r="B8" s="6" t="n">
        <v>45697.3255881232</v>
      </c>
      <c r="D8" s="6" t="s">
        <v>12</v>
      </c>
      <c r="E8" s="6" t="n">
        <v>43228</v>
      </c>
    </row>
    <row r="9" spans="1:5">
      <c r="A9" s="6" t="s">
        <v>13</v>
      </c>
      <c r="B9" s="6" t="n">
        <v>8451.982376559001</v>
      </c>
      <c r="D9" s="6" t="s">
        <v>13</v>
      </c>
      <c r="E9" s="6" t="n">
        <v>22119</v>
      </c>
    </row>
    <row r="10" spans="1:5">
      <c r="A10" s="6" t="s">
        <v>14</v>
      </c>
      <c r="B10" s="6" t="n">
        <v>67580.68957765961</v>
      </c>
      <c r="D10" s="6" t="s">
        <v>14</v>
      </c>
      <c r="E10" s="6" t="n">
        <v>172882</v>
      </c>
    </row>
    <row r="11" spans="1:5">
      <c r="A11" s="8" t="s">
        <v>15</v>
      </c>
      <c r="B11" s="8" t="n">
        <v>17474.710270342</v>
      </c>
      <c r="D11" s="8" t="s">
        <v>15</v>
      </c>
      <c r="E11" s="8" t="n">
        <v>71015</v>
      </c>
    </row>
    <row customHeight="1" ht="15.75" r="12" spans="1:5">
      <c r="A12" s="7" t="s">
        <v>16</v>
      </c>
      <c r="B12" s="7" t="n">
        <v>709261.4512762043</v>
      </c>
      <c r="D12" s="7" t="s">
        <v>16</v>
      </c>
      <c r="E12" s="7" t="n">
        <v>1986194</v>
      </c>
    </row>
    <row r="13" spans="1:5"/>
    <row r="14" spans="1:5">
      <c r="E14" s="5" t="n"/>
    </row>
    <row customHeight="1" ht="15.75" r="15" spans="1:5">
      <c r="A15" s="1" t="s">
        <v>17</v>
      </c>
      <c r="B15" s="3" t="n"/>
      <c r="D15" s="1" t="s">
        <v>18</v>
      </c>
      <c r="E15" s="3" t="n"/>
    </row>
    <row r="16" spans="1:5">
      <c r="A16" s="2" t="s">
        <v>2</v>
      </c>
      <c r="B16" s="4" t="s">
        <v>16</v>
      </c>
      <c r="D16" s="2" t="s">
        <v>2</v>
      </c>
      <c r="E16" s="4" t="s">
        <v>16</v>
      </c>
    </row>
    <row r="17" spans="1:5">
      <c r="A17" s="6" t="s">
        <v>8</v>
      </c>
      <c r="B17" s="9" t="n">
        <v>0.3117490674812248</v>
      </c>
      <c r="D17" s="6" t="s">
        <v>8</v>
      </c>
      <c r="E17" s="9" t="n">
        <v>0.3396314760793759</v>
      </c>
    </row>
    <row r="18" spans="1:5">
      <c r="A18" s="6" t="s">
        <v>9</v>
      </c>
      <c r="B18" s="9" t="n">
        <v>0.2845484801832129</v>
      </c>
      <c r="D18" s="6" t="s">
        <v>9</v>
      </c>
      <c r="E18" s="9" t="n">
        <v>0.2539872741534815</v>
      </c>
    </row>
    <row r="19" spans="1:5">
      <c r="A19" s="6" t="s">
        <v>10</v>
      </c>
      <c r="B19" s="9" t="n">
        <v>0.1986374182004506</v>
      </c>
      <c r="D19" s="6" t="s">
        <v>10</v>
      </c>
      <c r="E19" s="9" t="n">
        <v>0.2397217995825181</v>
      </c>
    </row>
    <row r="20" spans="1:5">
      <c r="A20" s="6" t="s">
        <v>11</v>
      </c>
      <c r="B20" s="9" t="n">
        <v>0.008797906459969133</v>
      </c>
      <c r="D20" s="6" t="s">
        <v>11</v>
      </c>
      <c r="E20" s="9" t="n">
        <v>0.01096267534792674</v>
      </c>
    </row>
    <row r="21" spans="1:5">
      <c r="A21" s="6" t="s">
        <v>12</v>
      </c>
      <c r="B21" s="9" t="n">
        <v>0.06442945053040464</v>
      </c>
      <c r="D21" s="6" t="s">
        <v>12</v>
      </c>
      <c r="E21" s="9" t="n">
        <v>0.02176423853863218</v>
      </c>
    </row>
    <row r="22" spans="1:5">
      <c r="A22" s="6" t="s">
        <v>13</v>
      </c>
      <c r="B22" s="9" t="n">
        <v>0.01191659628667396</v>
      </c>
      <c r="D22" s="6" t="s">
        <v>13</v>
      </c>
      <c r="E22" s="9" t="n">
        <v>0.01113637439243095</v>
      </c>
    </row>
    <row r="23" spans="1:5">
      <c r="A23" s="6" t="s">
        <v>14</v>
      </c>
      <c r="B23" s="9" t="n">
        <v>0.09528318429834132</v>
      </c>
      <c r="D23" s="6" t="s">
        <v>14</v>
      </c>
      <c r="E23" s="9" t="n">
        <v>0.08704184988978922</v>
      </c>
    </row>
    <row r="24" spans="1:5">
      <c r="A24" s="8" t="s">
        <v>15</v>
      </c>
      <c r="B24" s="10" t="n">
        <v>0.02463789655972281</v>
      </c>
      <c r="D24" s="8" t="s">
        <v>15</v>
      </c>
      <c r="E24" s="10" t="n">
        <v>0.03575431201584538</v>
      </c>
    </row>
    <row customHeight="1" ht="15.75" r="25" spans="1:5">
      <c r="A25" s="7" t="s">
        <v>16</v>
      </c>
      <c r="B25" s="11" t="n">
        <v>1</v>
      </c>
      <c r="D25" s="7" t="s">
        <v>16</v>
      </c>
      <c r="E25" s="11" t="n">
        <v>1</v>
      </c>
    </row>
    <row r="26" spans="1:5"/>
    <row r="27" spans="1:5"/>
    <row customHeight="1" ht="15.75" r="28" spans="1:5">
      <c r="D28" s="1" t="s">
        <v>19</v>
      </c>
      <c r="E28" s="3" t="n"/>
    </row>
    <row r="29" spans="1:5">
      <c r="D29" s="2" t="s">
        <v>2</v>
      </c>
      <c r="E29" s="4" t="s">
        <v>16</v>
      </c>
    </row>
    <row r="30" spans="1:5">
      <c r="D30" s="6" t="s">
        <v>8</v>
      </c>
      <c r="E30" s="9" t="n">
        <v>0.02788240859815116</v>
      </c>
    </row>
    <row r="31" spans="1:5">
      <c r="D31" s="6" t="s">
        <v>9</v>
      </c>
      <c r="E31" s="9" t="n">
        <v>-0.03056120602973139</v>
      </c>
    </row>
    <row r="32" spans="1:5">
      <c r="D32" s="6" t="s">
        <v>10</v>
      </c>
      <c r="E32" s="9" t="n">
        <v>0.04108438138206755</v>
      </c>
    </row>
    <row r="33" spans="1:5">
      <c r="D33" s="6" t="s">
        <v>11</v>
      </c>
      <c r="E33" s="9" t="n">
        <v>0.002164768887957604</v>
      </c>
    </row>
    <row r="34" spans="1:5">
      <c r="D34" s="6" t="s">
        <v>12</v>
      </c>
      <c r="E34" s="9" t="n">
        <v>-0.04266521199177246</v>
      </c>
    </row>
    <row r="35" spans="1:5">
      <c r="D35" s="6" t="s">
        <v>13</v>
      </c>
      <c r="E35" s="9" t="n">
        <v>-0.0007802218942430088</v>
      </c>
    </row>
    <row r="36" spans="1:5">
      <c r="D36" s="6" t="s">
        <v>14</v>
      </c>
      <c r="E36" s="9" t="n">
        <v>-0.008241334408552098</v>
      </c>
    </row>
    <row r="37" spans="1:5">
      <c r="D37" s="8" t="s">
        <v>15</v>
      </c>
      <c r="E37" s="10" t="n">
        <v>0.01111641545612257</v>
      </c>
    </row>
    <row customHeight="1" ht="15.75" r="38" spans="1:5">
      <c r="D38" s="7" t="s">
        <v>16</v>
      </c>
      <c r="E38" s="11" t="n">
        <v>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38"/>
  <sheetViews>
    <sheetView workbookViewId="0">
      <selection activeCell="H20" sqref="H20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r="1" spans="1:5">
      <c r="A1" t="s"/>
      <c r="B1" t="s"/>
      <c r="C1" t="s"/>
      <c r="D1" t="s"/>
      <c r="E1" t="s"/>
    </row>
    <row customHeight="1" ht="15.75" r="2" spans="1:5">
      <c r="A2" s="1" t="s">
        <v>0</v>
      </c>
      <c r="B2" s="3" t="s"/>
      <c r="C2" t="s"/>
      <c r="D2" s="1" t="s">
        <v>1</v>
      </c>
      <c r="E2" s="3" t="s"/>
    </row>
    <row r="3" spans="1:5">
      <c r="A3" s="2" t="s">
        <v>2</v>
      </c>
      <c r="B3" s="4" t="s">
        <v>16</v>
      </c>
      <c r="C3" t="s"/>
      <c r="D3" s="2" t="s">
        <v>2</v>
      </c>
      <c r="E3" s="4" t="s">
        <v>16</v>
      </c>
    </row>
    <row r="4" spans="1:5">
      <c r="A4" s="6" t="s">
        <v>8</v>
      </c>
      <c r="B4" s="6" t="n">
        <v>1837889.465330177</v>
      </c>
      <c r="C4" t="s"/>
      <c r="D4" s="6" t="s">
        <v>8</v>
      </c>
      <c r="E4" s="6" t="n">
        <v>1524054</v>
      </c>
    </row>
    <row r="5" spans="1:5">
      <c r="A5" s="6" t="s">
        <v>9</v>
      </c>
      <c r="B5" s="6" t="n">
        <v>1138072.64211276</v>
      </c>
      <c r="C5" t="s"/>
      <c r="D5" s="6" t="s">
        <v>9</v>
      </c>
      <c r="E5" s="6" t="n">
        <v>1108674</v>
      </c>
    </row>
    <row r="6" spans="1:5">
      <c r="A6" s="6" t="s">
        <v>10</v>
      </c>
      <c r="B6" s="6" t="n">
        <v>1055854.410272918</v>
      </c>
      <c r="C6" t="s"/>
      <c r="D6" s="6" t="s">
        <v>10</v>
      </c>
      <c r="E6" s="6" t="n">
        <v>960951</v>
      </c>
    </row>
    <row r="7" spans="1:5">
      <c r="A7" s="6" t="s">
        <v>11</v>
      </c>
      <c r="B7" s="6" t="n">
        <v>49663.14166487729</v>
      </c>
      <c r="C7" t="s"/>
      <c r="D7" s="6" t="s">
        <v>11</v>
      </c>
      <c r="E7" s="6" t="n">
        <v>37084</v>
      </c>
    </row>
    <row r="8" spans="1:5">
      <c r="A8" s="6" t="s">
        <v>12</v>
      </c>
      <c r="B8" s="6" t="n">
        <v>308559.5203332945</v>
      </c>
      <c r="C8" t="s"/>
      <c r="D8" s="6" t="s">
        <v>12</v>
      </c>
      <c r="E8" s="6" t="n">
        <v>158638</v>
      </c>
    </row>
    <row r="9" spans="1:5">
      <c r="A9" s="6" t="s">
        <v>13</v>
      </c>
      <c r="B9" s="6" t="n">
        <v>73446.3000384086</v>
      </c>
      <c r="C9" t="s"/>
      <c r="D9" s="6" t="s">
        <v>13</v>
      </c>
      <c r="E9" s="6" t="n">
        <v>74713</v>
      </c>
    </row>
    <row r="10" spans="1:5">
      <c r="A10" s="6" t="s">
        <v>14</v>
      </c>
      <c r="B10" s="6" t="n">
        <v>671288.9544415874</v>
      </c>
      <c r="C10" t="s"/>
      <c r="D10" s="6" t="s">
        <v>14</v>
      </c>
      <c r="E10" s="6" t="n">
        <v>436297</v>
      </c>
    </row>
    <row r="11" spans="1:5">
      <c r="A11" s="8" t="s">
        <v>15</v>
      </c>
      <c r="B11" s="8" t="n">
        <v>194255.106829207</v>
      </c>
      <c r="C11" t="s"/>
      <c r="D11" s="8" t="s">
        <v>15</v>
      </c>
      <c r="E11" s="8" t="n">
        <v>139820</v>
      </c>
    </row>
    <row customHeight="1" ht="15.75" r="12" spans="1:5">
      <c r="A12" s="7" t="s">
        <v>16</v>
      </c>
      <c r="B12" s="7" t="n">
        <v>5329029.541023229</v>
      </c>
      <c r="C12" t="s"/>
      <c r="D12" s="7" t="s">
        <v>16</v>
      </c>
      <c r="E12" s="7" t="n">
        <v>4440231</v>
      </c>
    </row>
    <row r="13" spans="1:5">
      <c r="A13" t="s"/>
      <c r="B13" t="s"/>
      <c r="C13" t="s"/>
      <c r="D13" t="s"/>
      <c r="E13" t="s"/>
    </row>
    <row r="14" spans="1:5">
      <c r="A14" t="s"/>
      <c r="B14" t="s"/>
      <c r="C14" t="s"/>
      <c r="D14" t="s"/>
      <c r="E14" s="5" t="s"/>
    </row>
    <row customHeight="1" ht="15.75" r="15" spans="1:5">
      <c r="A15" s="1" t="s">
        <v>17</v>
      </c>
      <c r="B15" s="3" t="s"/>
      <c r="C15" t="s"/>
      <c r="D15" s="1" t="s">
        <v>18</v>
      </c>
      <c r="E15" s="3" t="s"/>
    </row>
    <row r="16" spans="1:5">
      <c r="A16" s="2" t="s">
        <v>2</v>
      </c>
      <c r="B16" s="4" t="s">
        <v>16</v>
      </c>
      <c r="C16" t="s"/>
      <c r="D16" s="2" t="s">
        <v>2</v>
      </c>
      <c r="E16" s="4" t="s">
        <v>16</v>
      </c>
    </row>
    <row r="17" spans="1:5">
      <c r="A17" s="6" t="s">
        <v>8</v>
      </c>
      <c r="B17" s="9" t="n">
        <v>0.3448825815623613</v>
      </c>
      <c r="C17" t="s"/>
      <c r="D17" s="6" t="s">
        <v>8</v>
      </c>
      <c r="E17" s="9" t="n">
        <v>0.3432375477762306</v>
      </c>
    </row>
    <row r="18" spans="1:5">
      <c r="A18" s="6" t="s">
        <v>9</v>
      </c>
      <c r="B18" s="9" t="n">
        <v>0.2135609557709898</v>
      </c>
      <c r="C18" t="s"/>
      <c r="D18" s="6" t="s">
        <v>9</v>
      </c>
      <c r="E18" s="9" t="n">
        <v>0.2496883608082552</v>
      </c>
    </row>
    <row r="19" spans="1:5">
      <c r="A19" s="6" t="s">
        <v>10</v>
      </c>
      <c r="B19" s="9" t="n">
        <v>0.1981325872083987</v>
      </c>
      <c r="C19" t="s"/>
      <c r="D19" s="6" t="s">
        <v>10</v>
      </c>
      <c r="E19" s="9" t="n">
        <v>0.2164191457606597</v>
      </c>
    </row>
    <row r="20" spans="1:5">
      <c r="A20" s="6" t="s">
        <v>11</v>
      </c>
      <c r="B20" s="9" t="n">
        <v>0.009319359422305143</v>
      </c>
      <c r="C20" t="s"/>
      <c r="D20" s="6" t="s">
        <v>11</v>
      </c>
      <c r="E20" s="9" t="n">
        <v>0.008351817732005384</v>
      </c>
    </row>
    <row r="21" spans="1:5">
      <c r="A21" s="6" t="s">
        <v>12</v>
      </c>
      <c r="B21" s="9" t="n">
        <v>0.05790163442667796</v>
      </c>
      <c r="C21" t="s"/>
      <c r="D21" s="6" t="s">
        <v>12</v>
      </c>
      <c r="E21" s="9" t="n">
        <v>0.03572742048780796</v>
      </c>
    </row>
    <row r="22" spans="1:5">
      <c r="A22" s="6" t="s">
        <v>13</v>
      </c>
      <c r="B22" s="9" t="n">
        <v>0.01378230303904567</v>
      </c>
      <c r="C22" t="s"/>
      <c r="D22" s="6" t="s">
        <v>13</v>
      </c>
      <c r="E22" s="9" t="n">
        <v>0.01682637682589036</v>
      </c>
    </row>
    <row r="23" spans="1:5">
      <c r="A23" s="6" t="s">
        <v>14</v>
      </c>
      <c r="B23" s="9" t="n">
        <v>0.1259683304950666</v>
      </c>
      <c r="C23" t="s"/>
      <c r="D23" s="6" t="s">
        <v>14</v>
      </c>
      <c r="E23" s="9" t="n">
        <v>0.0982599779155634</v>
      </c>
    </row>
    <row r="24" spans="1:5">
      <c r="A24" s="8" t="s">
        <v>15</v>
      </c>
      <c r="B24" s="10" t="n">
        <v>0.03645224807515478</v>
      </c>
      <c r="C24" t="s"/>
      <c r="D24" s="8" t="s">
        <v>15</v>
      </c>
      <c r="E24" s="10" t="n">
        <v>0.03148935269358734</v>
      </c>
    </row>
    <row customHeight="1" ht="15.75" r="25" spans="1:5">
      <c r="A25" s="7" t="s">
        <v>16</v>
      </c>
      <c r="B25" s="11" t="n">
        <v>1</v>
      </c>
      <c r="C25" t="s"/>
      <c r="D25" s="7" t="s">
        <v>16</v>
      </c>
      <c r="E25" s="11" t="n">
        <v>1</v>
      </c>
    </row>
    <row r="26" spans="1:5">
      <c r="A26" t="s"/>
      <c r="B26" t="s"/>
      <c r="C26" t="s"/>
      <c r="D26" t="s"/>
      <c r="E26" t="s"/>
    </row>
    <row r="27" spans="1:5">
      <c r="A27" t="s"/>
      <c r="B27" t="s"/>
      <c r="C27" t="s"/>
      <c r="D27" t="s"/>
      <c r="E27" t="s"/>
    </row>
    <row customHeight="1" ht="15.75" r="28" spans="1:5">
      <c r="A28" t="s"/>
      <c r="B28" t="s"/>
      <c r="C28" t="s"/>
      <c r="D28" s="1" t="s">
        <v>19</v>
      </c>
      <c r="E28" s="3" t="s"/>
    </row>
    <row r="29" spans="1:5">
      <c r="A29" t="s"/>
      <c r="B29" t="s"/>
      <c r="C29" t="s"/>
      <c r="D29" s="2" t="s">
        <v>2</v>
      </c>
      <c r="E29" s="4" t="s">
        <v>16</v>
      </c>
    </row>
    <row r="30" spans="1:5">
      <c r="A30" t="s"/>
      <c r="B30" t="s"/>
      <c r="C30" t="s"/>
      <c r="D30" s="6" t="s">
        <v>8</v>
      </c>
      <c r="E30" s="9" t="n">
        <v>-0.001645033786130734</v>
      </c>
    </row>
    <row r="31" spans="1:5">
      <c r="A31" t="s"/>
      <c r="B31" t="s"/>
      <c r="C31" t="s"/>
      <c r="D31" s="6" t="s">
        <v>9</v>
      </c>
      <c r="E31" s="9" t="n">
        <v>0.03612740503726544</v>
      </c>
    </row>
    <row r="32" spans="1:5">
      <c r="A32" t="s"/>
      <c r="B32" t="s"/>
      <c r="C32" t="s"/>
      <c r="D32" s="6" t="s">
        <v>10</v>
      </c>
      <c r="E32" s="9" t="n">
        <v>0.01828655855226102</v>
      </c>
    </row>
    <row r="33" spans="1:5">
      <c r="A33" t="s"/>
      <c r="B33" t="s"/>
      <c r="C33" t="s"/>
      <c r="D33" s="6" t="s">
        <v>11</v>
      </c>
      <c r="E33" s="9" t="n">
        <v>-0.0009675416902997589</v>
      </c>
    </row>
    <row r="34" spans="1:5">
      <c r="A34" t="s"/>
      <c r="B34" t="s"/>
      <c r="C34" t="s"/>
      <c r="D34" s="6" t="s">
        <v>12</v>
      </c>
      <c r="E34" s="9" t="n">
        <v>-0.02217421393887001</v>
      </c>
    </row>
    <row r="35" spans="1:5">
      <c r="A35" t="s"/>
      <c r="B35" t="s"/>
      <c r="C35" t="s"/>
      <c r="D35" s="6" t="s">
        <v>13</v>
      </c>
      <c r="E35" s="9" t="n">
        <v>0.003044073786844693</v>
      </c>
    </row>
    <row r="36" spans="1:5">
      <c r="A36" t="s"/>
      <c r="B36" t="s"/>
      <c r="C36" t="s"/>
      <c r="D36" s="6" t="s">
        <v>14</v>
      </c>
      <c r="E36" s="9" t="n">
        <v>-0.02770835257950324</v>
      </c>
    </row>
    <row r="37" spans="1:5">
      <c r="A37" t="s"/>
      <c r="B37" t="s"/>
      <c r="C37" t="s"/>
      <c r="D37" s="8" t="s">
        <v>15</v>
      </c>
      <c r="E37" s="10" t="n">
        <v>-0.004962895381567446</v>
      </c>
    </row>
    <row customHeight="1" ht="15.75" r="38" spans="1:5">
      <c r="A38" t="s"/>
      <c r="B38" t="s"/>
      <c r="C38" t="s"/>
      <c r="D38" s="7" t="s">
        <v>16</v>
      </c>
      <c r="E38" s="11" t="n">
        <v>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2017-07-06T17:34:38Z</dcterms:modified>
  <cp:lastModifiedBy>Nagendra Dhakar</cp:lastModifiedBy>
</cp:coreProperties>
</file>