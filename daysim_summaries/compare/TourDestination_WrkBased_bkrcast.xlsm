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'TLFD'!$U$15:$U$15</definedName>
    <definedName name="out1">'TLFD'!$B$11:$D$101</definedName>
    <definedName name="out2">'TLFD'!$I$11:$K$101</definedName>
    <definedName name="out5">'TLFD'!$T$11:$T$14</definedName>
    <definedName name="out6">'TLFD'!$V$11:$V$14</definedName>
    <definedName name="TLFD">'TLFD'!$H$11:$K$102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0.0000000000000"/>
    <numFmt numFmtId="165" formatCode="0.0%"/>
    <numFmt numFmtId="166" formatCode="0.00000000000"/>
    <numFmt numFmtId="167" formatCode="0.000000000"/>
    <numFmt numFmtId="168" formatCode="_(* #,##0_);_(* \(#,##0\);_(* &quot;-&quot;??_);_(@_)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5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3" fillId="0" borderId="0"/>
    <xf numFmtId="0" fontId="3" fillId="0" borderId="0"/>
    <xf numFmtId="0" fontId="4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73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0" fontId="0" fillId="0" borderId="3" pivotButton="0" quotePrefix="0" xfId="0"/>
    <xf numFmtId="2" fontId="0" fillId="0" borderId="0" pivotButton="0" quotePrefix="0" xfId="0"/>
    <xf numFmtId="2" fontId="0" fillId="0" borderId="1" pivotButton="0" quotePrefix="0" xfId="0"/>
    <xf numFmtId="0" fontId="1" fillId="0" borderId="0" pivotButton="0" quotePrefix="0" xfId="0"/>
    <xf numFmtId="2" fontId="0" fillId="0" borderId="3" pivotButton="0" quotePrefix="0" xfId="0"/>
    <xf numFmtId="0" fontId="0" fillId="0" borderId="3" applyAlignment="1" pivotButton="0" quotePrefix="0" xfId="0">
      <alignment horizontal="center" vertical="top"/>
    </xf>
    <xf numFmtId="10" fontId="0" fillId="0" borderId="0" pivotButton="0" quotePrefix="0" xfId="0"/>
    <xf numFmtId="0" fontId="2" fillId="0" borderId="0" pivotButton="0" quotePrefix="0" xfId="1"/>
    <xf numFmtId="1" fontId="0" fillId="0" borderId="1" pivotButton="0" quotePrefix="0" xfId="0"/>
    <xf numFmtId="1" fontId="0" fillId="0" borderId="0" applyAlignment="1" pivotButton="0" quotePrefix="0" xfId="0">
      <alignment horizontal="right"/>
    </xf>
    <xf numFmtId="0" fontId="4" fillId="0" borderId="0" pivotButton="0" quotePrefix="0" xfId="0"/>
    <xf numFmtId="164" fontId="0" fillId="0" borderId="0" pivotButton="0" quotePrefix="0" xfId="0"/>
    <xf numFmtId="0" fontId="1" fillId="0" borderId="0" applyAlignment="1" pivotButton="0" quotePrefix="0" xfId="0">
      <alignment horizontal="right"/>
    </xf>
    <xf numFmtId="0" fontId="0" fillId="0" borderId="2" applyAlignment="1" pivotButton="0" quotePrefix="0" xfId="0">
      <alignment horizontal="center" vertical="top"/>
    </xf>
    <xf numFmtId="1" fontId="0" fillId="0" borderId="2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 vertical="top"/>
    </xf>
    <xf numFmtId="0" fontId="0" fillId="0" borderId="0" applyAlignment="1" pivotButton="0" quotePrefix="0" xfId="0">
      <alignment horizontal="left" vertical="top"/>
    </xf>
    <xf numFmtId="3" fontId="0" fillId="0" borderId="0" applyAlignment="1" pivotButton="0" quotePrefix="0" xfId="0">
      <alignment horizontal="right" vertical="top"/>
    </xf>
    <xf numFmtId="3" fontId="0" fillId="0" borderId="0" pivotButton="0" quotePrefix="0" xfId="0"/>
    <xf numFmtId="3" fontId="0" fillId="0" borderId="0" applyAlignment="1" pivotButton="0" quotePrefix="0" xfId="0">
      <alignment horizontal="right"/>
    </xf>
    <xf numFmtId="3" fontId="0" fillId="0" borderId="3" pivotButton="0" quotePrefix="0" xfId="0"/>
    <xf numFmtId="3" fontId="0" fillId="0" borderId="3" applyAlignment="1" pivotButton="0" quotePrefix="0" xfId="0">
      <alignment horizontal="right"/>
    </xf>
    <xf numFmtId="1" fontId="0" fillId="0" borderId="0" pivotButton="0" quotePrefix="0" xfId="0"/>
    <xf numFmtId="3" fontId="0" fillId="0" borderId="4" pivotButton="0" quotePrefix="0" xfId="0"/>
    <xf numFmtId="3" fontId="0" fillId="0" borderId="4" applyAlignment="1" pivotButton="0" quotePrefix="0" xfId="0">
      <alignment horizontal="right"/>
    </xf>
    <xf numFmtId="3" fontId="4" fillId="0" borderId="0" pivotButton="0" quotePrefix="0" xfId="0"/>
    <xf numFmtId="165" fontId="0" fillId="0" borderId="0" applyAlignment="1" pivotButton="0" quotePrefix="0" xfId="0">
      <alignment horizontal="right" vertical="top"/>
    </xf>
    <xf numFmtId="165" fontId="0" fillId="0" borderId="0" applyAlignment="1" pivotButton="0" quotePrefix="0" xfId="0">
      <alignment horizontal="right"/>
    </xf>
    <xf numFmtId="9" fontId="0" fillId="0" borderId="0" pivotButton="0" quotePrefix="0" xfId="0"/>
    <xf numFmtId="165" fontId="0" fillId="0" borderId="4" applyAlignment="1" pivotButton="0" quotePrefix="0" xfId="0">
      <alignment horizontal="right"/>
    </xf>
    <xf numFmtId="0" fontId="5" fillId="0" borderId="0" pivotButton="0" quotePrefix="0" xfId="0"/>
    <xf numFmtId="0" fontId="6" fillId="0" borderId="0" pivotButton="0" quotePrefix="0" xfId="0"/>
    <xf numFmtId="0" fontId="5" fillId="0" borderId="2" applyAlignment="1" pivotButton="0" quotePrefix="0" xfId="0">
      <alignment horizontal="left"/>
    </xf>
    <xf numFmtId="1" fontId="5" fillId="0" borderId="2" applyAlignment="1" pivotButton="0" quotePrefix="0" xfId="0">
      <alignment horizontal="right"/>
    </xf>
    <xf numFmtId="164" fontId="6" fillId="0" borderId="0" applyAlignment="1" pivotButton="0" quotePrefix="0" xfId="0">
      <alignment horizontal="right"/>
    </xf>
    <xf numFmtId="3" fontId="0" fillId="0" borderId="1" pivotButton="0" quotePrefix="0" xfId="0"/>
    <xf numFmtId="164" fontId="6" fillId="0" borderId="1" applyAlignment="1" pivotButton="0" quotePrefix="0" xfId="0">
      <alignment horizontal="right"/>
    </xf>
    <xf numFmtId="1" fontId="6" fillId="0" borderId="0" applyAlignment="1" pivotButton="0" quotePrefix="0" xfId="0">
      <alignment horizontal="right"/>
    </xf>
    <xf numFmtId="1" fontId="5" fillId="0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7" fontId="0" fillId="0" borderId="0" applyAlignment="1" pivotButton="0" quotePrefix="0" xfId="0">
      <alignment horizontal="right"/>
    </xf>
    <xf numFmtId="164" fontId="5" fillId="0" borderId="0" applyAlignment="1" pivotButton="0" quotePrefix="0" xfId="0">
      <alignment horizontal="right"/>
    </xf>
    <xf numFmtId="164" fontId="5" fillId="0" borderId="2" applyAlignment="1" pivotButton="0" quotePrefix="0" xfId="0">
      <alignment horizontal="right"/>
    </xf>
    <xf numFmtId="11" fontId="0" fillId="0" borderId="0" pivotButton="0" quotePrefix="0" xfId="0"/>
    <xf numFmtId="164" fontId="0" fillId="3" borderId="0" pivotButton="0" quotePrefix="0" xfId="0"/>
    <xf numFmtId="168" fontId="0" fillId="0" borderId="0" pivotButton="0" quotePrefix="0" xfId="6"/>
    <xf numFmtId="168" fontId="0" fillId="0" borderId="1" pivotButton="0" quotePrefix="0" xfId="6"/>
    <xf numFmtId="168" fontId="2" fillId="0" borderId="0" pivotButton="0" quotePrefix="0" xfId="6"/>
    <xf numFmtId="0" fontId="0" fillId="0" borderId="0" pivotButton="0" quotePrefix="0" xfId="0"/>
    <xf numFmtId="10" fontId="0" fillId="0" borderId="0" pivotButton="0" quotePrefix="0" xfId="7"/>
    <xf numFmtId="0" fontId="1" fillId="4" borderId="0" pivotButton="0" quotePrefix="0" xfId="0"/>
    <xf numFmtId="0" fontId="0" fillId="4" borderId="0" pivotButton="0" quotePrefix="0" xfId="0"/>
    <xf numFmtId="0" fontId="0" fillId="4" borderId="0" pivotButton="0" quotePrefix="0" xfId="0"/>
    <xf numFmtId="0" fontId="0" fillId="4" borderId="2" pivotButton="0" quotePrefix="0" xfId="0"/>
    <xf numFmtId="0" fontId="0" fillId="4" borderId="2" applyAlignment="1" pivotButton="0" quotePrefix="0" xfId="0">
      <alignment horizontal="center" vertical="top"/>
    </xf>
    <xf numFmtId="2" fontId="0" fillId="4" borderId="0" pivotButton="0" quotePrefix="0" xfId="0"/>
    <xf numFmtId="0" fontId="0" fillId="4" borderId="3" pivotButton="0" quotePrefix="0" xfId="0"/>
    <xf numFmtId="2" fontId="0" fillId="4" borderId="3" pivotButton="0" quotePrefix="0" xfId="0"/>
    <xf numFmtId="0" fontId="0" fillId="4" borderId="1" pivotButton="0" quotePrefix="0" xfId="0"/>
    <xf numFmtId="2" fontId="0" fillId="4" borderId="4" pivotButton="0" quotePrefix="0" xfId="0"/>
    <xf numFmtId="164" fontId="0" fillId="0" borderId="0" pivotButton="0" quotePrefix="0" xfId="0"/>
    <xf numFmtId="164" fontId="0" fillId="3" borderId="0" pivotButton="0" quotePrefix="0" xfId="0"/>
    <xf numFmtId="165" fontId="0" fillId="0" borderId="0" applyAlignment="1" pivotButton="0" quotePrefix="0" xfId="0">
      <alignment horizontal="right" vertical="top"/>
    </xf>
    <xf numFmtId="165" fontId="0" fillId="0" borderId="0" applyAlignment="1" pivotButton="0" quotePrefix="0" xfId="0">
      <alignment horizontal="right"/>
    </xf>
    <xf numFmtId="165" fontId="0" fillId="0" borderId="4" applyAlignment="1" pivotButton="0" quotePrefix="0" xfId="0">
      <alignment horizontal="right"/>
    </xf>
    <xf numFmtId="164" fontId="6" fillId="0" borderId="0" applyAlignment="1" pivotButton="0" quotePrefix="0" xfId="0">
      <alignment horizontal="right"/>
    </xf>
    <xf numFmtId="164" fontId="6" fillId="0" borderId="1" applyAlignment="1" pivotButton="0" quotePrefix="0" xfId="0">
      <alignment horizontal="right"/>
    </xf>
    <xf numFmtId="164" fontId="5" fillId="0" borderId="0" applyAlignment="1" pivotButton="0" quotePrefix="0" xfId="0">
      <alignment horizontal="right"/>
    </xf>
    <xf numFmtId="164" fontId="5" fillId="0" borderId="2" applyAlignment="1" pivotButton="0" quotePrefix="0" xfId="0">
      <alignment horizontal="right"/>
    </xf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TLFD!$M$11:$M$100</f>
            </numRef>
          </val>
        </ser>
        <ser>
          <idx val="1"/>
          <order val="1"/>
          <tx>
            <strRef>
              <f>TLFD!N10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TLFD!$N$11:$N$100</f>
            </numRef>
          </val>
        </ser>
        <ser>
          <idx val="2"/>
          <order val="2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3"/>
          <order val="3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4"/>
          <order val="4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'TLFD'!$M$11:$M$100</f>
            </numRef>
          </val>
        </ser>
        <ser>
          <idx val="1"/>
          <order val="1"/>
          <tx>
            <strRef>
              <f>'TLFD'!N10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'TLFD'!$N$11:$N$100</f>
            </numRef>
          </val>
        </ser>
        <ser>
          <idx val="2"/>
          <order val="2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3"/>
          <order val="3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4"/>
          <order val="4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18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18</col>
      <colOff>0</colOff>
      <row>17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X102"/>
  <sheetViews>
    <sheetView tabSelected="1" topLeftCell="H1" workbookViewId="0">
      <selection activeCell="S6" sqref="S6"/>
    </sheetView>
  </sheetViews>
  <sheetFormatPr baseColWidth="10" defaultRowHeight="15"/>
  <cols>
    <col collapsed="1" width="13.5703125" customWidth="1" style="52" min="1" max="1"/>
    <col collapsed="1" width="10.5703125" bestFit="1" customWidth="1" style="52" min="2" max="2"/>
    <col collapsed="1" width="9.28515625" bestFit="1" customWidth="1" style="52" min="3" max="4"/>
    <col collapsed="1" width="10.5703125" bestFit="1" customWidth="1" style="52" min="5" max="5"/>
    <col collapsed="1" width="10.5703125" bestFit="1" customWidth="1" style="52" min="9" max="9"/>
    <col collapsed="1" width="9.5703125" bestFit="1" customWidth="1" style="52" min="10" max="11"/>
    <col collapsed="1" width="10.5703125" bestFit="1" customWidth="1" style="52" min="12" max="12"/>
    <col width="12.140625" bestFit="1" customWidth="1" style="52" min="13" max="13"/>
    <col width="15.7109375" bestFit="1" customWidth="1" style="52" min="14" max="14"/>
    <col width="17.42578125" bestFit="1" customWidth="1" style="52" min="15" max="15"/>
    <col width="10.28515625" bestFit="1" customWidth="1" style="52" min="16" max="16"/>
    <col width="14.85546875" customWidth="1" style="52" min="19" max="19"/>
    <col width="10.28515625" bestFit="1" customWidth="1" style="52" min="21" max="21"/>
    <col width="12.140625" bestFit="1" customWidth="1" style="52" min="22" max="22"/>
    <col width="15.7109375" bestFit="1" customWidth="1" style="52" min="23" max="23"/>
    <col width="17.42578125" bestFit="1" customWidth="1" style="52" min="24" max="24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52">
      <c r="A9" s="3" t="inlineStr">
        <is>
          <t>Table X. Observed Trip Lengths: Survey</t>
        </is>
      </c>
      <c r="B9" s="1" t="n"/>
      <c r="C9" s="1" t="n"/>
      <c r="D9" s="1" t="n"/>
      <c r="E9" s="1" t="n"/>
      <c r="F9" s="1" t="n"/>
      <c r="H9" s="3" t="inlineStr">
        <is>
          <t>Table X. Estimated Trip Lengths</t>
        </is>
      </c>
      <c r="I9" s="1" t="n"/>
      <c r="J9" s="1" t="n"/>
      <c r="K9" s="1" t="n"/>
      <c r="L9" s="1" t="n"/>
      <c r="M9" s="1" t="n"/>
      <c r="S9" s="54" t="inlineStr">
        <is>
          <t>Average Half Tour Length (miles)</t>
        </is>
      </c>
      <c r="T9" s="56" t="n"/>
      <c r="U9" s="56" t="n"/>
      <c r="V9" s="56" t="n"/>
      <c r="W9" s="56" t="n"/>
      <c r="X9" s="56" t="n"/>
    </row>
    <row r="10">
      <c r="A10" s="2" t="inlineStr">
        <is>
          <t>Distance (mi)</t>
        </is>
      </c>
      <c r="B10" s="17" t="inlineStr">
        <is>
          <t>FT</t>
        </is>
      </c>
      <c r="C10" s="17" t="inlineStr">
        <is>
          <t>PT</t>
        </is>
      </c>
      <c r="D10" s="17" t="inlineStr">
        <is>
          <t>NotFTPT</t>
        </is>
      </c>
      <c r="E10" s="17" t="inlineStr">
        <is>
          <t>Total</t>
        </is>
      </c>
      <c r="F10" s="9" t="inlineStr">
        <is>
          <t>Survey</t>
        </is>
      </c>
      <c r="H10" s="2" t="inlineStr">
        <is>
          <t>Distance (mi)</t>
        </is>
      </c>
      <c r="I10" s="17" t="inlineStr">
        <is>
          <t>FT</t>
        </is>
      </c>
      <c r="J10" s="17" t="inlineStr">
        <is>
          <t>PT</t>
        </is>
      </c>
      <c r="K10" s="17" t="inlineStr">
        <is>
          <t>NotFTPT</t>
        </is>
      </c>
      <c r="L10" s="17" t="inlineStr">
        <is>
          <t>Total</t>
        </is>
      </c>
      <c r="M10" s="17" t="inlineStr">
        <is>
          <t>BKRCast (all)</t>
        </is>
      </c>
      <c r="N10" s="17" t="inlineStr">
        <is>
          <t>BKRCast (In BKR)</t>
        </is>
      </c>
      <c r="O10" s="17" t="inlineStr">
        <is>
          <t>BKRCast (Out BKR)</t>
        </is>
      </c>
      <c r="P10" s="17" t="inlineStr">
        <is>
          <t>SoundCast</t>
        </is>
      </c>
      <c r="Q10" s="53">
        <f>F10</f>
        <v/>
      </c>
      <c r="S10" s="57" t="n"/>
      <c r="T10" s="58" t="inlineStr">
        <is>
          <t>Survey</t>
        </is>
      </c>
      <c r="U10" s="58" t="inlineStr">
        <is>
          <t>SoundCast</t>
        </is>
      </c>
      <c r="V10" s="58" t="inlineStr">
        <is>
          <t>BKRCast (all)</t>
        </is>
      </c>
      <c r="W10" s="58" t="inlineStr">
        <is>
          <t>BKRCast (In BKR)</t>
        </is>
      </c>
      <c r="X10" s="58" t="inlineStr">
        <is>
          <t>BKRCast (Out BKR)</t>
        </is>
      </c>
    </row>
    <row r="11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>
        <f>bkrcast_all!F11</f>
        <v/>
      </c>
      <c r="H11" s="11" t="n">
        <v>0</v>
      </c>
      <c r="I11" s="51" t="n">
        <v>122917.4322365079</v>
      </c>
      <c r="J11" s="51" t="n">
        <v>13862.24746779052</v>
      </c>
      <c r="K11" s="51" t="n">
        <v>10197.03716207748</v>
      </c>
      <c r="L11" s="49">
        <f>SUM(I11:K11)</f>
        <v/>
      </c>
      <c r="M11" s="10">
        <f>bkrcast_all!M11</f>
        <v/>
      </c>
      <c r="N11" s="10">
        <f>bkrcast_inbkr!M11</f>
        <v/>
      </c>
      <c r="O11" s="10">
        <f>bkrcast_outbkr!M11</f>
        <v/>
      </c>
      <c r="P11" s="10">
        <f>soundcast!M11</f>
        <v/>
      </c>
      <c r="Q11" s="53">
        <f>F11</f>
        <v/>
      </c>
      <c r="S11" s="56" t="inlineStr">
        <is>
          <t>FT</t>
        </is>
      </c>
      <c r="T11" s="59">
        <f>bkrcast_all!Q11</f>
        <v/>
      </c>
      <c r="U11" s="59">
        <f>soundcast!R11</f>
        <v/>
      </c>
      <c r="V11" s="59">
        <f>bkrcast_all!R11</f>
        <v/>
      </c>
      <c r="W11" s="59">
        <f>bkrcast_inbkr!R11</f>
        <v/>
      </c>
      <c r="X11" s="59">
        <f>bkrcast_outbkr!R11</f>
        <v/>
      </c>
    </row>
    <row r="12">
      <c r="A12" t="n">
        <v>1</v>
      </c>
      <c r="B12" s="49" t="n">
        <v>30451.9314664559</v>
      </c>
      <c r="C12" s="49" t="n">
        <v>1865.2582294065</v>
      </c>
      <c r="D12" s="49" t="n">
        <v>1902.176330396</v>
      </c>
      <c r="E12" s="49" t="n">
        <v>34219.3660262584</v>
      </c>
      <c r="F12" s="10">
        <f>bkrcast_all!F12</f>
        <v/>
      </c>
      <c r="H12" s="11" t="n">
        <v>1</v>
      </c>
      <c r="I12" s="51" t="n">
        <v>45442.51973145761</v>
      </c>
      <c r="J12" s="51" t="n">
        <v>6616.19792851634</v>
      </c>
      <c r="K12" s="51" t="n">
        <v>4244.279224924752</v>
      </c>
      <c r="L12" s="49">
        <f>SUM(I12:K12)</f>
        <v/>
      </c>
      <c r="M12" s="10">
        <f>bkrcast_all!M12</f>
        <v/>
      </c>
      <c r="N12" s="10">
        <f>bkrcast_inbkr!M12</f>
        <v/>
      </c>
      <c r="O12" s="10">
        <f>bkrcast_outbkr!M12</f>
        <v/>
      </c>
      <c r="P12" s="10">
        <f>soundcast!M12</f>
        <v/>
      </c>
      <c r="Q12" s="53">
        <f>F12</f>
        <v/>
      </c>
      <c r="S12" s="56" t="inlineStr">
        <is>
          <t>PT</t>
        </is>
      </c>
      <c r="T12" s="59">
        <f>bkrcast_all!Q12</f>
        <v/>
      </c>
      <c r="U12" s="59">
        <f>soundcast!R12</f>
        <v/>
      </c>
      <c r="V12" s="59">
        <f>bkrcast_all!R12</f>
        <v/>
      </c>
      <c r="W12" s="59">
        <f>bkrcast_inbkr!R12</f>
        <v/>
      </c>
      <c r="X12" s="59">
        <f>bkrcast_outbkr!R12</f>
        <v/>
      </c>
    </row>
    <row r="13">
      <c r="A13" t="n">
        <v>2</v>
      </c>
      <c r="B13" s="49" t="n">
        <v>21393.3341564304</v>
      </c>
      <c r="C13" s="49" t="n">
        <v>1373.2958171159</v>
      </c>
      <c r="D13" s="49" t="n">
        <v>2388.6710814865</v>
      </c>
      <c r="E13" s="49" t="n">
        <v>25155.3010550328</v>
      </c>
      <c r="F13" s="10">
        <f>bkrcast_all!F13</f>
        <v/>
      </c>
      <c r="H13" s="11" t="n">
        <v>2</v>
      </c>
      <c r="I13" s="51" t="n">
        <v>27977.68508542493</v>
      </c>
      <c r="J13" s="51" t="n">
        <v>3616.589198311514</v>
      </c>
      <c r="K13" s="51" t="n">
        <v>2487.139054882312</v>
      </c>
      <c r="L13" s="49">
        <f>SUM(I13:K13)</f>
        <v/>
      </c>
      <c r="M13" s="10">
        <f>bkrcast_all!M13</f>
        <v/>
      </c>
      <c r="N13" s="10">
        <f>bkrcast_inbkr!M13</f>
        <v/>
      </c>
      <c r="O13" s="10">
        <f>bkrcast_outbkr!M13</f>
        <v/>
      </c>
      <c r="P13" s="10">
        <f>soundcast!M13</f>
        <v/>
      </c>
      <c r="Q13" s="53">
        <f>F13</f>
        <v/>
      </c>
      <c r="S13" s="60" t="inlineStr">
        <is>
          <t>Other Workers</t>
        </is>
      </c>
      <c r="T13" s="61">
        <f>bkrcast_all!Q13</f>
        <v/>
      </c>
      <c r="U13" s="61">
        <f>soundcast!R13</f>
        <v/>
      </c>
      <c r="V13" s="61">
        <f>bkrcast_all!R13</f>
        <v/>
      </c>
      <c r="W13" s="61">
        <f>bkrcast_inbkr!R13</f>
        <v/>
      </c>
      <c r="X13" s="61">
        <f>bkrcast_outbkr!R13</f>
        <v/>
      </c>
    </row>
    <row r="14" ht="15.75" customHeight="1" s="52">
      <c r="A14" t="n">
        <v>3</v>
      </c>
      <c r="B14" s="49" t="n">
        <v>13451.0780158682</v>
      </c>
      <c r="C14" s="49" t="n">
        <v>0</v>
      </c>
      <c r="D14" s="49" t="n">
        <v>89.5322452875</v>
      </c>
      <c r="E14" s="49" t="n">
        <v>13540.6102611557</v>
      </c>
      <c r="F14" s="10">
        <f>bkrcast_all!F14</f>
        <v/>
      </c>
      <c r="H14" s="11" t="n">
        <v>3</v>
      </c>
      <c r="I14" s="51" t="n">
        <v>14036.64270802861</v>
      </c>
      <c r="J14" s="51" t="n">
        <v>2097.726930671354</v>
      </c>
      <c r="K14" s="51" t="n">
        <v>1260.342381974511</v>
      </c>
      <c r="L14" s="49">
        <f>SUM(I14:K14)</f>
        <v/>
      </c>
      <c r="M14" s="10">
        <f>bkrcast_all!M14</f>
        <v/>
      </c>
      <c r="N14" s="10">
        <f>bkrcast_inbkr!M14</f>
        <v/>
      </c>
      <c r="O14" s="10">
        <f>bkrcast_outbkr!M14</f>
        <v/>
      </c>
      <c r="P14" s="10">
        <f>soundcast!M14</f>
        <v/>
      </c>
      <c r="Q14" s="53">
        <f>F14</f>
        <v/>
      </c>
      <c r="S14" s="62" t="inlineStr">
        <is>
          <t>Total</t>
        </is>
      </c>
      <c r="T14" s="63">
        <f>bkrcast_all!Q14</f>
        <v/>
      </c>
      <c r="U14" s="63">
        <f>soundcast!R14</f>
        <v/>
      </c>
      <c r="V14" s="63">
        <f>bkrcast_all!R14</f>
        <v/>
      </c>
      <c r="W14" s="63">
        <f>bkrcast_inbkr!R14</f>
        <v/>
      </c>
      <c r="X14" s="63">
        <f>bkrcast_outbkr!R14</f>
        <v/>
      </c>
    </row>
    <row r="15">
      <c r="A15" t="n">
        <v>4</v>
      </c>
      <c r="B15" s="49" t="n">
        <v>3813.2797766162</v>
      </c>
      <c r="C15" s="49" t="n">
        <v>401.8803290337</v>
      </c>
      <c r="D15" s="49" t="n">
        <v>0</v>
      </c>
      <c r="E15" s="49" t="n">
        <v>4215.1601056499</v>
      </c>
      <c r="F15" s="10">
        <f>bkrcast_all!F15</f>
        <v/>
      </c>
      <c r="H15" s="11" t="n">
        <v>4</v>
      </c>
      <c r="I15" s="51" t="n">
        <v>39352.00738902824</v>
      </c>
      <c r="J15" s="51" t="n">
        <v>5589.381681378084</v>
      </c>
      <c r="K15" s="51" t="n">
        <v>4117.624435166324</v>
      </c>
      <c r="L15" s="49">
        <f>SUM(I15:K15)</f>
        <v/>
      </c>
      <c r="M15" s="10">
        <f>bkrcast_all!M15</f>
        <v/>
      </c>
      <c r="N15" s="10">
        <f>bkrcast_inbkr!M15</f>
        <v/>
      </c>
      <c r="O15" s="10">
        <f>bkrcast_outbkr!M15</f>
        <v/>
      </c>
      <c r="P15" s="10">
        <f>soundcast!M15</f>
        <v/>
      </c>
      <c r="Q15" s="53">
        <f>F15</f>
        <v/>
      </c>
    </row>
    <row r="16">
      <c r="A16" t="n">
        <v>5</v>
      </c>
      <c r="B16" s="49" t="n">
        <v>4439.6421296316</v>
      </c>
      <c r="C16" s="49" t="n">
        <v>277.21009121</v>
      </c>
      <c r="D16" s="49" t="n">
        <v>383.206555392</v>
      </c>
      <c r="E16" s="49" t="n">
        <v>5100.0587762336</v>
      </c>
      <c r="F16" s="10">
        <f>bkrcast_all!F16</f>
        <v/>
      </c>
      <c r="H16" s="11" t="n">
        <v>5</v>
      </c>
      <c r="I16" s="51" t="n">
        <v>28995.11909013536</v>
      </c>
      <c r="J16" s="51" t="n">
        <v>3701.187805565453</v>
      </c>
      <c r="K16" s="51" t="n">
        <v>2507.802602850504</v>
      </c>
      <c r="L16" s="49">
        <f>SUM(I16:K16)</f>
        <v/>
      </c>
      <c r="M16" s="10">
        <f>bkrcast_all!M16</f>
        <v/>
      </c>
      <c r="N16" s="10">
        <f>bkrcast_inbkr!M16</f>
        <v/>
      </c>
      <c r="O16" s="10">
        <f>bkrcast_outbkr!M16</f>
        <v/>
      </c>
      <c r="P16" s="10">
        <f>soundcast!M16</f>
        <v/>
      </c>
      <c r="Q16" s="53">
        <f>F16</f>
        <v/>
      </c>
    </row>
    <row r="17">
      <c r="A17" t="n">
        <v>6</v>
      </c>
      <c r="B17" s="49" t="n">
        <v>3476.4867592237</v>
      </c>
      <c r="C17" s="49" t="n">
        <v>0</v>
      </c>
      <c r="D17" s="49" t="n">
        <v>0</v>
      </c>
      <c r="E17" s="49" t="n">
        <v>3476.4867592237</v>
      </c>
      <c r="F17" s="10">
        <f>bkrcast_all!F17</f>
        <v/>
      </c>
      <c r="H17" s="11" t="n">
        <v>6</v>
      </c>
      <c r="I17" s="51" t="n">
        <v>21016.85062101102</v>
      </c>
      <c r="J17" s="51" t="n">
        <v>3076.377291266331</v>
      </c>
      <c r="K17" s="51" t="n">
        <v>1899.045885506502</v>
      </c>
      <c r="L17" s="49">
        <f>SUM(I17:K17)</f>
        <v/>
      </c>
      <c r="M17" s="10">
        <f>bkrcast_all!M17</f>
        <v/>
      </c>
      <c r="N17" s="10">
        <f>bkrcast_inbkr!M17</f>
        <v/>
      </c>
      <c r="O17" s="10">
        <f>bkrcast_outbkr!M17</f>
        <v/>
      </c>
      <c r="P17" s="10">
        <f>soundcast!M17</f>
        <v/>
      </c>
      <c r="Q17" s="53">
        <f>F17</f>
        <v/>
      </c>
    </row>
    <row r="18">
      <c r="A18" t="n">
        <v>7</v>
      </c>
      <c r="B18" s="49" t="n">
        <v>171.888456281</v>
      </c>
      <c r="C18" s="49" t="n">
        <v>0</v>
      </c>
      <c r="D18" s="49" t="n">
        <v>0</v>
      </c>
      <c r="E18" s="49" t="n">
        <v>171.888456281</v>
      </c>
      <c r="F18" s="10">
        <f>bkrcast_all!F18</f>
        <v/>
      </c>
      <c r="H18" s="11" t="n">
        <v>7</v>
      </c>
      <c r="I18" s="51" t="n">
        <v>11925.76863980828</v>
      </c>
      <c r="J18" s="51" t="n">
        <v>1388.203236062106</v>
      </c>
      <c r="K18" s="51" t="n">
        <v>1043.9731593966</v>
      </c>
      <c r="L18" s="49">
        <f>SUM(I18:K18)</f>
        <v/>
      </c>
      <c r="M18" s="10">
        <f>bkrcast_all!M18</f>
        <v/>
      </c>
      <c r="N18" s="10">
        <f>bkrcast_inbkr!M18</f>
        <v/>
      </c>
      <c r="O18" s="10">
        <f>bkrcast_outbkr!M18</f>
        <v/>
      </c>
      <c r="P18" s="10">
        <f>soundcast!M18</f>
        <v/>
      </c>
      <c r="Q18" s="53">
        <f>F18</f>
        <v/>
      </c>
    </row>
    <row r="19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>
        <f>bkrcast_all!F19</f>
        <v/>
      </c>
      <c r="H19" s="11" t="n">
        <v>8</v>
      </c>
      <c r="I19" s="51" t="n">
        <v>18337.50086983619</v>
      </c>
      <c r="J19" s="51" t="n">
        <v>2133.455293205396</v>
      </c>
      <c r="K19" s="51" t="n">
        <v>1249.562452144784</v>
      </c>
      <c r="L19" s="49">
        <f>SUM(I19:K19)</f>
        <v/>
      </c>
      <c r="M19" s="10">
        <f>bkrcast_all!M19</f>
        <v/>
      </c>
      <c r="N19" s="10">
        <f>bkrcast_inbkr!M19</f>
        <v/>
      </c>
      <c r="O19" s="10">
        <f>bkrcast_outbkr!M19</f>
        <v/>
      </c>
      <c r="P19" s="10">
        <f>soundcast!M19</f>
        <v/>
      </c>
      <c r="Q19" s="53">
        <f>F19</f>
        <v/>
      </c>
    </row>
    <row r="20">
      <c r="A20" t="n">
        <v>9</v>
      </c>
      <c r="B20" s="49" t="n">
        <v>626.812224563</v>
      </c>
      <c r="C20" s="49" t="n">
        <v>0</v>
      </c>
      <c r="D20" s="49" t="n">
        <v>117.557623914</v>
      </c>
      <c r="E20" s="49" t="n">
        <v>744.369848477</v>
      </c>
      <c r="F20" s="10">
        <f>bkrcast_all!F20</f>
        <v/>
      </c>
      <c r="H20" s="11" t="n">
        <v>9</v>
      </c>
      <c r="I20" s="51" t="n">
        <v>6864.611726675704</v>
      </c>
      <c r="J20" s="51" t="n">
        <v>783.3424961072176</v>
      </c>
      <c r="K20" s="51" t="n">
        <v>649.7694431398492</v>
      </c>
      <c r="L20" s="49">
        <f>SUM(I20:K20)</f>
        <v/>
      </c>
      <c r="M20" s="10">
        <f>bkrcast_all!M20</f>
        <v/>
      </c>
      <c r="N20" s="10">
        <f>bkrcast_inbkr!M20</f>
        <v/>
      </c>
      <c r="O20" s="10">
        <f>bkrcast_outbkr!M20</f>
        <v/>
      </c>
      <c r="P20" s="10">
        <f>soundcast!M20</f>
        <v/>
      </c>
      <c r="Q20" s="53">
        <f>F20</f>
        <v/>
      </c>
    </row>
    <row r="21">
      <c r="A21" t="n">
        <v>10</v>
      </c>
      <c r="B21" s="49" t="n">
        <v>909.571422328</v>
      </c>
      <c r="C21" s="49" t="n">
        <v>0</v>
      </c>
      <c r="D21" s="49" t="n">
        <v>0</v>
      </c>
      <c r="E21" s="49" t="n">
        <v>909.571422328</v>
      </c>
      <c r="F21" s="10">
        <f>bkrcast_all!F21</f>
        <v/>
      </c>
      <c r="H21" s="11" t="n">
        <v>10</v>
      </c>
      <c r="I21" s="51" t="n">
        <v>5704.201008609707</v>
      </c>
      <c r="J21" s="51" t="n">
        <v>685.7712943922511</v>
      </c>
      <c r="K21" s="51" t="n">
        <v>366.4421876984188</v>
      </c>
      <c r="L21" s="49">
        <f>SUM(I21:K21)</f>
        <v/>
      </c>
      <c r="M21" s="10">
        <f>bkrcast_all!M21</f>
        <v/>
      </c>
      <c r="N21" s="10">
        <f>bkrcast_inbkr!M21</f>
        <v/>
      </c>
      <c r="O21" s="10">
        <f>bkrcast_outbkr!M21</f>
        <v/>
      </c>
      <c r="P21" s="10">
        <f>soundcast!M21</f>
        <v/>
      </c>
      <c r="Q21" s="53">
        <f>F21</f>
        <v/>
      </c>
    </row>
    <row r="22">
      <c r="A22" t="n">
        <v>11</v>
      </c>
      <c r="B22" s="49" t="n">
        <v>2079.44308799</v>
      </c>
      <c r="C22" s="49" t="n">
        <v>153.293833701</v>
      </c>
      <c r="D22" s="49" t="n">
        <v>0</v>
      </c>
      <c r="E22" s="49" t="n">
        <v>2232.736921691</v>
      </c>
      <c r="F22" s="10">
        <f>bkrcast_all!F22</f>
        <v/>
      </c>
      <c r="H22" s="11" t="n">
        <v>11</v>
      </c>
      <c r="I22" s="51" t="n">
        <v>6304.833575157754</v>
      </c>
      <c r="J22" s="51" t="n">
        <v>507.6249820919562</v>
      </c>
      <c r="K22" s="51" t="n">
        <v>331.5933991434205</v>
      </c>
      <c r="L22" s="49">
        <f>SUM(I22:K22)</f>
        <v/>
      </c>
      <c r="M22" s="10">
        <f>bkrcast_all!M22</f>
        <v/>
      </c>
      <c r="N22" s="10">
        <f>bkrcast_inbkr!M22</f>
        <v/>
      </c>
      <c r="O22" s="10">
        <f>bkrcast_outbkr!M22</f>
        <v/>
      </c>
      <c r="P22" s="10">
        <f>soundcast!M22</f>
        <v/>
      </c>
      <c r="Q22" s="53">
        <f>F22</f>
        <v/>
      </c>
    </row>
    <row r="23">
      <c r="A23" t="n">
        <v>12</v>
      </c>
      <c r="B23" s="49" t="n">
        <v>358.649389471</v>
      </c>
      <c r="C23" s="49" t="n">
        <v>56.1388760904</v>
      </c>
      <c r="D23" s="49" t="n">
        <v>0</v>
      </c>
      <c r="E23" s="49" t="n">
        <v>414.7882655614</v>
      </c>
      <c r="F23" s="10">
        <f>bkrcast_all!F23</f>
        <v/>
      </c>
      <c r="H23" s="11" t="n">
        <v>12</v>
      </c>
      <c r="I23" s="51" t="n">
        <v>4942.966887875014</v>
      </c>
      <c r="J23" s="51" t="n">
        <v>488.4774258199401</v>
      </c>
      <c r="K23" s="51" t="n">
        <v>361.8454476382317</v>
      </c>
      <c r="L23" s="49">
        <f>SUM(I23:K23)</f>
        <v/>
      </c>
      <c r="M23" s="10">
        <f>bkrcast_all!M23</f>
        <v/>
      </c>
      <c r="N23" s="10">
        <f>bkrcast_inbkr!M23</f>
        <v/>
      </c>
      <c r="O23" s="10">
        <f>bkrcast_outbkr!M23</f>
        <v/>
      </c>
      <c r="P23" s="10">
        <f>soundcast!M23</f>
        <v/>
      </c>
      <c r="Q23" s="53">
        <f>F23</f>
        <v/>
      </c>
    </row>
    <row r="24">
      <c r="A24" t="n">
        <v>13</v>
      </c>
      <c r="B24" s="49" t="n">
        <v>47.4452354385</v>
      </c>
      <c r="C24" s="49" t="n">
        <v>0</v>
      </c>
      <c r="D24" s="49" t="n">
        <v>0</v>
      </c>
      <c r="E24" s="49" t="n">
        <v>47.4452354385</v>
      </c>
      <c r="F24" s="10">
        <f>bkrcast_all!F24</f>
        <v/>
      </c>
      <c r="H24" s="11" t="n">
        <v>13</v>
      </c>
      <c r="I24" s="51" t="n">
        <v>4100.143595064397</v>
      </c>
      <c r="J24" s="51" t="n">
        <v>479.9174948011969</v>
      </c>
      <c r="K24" s="51" t="n">
        <v>314.0670706269302</v>
      </c>
      <c r="L24" s="49">
        <f>SUM(I24:K24)</f>
        <v/>
      </c>
      <c r="M24" s="10">
        <f>bkrcast_all!M24</f>
        <v/>
      </c>
      <c r="N24" s="10">
        <f>bkrcast_inbkr!M24</f>
        <v/>
      </c>
      <c r="O24" s="10">
        <f>bkrcast_outbkr!M24</f>
        <v/>
      </c>
      <c r="P24" s="10">
        <f>soundcast!M24</f>
        <v/>
      </c>
      <c r="Q24" s="53">
        <f>F24</f>
        <v/>
      </c>
    </row>
    <row r="25">
      <c r="A25" t="n">
        <v>14</v>
      </c>
      <c r="B25" s="49" t="n">
        <v>1603.593051197</v>
      </c>
      <c r="C25" s="49" t="n">
        <v>0</v>
      </c>
      <c r="D25" s="49" t="n">
        <v>0</v>
      </c>
      <c r="E25" s="49" t="n">
        <v>1603.593051197</v>
      </c>
      <c r="F25" s="10">
        <f>bkrcast_all!F25</f>
        <v/>
      </c>
      <c r="H25" s="11" t="n">
        <v>14</v>
      </c>
      <c r="I25" s="51" t="n">
        <v>4842.01349488037</v>
      </c>
      <c r="J25" s="51" t="n">
        <v>446.0895559936735</v>
      </c>
      <c r="K25" s="51" t="n">
        <v>321.7729660900467</v>
      </c>
      <c r="L25" s="49">
        <f>SUM(I25:K25)</f>
        <v/>
      </c>
      <c r="M25" s="10">
        <f>bkrcast_all!M25</f>
        <v/>
      </c>
      <c r="N25" s="10">
        <f>bkrcast_inbkr!M25</f>
        <v/>
      </c>
      <c r="O25" s="10">
        <f>bkrcast_outbkr!M25</f>
        <v/>
      </c>
      <c r="P25" s="10">
        <f>soundcast!M25</f>
        <v/>
      </c>
      <c r="Q25" s="53">
        <f>F25</f>
        <v/>
      </c>
    </row>
    <row r="26">
      <c r="A26" t="n">
        <v>15</v>
      </c>
      <c r="B26" s="49" t="n">
        <v>62.2568391455</v>
      </c>
      <c r="C26" s="49" t="n">
        <v>0</v>
      </c>
      <c r="D26" s="49" t="n">
        <v>0</v>
      </c>
      <c r="E26" s="49" t="n">
        <v>62.2568391455</v>
      </c>
      <c r="F26" s="10">
        <f>bkrcast_all!F26</f>
        <v/>
      </c>
      <c r="H26" s="11" t="n">
        <v>15</v>
      </c>
      <c r="I26" s="51" t="n">
        <v>4705.297170223554</v>
      </c>
      <c r="J26" s="51" t="n">
        <v>469.7334630704724</v>
      </c>
      <c r="K26" s="51" t="n">
        <v>289.4788113751118</v>
      </c>
      <c r="L26" s="49">
        <f>SUM(I26:K26)</f>
        <v/>
      </c>
      <c r="M26" s="10">
        <f>bkrcast_all!M26</f>
        <v/>
      </c>
      <c r="N26" s="10">
        <f>bkrcast_inbkr!M26</f>
        <v/>
      </c>
      <c r="O26" s="10">
        <f>bkrcast_outbkr!M26</f>
        <v/>
      </c>
      <c r="P26" s="10">
        <f>soundcast!M26</f>
        <v/>
      </c>
      <c r="Q26" s="53">
        <f>F26</f>
        <v/>
      </c>
    </row>
    <row r="27">
      <c r="A27" t="n">
        <v>16</v>
      </c>
      <c r="B27" s="49" t="n">
        <v>641.8463085824</v>
      </c>
      <c r="C27" s="49" t="n">
        <v>0</v>
      </c>
      <c r="D27" s="49" t="n">
        <v>0</v>
      </c>
      <c r="E27" s="49" t="n">
        <v>641.8463085824</v>
      </c>
      <c r="F27" s="10">
        <f>bkrcast_all!F27</f>
        <v/>
      </c>
      <c r="H27" s="11" t="n">
        <v>16</v>
      </c>
      <c r="I27" s="51" t="n">
        <v>3395.525375266999</v>
      </c>
      <c r="J27" s="51" t="n">
        <v>336.2314540166612</v>
      </c>
      <c r="K27" s="51" t="n">
        <v>162.0172097709123</v>
      </c>
      <c r="L27" s="49">
        <f>SUM(I27:K27)</f>
        <v/>
      </c>
      <c r="M27" s="10">
        <f>bkrcast_all!M27</f>
        <v/>
      </c>
      <c r="N27" s="10">
        <f>bkrcast_inbkr!M27</f>
        <v/>
      </c>
      <c r="O27" s="10">
        <f>bkrcast_outbkr!M27</f>
        <v/>
      </c>
      <c r="P27" s="10">
        <f>soundcast!M27</f>
        <v/>
      </c>
      <c r="Q27" s="53">
        <f>F27</f>
        <v/>
      </c>
    </row>
    <row r="28">
      <c r="A28" t="n">
        <v>17</v>
      </c>
      <c r="B28" s="49" t="n">
        <v>65.9755993965</v>
      </c>
      <c r="C28" s="49" t="n">
        <v>0</v>
      </c>
      <c r="D28" s="49" t="n">
        <v>0</v>
      </c>
      <c r="E28" s="49" t="n">
        <v>65.9755993965</v>
      </c>
      <c r="F28" s="10">
        <f>bkrcast_all!F28</f>
        <v/>
      </c>
      <c r="H28" s="11" t="n">
        <v>17</v>
      </c>
      <c r="I28" s="51" t="n">
        <v>2990.98996730945</v>
      </c>
      <c r="J28" s="51" t="n">
        <v>357.5756911314843</v>
      </c>
      <c r="K28" s="51" t="n">
        <v>223.9455577301035</v>
      </c>
      <c r="L28" s="49">
        <f>SUM(I28:K28)</f>
        <v/>
      </c>
      <c r="M28" s="10">
        <f>bkrcast_all!M28</f>
        <v/>
      </c>
      <c r="N28" s="10">
        <f>bkrcast_inbkr!M28</f>
        <v/>
      </c>
      <c r="O28" s="10">
        <f>bkrcast_outbkr!M28</f>
        <v/>
      </c>
      <c r="P28" s="10">
        <f>soundcast!M28</f>
        <v/>
      </c>
      <c r="Q28" s="53">
        <f>F28</f>
        <v/>
      </c>
    </row>
    <row r="29">
      <c r="A29" t="n">
        <v>18</v>
      </c>
      <c r="B29" s="49" t="n">
        <v>79.1127528623</v>
      </c>
      <c r="C29" s="49" t="n">
        <v>0</v>
      </c>
      <c r="D29" s="49" t="n">
        <v>0</v>
      </c>
      <c r="E29" s="49" t="n">
        <v>79.1127528623</v>
      </c>
      <c r="F29" s="10">
        <f>bkrcast_all!F29</f>
        <v/>
      </c>
      <c r="H29" s="11" t="n">
        <v>18</v>
      </c>
      <c r="I29" s="51" t="n">
        <v>2921.99295449923</v>
      </c>
      <c r="J29" s="51" t="n">
        <v>278.0234046662871</v>
      </c>
      <c r="K29" s="51" t="n">
        <v>143.9566207936339</v>
      </c>
      <c r="L29" s="49">
        <f>SUM(I29:K29)</f>
        <v/>
      </c>
      <c r="M29" s="10">
        <f>bkrcast_all!M29</f>
        <v/>
      </c>
      <c r="N29" s="10">
        <f>bkrcast_inbkr!M29</f>
        <v/>
      </c>
      <c r="O29" s="10">
        <f>bkrcast_outbkr!M29</f>
        <v/>
      </c>
      <c r="P29" s="10">
        <f>soundcast!M29</f>
        <v/>
      </c>
      <c r="Q29" s="53">
        <f>F29</f>
        <v/>
      </c>
    </row>
    <row r="30">
      <c r="A30" t="n">
        <v>19</v>
      </c>
      <c r="B30" s="49" t="n">
        <v>264.896623257</v>
      </c>
      <c r="C30" s="49" t="n">
        <v>327.039856179</v>
      </c>
      <c r="D30" s="49" t="n">
        <v>0</v>
      </c>
      <c r="E30" s="49" t="n">
        <v>591.936479436</v>
      </c>
      <c r="F30" s="10">
        <f>bkrcast_all!F30</f>
        <v/>
      </c>
      <c r="H30" s="11" t="n">
        <v>19</v>
      </c>
      <c r="I30" s="51" t="n">
        <v>2589.295564093948</v>
      </c>
      <c r="J30" s="51" t="n">
        <v>194.2353987428156</v>
      </c>
      <c r="K30" s="51" t="n">
        <v>148.7971661386599</v>
      </c>
      <c r="L30" s="49">
        <f>SUM(I30:K30)</f>
        <v/>
      </c>
      <c r="M30" s="10">
        <f>bkrcast_all!M30</f>
        <v/>
      </c>
      <c r="N30" s="10">
        <f>bkrcast_inbkr!M30</f>
        <v/>
      </c>
      <c r="O30" s="10">
        <f>bkrcast_outbkr!M30</f>
        <v/>
      </c>
      <c r="P30" s="10">
        <f>soundcast!M30</f>
        <v/>
      </c>
      <c r="Q30" s="53">
        <f>F30</f>
        <v/>
      </c>
    </row>
    <row r="31">
      <c r="A31" t="n">
        <v>20</v>
      </c>
      <c r="B31" s="49" t="n">
        <v>58.1735784831</v>
      </c>
      <c r="C31" s="49" t="n">
        <v>0</v>
      </c>
      <c r="D31" s="49" t="n">
        <v>0</v>
      </c>
      <c r="E31" s="49" t="n">
        <v>58.1735784831</v>
      </c>
      <c r="F31" s="10">
        <f>bkrcast_all!F31</f>
        <v/>
      </c>
      <c r="H31" s="11" t="n">
        <v>20</v>
      </c>
      <c r="I31" s="51" t="n">
        <v>1940.485475426387</v>
      </c>
      <c r="J31" s="51" t="n">
        <v>195.0896966337863</v>
      </c>
      <c r="K31" s="51" t="n">
        <v>92.86786084745394</v>
      </c>
      <c r="L31" s="49">
        <f>SUM(I31:K31)</f>
        <v/>
      </c>
      <c r="M31" s="10">
        <f>bkrcast_all!M31</f>
        <v/>
      </c>
      <c r="N31" s="10">
        <f>bkrcast_inbkr!M31</f>
        <v/>
      </c>
      <c r="O31" s="10">
        <f>bkrcast_outbkr!M31</f>
        <v/>
      </c>
      <c r="P31" s="10">
        <f>soundcast!M31</f>
        <v/>
      </c>
      <c r="Q31" s="53">
        <f>F31</f>
        <v/>
      </c>
    </row>
    <row r="32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>
        <f>bkrcast_all!F32</f>
        <v/>
      </c>
      <c r="H32" s="11" t="n">
        <v>21</v>
      </c>
      <c r="I32" s="51" t="n">
        <v>1829.904916632424</v>
      </c>
      <c r="J32" s="51" t="n">
        <v>182.4838138705477</v>
      </c>
      <c r="K32" s="51" t="n">
        <v>135.6430484798549</v>
      </c>
      <c r="L32" s="49">
        <f>SUM(I32:K32)</f>
        <v/>
      </c>
      <c r="M32" s="10">
        <f>bkrcast_all!M32</f>
        <v/>
      </c>
      <c r="N32" s="10">
        <f>bkrcast_inbkr!M32</f>
        <v/>
      </c>
      <c r="O32" s="10">
        <f>bkrcast_outbkr!M32</f>
        <v/>
      </c>
      <c r="P32" s="10">
        <f>soundcast!M32</f>
        <v/>
      </c>
      <c r="Q32" s="53">
        <f>F32</f>
        <v/>
      </c>
    </row>
    <row r="33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>
        <f>bkrcast_all!F33</f>
        <v/>
      </c>
      <c r="H33" s="11" t="n">
        <v>22</v>
      </c>
      <c r="I33" s="51" t="n">
        <v>1602.646067163982</v>
      </c>
      <c r="J33" s="51" t="n">
        <v>120.75725709171</v>
      </c>
      <c r="K33" s="51" t="n">
        <v>104.1503974081577</v>
      </c>
      <c r="L33" s="49">
        <f>SUM(I33:K33)</f>
        <v/>
      </c>
      <c r="M33" s="10">
        <f>bkrcast_all!M33</f>
        <v/>
      </c>
      <c r="N33" s="10">
        <f>bkrcast_inbkr!M33</f>
        <v/>
      </c>
      <c r="O33" s="10">
        <f>bkrcast_outbkr!M33</f>
        <v/>
      </c>
      <c r="P33" s="10">
        <f>soundcast!M33</f>
        <v/>
      </c>
      <c r="Q33" s="53">
        <f>F33</f>
        <v/>
      </c>
    </row>
    <row r="3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>
        <f>bkrcast_all!F34</f>
        <v/>
      </c>
      <c r="H34" s="11" t="n">
        <v>23</v>
      </c>
      <c r="I34" s="51" t="n">
        <v>1868.626769442852</v>
      </c>
      <c r="J34" s="51" t="n">
        <v>194.3488672228972</v>
      </c>
      <c r="K34" s="51" t="n">
        <v>88.33377163051871</v>
      </c>
      <c r="L34" s="49">
        <f>SUM(I34:K34)</f>
        <v/>
      </c>
      <c r="M34" s="10">
        <f>bkrcast_all!M34</f>
        <v/>
      </c>
      <c r="N34" s="10">
        <f>bkrcast_inbkr!M34</f>
        <v/>
      </c>
      <c r="O34" s="10">
        <f>bkrcast_outbkr!M34</f>
        <v/>
      </c>
      <c r="P34" s="10">
        <f>soundcast!M34</f>
        <v/>
      </c>
      <c r="Q34" s="53">
        <f>F34</f>
        <v/>
      </c>
    </row>
    <row r="35">
      <c r="A35" t="n">
        <v>24</v>
      </c>
      <c r="B35" s="49" t="n">
        <v>1160.0758998369</v>
      </c>
      <c r="C35" s="49" t="n">
        <v>0</v>
      </c>
      <c r="D35" s="49" t="n">
        <v>0</v>
      </c>
      <c r="E35" s="49" t="n">
        <v>1160.0758998369</v>
      </c>
      <c r="F35" s="10">
        <f>bkrcast_all!F35</f>
        <v/>
      </c>
      <c r="H35" s="11" t="n">
        <v>24</v>
      </c>
      <c r="I35" s="51" t="n">
        <v>1163.91171938055</v>
      </c>
      <c r="J35" s="51" t="n">
        <v>90.80618406507936</v>
      </c>
      <c r="K35" s="51" t="n">
        <v>101.0577326159368</v>
      </c>
      <c r="L35" s="49">
        <f>SUM(I35:K35)</f>
        <v/>
      </c>
      <c r="M35" s="10">
        <f>bkrcast_all!M35</f>
        <v/>
      </c>
      <c r="N35" s="10">
        <f>bkrcast_inbkr!M35</f>
        <v/>
      </c>
      <c r="O35" s="10">
        <f>bkrcast_outbkr!M35</f>
        <v/>
      </c>
      <c r="P35" s="10">
        <f>soundcast!M35</f>
        <v/>
      </c>
      <c r="Q35" s="53">
        <f>F35</f>
        <v/>
      </c>
    </row>
    <row r="36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>
        <f>bkrcast_all!F36</f>
        <v/>
      </c>
      <c r="H36" s="11" t="n">
        <v>25</v>
      </c>
      <c r="I36" s="51" t="n">
        <v>991.3706133242522</v>
      </c>
      <c r="J36" s="51" t="n">
        <v>104.185948689469</v>
      </c>
      <c r="K36" s="51" t="n">
        <v>32.98149855343315</v>
      </c>
      <c r="L36" s="49">
        <f>SUM(I36:K36)</f>
        <v/>
      </c>
      <c r="M36" s="10">
        <f>bkrcast_all!M36</f>
        <v/>
      </c>
      <c r="N36" s="10">
        <f>bkrcast_inbkr!M36</f>
        <v/>
      </c>
      <c r="O36" s="10">
        <f>bkrcast_outbkr!M36</f>
        <v/>
      </c>
      <c r="P36" s="10">
        <f>soundcast!M36</f>
        <v/>
      </c>
      <c r="Q36" s="53">
        <f>F36</f>
        <v/>
      </c>
    </row>
    <row r="37">
      <c r="A37" t="n">
        <v>26</v>
      </c>
      <c r="B37" s="49" t="n">
        <v>181.889208126</v>
      </c>
      <c r="C37" s="49" t="n">
        <v>0</v>
      </c>
      <c r="D37" s="49" t="n">
        <v>0</v>
      </c>
      <c r="E37" s="49" t="n">
        <v>181.889208126</v>
      </c>
      <c r="F37" s="10">
        <f>bkrcast_all!F37</f>
        <v/>
      </c>
      <c r="H37" s="11" t="n">
        <v>26</v>
      </c>
      <c r="I37" s="51" t="n">
        <v>918.6555831170722</v>
      </c>
      <c r="J37" s="51" t="n">
        <v>103.7449222434366</v>
      </c>
      <c r="K37" s="51" t="n">
        <v>61.03270393932407</v>
      </c>
      <c r="L37" s="49">
        <f>SUM(I37:K37)</f>
        <v/>
      </c>
      <c r="M37" s="10">
        <f>bkrcast_all!M37</f>
        <v/>
      </c>
      <c r="N37" s="10">
        <f>bkrcast_inbkr!M37</f>
        <v/>
      </c>
      <c r="O37" s="10">
        <f>bkrcast_outbkr!M37</f>
        <v/>
      </c>
      <c r="P37" s="10">
        <f>soundcast!M37</f>
        <v/>
      </c>
      <c r="Q37" s="53">
        <f>F37</f>
        <v/>
      </c>
    </row>
    <row r="3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>
        <f>bkrcast_all!F38</f>
        <v/>
      </c>
      <c r="H38" s="11" t="n">
        <v>27</v>
      </c>
      <c r="I38" s="51" t="n">
        <v>957.4353460007369</v>
      </c>
      <c r="J38" s="51" t="n">
        <v>58.59328999891341</v>
      </c>
      <c r="K38" s="51" t="n">
        <v>45.7264389265212</v>
      </c>
      <c r="L38" s="49">
        <f>SUM(I38:K38)</f>
        <v/>
      </c>
      <c r="M38" s="10">
        <f>bkrcast_all!M38</f>
        <v/>
      </c>
      <c r="N38" s="10">
        <f>bkrcast_inbkr!M38</f>
        <v/>
      </c>
      <c r="O38" s="10">
        <f>bkrcast_outbkr!M38</f>
        <v/>
      </c>
      <c r="P38" s="10">
        <f>soundcast!M38</f>
        <v/>
      </c>
      <c r="Q38" s="53">
        <f>F38</f>
        <v/>
      </c>
    </row>
    <row r="39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>
        <f>bkrcast_all!F39</f>
        <v/>
      </c>
      <c r="H39" s="11" t="n">
        <v>28</v>
      </c>
      <c r="I39" s="51" t="n">
        <v>659.4412795866282</v>
      </c>
      <c r="J39" s="51" t="n">
        <v>53.88676809648077</v>
      </c>
      <c r="K39" s="51" t="n">
        <v>36.96845936252678</v>
      </c>
      <c r="L39" s="49">
        <f>SUM(I39:K39)</f>
        <v/>
      </c>
      <c r="M39" s="10">
        <f>bkrcast_all!M39</f>
        <v/>
      </c>
      <c r="N39" s="10">
        <f>bkrcast_inbkr!M39</f>
        <v/>
      </c>
      <c r="O39" s="10">
        <f>bkrcast_outbkr!M39</f>
        <v/>
      </c>
      <c r="P39" s="10">
        <f>soundcast!M39</f>
        <v/>
      </c>
      <c r="Q39" s="53">
        <f>F39</f>
        <v/>
      </c>
    </row>
    <row r="40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>
        <f>bkrcast_all!F40</f>
        <v/>
      </c>
      <c r="H40" s="11" t="n">
        <v>29</v>
      </c>
      <c r="I40" s="51" t="n">
        <v>604.3935550493873</v>
      </c>
      <c r="J40" s="51" t="n">
        <v>81.18119064495393</v>
      </c>
      <c r="K40" s="51" t="n">
        <v>22.37328657241655</v>
      </c>
      <c r="L40" s="49">
        <f>SUM(I40:K40)</f>
        <v/>
      </c>
      <c r="M40" s="10">
        <f>bkrcast_all!M40</f>
        <v/>
      </c>
      <c r="N40" s="10">
        <f>bkrcast_inbkr!M40</f>
        <v/>
      </c>
      <c r="O40" s="10">
        <f>bkrcast_outbkr!M40</f>
        <v/>
      </c>
      <c r="P40" s="10">
        <f>soundcast!M40</f>
        <v/>
      </c>
      <c r="Q40" s="53">
        <f>F40</f>
        <v/>
      </c>
    </row>
    <row r="41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>
        <f>bkrcast_all!F41</f>
        <v/>
      </c>
      <c r="H41" s="11" t="n">
        <v>30</v>
      </c>
      <c r="I41" s="51" t="n">
        <v>448.9938149699228</v>
      </c>
      <c r="J41" s="51" t="n">
        <v>41.27673555885545</v>
      </c>
      <c r="K41" s="51" t="n">
        <v>19.24429123004633</v>
      </c>
      <c r="L41" s="49">
        <f>SUM(I41:K41)</f>
        <v/>
      </c>
      <c r="M41" s="10">
        <f>bkrcast_all!M41</f>
        <v/>
      </c>
      <c r="N41" s="10">
        <f>bkrcast_inbkr!M41</f>
        <v/>
      </c>
      <c r="O41" s="10">
        <f>bkrcast_outbkr!M41</f>
        <v/>
      </c>
      <c r="P41" s="10">
        <f>soundcast!M41</f>
        <v/>
      </c>
      <c r="Q41" s="53">
        <f>F41</f>
        <v/>
      </c>
    </row>
    <row r="42">
      <c r="A42" t="n">
        <v>31</v>
      </c>
      <c r="B42" s="49" t="n">
        <v>275.309933567</v>
      </c>
      <c r="C42" s="49" t="n">
        <v>0</v>
      </c>
      <c r="D42" s="49" t="n">
        <v>0</v>
      </c>
      <c r="E42" s="49" t="n">
        <v>275.309933567</v>
      </c>
      <c r="F42" s="10">
        <f>bkrcast_all!F42</f>
        <v/>
      </c>
      <c r="H42" s="11" t="n">
        <v>31</v>
      </c>
      <c r="I42" s="51" t="n">
        <v>588.2447771632089</v>
      </c>
      <c r="J42" s="51" t="n">
        <v>38.28347574197535</v>
      </c>
      <c r="K42" s="51" t="n">
        <v>28.03848021390365</v>
      </c>
      <c r="L42" s="49">
        <f>SUM(I42:K42)</f>
        <v/>
      </c>
      <c r="M42" s="10">
        <f>bkrcast_all!M42</f>
        <v/>
      </c>
      <c r="N42" s="10">
        <f>bkrcast_inbkr!M42</f>
        <v/>
      </c>
      <c r="O42" s="10">
        <f>bkrcast_outbkr!M42</f>
        <v/>
      </c>
      <c r="P42" s="10">
        <f>soundcast!M42</f>
        <v/>
      </c>
      <c r="Q42" s="53">
        <f>F42</f>
        <v/>
      </c>
    </row>
    <row r="43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>
        <f>bkrcast_all!F43</f>
        <v/>
      </c>
      <c r="H43" s="11" t="n">
        <v>32</v>
      </c>
      <c r="I43" s="51" t="n">
        <v>495.6251488499643</v>
      </c>
      <c r="J43" s="51" t="n">
        <v>38.83207560744268</v>
      </c>
      <c r="K43" s="51" t="n">
        <v>12.75617477760335</v>
      </c>
      <c r="L43" s="49">
        <f>SUM(I43:K43)</f>
        <v/>
      </c>
      <c r="M43" s="10">
        <f>bkrcast_all!M43</f>
        <v/>
      </c>
      <c r="N43" s="10">
        <f>bkrcast_inbkr!M43</f>
        <v/>
      </c>
      <c r="O43" s="10">
        <f>bkrcast_outbkr!M43</f>
        <v/>
      </c>
      <c r="P43" s="10">
        <f>soundcast!M43</f>
        <v/>
      </c>
      <c r="Q43" s="53">
        <f>F43</f>
        <v/>
      </c>
    </row>
    <row r="44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>
        <f>bkrcast_all!F44</f>
        <v/>
      </c>
      <c r="H44" s="11" t="n">
        <v>33</v>
      </c>
      <c r="I44" s="51" t="n">
        <v>613.2138853591636</v>
      </c>
      <c r="J44" s="51" t="n">
        <v>97.72418032043093</v>
      </c>
      <c r="K44" s="51" t="n">
        <v>6.9972972972973</v>
      </c>
      <c r="L44" s="49">
        <f>SUM(I44:K44)</f>
        <v/>
      </c>
      <c r="M44" s="10">
        <f>bkrcast_all!M44</f>
        <v/>
      </c>
      <c r="N44" s="10">
        <f>bkrcast_inbkr!M44</f>
        <v/>
      </c>
      <c r="O44" s="10">
        <f>bkrcast_outbkr!M44</f>
        <v/>
      </c>
      <c r="P44" s="10">
        <f>soundcast!M44</f>
        <v/>
      </c>
      <c r="Q44" s="53">
        <f>F44</f>
        <v/>
      </c>
    </row>
    <row r="45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>
        <f>bkrcast_all!F45</f>
        <v/>
      </c>
      <c r="H45" s="11" t="n">
        <v>34</v>
      </c>
      <c r="I45" s="51" t="n">
        <v>426.7726117087244</v>
      </c>
      <c r="J45" s="51" t="n">
        <v>40.23708355051863</v>
      </c>
      <c r="K45" s="51" t="n">
        <v>1</v>
      </c>
      <c r="L45" s="49">
        <f>SUM(I45:K45)</f>
        <v/>
      </c>
      <c r="M45" s="10">
        <f>bkrcast_all!M45</f>
        <v/>
      </c>
      <c r="N45" s="10">
        <f>bkrcast_inbkr!M45</f>
        <v/>
      </c>
      <c r="O45" s="10">
        <f>bkrcast_outbkr!M45</f>
        <v/>
      </c>
      <c r="P45" s="10">
        <f>soundcast!M45</f>
        <v/>
      </c>
      <c r="Q45" s="53">
        <f>F45</f>
        <v/>
      </c>
    </row>
    <row r="46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>
        <f>bkrcast_all!F46</f>
        <v/>
      </c>
      <c r="H46" s="11" t="n">
        <v>35</v>
      </c>
      <c r="I46" s="51" t="n">
        <v>367.8561014559749</v>
      </c>
      <c r="J46" s="51" t="n">
        <v>35.70649139152791</v>
      </c>
      <c r="K46" s="51" t="n">
        <v>23.78430208759722</v>
      </c>
      <c r="L46" s="49">
        <f>SUM(I46:K46)</f>
        <v/>
      </c>
      <c r="M46" s="10">
        <f>bkrcast_all!M46</f>
        <v/>
      </c>
      <c r="N46" s="10">
        <f>bkrcast_inbkr!M46</f>
        <v/>
      </c>
      <c r="O46" s="10">
        <f>bkrcast_outbkr!M46</f>
        <v/>
      </c>
      <c r="P46" s="10">
        <f>soundcast!M46</f>
        <v/>
      </c>
      <c r="Q46" s="53">
        <f>F46</f>
        <v/>
      </c>
    </row>
    <row r="47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>
        <f>bkrcast_all!F47</f>
        <v/>
      </c>
      <c r="H47" s="11" t="n">
        <v>36</v>
      </c>
      <c r="I47" s="51" t="n">
        <v>455.9116346212426</v>
      </c>
      <c r="J47" s="51" t="n">
        <v>61.27342924339556</v>
      </c>
      <c r="K47" s="51" t="n">
        <v>11.49770114942529</v>
      </c>
      <c r="L47" s="49">
        <f>SUM(I47:K47)</f>
        <v/>
      </c>
      <c r="M47" s="10">
        <f>bkrcast_all!M47</f>
        <v/>
      </c>
      <c r="N47" s="10">
        <f>bkrcast_inbkr!M47</f>
        <v/>
      </c>
      <c r="O47" s="10">
        <f>bkrcast_outbkr!M47</f>
        <v/>
      </c>
      <c r="P47" s="10">
        <f>soundcast!M47</f>
        <v/>
      </c>
      <c r="Q47" s="53">
        <f>F47</f>
        <v/>
      </c>
    </row>
    <row r="4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>
        <f>bkrcast_all!F48</f>
        <v/>
      </c>
      <c r="H48" s="11" t="n">
        <v>37</v>
      </c>
      <c r="I48" s="51" t="n">
        <v>317.5283250052515</v>
      </c>
      <c r="J48" s="51" t="n">
        <v>20.24598140888469</v>
      </c>
      <c r="K48" s="51" t="n">
        <v>23.55635227063797</v>
      </c>
      <c r="L48" s="49">
        <f>SUM(I48:K48)</f>
        <v/>
      </c>
      <c r="M48" s="10">
        <f>bkrcast_all!M48</f>
        <v/>
      </c>
      <c r="N48" s="10">
        <f>bkrcast_inbkr!M48</f>
        <v/>
      </c>
      <c r="O48" s="10">
        <f>bkrcast_outbkr!M48</f>
        <v/>
      </c>
      <c r="P48" s="10">
        <f>soundcast!M48</f>
        <v/>
      </c>
      <c r="Q48" s="53">
        <f>F48</f>
        <v/>
      </c>
    </row>
    <row r="49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>
        <f>bkrcast_all!F49</f>
        <v/>
      </c>
      <c r="H49" s="11" t="n">
        <v>38</v>
      </c>
      <c r="I49" s="51" t="n">
        <v>384.7059598066256</v>
      </c>
      <c r="J49" s="51" t="n">
        <v>12.98873277131005</v>
      </c>
      <c r="K49" s="51" t="n">
        <v>0.5</v>
      </c>
      <c r="L49" s="49">
        <f>SUM(I49:K49)</f>
        <v/>
      </c>
      <c r="M49" s="10">
        <f>bkrcast_all!M49</f>
        <v/>
      </c>
      <c r="N49" s="10">
        <f>bkrcast_inbkr!M49</f>
        <v/>
      </c>
      <c r="O49" s="10">
        <f>bkrcast_outbkr!M49</f>
        <v/>
      </c>
      <c r="P49" s="10">
        <f>soundcast!M49</f>
        <v/>
      </c>
      <c r="Q49" s="53">
        <f>F49</f>
        <v/>
      </c>
    </row>
    <row r="50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>
        <f>bkrcast_all!F50</f>
        <v/>
      </c>
      <c r="H50" s="11" t="n">
        <v>39</v>
      </c>
      <c r="I50" s="51" t="n">
        <v>315.3189970742433</v>
      </c>
      <c r="J50" s="51" t="n">
        <v>22.73852506885749</v>
      </c>
      <c r="K50" s="51" t="n">
        <v>15.84198717948718</v>
      </c>
      <c r="L50" s="49">
        <f>SUM(I50:K50)</f>
        <v/>
      </c>
      <c r="M50" s="10">
        <f>bkrcast_all!M50</f>
        <v/>
      </c>
      <c r="N50" s="10">
        <f>bkrcast_inbkr!M50</f>
        <v/>
      </c>
      <c r="O50" s="10">
        <f>bkrcast_outbkr!M50</f>
        <v/>
      </c>
      <c r="P50" s="10">
        <f>soundcast!M50</f>
        <v/>
      </c>
      <c r="Q50" s="53">
        <f>F50</f>
        <v/>
      </c>
    </row>
    <row r="51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>
        <f>bkrcast_all!F51</f>
        <v/>
      </c>
      <c r="H51" s="11" t="n">
        <v>40</v>
      </c>
      <c r="I51" s="51" t="n">
        <v>160.0120375640885</v>
      </c>
      <c r="J51" s="51" t="n">
        <v>33.47457388811785</v>
      </c>
      <c r="K51" s="51" t="n">
        <v>7.49930825121927</v>
      </c>
      <c r="L51" s="49">
        <f>SUM(I51:K51)</f>
        <v/>
      </c>
      <c r="M51" s="10">
        <f>bkrcast_all!M51</f>
        <v/>
      </c>
      <c r="N51" s="10">
        <f>bkrcast_inbkr!M51</f>
        <v/>
      </c>
      <c r="O51" s="10">
        <f>bkrcast_outbkr!M51</f>
        <v/>
      </c>
      <c r="P51" s="10">
        <f>soundcast!M51</f>
        <v/>
      </c>
      <c r="Q51" s="53">
        <f>F51</f>
        <v/>
      </c>
    </row>
    <row r="52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>
        <f>bkrcast_all!F52</f>
        <v/>
      </c>
      <c r="H52" s="11" t="n">
        <v>41</v>
      </c>
      <c r="I52" s="51" t="n">
        <v>272.6521145066246</v>
      </c>
      <c r="J52" s="51" t="n">
        <v>42.72791208791206</v>
      </c>
      <c r="K52" s="51" t="n">
        <v>12.263986013986</v>
      </c>
      <c r="L52" s="49">
        <f>SUM(I52:K52)</f>
        <v/>
      </c>
      <c r="M52" s="10">
        <f>bkrcast_all!M52</f>
        <v/>
      </c>
      <c r="N52" s="10">
        <f>bkrcast_inbkr!M52</f>
        <v/>
      </c>
      <c r="O52" s="10">
        <f>bkrcast_outbkr!M52</f>
        <v/>
      </c>
      <c r="P52" s="10">
        <f>soundcast!M52</f>
        <v/>
      </c>
      <c r="Q52" s="53">
        <f>F52</f>
        <v/>
      </c>
    </row>
    <row r="53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>
        <f>bkrcast_all!F53</f>
        <v/>
      </c>
      <c r="H53" s="11" t="n">
        <v>42</v>
      </c>
      <c r="I53" s="51" t="n">
        <v>125.25853852306</v>
      </c>
      <c r="J53" s="51" t="n">
        <v>1.75</v>
      </c>
      <c r="K53" s="51" t="n">
        <v>14.73524925822054</v>
      </c>
      <c r="L53" s="49">
        <f>SUM(I53:K53)</f>
        <v/>
      </c>
      <c r="M53" s="10">
        <f>bkrcast_all!M53</f>
        <v/>
      </c>
      <c r="N53" s="10">
        <f>bkrcast_inbkr!M53</f>
        <v/>
      </c>
      <c r="O53" s="10">
        <f>bkrcast_outbkr!M53</f>
        <v/>
      </c>
      <c r="P53" s="10">
        <f>soundcast!M53</f>
        <v/>
      </c>
      <c r="Q53" s="53">
        <f>F53</f>
        <v/>
      </c>
    </row>
    <row r="54">
      <c r="A54" t="n">
        <v>43</v>
      </c>
      <c r="B54" s="49" t="n">
        <v>520.538957349</v>
      </c>
      <c r="C54" s="49" t="n">
        <v>0</v>
      </c>
      <c r="D54" s="49" t="n">
        <v>0</v>
      </c>
      <c r="E54" s="49" t="n">
        <v>520.538957349</v>
      </c>
      <c r="F54" s="10">
        <f>bkrcast_all!F54</f>
        <v/>
      </c>
      <c r="H54" s="11" t="n">
        <v>43</v>
      </c>
      <c r="I54" s="51" t="n">
        <v>213.414854803002</v>
      </c>
      <c r="J54" s="51" t="n">
        <v>10.49747993457339</v>
      </c>
      <c r="K54" s="51" t="n">
        <v>12.24336870026525</v>
      </c>
      <c r="L54" s="49">
        <f>SUM(I54:K54)</f>
        <v/>
      </c>
      <c r="M54" s="10">
        <f>bkrcast_all!M54</f>
        <v/>
      </c>
      <c r="N54" s="10">
        <f>bkrcast_inbkr!M54</f>
        <v/>
      </c>
      <c r="O54" s="10">
        <f>bkrcast_outbkr!M54</f>
        <v/>
      </c>
      <c r="P54" s="10">
        <f>soundcast!M54</f>
        <v/>
      </c>
      <c r="Q54" s="53">
        <f>F54</f>
        <v/>
      </c>
    </row>
    <row r="55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>
        <f>bkrcast_all!F55</f>
        <v/>
      </c>
      <c r="H55" s="11" t="n">
        <v>44</v>
      </c>
      <c r="I55" s="51" t="n">
        <v>123.0418071572944</v>
      </c>
      <c r="J55" s="51" t="n">
        <v>1</v>
      </c>
      <c r="K55" s="51" t="n">
        <v>1.25</v>
      </c>
      <c r="L55" s="49">
        <f>SUM(I55:K55)</f>
        <v/>
      </c>
      <c r="M55" s="10">
        <f>bkrcast_all!M55</f>
        <v/>
      </c>
      <c r="N55" s="10">
        <f>bkrcast_inbkr!M55</f>
        <v/>
      </c>
      <c r="O55" s="10">
        <f>bkrcast_outbkr!M55</f>
        <v/>
      </c>
      <c r="P55" s="10">
        <f>soundcast!M55</f>
        <v/>
      </c>
      <c r="Q55" s="53">
        <f>F55</f>
        <v/>
      </c>
    </row>
    <row r="56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>
        <f>bkrcast_all!F56</f>
        <v/>
      </c>
      <c r="H56" s="11" t="n">
        <v>45</v>
      </c>
      <c r="I56" s="51" t="n">
        <v>136.7126541949685</v>
      </c>
      <c r="J56" s="51" t="n">
        <v>0</v>
      </c>
      <c r="K56" s="51" t="n">
        <v>0</v>
      </c>
      <c r="L56" s="49">
        <f>SUM(I56:K56)</f>
        <v/>
      </c>
      <c r="M56" s="10">
        <f>bkrcast_all!M56</f>
        <v/>
      </c>
      <c r="N56" s="10">
        <f>bkrcast_inbkr!M56</f>
        <v/>
      </c>
      <c r="O56" s="10">
        <f>bkrcast_outbkr!M56</f>
        <v/>
      </c>
      <c r="P56" s="10">
        <f>soundcast!M56</f>
        <v/>
      </c>
      <c r="Q56" s="53">
        <f>F56</f>
        <v/>
      </c>
    </row>
    <row r="57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>
        <f>bkrcast_all!F57</f>
        <v/>
      </c>
      <c r="H57" s="11" t="n">
        <v>46</v>
      </c>
      <c r="I57" s="51" t="n">
        <v>170.3787044991768</v>
      </c>
      <c r="J57" s="51" t="n">
        <v>6.99926524614254</v>
      </c>
      <c r="K57" s="51" t="n">
        <v>0.25</v>
      </c>
      <c r="L57" s="49">
        <f>SUM(I57:K57)</f>
        <v/>
      </c>
      <c r="M57" s="10">
        <f>bkrcast_all!M57</f>
        <v/>
      </c>
      <c r="N57" s="10">
        <f>bkrcast_inbkr!M57</f>
        <v/>
      </c>
      <c r="O57" s="10">
        <f>bkrcast_outbkr!M57</f>
        <v/>
      </c>
      <c r="P57" s="10">
        <f>soundcast!M57</f>
        <v/>
      </c>
      <c r="Q57" s="53">
        <f>F57</f>
        <v/>
      </c>
    </row>
    <row r="5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>
        <f>bkrcast_all!F58</f>
        <v/>
      </c>
      <c r="H58" s="11" t="n">
        <v>47</v>
      </c>
      <c r="I58" s="51" t="n">
        <v>70.94892013663629</v>
      </c>
      <c r="J58" s="51" t="n">
        <v>0.75</v>
      </c>
      <c r="K58" s="51" t="n">
        <v>0.25</v>
      </c>
      <c r="L58" s="49">
        <f>SUM(I58:K58)</f>
        <v/>
      </c>
      <c r="M58" s="10">
        <f>bkrcast_all!M58</f>
        <v/>
      </c>
      <c r="N58" s="10">
        <f>bkrcast_inbkr!M58</f>
        <v/>
      </c>
      <c r="O58" s="10">
        <f>bkrcast_outbkr!M58</f>
        <v/>
      </c>
      <c r="P58" s="10">
        <f>soundcast!M58</f>
        <v/>
      </c>
      <c r="Q58" s="53">
        <f>F58</f>
        <v/>
      </c>
    </row>
    <row r="59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>
        <f>bkrcast_all!F59</f>
        <v/>
      </c>
      <c r="H59" s="11" t="n">
        <v>48</v>
      </c>
      <c r="I59" s="51" t="n">
        <v>88.70225664296812</v>
      </c>
      <c r="J59" s="51" t="n">
        <v>0.75</v>
      </c>
      <c r="K59" s="51" t="n">
        <v>0</v>
      </c>
      <c r="L59" s="49">
        <f>SUM(I59:K59)</f>
        <v/>
      </c>
      <c r="M59" s="10">
        <f>bkrcast_all!M59</f>
        <v/>
      </c>
      <c r="N59" s="10">
        <f>bkrcast_inbkr!M59</f>
        <v/>
      </c>
      <c r="O59" s="10">
        <f>bkrcast_outbkr!M59</f>
        <v/>
      </c>
      <c r="P59" s="10">
        <f>soundcast!M59</f>
        <v/>
      </c>
      <c r="Q59" s="53">
        <f>F59</f>
        <v/>
      </c>
    </row>
    <row r="60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>
        <f>bkrcast_all!F60</f>
        <v/>
      </c>
      <c r="H60" s="11" t="n">
        <v>49</v>
      </c>
      <c r="I60" s="51" t="n">
        <v>112.0272468235067</v>
      </c>
      <c r="J60" s="51" t="n">
        <v>10.24825783972125</v>
      </c>
      <c r="K60" s="51" t="n">
        <v>0</v>
      </c>
      <c r="L60" s="49">
        <f>SUM(I60:K60)</f>
        <v/>
      </c>
      <c r="M60" s="10">
        <f>bkrcast_all!M60</f>
        <v/>
      </c>
      <c r="N60" s="10">
        <f>bkrcast_inbkr!M60</f>
        <v/>
      </c>
      <c r="O60" s="10">
        <f>bkrcast_outbkr!M60</f>
        <v/>
      </c>
      <c r="P60" s="10">
        <f>soundcast!M60</f>
        <v/>
      </c>
      <c r="Q60" s="53">
        <f>F60</f>
        <v/>
      </c>
    </row>
    <row r="61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>
        <f>bkrcast_all!F61</f>
        <v/>
      </c>
      <c r="H61" s="11" t="n">
        <v>50</v>
      </c>
      <c r="I61" s="51" t="n">
        <v>25.99482138260484</v>
      </c>
      <c r="J61" s="51" t="n">
        <v>0</v>
      </c>
      <c r="K61" s="51" t="n">
        <v>0</v>
      </c>
      <c r="L61" s="49">
        <f>SUM(I61:K61)</f>
        <v/>
      </c>
      <c r="M61" s="10">
        <f>bkrcast_all!M61</f>
        <v/>
      </c>
      <c r="N61" s="10">
        <f>bkrcast_inbkr!M61</f>
        <v/>
      </c>
      <c r="O61" s="10">
        <f>bkrcast_outbkr!M61</f>
        <v/>
      </c>
      <c r="P61" s="10">
        <f>soundcast!M61</f>
        <v/>
      </c>
      <c r="Q61" s="53">
        <f>F61</f>
        <v/>
      </c>
    </row>
    <row r="62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>
        <f>bkrcast_all!F62</f>
        <v/>
      </c>
      <c r="H62" s="11" t="n">
        <v>51</v>
      </c>
      <c r="I62" s="51" t="n">
        <v>59.67275116775246</v>
      </c>
      <c r="J62" s="51" t="n">
        <v>20.25318213783406</v>
      </c>
      <c r="K62" s="51" t="n">
        <v>0.25</v>
      </c>
      <c r="L62" s="49">
        <f>SUM(I62:K62)</f>
        <v/>
      </c>
      <c r="M62" s="10">
        <f>bkrcast_all!M62</f>
        <v/>
      </c>
      <c r="N62" s="10">
        <f>bkrcast_inbkr!M62</f>
        <v/>
      </c>
      <c r="O62" s="10">
        <f>bkrcast_outbkr!M62</f>
        <v/>
      </c>
      <c r="P62" s="10">
        <f>soundcast!M62</f>
        <v/>
      </c>
      <c r="Q62" s="53">
        <f>F62</f>
        <v/>
      </c>
    </row>
    <row r="63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>
        <f>bkrcast_all!F63</f>
        <v/>
      </c>
      <c r="H63" s="11" t="n">
        <v>52</v>
      </c>
      <c r="I63" s="51" t="n">
        <v>60.19187127378453</v>
      </c>
      <c r="J63" s="51" t="n">
        <v>0.5</v>
      </c>
      <c r="K63" s="51" t="n">
        <v>0</v>
      </c>
      <c r="L63" s="49">
        <f>SUM(I63:K63)</f>
        <v/>
      </c>
      <c r="M63" s="10">
        <f>bkrcast_all!M63</f>
        <v/>
      </c>
      <c r="N63" s="10">
        <f>bkrcast_inbkr!M63</f>
        <v/>
      </c>
      <c r="O63" s="10">
        <f>bkrcast_outbkr!M63</f>
        <v/>
      </c>
      <c r="P63" s="10">
        <f>soundcast!M63</f>
        <v/>
      </c>
      <c r="Q63" s="53">
        <f>F63</f>
        <v/>
      </c>
    </row>
    <row r="6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>
        <f>bkrcast_all!F64</f>
        <v/>
      </c>
      <c r="H64" s="11" t="n">
        <v>53</v>
      </c>
      <c r="I64" s="51" t="n">
        <v>73.97283727283805</v>
      </c>
      <c r="J64" s="51" t="n">
        <v>10.21190476190476</v>
      </c>
      <c r="K64" s="51" t="n">
        <v>0.5</v>
      </c>
      <c r="L64" s="49">
        <f>SUM(I64:K64)</f>
        <v/>
      </c>
      <c r="M64" s="10">
        <f>bkrcast_all!M64</f>
        <v/>
      </c>
      <c r="N64" s="10">
        <f>bkrcast_inbkr!M64</f>
        <v/>
      </c>
      <c r="O64" s="10">
        <f>bkrcast_outbkr!M64</f>
        <v/>
      </c>
      <c r="P64" s="10">
        <f>soundcast!M64</f>
        <v/>
      </c>
      <c r="Q64" s="53">
        <f>F64</f>
        <v/>
      </c>
    </row>
    <row r="65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>
        <f>bkrcast_all!F65</f>
        <v/>
      </c>
      <c r="H65" s="11" t="n">
        <v>54</v>
      </c>
      <c r="I65" s="51" t="n">
        <v>59.00761229176444</v>
      </c>
      <c r="J65" s="51" t="n">
        <v>0.25</v>
      </c>
      <c r="K65" s="51" t="n">
        <v>0.75</v>
      </c>
      <c r="L65" s="49">
        <f>SUM(I65:K65)</f>
        <v/>
      </c>
      <c r="M65" s="10">
        <f>bkrcast_all!M65</f>
        <v/>
      </c>
      <c r="N65" s="10">
        <f>bkrcast_inbkr!M65</f>
        <v/>
      </c>
      <c r="O65" s="10">
        <f>bkrcast_outbkr!M65</f>
        <v/>
      </c>
      <c r="P65" s="10">
        <f>soundcast!M65</f>
        <v/>
      </c>
      <c r="Q65" s="53">
        <f>F65</f>
        <v/>
      </c>
    </row>
    <row r="66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>
        <f>bkrcast_all!F66</f>
        <v/>
      </c>
      <c r="H66" s="11" t="n">
        <v>55</v>
      </c>
      <c r="I66" s="51" t="n">
        <v>52.66589635160374</v>
      </c>
      <c r="J66" s="51" t="n">
        <v>0</v>
      </c>
      <c r="K66" s="51" t="n">
        <v>10.0048780487805</v>
      </c>
      <c r="L66" s="49">
        <f>SUM(I66:K66)</f>
        <v/>
      </c>
      <c r="M66" s="10">
        <f>bkrcast_all!M66</f>
        <v/>
      </c>
      <c r="N66" s="10">
        <f>bkrcast_inbkr!M66</f>
        <v/>
      </c>
      <c r="O66" s="10">
        <f>bkrcast_outbkr!M66</f>
        <v/>
      </c>
      <c r="P66" s="10">
        <f>soundcast!M66</f>
        <v/>
      </c>
      <c r="Q66" s="53">
        <f>F66</f>
        <v/>
      </c>
    </row>
    <row r="67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>
        <f>bkrcast_all!F67</f>
        <v/>
      </c>
      <c r="H67" s="11" t="n">
        <v>56</v>
      </c>
      <c r="I67" s="51" t="n">
        <v>38.50022595198191</v>
      </c>
      <c r="J67" s="51" t="n">
        <v>0.5</v>
      </c>
      <c r="K67" s="51" t="n">
        <v>0</v>
      </c>
      <c r="L67" s="49">
        <f>SUM(I67:K67)</f>
        <v/>
      </c>
      <c r="M67" s="10">
        <f>bkrcast_all!M67</f>
        <v/>
      </c>
      <c r="N67" s="10">
        <f>bkrcast_inbkr!M67</f>
        <v/>
      </c>
      <c r="O67" s="10">
        <f>bkrcast_outbkr!M67</f>
        <v/>
      </c>
      <c r="P67" s="10">
        <f>soundcast!M67</f>
        <v/>
      </c>
      <c r="Q67" s="53">
        <f>F67</f>
        <v/>
      </c>
    </row>
    <row r="6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>
        <f>bkrcast_all!F68</f>
        <v/>
      </c>
      <c r="H68" s="11" t="n">
        <v>57</v>
      </c>
      <c r="I68" s="51" t="n">
        <v>89.44482290208356</v>
      </c>
      <c r="J68" s="51" t="n">
        <v>0</v>
      </c>
      <c r="K68" s="51" t="n">
        <v>0</v>
      </c>
      <c r="L68" s="49">
        <f>SUM(I68:K68)</f>
        <v/>
      </c>
      <c r="M68" s="10">
        <f>bkrcast_all!M68</f>
        <v/>
      </c>
      <c r="N68" s="10">
        <f>bkrcast_inbkr!M68</f>
        <v/>
      </c>
      <c r="O68" s="10">
        <f>bkrcast_outbkr!M68</f>
        <v/>
      </c>
      <c r="P68" s="10">
        <f>soundcast!M68</f>
        <v/>
      </c>
      <c r="Q68" s="53">
        <f>F68</f>
        <v/>
      </c>
    </row>
    <row r="69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>
        <f>bkrcast_all!F69</f>
        <v/>
      </c>
      <c r="H69" s="11" t="n">
        <v>58</v>
      </c>
      <c r="I69" s="51" t="n">
        <v>29.97529639288668</v>
      </c>
      <c r="J69" s="51" t="n">
        <v>0</v>
      </c>
      <c r="K69" s="51" t="n">
        <v>0</v>
      </c>
      <c r="L69" s="49">
        <f>SUM(I69:K69)</f>
        <v/>
      </c>
      <c r="M69" s="10">
        <f>bkrcast_all!M69</f>
        <v/>
      </c>
      <c r="N69" s="10">
        <f>bkrcast_inbkr!M69</f>
        <v/>
      </c>
      <c r="O69" s="10">
        <f>bkrcast_outbkr!M69</f>
        <v/>
      </c>
      <c r="P69" s="10">
        <f>soundcast!M69</f>
        <v/>
      </c>
      <c r="Q69" s="53">
        <f>F69</f>
        <v/>
      </c>
    </row>
    <row r="70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>
        <f>bkrcast_all!F70</f>
        <v/>
      </c>
      <c r="H70" s="11" t="n">
        <v>59</v>
      </c>
      <c r="I70" s="51" t="n">
        <v>51.98170317133291</v>
      </c>
      <c r="J70" s="51" t="n">
        <v>0</v>
      </c>
      <c r="K70" s="51" t="n">
        <v>9.96815286624204</v>
      </c>
      <c r="L70" s="49">
        <f>SUM(I70:K70)</f>
        <v/>
      </c>
      <c r="M70" s="10">
        <f>bkrcast_all!M70</f>
        <v/>
      </c>
      <c r="N70" s="10">
        <f>bkrcast_inbkr!M70</f>
        <v/>
      </c>
      <c r="O70" s="10">
        <f>bkrcast_outbkr!M70</f>
        <v/>
      </c>
      <c r="P70" s="10">
        <f>soundcast!M70</f>
        <v/>
      </c>
      <c r="Q70" s="53">
        <f>F70</f>
        <v/>
      </c>
    </row>
    <row r="71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>
        <f>bkrcast_all!F71</f>
        <v/>
      </c>
      <c r="H71" s="11" t="n">
        <v>60</v>
      </c>
      <c r="I71" s="51" t="n">
        <v>5.71666666666667</v>
      </c>
      <c r="J71" s="51" t="n">
        <v>0</v>
      </c>
      <c r="K71" s="51" t="n">
        <v>0</v>
      </c>
      <c r="L71" s="49">
        <f>SUM(I71:K71)</f>
        <v/>
      </c>
      <c r="M71" s="10">
        <f>bkrcast_all!M71</f>
        <v/>
      </c>
      <c r="N71" s="10">
        <f>bkrcast_inbkr!M71</f>
        <v/>
      </c>
      <c r="O71" s="10">
        <f>bkrcast_outbkr!M71</f>
        <v/>
      </c>
      <c r="P71" s="10">
        <f>soundcast!M71</f>
        <v/>
      </c>
      <c r="Q71" s="53">
        <f>F71</f>
        <v/>
      </c>
    </row>
    <row r="72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>
        <f>bkrcast_all!F72</f>
        <v/>
      </c>
      <c r="H72" s="11" t="n">
        <v>61</v>
      </c>
      <c r="I72" s="51" t="n">
        <v>15.50967110551885</v>
      </c>
      <c r="J72" s="51" t="n">
        <v>4.9990089197225</v>
      </c>
      <c r="K72" s="51" t="n">
        <v>0</v>
      </c>
      <c r="L72" s="49">
        <f>SUM(I72:K72)</f>
        <v/>
      </c>
      <c r="M72" s="10">
        <f>bkrcast_all!M72</f>
        <v/>
      </c>
      <c r="N72" s="10">
        <f>bkrcast_inbkr!M72</f>
        <v/>
      </c>
      <c r="O72" s="10">
        <f>bkrcast_outbkr!M72</f>
        <v/>
      </c>
      <c r="P72" s="10">
        <f>soundcast!M72</f>
        <v/>
      </c>
      <c r="Q72" s="53">
        <f>F72</f>
        <v/>
      </c>
    </row>
    <row r="73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>
        <f>bkrcast_all!F73</f>
        <v/>
      </c>
      <c r="H73" s="11" t="n">
        <v>62</v>
      </c>
      <c r="I73" s="51" t="n">
        <v>1.25</v>
      </c>
      <c r="J73" s="51" t="n">
        <v>0</v>
      </c>
      <c r="K73" s="51" t="n">
        <v>0</v>
      </c>
      <c r="L73" s="49">
        <f>SUM(I73:K73)</f>
        <v/>
      </c>
      <c r="M73" s="10">
        <f>bkrcast_all!M73</f>
        <v/>
      </c>
      <c r="N73" s="10">
        <f>bkrcast_inbkr!M73</f>
        <v/>
      </c>
      <c r="O73" s="10">
        <f>bkrcast_outbkr!M73</f>
        <v/>
      </c>
      <c r="P73" s="10">
        <f>soundcast!M73</f>
        <v/>
      </c>
      <c r="Q73" s="53">
        <f>F73</f>
        <v/>
      </c>
    </row>
    <row r="7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>
        <f>bkrcast_all!F74</f>
        <v/>
      </c>
      <c r="H74" s="11" t="n">
        <v>63</v>
      </c>
      <c r="I74" s="51" t="n">
        <v>14.9042105263158</v>
      </c>
      <c r="J74" s="51" t="n">
        <v>0</v>
      </c>
      <c r="K74" s="51" t="n">
        <v>0</v>
      </c>
      <c r="L74" s="49">
        <f>SUM(I74:K74)</f>
        <v/>
      </c>
      <c r="M74" s="10">
        <f>bkrcast_all!M74</f>
        <v/>
      </c>
      <c r="N74" s="10">
        <f>bkrcast_inbkr!M74</f>
        <v/>
      </c>
      <c r="O74" s="10">
        <f>bkrcast_outbkr!M74</f>
        <v/>
      </c>
      <c r="P74" s="10">
        <f>soundcast!M74</f>
        <v/>
      </c>
      <c r="Q74" s="53">
        <f>F74</f>
        <v/>
      </c>
    </row>
    <row r="75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>
        <f>bkrcast_all!F75</f>
        <v/>
      </c>
      <c r="H75" s="11" t="n">
        <v>64</v>
      </c>
      <c r="I75" s="51" t="n">
        <v>10.002380952381</v>
      </c>
      <c r="J75" s="51" t="n">
        <v>0</v>
      </c>
      <c r="K75" s="51" t="n">
        <v>0</v>
      </c>
      <c r="L75" s="49">
        <f>SUM(I75:K75)</f>
        <v/>
      </c>
      <c r="M75" s="10">
        <f>bkrcast_all!M75</f>
        <v/>
      </c>
      <c r="N75" s="10">
        <f>bkrcast_inbkr!M75</f>
        <v/>
      </c>
      <c r="O75" s="10">
        <f>bkrcast_outbkr!M75</f>
        <v/>
      </c>
      <c r="P75" s="10">
        <f>soundcast!M75</f>
        <v/>
      </c>
      <c r="Q75" s="53">
        <f>F75</f>
        <v/>
      </c>
    </row>
    <row r="76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>
        <f>bkrcast_all!F76</f>
        <v/>
      </c>
      <c r="H76" s="11" t="n">
        <v>65</v>
      </c>
      <c r="I76" s="51" t="n">
        <v>0</v>
      </c>
      <c r="J76" s="51" t="n">
        <v>0</v>
      </c>
      <c r="K76" s="51" t="n">
        <v>0</v>
      </c>
      <c r="L76" s="49">
        <f>SUM(I76:K76)</f>
        <v/>
      </c>
      <c r="M76" s="10">
        <f>bkrcast_all!M76</f>
        <v/>
      </c>
      <c r="N76" s="10">
        <f>bkrcast_inbkr!M76</f>
        <v/>
      </c>
      <c r="O76" s="10">
        <f>bkrcast_outbkr!M76</f>
        <v/>
      </c>
      <c r="P76" s="10">
        <f>soundcast!M76</f>
        <v/>
      </c>
      <c r="Q76" s="53">
        <f>F76</f>
        <v/>
      </c>
    </row>
    <row r="77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>
        <f>bkrcast_all!F77</f>
        <v/>
      </c>
      <c r="H77" s="11" t="n">
        <v>66</v>
      </c>
      <c r="I77" s="51" t="n">
        <v>35.00133750217126</v>
      </c>
      <c r="J77" s="51" t="n">
        <v>0</v>
      </c>
      <c r="K77" s="51" t="n">
        <v>0</v>
      </c>
      <c r="L77" s="49">
        <f>SUM(I77:K77)</f>
        <v/>
      </c>
      <c r="M77" s="10">
        <f>bkrcast_all!M77</f>
        <v/>
      </c>
      <c r="N77" s="10">
        <f>bkrcast_inbkr!M77</f>
        <v/>
      </c>
      <c r="O77" s="10">
        <f>bkrcast_outbkr!M77</f>
        <v/>
      </c>
      <c r="P77" s="10">
        <f>soundcast!M77</f>
        <v/>
      </c>
      <c r="Q77" s="53">
        <f>F77</f>
        <v/>
      </c>
    </row>
    <row r="7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>
        <f>bkrcast_all!F78</f>
        <v/>
      </c>
      <c r="H78" s="11" t="n">
        <v>67</v>
      </c>
      <c r="I78" s="51" t="n">
        <v>1.99891067538126</v>
      </c>
      <c r="J78" s="51" t="n">
        <v>0</v>
      </c>
      <c r="K78" s="51" t="n">
        <v>0</v>
      </c>
      <c r="L78" s="49">
        <f>SUM(I78:K78)</f>
        <v/>
      </c>
      <c r="M78" s="10">
        <f>bkrcast_all!M78</f>
        <v/>
      </c>
      <c r="N78" s="10">
        <f>bkrcast_inbkr!M78</f>
        <v/>
      </c>
      <c r="O78" s="10">
        <f>bkrcast_outbkr!M78</f>
        <v/>
      </c>
      <c r="P78" s="10">
        <f>soundcast!M78</f>
        <v/>
      </c>
      <c r="Q78" s="53">
        <f>F78</f>
        <v/>
      </c>
    </row>
    <row r="79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>
        <f>bkrcast_all!F79</f>
        <v/>
      </c>
      <c r="H79" s="11" t="n">
        <v>68</v>
      </c>
      <c r="I79" s="51" t="n">
        <v>14.97291159772912</v>
      </c>
      <c r="J79" s="51" t="n">
        <v>0</v>
      </c>
      <c r="K79" s="51" t="n">
        <v>0.25</v>
      </c>
      <c r="L79" s="49">
        <f>SUM(I79:K79)</f>
        <v/>
      </c>
      <c r="M79" s="10">
        <f>bkrcast_all!M79</f>
        <v/>
      </c>
      <c r="N79" s="10">
        <f>bkrcast_inbkr!M79</f>
        <v/>
      </c>
      <c r="O79" s="10">
        <f>bkrcast_outbkr!M79</f>
        <v/>
      </c>
      <c r="P79" s="10">
        <f>soundcast!M79</f>
        <v/>
      </c>
      <c r="Q79" s="53">
        <f>F79</f>
        <v/>
      </c>
    </row>
    <row r="80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>
        <f>bkrcast_all!F80</f>
        <v/>
      </c>
      <c r="H80" s="11" t="n">
        <v>69</v>
      </c>
      <c r="I80" s="51" t="n">
        <v>0</v>
      </c>
      <c r="J80" s="51" t="n">
        <v>0</v>
      </c>
      <c r="K80" s="51" t="n">
        <v>0</v>
      </c>
      <c r="L80" s="49">
        <f>SUM(I80:K80)</f>
        <v/>
      </c>
      <c r="M80" s="10">
        <f>bkrcast_all!M80</f>
        <v/>
      </c>
      <c r="N80" s="10">
        <f>bkrcast_inbkr!M80</f>
        <v/>
      </c>
      <c r="O80" s="10">
        <f>bkrcast_outbkr!M80</f>
        <v/>
      </c>
      <c r="P80" s="10">
        <f>soundcast!M80</f>
        <v/>
      </c>
      <c r="Q80" s="53">
        <f>F80</f>
        <v/>
      </c>
    </row>
    <row r="81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>
        <f>bkrcast_all!F81</f>
        <v/>
      </c>
      <c r="H81" s="11" t="n">
        <v>70</v>
      </c>
      <c r="I81" s="51" t="n">
        <v>0</v>
      </c>
      <c r="J81" s="51" t="n">
        <v>0</v>
      </c>
      <c r="K81" s="51" t="n">
        <v>0</v>
      </c>
      <c r="L81" s="49">
        <f>SUM(I81:K81)</f>
        <v/>
      </c>
      <c r="M81" s="10">
        <f>bkrcast_all!M81</f>
        <v/>
      </c>
      <c r="N81" s="10">
        <f>bkrcast_inbkr!M81</f>
        <v/>
      </c>
      <c r="O81" s="10">
        <f>bkrcast_outbkr!M81</f>
        <v/>
      </c>
      <c r="P81" s="10">
        <f>soundcast!M81</f>
        <v/>
      </c>
      <c r="Q81" s="53">
        <f>F81</f>
        <v/>
      </c>
    </row>
    <row r="82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>
        <f>bkrcast_all!F82</f>
        <v/>
      </c>
      <c r="H82" s="11" t="n">
        <v>71</v>
      </c>
      <c r="I82" s="51" t="n">
        <v>0</v>
      </c>
      <c r="J82" s="51" t="n">
        <v>0</v>
      </c>
      <c r="K82" s="51" t="n">
        <v>0</v>
      </c>
      <c r="L82" s="49">
        <f>SUM(I82:K82)</f>
        <v/>
      </c>
      <c r="M82" s="10">
        <f>bkrcast_all!M82</f>
        <v/>
      </c>
      <c r="N82" s="10">
        <f>bkrcast_inbkr!M82</f>
        <v/>
      </c>
      <c r="O82" s="10">
        <f>bkrcast_outbkr!M82</f>
        <v/>
      </c>
      <c r="P82" s="10">
        <f>soundcast!M82</f>
        <v/>
      </c>
      <c r="Q82" s="53">
        <f>F82</f>
        <v/>
      </c>
    </row>
    <row r="83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>
        <f>bkrcast_all!F83</f>
        <v/>
      </c>
      <c r="H83" s="11" t="n">
        <v>72</v>
      </c>
      <c r="I83" s="51" t="n">
        <v>9.983606557377049</v>
      </c>
      <c r="J83" s="51" t="n">
        <v>0</v>
      </c>
      <c r="K83" s="51" t="n">
        <v>0</v>
      </c>
      <c r="L83" s="49">
        <f>SUM(I83:K83)</f>
        <v/>
      </c>
      <c r="M83" s="10">
        <f>bkrcast_all!M83</f>
        <v/>
      </c>
      <c r="N83" s="10">
        <f>bkrcast_inbkr!M83</f>
        <v/>
      </c>
      <c r="O83" s="10">
        <f>bkrcast_outbkr!M83</f>
        <v/>
      </c>
      <c r="P83" s="10">
        <f>soundcast!M83</f>
        <v/>
      </c>
      <c r="Q83" s="53">
        <f>F83</f>
        <v/>
      </c>
    </row>
    <row r="8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>
        <f>bkrcast_all!F84</f>
        <v/>
      </c>
      <c r="H84" s="11" t="n">
        <v>73</v>
      </c>
      <c r="I84" s="51" t="n">
        <v>0</v>
      </c>
      <c r="J84" s="51" t="n">
        <v>0</v>
      </c>
      <c r="K84" s="51" t="n">
        <v>0</v>
      </c>
      <c r="L84" s="49">
        <f>SUM(I84:K84)</f>
        <v/>
      </c>
      <c r="M84" s="10">
        <f>bkrcast_all!M84</f>
        <v/>
      </c>
      <c r="N84" s="10">
        <f>bkrcast_inbkr!M84</f>
        <v/>
      </c>
      <c r="O84" s="10">
        <f>bkrcast_outbkr!M84</f>
        <v/>
      </c>
      <c r="P84" s="10">
        <f>soundcast!M84</f>
        <v/>
      </c>
      <c r="Q84" s="53">
        <f>F84</f>
        <v/>
      </c>
    </row>
    <row r="85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>
        <f>bkrcast_all!F85</f>
        <v/>
      </c>
      <c r="H85" s="11" t="n">
        <v>74</v>
      </c>
      <c r="I85" s="51" t="n">
        <v>0</v>
      </c>
      <c r="J85" s="51" t="n">
        <v>0</v>
      </c>
      <c r="K85" s="51" t="n">
        <v>0</v>
      </c>
      <c r="L85" s="49">
        <f>SUM(I85:K85)</f>
        <v/>
      </c>
      <c r="M85" s="10">
        <f>bkrcast_all!M85</f>
        <v/>
      </c>
      <c r="N85" s="10">
        <f>bkrcast_inbkr!M85</f>
        <v/>
      </c>
      <c r="O85" s="10">
        <f>bkrcast_outbkr!M85</f>
        <v/>
      </c>
      <c r="P85" s="10">
        <f>soundcast!M85</f>
        <v/>
      </c>
      <c r="Q85" s="53">
        <f>F85</f>
        <v/>
      </c>
    </row>
    <row r="86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>
        <f>bkrcast_all!F86</f>
        <v/>
      </c>
      <c r="H86" s="11" t="n">
        <v>75</v>
      </c>
      <c r="I86" s="51" t="n">
        <v>15.22065679063504</v>
      </c>
      <c r="J86" s="51" t="n">
        <v>0</v>
      </c>
      <c r="K86" s="51" t="n">
        <v>0</v>
      </c>
      <c r="L86" s="49">
        <f>SUM(I86:K86)</f>
        <v/>
      </c>
      <c r="M86" s="10">
        <f>bkrcast_all!M86</f>
        <v/>
      </c>
      <c r="N86" s="10">
        <f>bkrcast_inbkr!M86</f>
        <v/>
      </c>
      <c r="O86" s="10">
        <f>bkrcast_outbkr!M86</f>
        <v/>
      </c>
      <c r="P86" s="10">
        <f>soundcast!M86</f>
        <v/>
      </c>
      <c r="Q86" s="53">
        <f>F86</f>
        <v/>
      </c>
    </row>
    <row r="87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>
        <f>bkrcast_all!F87</f>
        <v/>
      </c>
      <c r="H87" s="11" t="n">
        <v>76</v>
      </c>
      <c r="I87" s="51" t="n">
        <v>10.0714285714286</v>
      </c>
      <c r="J87" s="51" t="n">
        <v>0</v>
      </c>
      <c r="K87" s="51" t="n">
        <v>0</v>
      </c>
      <c r="L87" s="49">
        <f>SUM(I87:K87)</f>
        <v/>
      </c>
      <c r="M87" s="10">
        <f>bkrcast_all!M87</f>
        <v/>
      </c>
      <c r="N87" s="10">
        <f>bkrcast_inbkr!M87</f>
        <v/>
      </c>
      <c r="O87" s="10">
        <f>bkrcast_outbkr!M87</f>
        <v/>
      </c>
      <c r="P87" s="10">
        <f>soundcast!M87</f>
        <v/>
      </c>
      <c r="Q87" s="53">
        <f>F87</f>
        <v/>
      </c>
    </row>
    <row r="8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>
        <f>bkrcast_all!F88</f>
        <v/>
      </c>
      <c r="H88" s="11" t="n">
        <v>77</v>
      </c>
      <c r="I88" s="51" t="n">
        <v>0</v>
      </c>
      <c r="J88" s="51" t="n">
        <v>0</v>
      </c>
      <c r="K88" s="51" t="n">
        <v>0</v>
      </c>
      <c r="L88" s="49">
        <f>SUM(I88:K88)</f>
        <v/>
      </c>
      <c r="M88" s="10">
        <f>bkrcast_all!M88</f>
        <v/>
      </c>
      <c r="N88" s="10">
        <f>bkrcast_inbkr!M88</f>
        <v/>
      </c>
      <c r="O88" s="10">
        <f>bkrcast_outbkr!M88</f>
        <v/>
      </c>
      <c r="P88" s="10">
        <f>soundcast!M88</f>
        <v/>
      </c>
      <c r="Q88" s="53">
        <f>F88</f>
        <v/>
      </c>
    </row>
    <row r="89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>
        <f>bkrcast_all!F89</f>
        <v/>
      </c>
      <c r="H89" s="11" t="n">
        <v>78</v>
      </c>
      <c r="I89" s="51" t="n">
        <v>0</v>
      </c>
      <c r="J89" s="51" t="n">
        <v>0</v>
      </c>
      <c r="K89" s="51" t="n">
        <v>0</v>
      </c>
      <c r="L89" s="49">
        <f>SUM(I89:K89)</f>
        <v/>
      </c>
      <c r="M89" s="10">
        <f>bkrcast_all!M89</f>
        <v/>
      </c>
      <c r="N89" s="10">
        <f>bkrcast_inbkr!M89</f>
        <v/>
      </c>
      <c r="O89" s="10">
        <f>bkrcast_outbkr!M89</f>
        <v/>
      </c>
      <c r="P89" s="10">
        <f>soundcast!M89</f>
        <v/>
      </c>
      <c r="Q89" s="53">
        <f>F89</f>
        <v/>
      </c>
    </row>
    <row r="90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>
        <f>bkrcast_all!F90</f>
        <v/>
      </c>
      <c r="H90" s="11" t="n">
        <v>79</v>
      </c>
      <c r="I90" s="51" t="n">
        <v>0</v>
      </c>
      <c r="J90" s="51" t="n">
        <v>0</v>
      </c>
      <c r="K90" s="51" t="n">
        <v>0</v>
      </c>
      <c r="L90" s="49">
        <f>SUM(I90:K90)</f>
        <v/>
      </c>
      <c r="M90" s="10">
        <f>bkrcast_all!M90</f>
        <v/>
      </c>
      <c r="N90" s="10">
        <f>bkrcast_inbkr!M90</f>
        <v/>
      </c>
      <c r="O90" s="10">
        <f>bkrcast_outbkr!M90</f>
        <v/>
      </c>
      <c r="P90" s="10">
        <f>soundcast!M90</f>
        <v/>
      </c>
      <c r="Q90" s="53">
        <f>F90</f>
        <v/>
      </c>
    </row>
    <row r="91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>
        <f>bkrcast_all!F91</f>
        <v/>
      </c>
      <c r="H91" s="11" t="n">
        <v>80</v>
      </c>
      <c r="I91" s="51" t="n">
        <v>0</v>
      </c>
      <c r="J91" s="51" t="n">
        <v>0</v>
      </c>
      <c r="K91" s="51" t="n">
        <v>0</v>
      </c>
      <c r="L91" s="49">
        <f>SUM(I91:K91)</f>
        <v/>
      </c>
      <c r="M91" s="10">
        <f>bkrcast_all!M91</f>
        <v/>
      </c>
      <c r="N91" s="10">
        <f>bkrcast_inbkr!M91</f>
        <v/>
      </c>
      <c r="O91" s="10">
        <f>bkrcast_outbkr!M91</f>
        <v/>
      </c>
      <c r="P91" s="10">
        <f>soundcast!M91</f>
        <v/>
      </c>
      <c r="Q91" s="53">
        <f>F91</f>
        <v/>
      </c>
    </row>
    <row r="92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>
        <f>bkrcast_all!F92</f>
        <v/>
      </c>
      <c r="H92" s="11" t="n">
        <v>81</v>
      </c>
      <c r="I92" s="51" t="n">
        <v>0</v>
      </c>
      <c r="J92" s="51" t="n">
        <v>0</v>
      </c>
      <c r="K92" s="51" t="n">
        <v>0</v>
      </c>
      <c r="L92" s="49">
        <f>SUM(I92:K92)</f>
        <v/>
      </c>
      <c r="M92" s="10">
        <f>bkrcast_all!M92</f>
        <v/>
      </c>
      <c r="N92" s="10">
        <f>bkrcast_inbkr!M92</f>
        <v/>
      </c>
      <c r="O92" s="10">
        <f>bkrcast_outbkr!M92</f>
        <v/>
      </c>
      <c r="P92" s="10">
        <f>soundcast!M92</f>
        <v/>
      </c>
      <c r="Q92" s="53">
        <f>F92</f>
        <v/>
      </c>
    </row>
    <row r="93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>
        <f>bkrcast_all!F93</f>
        <v/>
      </c>
      <c r="H93" s="11" t="n">
        <v>82</v>
      </c>
      <c r="I93" s="51" t="n">
        <v>0</v>
      </c>
      <c r="J93" s="51" t="n">
        <v>0</v>
      </c>
      <c r="K93" s="51" t="n">
        <v>0</v>
      </c>
      <c r="L93" s="49">
        <f>SUM(I93:K93)</f>
        <v/>
      </c>
      <c r="M93" s="10">
        <f>bkrcast_all!M93</f>
        <v/>
      </c>
      <c r="N93" s="10">
        <f>bkrcast_inbkr!M93</f>
        <v/>
      </c>
      <c r="O93" s="10">
        <f>bkrcast_outbkr!M93</f>
        <v/>
      </c>
      <c r="P93" s="10">
        <f>soundcast!M93</f>
        <v/>
      </c>
      <c r="Q93" s="53">
        <f>F93</f>
        <v/>
      </c>
    </row>
    <row r="9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>
        <f>bkrcast_all!F94</f>
        <v/>
      </c>
      <c r="H94" s="11" t="n">
        <v>83</v>
      </c>
      <c r="I94" s="51" t="n">
        <v>9.94047619047619</v>
      </c>
      <c r="J94" s="51" t="n">
        <v>0</v>
      </c>
      <c r="K94" s="51" t="n">
        <v>0</v>
      </c>
      <c r="L94" s="49">
        <f>SUM(I94:K94)</f>
        <v/>
      </c>
      <c r="M94" s="10">
        <f>bkrcast_all!M94</f>
        <v/>
      </c>
      <c r="N94" s="10">
        <f>bkrcast_inbkr!M94</f>
        <v/>
      </c>
      <c r="O94" s="10">
        <f>bkrcast_outbkr!M94</f>
        <v/>
      </c>
      <c r="P94" s="10">
        <f>soundcast!M94</f>
        <v/>
      </c>
      <c r="Q94" s="53">
        <f>F94</f>
        <v/>
      </c>
    </row>
    <row r="95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>
        <f>bkrcast_all!F95</f>
        <v/>
      </c>
      <c r="H95" s="11" t="n">
        <v>84</v>
      </c>
      <c r="I95" s="51" t="n">
        <v>0</v>
      </c>
      <c r="J95" s="51" t="n">
        <v>0</v>
      </c>
      <c r="K95" s="51" t="n">
        <v>0</v>
      </c>
      <c r="L95" s="49">
        <f>SUM(I95:K95)</f>
        <v/>
      </c>
      <c r="M95" s="10">
        <f>bkrcast_all!M95</f>
        <v/>
      </c>
      <c r="N95" s="10">
        <f>bkrcast_inbkr!M95</f>
        <v/>
      </c>
      <c r="O95" s="10">
        <f>bkrcast_outbkr!M95</f>
        <v/>
      </c>
      <c r="P95" s="10">
        <f>soundcast!M95</f>
        <v/>
      </c>
      <c r="Q95" s="53">
        <f>F95</f>
        <v/>
      </c>
    </row>
    <row r="96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>
        <f>bkrcast_all!F96</f>
        <v/>
      </c>
      <c r="H96" s="11" t="n">
        <v>85</v>
      </c>
      <c r="I96" s="51" t="n">
        <v>0.25</v>
      </c>
      <c r="J96" s="51" t="n">
        <v>0</v>
      </c>
      <c r="K96" s="51" t="n">
        <v>0</v>
      </c>
      <c r="L96" s="49">
        <f>SUM(I96:K96)</f>
        <v/>
      </c>
      <c r="M96" s="10">
        <f>bkrcast_all!M96</f>
        <v/>
      </c>
      <c r="N96" s="10">
        <f>bkrcast_inbkr!M96</f>
        <v/>
      </c>
      <c r="O96" s="10">
        <f>bkrcast_outbkr!M96</f>
        <v/>
      </c>
      <c r="P96" s="10">
        <f>soundcast!M96</f>
        <v/>
      </c>
      <c r="Q96" s="53">
        <f>F96</f>
        <v/>
      </c>
    </row>
    <row r="97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>
        <f>bkrcast_all!F97</f>
        <v/>
      </c>
      <c r="H97" s="11" t="n">
        <v>86</v>
      </c>
      <c r="I97" s="51" t="n">
        <v>0</v>
      </c>
      <c r="J97" s="51" t="n">
        <v>0</v>
      </c>
      <c r="K97" s="51" t="n">
        <v>0</v>
      </c>
      <c r="L97" s="49">
        <f>SUM(I97:K97)</f>
        <v/>
      </c>
      <c r="M97" s="10">
        <f>bkrcast_all!M97</f>
        <v/>
      </c>
      <c r="N97" s="10">
        <f>bkrcast_inbkr!M97</f>
        <v/>
      </c>
      <c r="O97" s="10">
        <f>bkrcast_outbkr!M97</f>
        <v/>
      </c>
      <c r="P97" s="10">
        <f>soundcast!M97</f>
        <v/>
      </c>
      <c r="Q97" s="53">
        <f>F97</f>
        <v/>
      </c>
    </row>
    <row r="9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>
        <f>bkrcast_all!F98</f>
        <v/>
      </c>
      <c r="H98" s="11" t="n">
        <v>87</v>
      </c>
      <c r="I98" s="51" t="n">
        <v>0</v>
      </c>
      <c r="J98" s="51" t="n">
        <v>0</v>
      </c>
      <c r="K98" s="51" t="n">
        <v>0</v>
      </c>
      <c r="L98" s="49">
        <f>SUM(I98:K98)</f>
        <v/>
      </c>
      <c r="M98" s="10">
        <f>bkrcast_all!M98</f>
        <v/>
      </c>
      <c r="N98" s="10">
        <f>bkrcast_inbkr!M98</f>
        <v/>
      </c>
      <c r="O98" s="10">
        <f>bkrcast_outbkr!M98</f>
        <v/>
      </c>
      <c r="P98" s="10">
        <f>soundcast!M98</f>
        <v/>
      </c>
      <c r="Q98" s="53">
        <f>F98</f>
        <v/>
      </c>
    </row>
    <row r="99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>
        <f>bkrcast_all!F99</f>
        <v/>
      </c>
      <c r="H99" s="11" t="n">
        <v>88</v>
      </c>
      <c r="I99" s="51" t="n">
        <v>0</v>
      </c>
      <c r="J99" s="51" t="n">
        <v>0</v>
      </c>
      <c r="K99" s="51" t="n">
        <v>0</v>
      </c>
      <c r="L99" s="49">
        <f>SUM(I99:K99)</f>
        <v/>
      </c>
      <c r="M99" s="10">
        <f>bkrcast_all!M99</f>
        <v/>
      </c>
      <c r="N99" s="10">
        <f>bkrcast_inbkr!M99</f>
        <v/>
      </c>
      <c r="O99" s="10">
        <f>bkrcast_outbkr!M99</f>
        <v/>
      </c>
      <c r="P99" s="10">
        <f>soundcast!M99</f>
        <v/>
      </c>
      <c r="Q99" s="53">
        <f>F99</f>
        <v/>
      </c>
    </row>
    <row r="100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>
        <f>bkrcast_all!F100</f>
        <v/>
      </c>
      <c r="H100" s="11" t="n">
        <v>89</v>
      </c>
      <c r="I100" s="51" t="n">
        <v>0</v>
      </c>
      <c r="J100" s="51" t="n">
        <v>0</v>
      </c>
      <c r="K100" s="51" t="n">
        <v>0</v>
      </c>
      <c r="L100" s="49">
        <f>SUM(I100:K100)</f>
        <v/>
      </c>
      <c r="M100" s="10">
        <f>bkrcast_all!M100</f>
        <v/>
      </c>
      <c r="N100" s="10">
        <f>bkrcast_inbkr!M100</f>
        <v/>
      </c>
      <c r="O100" s="10">
        <f>bkrcast_outbkr!M100</f>
        <v/>
      </c>
      <c r="P100" s="10">
        <f>soundcast!M100</f>
        <v/>
      </c>
      <c r="Q100" s="53">
        <f>F100</f>
        <v/>
      </c>
    </row>
    <row r="101" ht="15.75" customHeight="1" s="52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>
        <f>bkrcast_all!F101</f>
        <v/>
      </c>
      <c r="H101" s="12" t="n">
        <v>90</v>
      </c>
      <c r="I101" s="50" t="n">
        <v>0</v>
      </c>
      <c r="J101" s="50" t="n">
        <v>0</v>
      </c>
      <c r="K101" s="50" t="n">
        <v>0</v>
      </c>
      <c r="L101" s="50">
        <f>SUM(I101:K101)</f>
        <v/>
      </c>
      <c r="M101" s="10">
        <f>bkrcast_all!M101</f>
        <v/>
      </c>
      <c r="N101" s="10">
        <f>bkrcast_inbkr!M101</f>
        <v/>
      </c>
      <c r="O101" s="10">
        <f>bkrcast_outbkr!M101</f>
        <v/>
      </c>
      <c r="P101" s="10">
        <f>soundcast!M101</f>
        <v/>
      </c>
      <c r="Q101" s="53">
        <f>F101</f>
        <v/>
      </c>
    </row>
    <row r="102">
      <c r="B102" s="49" t="n"/>
      <c r="C102" s="49" t="n"/>
      <c r="D102" s="49" t="n"/>
      <c r="E102" s="49" t="n">
        <v>181346.2511604663</v>
      </c>
      <c r="F102" s="10">
        <f>bkrcast_all!F102</f>
        <v/>
      </c>
      <c r="I102" s="49" t="n"/>
      <c r="J102" s="49" t="n"/>
      <c r="K102" s="49" t="n"/>
      <c r="L102" s="49">
        <f>SUM(L11:L101)</f>
        <v/>
      </c>
      <c r="M102" s="10">
        <f>L102/$L$102</f>
        <v/>
      </c>
      <c r="N102" s="10" t="n">
        <v>1</v>
      </c>
      <c r="O102" s="10" t="n">
        <v>1</v>
      </c>
      <c r="P102" s="10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/>
  <cols>
    <col collapsed="1" width="13.5703125" customWidth="1" style="52" min="1" max="1"/>
    <col collapsed="1" width="10.5703125" customWidth="1" style="52" min="2" max="2"/>
    <col collapsed="1" width="9.28515625" customWidth="1" style="52" min="3" max="4"/>
    <col collapsed="1" width="10.5703125" customWidth="1" style="52" min="5" max="5"/>
    <col collapsed="1" width="10.5703125" customWidth="1" style="52" min="9" max="9"/>
    <col collapsed="1" width="9.5703125" customWidth="1" style="52" min="10" max="11"/>
    <col collapsed="1" width="10.5703125" customWidth="1" style="52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52">
      <c r="A9" s="3" t="inlineStr">
        <is>
          <t>Table X. Observed Trip Lengths: Survey</t>
        </is>
      </c>
      <c r="B9" s="1" t="n"/>
      <c r="C9" s="1" t="n"/>
      <c r="D9" s="1" t="n"/>
      <c r="E9" s="1" t="n"/>
      <c r="F9" s="1" t="n"/>
      <c r="H9" s="3" t="inlineStr">
        <is>
          <t>Table X. Estimated Trip Lengths</t>
        </is>
      </c>
      <c r="I9" s="1" t="n"/>
      <c r="J9" s="1" t="n"/>
      <c r="K9" s="1" t="n"/>
      <c r="L9" s="1" t="n"/>
      <c r="M9" s="1" t="n"/>
      <c r="P9" s="7" t="inlineStr">
        <is>
          <t>Table X. Average Trip Length</t>
        </is>
      </c>
    </row>
    <row r="10">
      <c r="A10" s="2" t="inlineStr">
        <is>
          <t>Distance (mi)</t>
        </is>
      </c>
      <c r="B10" s="17" t="inlineStr">
        <is>
          <t>FT</t>
        </is>
      </c>
      <c r="C10" s="17" t="inlineStr">
        <is>
          <t>PT</t>
        </is>
      </c>
      <c r="D10" s="17" t="inlineStr">
        <is>
          <t>NotFTPT</t>
        </is>
      </c>
      <c r="E10" s="17" t="inlineStr">
        <is>
          <t>Total</t>
        </is>
      </c>
      <c r="F10" s="9" t="inlineStr">
        <is>
          <t>Survey</t>
        </is>
      </c>
      <c r="H10" s="2" t="inlineStr">
        <is>
          <t>Distance (mi)</t>
        </is>
      </c>
      <c r="I10" s="17" t="inlineStr">
        <is>
          <t>FT</t>
        </is>
      </c>
      <c r="J10" s="17" t="inlineStr">
        <is>
          <t>PT</t>
        </is>
      </c>
      <c r="K10" s="17" t="inlineStr">
        <is>
          <t>NotFTPT</t>
        </is>
      </c>
      <c r="L10" s="17" t="inlineStr">
        <is>
          <t>Total</t>
        </is>
      </c>
      <c r="M10" s="9" t="inlineStr">
        <is>
          <t>DaySim</t>
        </is>
      </c>
      <c r="P10" s="2" t="n"/>
      <c r="Q10" s="17" t="inlineStr">
        <is>
          <t>Survey</t>
        </is>
      </c>
      <c r="R10" s="17" t="inlineStr">
        <is>
          <t>DaySim</t>
        </is>
      </c>
    </row>
    <row r="11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 t="n">
        <v>0.32572519681531</v>
      </c>
      <c r="H11" s="11" t="n">
        <v>0</v>
      </c>
      <c r="I11" s="51" t="n">
        <v>26541</v>
      </c>
      <c r="J11" s="51" t="n">
        <v>22203</v>
      </c>
      <c r="K11" s="51" t="n">
        <v>9294</v>
      </c>
      <c r="L11" s="49" t="n">
        <v>58038</v>
      </c>
      <c r="M11" s="10" t="n">
        <v>0.3234017418826374</v>
      </c>
      <c r="P11" t="inlineStr">
        <is>
          <t>FT</t>
        </is>
      </c>
      <c r="Q11" s="5" t="n">
        <v>2.505919755669253</v>
      </c>
      <c r="R11" s="5" t="n">
        <v>5.668088812237418</v>
      </c>
    </row>
    <row r="12">
      <c r="A12" t="n">
        <v>1</v>
      </c>
      <c r="B12" s="49" t="n">
        <v>59588.21126732555</v>
      </c>
      <c r="C12" s="49" t="n">
        <v>1405.623795402548</v>
      </c>
      <c r="D12" s="49" t="n">
        <v>991.3475860719273</v>
      </c>
      <c r="E12" s="49" t="n">
        <v>61985.18264880003</v>
      </c>
      <c r="F12" s="10" t="n">
        <v>0.2379523786395649</v>
      </c>
      <c r="H12" s="11" t="n">
        <v>1</v>
      </c>
      <c r="I12" s="51" t="n">
        <v>17258</v>
      </c>
      <c r="J12" s="51" t="n">
        <v>9967</v>
      </c>
      <c r="K12" s="51" t="n">
        <v>3911</v>
      </c>
      <c r="L12" s="49" t="n">
        <v>31136</v>
      </c>
      <c r="M12" s="10" t="n">
        <v>0.1734973058213205</v>
      </c>
      <c r="P12" t="inlineStr">
        <is>
          <t>PT</t>
        </is>
      </c>
      <c r="Q12" s="5" t="n">
        <v>3.033031225889374</v>
      </c>
      <c r="R12" s="5" t="n">
        <v>2.868584409765313</v>
      </c>
    </row>
    <row r="13">
      <c r="A13" t="n">
        <v>2</v>
      </c>
      <c r="B13" s="49" t="n">
        <v>39934.99247009906</v>
      </c>
      <c r="C13" s="49" t="n">
        <v>1082.872161554742</v>
      </c>
      <c r="D13" s="49" t="n">
        <v>918.2389923725835</v>
      </c>
      <c r="E13" s="49" t="n">
        <v>41936.10362402639</v>
      </c>
      <c r="F13" s="10" t="n">
        <v>0.160986790419751</v>
      </c>
      <c r="H13" s="11" t="n">
        <v>2</v>
      </c>
      <c r="I13" s="51" t="n">
        <v>12192</v>
      </c>
      <c r="J13" s="51" t="n">
        <v>6360</v>
      </c>
      <c r="K13" s="51" t="n">
        <v>2631</v>
      </c>
      <c r="L13" s="49" t="n">
        <v>21183</v>
      </c>
      <c r="M13" s="10" t="n">
        <v>0.118036787937212</v>
      </c>
      <c r="P13" s="4" t="inlineStr">
        <is>
          <t>NotFTPT</t>
        </is>
      </c>
      <c r="Q13" s="8" t="n">
        <v>1.934463824464156</v>
      </c>
      <c r="R13" s="8" t="n">
        <v>2.643972326756247</v>
      </c>
    </row>
    <row r="14" ht="15.75" customHeight="1" s="52">
      <c r="A14" t="n">
        <v>3</v>
      </c>
      <c r="B14" s="49" t="n">
        <v>24899.53511054424</v>
      </c>
      <c r="C14" s="49" t="n">
        <v>779.9297584983456</v>
      </c>
      <c r="D14" s="49" t="n">
        <v>755.2499418958279</v>
      </c>
      <c r="E14" s="49" t="n">
        <v>26434.71481093841</v>
      </c>
      <c r="F14" s="10" t="n">
        <v>0.1014791438715411</v>
      </c>
      <c r="H14" s="11" t="n">
        <v>3</v>
      </c>
      <c r="I14" s="51" t="n">
        <v>8488</v>
      </c>
      <c r="J14" s="51" t="n">
        <v>3834</v>
      </c>
      <c r="K14" s="51" t="n">
        <v>1473</v>
      </c>
      <c r="L14" s="49" t="n">
        <v>13795</v>
      </c>
      <c r="M14" s="10" t="n">
        <v>0.07686906904564222</v>
      </c>
      <c r="P14" s="1" t="inlineStr">
        <is>
          <t>Total</t>
        </is>
      </c>
      <c r="Q14" s="6" t="n">
        <v>2.505392979926509</v>
      </c>
      <c r="R14" s="6" t="n">
        <v>4.472355808838548</v>
      </c>
    </row>
    <row r="15">
      <c r="A15" t="n">
        <v>4</v>
      </c>
      <c r="B15" s="49" t="n">
        <v>14675.3382274198</v>
      </c>
      <c r="C15" s="49" t="n">
        <v>520.0287434399543</v>
      </c>
      <c r="D15" s="49" t="n">
        <v>543.5682449996193</v>
      </c>
      <c r="E15" s="49" t="n">
        <v>15738.93521585937</v>
      </c>
      <c r="F15" s="10" t="n">
        <v>0.0604195537034568</v>
      </c>
      <c r="H15" s="11" t="n">
        <v>4</v>
      </c>
      <c r="I15" s="51" t="n">
        <v>6579</v>
      </c>
      <c r="J15" s="51" t="n">
        <v>2603</v>
      </c>
      <c r="K15" s="51" t="n">
        <v>1103</v>
      </c>
      <c r="L15" s="49" t="n">
        <v>10285</v>
      </c>
      <c r="M15" s="10" t="n">
        <v>0.05731050200322076</v>
      </c>
    </row>
    <row r="16">
      <c r="A16" t="n">
        <v>5</v>
      </c>
      <c r="B16" s="49" t="n">
        <v>8358.709206353069</v>
      </c>
      <c r="C16" s="49" t="n">
        <v>320.4372500714323</v>
      </c>
      <c r="D16" s="49" t="n">
        <v>344.5342430961018</v>
      </c>
      <c r="E16" s="49" t="n">
        <v>9023.680699520603</v>
      </c>
      <c r="F16" s="10" t="n">
        <v>0.03464063821027441</v>
      </c>
      <c r="H16" s="11" t="n">
        <v>5</v>
      </c>
      <c r="I16" s="51" t="n">
        <v>4748</v>
      </c>
      <c r="J16" s="51" t="n">
        <v>2030</v>
      </c>
      <c r="K16" s="51" t="n">
        <v>726</v>
      </c>
      <c r="L16" s="49" t="n">
        <v>7504</v>
      </c>
      <c r="M16" s="10" t="n">
        <v>0.04181409888499451</v>
      </c>
    </row>
    <row r="17">
      <c r="A17" t="n">
        <v>6</v>
      </c>
      <c r="B17" s="49" t="n">
        <v>4711.335966089855</v>
      </c>
      <c r="C17" s="49" t="n">
        <v>183.7451128908089</v>
      </c>
      <c r="D17" s="49" t="n">
        <v>197.7553106106296</v>
      </c>
      <c r="E17" s="49" t="n">
        <v>5092.836389591293</v>
      </c>
      <c r="F17" s="10" t="n">
        <v>0.01955068100374215</v>
      </c>
      <c r="H17" s="11" t="n">
        <v>6</v>
      </c>
      <c r="I17" s="51" t="n">
        <v>3550</v>
      </c>
      <c r="J17" s="51" t="n">
        <v>1434</v>
      </c>
      <c r="K17" s="51" t="n">
        <v>497</v>
      </c>
      <c r="L17" s="49" t="n">
        <v>5481</v>
      </c>
      <c r="M17" s="10" t="n">
        <v>0.03054145468931968</v>
      </c>
    </row>
    <row r="18">
      <c r="A18" t="n">
        <v>7</v>
      </c>
      <c r="B18" s="49" t="n">
        <v>2699.740779688622</v>
      </c>
      <c r="C18" s="49" t="n">
        <v>100.6501711968213</v>
      </c>
      <c r="D18" s="49" t="n">
        <v>108.6644677509598</v>
      </c>
      <c r="E18" s="49" t="n">
        <v>2909.055418636403</v>
      </c>
      <c r="F18" s="10" t="n">
        <v>0.0111674536861633</v>
      </c>
      <c r="H18" s="11" t="n">
        <v>7</v>
      </c>
      <c r="I18" s="51" t="n">
        <v>2796</v>
      </c>
      <c r="J18" s="51" t="n">
        <v>1003</v>
      </c>
      <c r="K18" s="51" t="n">
        <v>372</v>
      </c>
      <c r="L18" s="49" t="n">
        <v>4171</v>
      </c>
      <c r="M18" s="10" t="n">
        <v>0.02324181855667805</v>
      </c>
    </row>
    <row r="19">
      <c r="A19" t="n">
        <v>8</v>
      </c>
      <c r="B19" s="49" t="n">
        <v>1647.718480947164</v>
      </c>
      <c r="C19" s="49" t="n">
        <v>57.47681861978644</v>
      </c>
      <c r="D19" s="49" t="n">
        <v>61.77019094652493</v>
      </c>
      <c r="E19" s="49" t="n">
        <v>1766.965490513476</v>
      </c>
      <c r="F19" s="10" t="n">
        <v>0.006783131443266736</v>
      </c>
      <c r="H19" s="11" t="n">
        <v>8</v>
      </c>
      <c r="I19" s="51" t="n">
        <v>2345</v>
      </c>
      <c r="J19" s="51" t="n">
        <v>741</v>
      </c>
      <c r="K19" s="51" t="n">
        <v>266</v>
      </c>
      <c r="L19" s="49" t="n">
        <v>3352</v>
      </c>
      <c r="M19" s="10" t="n">
        <v>0.01867815291344637</v>
      </c>
    </row>
    <row r="20">
      <c r="A20" t="n">
        <v>9</v>
      </c>
      <c r="B20" s="49" t="n">
        <v>1149.702420881481</v>
      </c>
      <c r="C20" s="49" t="n">
        <v>40.62105508563744</v>
      </c>
      <c r="D20" s="49" t="n">
        <v>38.25262385853878</v>
      </c>
      <c r="E20" s="49" t="n">
        <v>1228.576099825657</v>
      </c>
      <c r="F20" s="10" t="n">
        <v>0.004716330464808176</v>
      </c>
      <c r="H20" s="11" t="n">
        <v>9</v>
      </c>
      <c r="I20" s="51" t="n">
        <v>1952</v>
      </c>
      <c r="J20" s="51" t="n">
        <v>501</v>
      </c>
      <c r="K20" s="51" t="n">
        <v>175</v>
      </c>
      <c r="L20" s="49" t="n">
        <v>2628</v>
      </c>
      <c r="M20" s="10" t="n">
        <v>0.01464385019586428</v>
      </c>
    </row>
    <row r="21">
      <c r="A21" t="n">
        <v>10</v>
      </c>
      <c r="B21" s="49" t="n">
        <v>947.2326060236538</v>
      </c>
      <c r="C21" s="49" t="n">
        <v>37.54666028904565</v>
      </c>
      <c r="D21" s="49" t="n">
        <v>25.06367063682423</v>
      </c>
      <c r="E21" s="49" t="n">
        <v>1009.842936949524</v>
      </c>
      <c r="F21" s="10" t="n">
        <v>0.003876644685569145</v>
      </c>
      <c r="H21" s="11" t="n">
        <v>10</v>
      </c>
      <c r="I21" s="51" t="n">
        <v>1765</v>
      </c>
      <c r="J21" s="51" t="n">
        <v>408</v>
      </c>
      <c r="K21" s="51" t="n">
        <v>159</v>
      </c>
      <c r="L21" s="49" t="n">
        <v>2332</v>
      </c>
      <c r="M21" s="10" t="n">
        <v>0.01299446676436663</v>
      </c>
    </row>
    <row r="22">
      <c r="A22" t="n">
        <v>11</v>
      </c>
      <c r="B22" s="49" t="n">
        <v>866.6089729900007</v>
      </c>
      <c r="C22" s="49" t="n">
        <v>37.80721319357123</v>
      </c>
      <c r="D22" s="49" t="n">
        <v>15.95693242062146</v>
      </c>
      <c r="E22" s="49" t="n">
        <v>920.3731186041933</v>
      </c>
      <c r="F22" s="10" t="n">
        <v>0.003533182664777095</v>
      </c>
      <c r="H22" s="11" t="n">
        <v>11</v>
      </c>
      <c r="I22" s="51" t="n">
        <v>1605</v>
      </c>
      <c r="J22" s="51" t="n">
        <v>357</v>
      </c>
      <c r="K22" s="51" t="n">
        <v>108</v>
      </c>
      <c r="L22" s="49" t="n">
        <v>2070</v>
      </c>
      <c r="M22" s="10" t="n">
        <v>0.01153453953783831</v>
      </c>
    </row>
    <row r="23">
      <c r="A23" t="n">
        <v>12</v>
      </c>
      <c r="B23" s="49" t="n">
        <v>806.5000572576066</v>
      </c>
      <c r="C23" s="49" t="n">
        <v>35.1770420052861</v>
      </c>
      <c r="D23" s="49" t="n">
        <v>9.111501498172185</v>
      </c>
      <c r="E23" s="49" t="n">
        <v>850.7886007610649</v>
      </c>
      <c r="F23" s="10" t="n">
        <v>0.003266057509543238</v>
      </c>
      <c r="H23" s="11" t="n">
        <v>12</v>
      </c>
      <c r="I23" s="51" t="n">
        <v>1502</v>
      </c>
      <c r="J23" s="51" t="n">
        <v>270</v>
      </c>
      <c r="K23" s="51" t="n">
        <v>92</v>
      </c>
      <c r="L23" s="49" t="n">
        <v>1864</v>
      </c>
      <c r="M23" s="10" t="n">
        <v>0.0103866578253771</v>
      </c>
    </row>
    <row r="24">
      <c r="A24" t="n">
        <v>13</v>
      </c>
      <c r="B24" s="49" t="n">
        <v>728.1855391743456</v>
      </c>
      <c r="C24" s="49" t="n">
        <v>28.97713230758322</v>
      </c>
      <c r="D24" s="49" t="n">
        <v>4.4149706656231</v>
      </c>
      <c r="E24" s="49" t="n">
        <v>761.577642147552</v>
      </c>
      <c r="F24" s="10" t="n">
        <v>0.002923589214772276</v>
      </c>
      <c r="H24" s="11" t="n">
        <v>13</v>
      </c>
      <c r="I24" s="51" t="n">
        <v>1324</v>
      </c>
      <c r="J24" s="51" t="n">
        <v>275</v>
      </c>
      <c r="K24" s="51" t="n">
        <v>71</v>
      </c>
      <c r="L24" s="49" t="n">
        <v>1670</v>
      </c>
      <c r="M24" s="10" t="n">
        <v>0.009305643008787425</v>
      </c>
    </row>
    <row r="25">
      <c r="A25" t="n">
        <v>14</v>
      </c>
      <c r="B25" s="49" t="n">
        <v>629.8283129324718</v>
      </c>
      <c r="C25" s="49" t="n">
        <v>22.91824743457952</v>
      </c>
      <c r="D25" s="49" t="n">
        <v>1.745488674421784</v>
      </c>
      <c r="E25" s="49" t="n">
        <v>654.4920490414731</v>
      </c>
      <c r="F25" s="10" t="n">
        <v>0.00251250271782681</v>
      </c>
      <c r="H25" s="11" t="n">
        <v>14</v>
      </c>
      <c r="I25" s="51" t="n">
        <v>1237</v>
      </c>
      <c r="J25" s="51" t="n">
        <v>205</v>
      </c>
      <c r="K25" s="51" t="n">
        <v>72</v>
      </c>
      <c r="L25" s="49" t="n">
        <v>1514</v>
      </c>
      <c r="M25" s="10" t="n">
        <v>0.008436373362457582</v>
      </c>
    </row>
    <row r="26">
      <c r="A26" t="n">
        <v>15</v>
      </c>
      <c r="B26" s="49" t="n">
        <v>520.6170310116552</v>
      </c>
      <c r="C26" s="49" t="n">
        <v>21.90580053746016</v>
      </c>
      <c r="D26" s="49" t="n">
        <v>0.5435465759455891</v>
      </c>
      <c r="E26" s="49" t="n">
        <v>543.066378125061</v>
      </c>
      <c r="F26" s="10" t="n">
        <v>0.002084755273953094</v>
      </c>
      <c r="H26" s="11" t="n">
        <v>15</v>
      </c>
      <c r="I26" s="51" t="n">
        <v>1130</v>
      </c>
      <c r="J26" s="51" t="n">
        <v>169</v>
      </c>
      <c r="K26" s="51" t="n">
        <v>64</v>
      </c>
      <c r="L26" s="49" t="n">
        <v>1363</v>
      </c>
      <c r="M26" s="10" t="n">
        <v>0.007594964922740874</v>
      </c>
    </row>
    <row r="27">
      <c r="A27" t="n">
        <v>16</v>
      </c>
      <c r="B27" s="49" t="n">
        <v>410.1283663813879</v>
      </c>
      <c r="C27" s="49" t="n">
        <v>28.51938255878476</v>
      </c>
      <c r="D27" s="49" t="n">
        <v>0.1278073227519608</v>
      </c>
      <c r="E27" s="49" t="n">
        <v>438.7755562629246</v>
      </c>
      <c r="F27" s="10" t="n">
        <v>0.001684397509856856</v>
      </c>
      <c r="H27" s="11" t="n">
        <v>16</v>
      </c>
      <c r="I27" s="51" t="n">
        <v>972</v>
      </c>
      <c r="J27" s="51" t="n">
        <v>166</v>
      </c>
      <c r="K27" s="51" t="n">
        <v>53</v>
      </c>
      <c r="L27" s="49" t="n">
        <v>1191</v>
      </c>
      <c r="M27" s="10" t="n">
        <v>0.006636539415248995</v>
      </c>
    </row>
    <row r="28">
      <c r="A28" t="n">
        <v>17</v>
      </c>
      <c r="B28" s="49" t="n">
        <v>308.2943189218672</v>
      </c>
      <c r="C28" s="49" t="n">
        <v>40.82708019452624</v>
      </c>
      <c r="D28" s="49" t="n">
        <v>0.02130122045866013</v>
      </c>
      <c r="E28" s="49" t="n">
        <v>349.142700336852</v>
      </c>
      <c r="F28" s="10" t="n">
        <v>0.001340309610774425</v>
      </c>
      <c r="H28" s="11" t="n">
        <v>17</v>
      </c>
      <c r="I28" s="51" t="n">
        <v>812</v>
      </c>
      <c r="J28" s="51" t="n">
        <v>119</v>
      </c>
      <c r="K28" s="51" t="n">
        <v>42</v>
      </c>
      <c r="L28" s="49" t="n">
        <v>973</v>
      </c>
      <c r="M28" s="10" t="n">
        <v>0.005421790806916266</v>
      </c>
    </row>
    <row r="29">
      <c r="A29" t="n">
        <v>18</v>
      </c>
      <c r="B29" s="49" t="n">
        <v>225.1025710417282</v>
      </c>
      <c r="C29" s="49" t="n">
        <v>52.81101424112508</v>
      </c>
      <c r="D29" s="49" t="n">
        <v>0.00224223373249054</v>
      </c>
      <c r="E29" s="49" t="n">
        <v>277.9158275165858</v>
      </c>
      <c r="F29" s="10" t="n">
        <v>0.001066879686292815</v>
      </c>
      <c r="H29" s="11" t="n">
        <v>18</v>
      </c>
      <c r="I29" s="51" t="n">
        <v>759</v>
      </c>
      <c r="J29" s="51" t="n">
        <v>109</v>
      </c>
      <c r="K29" s="51" t="n">
        <v>26</v>
      </c>
      <c r="L29" s="49" t="n">
        <v>894</v>
      </c>
      <c r="M29" s="10" t="n">
        <v>0.004981583742428717</v>
      </c>
    </row>
    <row r="30">
      <c r="A30" t="n">
        <v>19</v>
      </c>
      <c r="B30" s="49" t="n">
        <v>168.4087656874511</v>
      </c>
      <c r="C30" s="49" t="n">
        <v>57.71226865325315</v>
      </c>
      <c r="D30" s="49" t="n">
        <v>0.000112111686624527</v>
      </c>
      <c r="E30" s="49" t="n">
        <v>226.1211464523909</v>
      </c>
      <c r="F30" s="10" t="n">
        <v>0.0008680472067640742</v>
      </c>
      <c r="H30" s="11" t="n">
        <v>19</v>
      </c>
      <c r="I30" s="51" t="n">
        <v>656</v>
      </c>
      <c r="J30" s="51" t="n">
        <v>105</v>
      </c>
      <c r="K30" s="51" t="n">
        <v>36</v>
      </c>
      <c r="L30" s="49" t="n">
        <v>797</v>
      </c>
      <c r="M30" s="10" t="n">
        <v>0.004441076334133879</v>
      </c>
    </row>
    <row r="31">
      <c r="A31" t="n">
        <v>20</v>
      </c>
      <c r="B31" s="49" t="n">
        <v>143.0122259167903</v>
      </c>
      <c r="C31" s="49" t="n">
        <v>52.39805842109303</v>
      </c>
      <c r="D31" s="49" t="n">
        <v>0</v>
      </c>
      <c r="E31" s="49" t="n">
        <v>195.4102843378833</v>
      </c>
      <c r="F31" s="10" t="n">
        <v>0.0007501525361679841</v>
      </c>
      <c r="H31" s="11" t="n">
        <v>20</v>
      </c>
      <c r="I31" s="51" t="n">
        <v>638</v>
      </c>
      <c r="J31" s="51" t="n">
        <v>95</v>
      </c>
      <c r="K31" s="51" t="n">
        <v>25</v>
      </c>
      <c r="L31" s="49" t="n">
        <v>758</v>
      </c>
      <c r="M31" s="10" t="n">
        <v>0.004223758922551418</v>
      </c>
    </row>
    <row r="32">
      <c r="A32" t="n">
        <v>21</v>
      </c>
      <c r="B32" s="49" t="n">
        <v>149.5108816476307</v>
      </c>
      <c r="C32" s="49" t="n">
        <v>39.28993869230666</v>
      </c>
      <c r="D32" s="49" t="n">
        <v>0</v>
      </c>
      <c r="E32" s="49" t="n">
        <v>188.8008203399374</v>
      </c>
      <c r="F32" s="10" t="n">
        <v>0.000724779735562479</v>
      </c>
      <c r="H32" s="11" t="n">
        <v>21</v>
      </c>
      <c r="I32" s="51" t="n">
        <v>585</v>
      </c>
      <c r="J32" s="51" t="n">
        <v>80</v>
      </c>
      <c r="K32" s="51" t="n">
        <v>20</v>
      </c>
      <c r="L32" s="49" t="n">
        <v>685</v>
      </c>
      <c r="M32" s="10" t="n">
        <v>0.003816985305999632</v>
      </c>
    </row>
    <row r="33">
      <c r="A33" t="n">
        <v>22</v>
      </c>
      <c r="B33" s="49" t="n">
        <v>180.2761762386295</v>
      </c>
      <c r="C33" s="49" t="n">
        <v>24.17772845256059</v>
      </c>
      <c r="D33" s="49" t="n">
        <v>0</v>
      </c>
      <c r="E33" s="49" t="n">
        <v>204.4539046911901</v>
      </c>
      <c r="F33" s="10" t="n">
        <v>0.0007848697198984119</v>
      </c>
      <c r="H33" s="11" t="n">
        <v>22</v>
      </c>
      <c r="I33" s="51" t="n">
        <v>474</v>
      </c>
      <c r="J33" s="51" t="n">
        <v>64</v>
      </c>
      <c r="K33" s="51" t="n">
        <v>22</v>
      </c>
      <c r="L33" s="49" t="n">
        <v>560</v>
      </c>
      <c r="M33" s="10" t="n">
        <v>0.003120455140671232</v>
      </c>
    </row>
    <row r="34">
      <c r="A34" t="n">
        <v>23</v>
      </c>
      <c r="B34" s="49" t="n">
        <v>216.8565616926032</v>
      </c>
      <c r="C34" s="49" t="n">
        <v>12.08883745717815</v>
      </c>
      <c r="D34" s="49" t="n">
        <v>0</v>
      </c>
      <c r="E34" s="49" t="n">
        <v>228.9453991497814</v>
      </c>
      <c r="F34" s="10" t="n">
        <v>0.0008788891147573274</v>
      </c>
      <c r="H34" s="11" t="n">
        <v>23</v>
      </c>
      <c r="I34" s="51" t="n">
        <v>469</v>
      </c>
      <c r="J34" s="51" t="n">
        <v>43</v>
      </c>
      <c r="K34" s="51" t="n">
        <v>17</v>
      </c>
      <c r="L34" s="49" t="n">
        <v>529</v>
      </c>
      <c r="M34" s="10" t="n">
        <v>0.002947715659669789</v>
      </c>
    </row>
    <row r="35">
      <c r="A35" t="n">
        <v>24</v>
      </c>
      <c r="B35" s="49" t="n">
        <v>236.2594056548159</v>
      </c>
      <c r="C35" s="49" t="n">
        <v>4.835534982871263</v>
      </c>
      <c r="D35" s="49" t="n">
        <v>0</v>
      </c>
      <c r="E35" s="49" t="n">
        <v>241.0949406376872</v>
      </c>
      <c r="F35" s="10" t="n">
        <v>0.0009255294919069337</v>
      </c>
      <c r="H35" s="11" t="n">
        <v>24</v>
      </c>
      <c r="I35" s="51" t="n">
        <v>411</v>
      </c>
      <c r="J35" s="51" t="n">
        <v>41</v>
      </c>
      <c r="K35" s="51" t="n">
        <v>9</v>
      </c>
      <c r="L35" s="49" t="n">
        <v>461</v>
      </c>
      <c r="M35" s="10" t="n">
        <v>0.00256880324973114</v>
      </c>
    </row>
    <row r="36">
      <c r="A36" t="n">
        <v>25</v>
      </c>
      <c r="B36" s="49" t="n">
        <v>224.6048007446109</v>
      </c>
      <c r="C36" s="49" t="n">
        <v>1.511104682147269</v>
      </c>
      <c r="D36" s="49" t="n">
        <v>0</v>
      </c>
      <c r="E36" s="49" t="n">
        <v>226.1159054267581</v>
      </c>
      <c r="F36" s="10" t="n">
        <v>0.0008680270872054552</v>
      </c>
      <c r="H36" s="11" t="n">
        <v>25</v>
      </c>
      <c r="I36" s="51" t="n">
        <v>342</v>
      </c>
      <c r="J36" s="51" t="n">
        <v>45</v>
      </c>
      <c r="K36" s="51" t="n">
        <v>13</v>
      </c>
      <c r="L36" s="49" t="n">
        <v>400</v>
      </c>
      <c r="M36" s="10" t="n">
        <v>0.00222889652905088</v>
      </c>
    </row>
    <row r="37">
      <c r="A37" t="n">
        <v>26</v>
      </c>
      <c r="B37" s="49" t="n">
        <v>186.2471257140401</v>
      </c>
      <c r="C37" s="49" t="n">
        <v>0.355554042858181</v>
      </c>
      <c r="D37" s="49" t="n">
        <v>0</v>
      </c>
      <c r="E37" s="49" t="n">
        <v>186.6026797568983</v>
      </c>
      <c r="F37" s="10" t="n">
        <v>0.0007163413837182673</v>
      </c>
      <c r="H37" s="11" t="n">
        <v>26</v>
      </c>
      <c r="I37" s="51" t="n">
        <v>255</v>
      </c>
      <c r="J37" s="51" t="n">
        <v>41</v>
      </c>
      <c r="K37" s="51" t="n">
        <v>15</v>
      </c>
      <c r="L37" s="49" t="n">
        <v>311</v>
      </c>
      <c r="M37" s="10" t="n">
        <v>0.001732967051337059</v>
      </c>
    </row>
    <row r="38">
      <c r="A38" t="n">
        <v>27</v>
      </c>
      <c r="B38" s="49" t="n">
        <v>139.5732567319521</v>
      </c>
      <c r="C38" s="49" t="n">
        <v>0.05925900714303017</v>
      </c>
      <c r="D38" s="49" t="n">
        <v>0</v>
      </c>
      <c r="E38" s="49" t="n">
        <v>139.6325157390952</v>
      </c>
      <c r="F38" s="10" t="n">
        <v>0.0005360295450575301</v>
      </c>
      <c r="H38" s="11" t="n">
        <v>27</v>
      </c>
      <c r="I38" s="51" t="n">
        <v>253</v>
      </c>
      <c r="J38" s="51" t="n">
        <v>29</v>
      </c>
      <c r="K38" s="51" t="n">
        <v>11</v>
      </c>
      <c r="L38" s="49" t="n">
        <v>293</v>
      </c>
      <c r="M38" s="10" t="n">
        <v>0.00163266670752977</v>
      </c>
    </row>
    <row r="39">
      <c r="A39" t="n">
        <v>28</v>
      </c>
      <c r="B39" s="49" t="n">
        <v>104.1620032948498</v>
      </c>
      <c r="C39" s="49" t="n">
        <v>0.006237790225582122</v>
      </c>
      <c r="D39" s="49" t="n">
        <v>0</v>
      </c>
      <c r="E39" s="49" t="n">
        <v>104.1682410850754</v>
      </c>
      <c r="F39" s="10" t="n">
        <v>0.00039988719377232</v>
      </c>
      <c r="H39" s="11" t="n">
        <v>28</v>
      </c>
      <c r="I39" s="51" t="n">
        <v>269</v>
      </c>
      <c r="J39" s="51" t="n">
        <v>27</v>
      </c>
      <c r="K39" s="51" t="n">
        <v>9</v>
      </c>
      <c r="L39" s="49" t="n">
        <v>305</v>
      </c>
      <c r="M39" s="10" t="n">
        <v>0.001699533603401296</v>
      </c>
    </row>
    <row r="40">
      <c r="A40" t="n">
        <v>29</v>
      </c>
      <c r="B40" s="49" t="n">
        <v>91.00438792463791</v>
      </c>
      <c r="C40" s="49" t="n">
        <v>0.0003118895112791062</v>
      </c>
      <c r="D40" s="49" t="n">
        <v>0</v>
      </c>
      <c r="E40" s="49" t="n">
        <v>91.00469981414919</v>
      </c>
      <c r="F40" s="10" t="n">
        <v>0.0003493542143910354</v>
      </c>
      <c r="H40" s="11" t="n">
        <v>29</v>
      </c>
      <c r="I40" s="51" t="n">
        <v>245</v>
      </c>
      <c r="J40" s="51" t="n">
        <v>30</v>
      </c>
      <c r="K40" s="51" t="n">
        <v>7</v>
      </c>
      <c r="L40" s="49" t="n">
        <v>282</v>
      </c>
      <c r="M40" s="10" t="n">
        <v>0.00157137205298087</v>
      </c>
    </row>
    <row r="41">
      <c r="A41" t="n">
        <v>30</v>
      </c>
      <c r="B41" s="49" t="n">
        <v>101.1284884519488</v>
      </c>
      <c r="C41" s="49" t="n">
        <v>0</v>
      </c>
      <c r="D41" s="49" t="n">
        <v>0</v>
      </c>
      <c r="E41" s="49" t="n">
        <v>101.1284884519488</v>
      </c>
      <c r="F41" s="10" t="n">
        <v>0.0003882180119030565</v>
      </c>
      <c r="H41" s="11" t="n">
        <v>30</v>
      </c>
      <c r="I41" s="51" t="n">
        <v>211</v>
      </c>
      <c r="J41" s="51" t="n">
        <v>27</v>
      </c>
      <c r="K41" s="51" t="n">
        <v>8</v>
      </c>
      <c r="L41" s="49" t="n">
        <v>246</v>
      </c>
      <c r="M41" s="10" t="n">
        <v>0.001370771365366291</v>
      </c>
    </row>
    <row r="42">
      <c r="A42" t="n">
        <v>31</v>
      </c>
      <c r="B42" s="49" t="n">
        <v>128.4788188716203</v>
      </c>
      <c r="C42" s="49" t="n">
        <v>0</v>
      </c>
      <c r="D42" s="49" t="n">
        <v>0</v>
      </c>
      <c r="E42" s="49" t="n">
        <v>128.4788188716203</v>
      </c>
      <c r="F42" s="10" t="n">
        <v>0.0004932120750296075</v>
      </c>
      <c r="H42" s="11" t="n">
        <v>31</v>
      </c>
      <c r="I42" s="51" t="n">
        <v>176</v>
      </c>
      <c r="J42" s="51" t="n">
        <v>13</v>
      </c>
      <c r="K42" s="51" t="n">
        <v>8</v>
      </c>
      <c r="L42" s="49" t="n">
        <v>197</v>
      </c>
      <c r="M42" s="10" t="n">
        <v>0.001097731540557558</v>
      </c>
    </row>
    <row r="43">
      <c r="A43" t="n">
        <v>32</v>
      </c>
      <c r="B43" s="49" t="n">
        <v>161.7449176564964</v>
      </c>
      <c r="C43" s="49" t="n">
        <v>0</v>
      </c>
      <c r="D43" s="49" t="n">
        <v>0</v>
      </c>
      <c r="E43" s="49" t="n">
        <v>161.7449176564964</v>
      </c>
      <c r="F43" s="10" t="n">
        <v>0.0006209159390122241</v>
      </c>
      <c r="H43" s="11" t="n">
        <v>32</v>
      </c>
      <c r="I43" s="51" t="n">
        <v>158</v>
      </c>
      <c r="J43" s="51" t="n">
        <v>18</v>
      </c>
      <c r="K43" s="51" t="n">
        <v>6</v>
      </c>
      <c r="L43" s="49" t="n">
        <v>182</v>
      </c>
      <c r="M43" s="10" t="n">
        <v>0.001014147920718151</v>
      </c>
    </row>
    <row r="44">
      <c r="A44" t="n">
        <v>33</v>
      </c>
      <c r="B44" s="49" t="n">
        <v>185.8778203069855</v>
      </c>
      <c r="C44" s="49" t="n">
        <v>0</v>
      </c>
      <c r="D44" s="49" t="n">
        <v>0</v>
      </c>
      <c r="E44" s="49" t="n">
        <v>185.8778203069855</v>
      </c>
      <c r="F44" s="10" t="n">
        <v>0.0007135587504676182</v>
      </c>
      <c r="H44" s="11" t="n">
        <v>33</v>
      </c>
      <c r="I44" s="51" t="n">
        <v>142</v>
      </c>
      <c r="J44" s="51" t="n">
        <v>16</v>
      </c>
      <c r="K44" s="51" t="n">
        <v>1</v>
      </c>
      <c r="L44" s="49" t="n">
        <v>159</v>
      </c>
      <c r="M44" s="10" t="n">
        <v>0.0008859863702977248</v>
      </c>
    </row>
    <row r="45">
      <c r="A45" t="n">
        <v>34</v>
      </c>
      <c r="B45" s="49" t="n">
        <v>187.2678632680132</v>
      </c>
      <c r="C45" s="49" t="n">
        <v>0</v>
      </c>
      <c r="D45" s="49" t="n">
        <v>0</v>
      </c>
      <c r="E45" s="49" t="n">
        <v>187.2678632680132</v>
      </c>
      <c r="F45" s="10" t="n">
        <v>0.0007188949294519051</v>
      </c>
      <c r="H45" s="11" t="n">
        <v>34</v>
      </c>
      <c r="I45" s="51" t="n">
        <v>138</v>
      </c>
      <c r="J45" s="51" t="n">
        <v>18</v>
      </c>
      <c r="K45" s="51" t="n">
        <v>1</v>
      </c>
      <c r="L45" s="49" t="n">
        <v>157</v>
      </c>
      <c r="M45" s="10" t="n">
        <v>0.0008748418876524704</v>
      </c>
    </row>
    <row r="46">
      <c r="A46" t="n">
        <v>35</v>
      </c>
      <c r="B46" s="49" t="n">
        <v>161.7152977704696</v>
      </c>
      <c r="C46" s="49" t="n">
        <v>0</v>
      </c>
      <c r="D46" s="49" t="n">
        <v>0</v>
      </c>
      <c r="E46" s="49" t="n">
        <v>161.7152977704696</v>
      </c>
      <c r="F46" s="10" t="n">
        <v>0.0006208022324450426</v>
      </c>
      <c r="H46" s="11" t="n">
        <v>35</v>
      </c>
      <c r="I46" s="51" t="n">
        <v>132</v>
      </c>
      <c r="J46" s="51" t="n">
        <v>7</v>
      </c>
      <c r="K46" s="51" t="n">
        <v>5</v>
      </c>
      <c r="L46" s="49" t="n">
        <v>144</v>
      </c>
      <c r="M46" s="10" t="n">
        <v>0.0008024027504583168</v>
      </c>
    </row>
    <row r="47">
      <c r="A47" t="n">
        <v>36</v>
      </c>
      <c r="B47" s="49" t="n">
        <v>118.1645031976188</v>
      </c>
      <c r="C47" s="49" t="n">
        <v>0</v>
      </c>
      <c r="D47" s="49" t="n">
        <v>0</v>
      </c>
      <c r="E47" s="49" t="n">
        <v>118.1645031976188</v>
      </c>
      <c r="F47" s="10" t="n">
        <v>0.0004536168710826604</v>
      </c>
      <c r="H47" s="11" t="n">
        <v>36</v>
      </c>
      <c r="I47" s="51" t="n">
        <v>135</v>
      </c>
      <c r="J47" s="51" t="n">
        <v>15</v>
      </c>
      <c r="K47" s="51" t="n">
        <v>0</v>
      </c>
      <c r="L47" s="49" t="n">
        <v>150</v>
      </c>
      <c r="M47" s="10" t="n">
        <v>0.0008358361983940801</v>
      </c>
    </row>
    <row r="48">
      <c r="A48" t="n">
        <v>37</v>
      </c>
      <c r="B48" s="49" t="n">
        <v>73.53277543065617</v>
      </c>
      <c r="C48" s="49" t="n">
        <v>0</v>
      </c>
      <c r="D48" s="49" t="n">
        <v>0</v>
      </c>
      <c r="E48" s="49" t="n">
        <v>73.53277543065617</v>
      </c>
      <c r="F48" s="10" t="n">
        <v>0.0002822819595584805</v>
      </c>
      <c r="H48" s="11" t="n">
        <v>37</v>
      </c>
      <c r="I48" s="51" t="n">
        <v>113</v>
      </c>
      <c r="J48" s="51" t="n">
        <v>7</v>
      </c>
      <c r="K48" s="51" t="n">
        <v>4</v>
      </c>
      <c r="L48" s="49" t="n">
        <v>124</v>
      </c>
      <c r="M48" s="10" t="n">
        <v>0.0006909579240057728</v>
      </c>
    </row>
    <row r="49">
      <c r="A49" t="n">
        <v>38</v>
      </c>
      <c r="B49" s="49" t="n">
        <v>42.92292267353547</v>
      </c>
      <c r="C49" s="49" t="n">
        <v>0</v>
      </c>
      <c r="D49" s="49" t="n">
        <v>0</v>
      </c>
      <c r="E49" s="49" t="n">
        <v>42.92292267353547</v>
      </c>
      <c r="F49" s="10" t="n">
        <v>0.0001647750496469273</v>
      </c>
      <c r="H49" s="11" t="n">
        <v>38</v>
      </c>
      <c r="I49" s="51" t="n">
        <v>109</v>
      </c>
      <c r="J49" s="51" t="n">
        <v>8</v>
      </c>
      <c r="K49" s="51" t="n">
        <v>1</v>
      </c>
      <c r="L49" s="49" t="n">
        <v>118</v>
      </c>
      <c r="M49" s="10" t="n">
        <v>0.0006575244760700096</v>
      </c>
    </row>
    <row r="50">
      <c r="A50" t="n">
        <v>39</v>
      </c>
      <c r="B50" s="49" t="n">
        <v>33.26208917009636</v>
      </c>
      <c r="C50" s="49" t="n">
        <v>0</v>
      </c>
      <c r="D50" s="49" t="n">
        <v>0</v>
      </c>
      <c r="E50" s="49" t="n">
        <v>33.26208917009636</v>
      </c>
      <c r="F50" s="10" t="n">
        <v>0.0001276884716366802</v>
      </c>
      <c r="H50" s="11" t="n">
        <v>39</v>
      </c>
      <c r="I50" s="51" t="n">
        <v>97</v>
      </c>
      <c r="J50" s="51" t="n">
        <v>6</v>
      </c>
      <c r="K50" s="51" t="n">
        <v>2</v>
      </c>
      <c r="L50" s="49" t="n">
        <v>105</v>
      </c>
      <c r="M50" s="10" t="n">
        <v>0.000585085338875856</v>
      </c>
    </row>
    <row r="51">
      <c r="A51" t="n">
        <v>40</v>
      </c>
      <c r="B51" s="49" t="n">
        <v>42.8539589914586</v>
      </c>
      <c r="C51" s="49" t="n">
        <v>0</v>
      </c>
      <c r="D51" s="49" t="n">
        <v>0</v>
      </c>
      <c r="E51" s="49" t="n">
        <v>42.8539589914586</v>
      </c>
      <c r="F51" s="10" t="n">
        <v>0.0001645103077926859</v>
      </c>
      <c r="H51" s="11" t="n">
        <v>40</v>
      </c>
      <c r="I51" s="51" t="n">
        <v>85</v>
      </c>
      <c r="J51" s="51" t="n">
        <v>6</v>
      </c>
      <c r="K51" s="51" t="n">
        <v>2</v>
      </c>
      <c r="L51" s="49" t="n">
        <v>93</v>
      </c>
      <c r="M51" s="10" t="n">
        <v>0.0005182184430043296</v>
      </c>
    </row>
    <row r="52">
      <c r="A52" t="n">
        <v>41</v>
      </c>
      <c r="B52" s="49" t="n">
        <v>63.56213732138399</v>
      </c>
      <c r="C52" s="49" t="n">
        <v>0</v>
      </c>
      <c r="D52" s="49" t="n">
        <v>0</v>
      </c>
      <c r="E52" s="49" t="n">
        <v>63.56213732138399</v>
      </c>
      <c r="F52" s="10" t="n">
        <v>0.0002440060853370864</v>
      </c>
      <c r="H52" s="11" t="n">
        <v>41</v>
      </c>
      <c r="I52" s="51" t="n">
        <v>92</v>
      </c>
      <c r="J52" s="51" t="n">
        <v>4</v>
      </c>
      <c r="K52" s="51" t="n">
        <v>4</v>
      </c>
      <c r="L52" s="49" t="n">
        <v>100</v>
      </c>
      <c r="M52" s="10" t="n">
        <v>0.00055722413226272</v>
      </c>
    </row>
    <row r="53">
      <c r="A53" t="n">
        <v>42</v>
      </c>
      <c r="B53" s="49" t="n">
        <v>83.55069217598418</v>
      </c>
      <c r="C53" s="49" t="n">
        <v>0</v>
      </c>
      <c r="D53" s="49" t="n">
        <v>0</v>
      </c>
      <c r="E53" s="49" t="n">
        <v>83.55069217598418</v>
      </c>
      <c r="F53" s="10" t="n">
        <v>0.0003207393297992065</v>
      </c>
      <c r="H53" s="11" t="n">
        <v>42</v>
      </c>
      <c r="I53" s="51" t="n">
        <v>68</v>
      </c>
      <c r="J53" s="51" t="n">
        <v>7</v>
      </c>
      <c r="K53" s="51" t="n">
        <v>2</v>
      </c>
      <c r="L53" s="49" t="n">
        <v>77</v>
      </c>
      <c r="M53" s="10" t="n">
        <v>0.0004290625818422944</v>
      </c>
    </row>
    <row r="54">
      <c r="A54" t="n">
        <v>43</v>
      </c>
      <c r="B54" s="49" t="n">
        <v>91.7354519051521</v>
      </c>
      <c r="C54" s="49" t="n">
        <v>0</v>
      </c>
      <c r="D54" s="49" t="n">
        <v>0</v>
      </c>
      <c r="E54" s="49" t="n">
        <v>91.7354519051521</v>
      </c>
      <c r="F54" s="10" t="n">
        <v>0.0003521594686601917</v>
      </c>
      <c r="H54" s="11" t="n">
        <v>43</v>
      </c>
      <c r="I54" s="51" t="n">
        <v>82</v>
      </c>
      <c r="J54" s="51" t="n">
        <v>3</v>
      </c>
      <c r="K54" s="51" t="n">
        <v>3</v>
      </c>
      <c r="L54" s="49" t="n">
        <v>88</v>
      </c>
      <c r="M54" s="10" t="n">
        <v>0.0004903572363911936</v>
      </c>
    </row>
    <row r="55">
      <c r="A55" t="n">
        <v>44</v>
      </c>
      <c r="B55" s="49" t="n">
        <v>83.38038268755369</v>
      </c>
      <c r="C55" s="49" t="n">
        <v>0</v>
      </c>
      <c r="D55" s="49" t="n">
        <v>0</v>
      </c>
      <c r="E55" s="49" t="n">
        <v>83.38038268755369</v>
      </c>
      <c r="F55" s="10" t="n">
        <v>0.0003200855356802711</v>
      </c>
      <c r="H55" s="11" t="n">
        <v>44</v>
      </c>
      <c r="I55" s="51" t="n">
        <v>66</v>
      </c>
      <c r="J55" s="51" t="n">
        <v>4</v>
      </c>
      <c r="K55" s="51" t="n">
        <v>3</v>
      </c>
      <c r="L55" s="49" t="n">
        <v>73</v>
      </c>
      <c r="M55" s="10" t="n">
        <v>0.0004067736165517856</v>
      </c>
    </row>
    <row r="56">
      <c r="A56" t="n">
        <v>45</v>
      </c>
      <c r="B56" s="49" t="n">
        <v>62.53461118436196</v>
      </c>
      <c r="C56" s="49" t="n">
        <v>0</v>
      </c>
      <c r="D56" s="49" t="n">
        <v>0</v>
      </c>
      <c r="E56" s="49" t="n">
        <v>62.53461118436196</v>
      </c>
      <c r="F56" s="10" t="n">
        <v>0.0002400615573390964</v>
      </c>
      <c r="H56" s="11" t="n">
        <v>45</v>
      </c>
      <c r="I56" s="51" t="n">
        <v>51</v>
      </c>
      <c r="J56" s="51" t="n">
        <v>5</v>
      </c>
      <c r="K56" s="51" t="n">
        <v>0</v>
      </c>
      <c r="L56" s="49" t="n">
        <v>56</v>
      </c>
      <c r="M56" s="10" t="n">
        <v>0.0003120455140671232</v>
      </c>
    </row>
    <row r="57">
      <c r="A57" t="n">
        <v>46</v>
      </c>
      <c r="B57" s="49" t="n">
        <v>38.48283765191506</v>
      </c>
      <c r="C57" s="49" t="n">
        <v>0</v>
      </c>
      <c r="D57" s="49" t="n">
        <v>0</v>
      </c>
      <c r="E57" s="49" t="n">
        <v>38.48283765191506</v>
      </c>
      <c r="F57" s="10" t="n">
        <v>0.0001477301891317516</v>
      </c>
      <c r="H57" s="11" t="n">
        <v>46</v>
      </c>
      <c r="I57" s="51" t="n">
        <v>39</v>
      </c>
      <c r="J57" s="51" t="n">
        <v>4</v>
      </c>
      <c r="K57" s="51" t="n">
        <v>0</v>
      </c>
      <c r="L57" s="49" t="n">
        <v>43</v>
      </c>
      <c r="M57" s="10" t="n">
        <v>0.0002396063768729696</v>
      </c>
    </row>
    <row r="58">
      <c r="A58" t="n">
        <v>47</v>
      </c>
      <c r="B58" s="49" t="n">
        <v>19.24141882595753</v>
      </c>
      <c r="C58" s="49" t="n">
        <v>0</v>
      </c>
      <c r="D58" s="49" t="n">
        <v>0</v>
      </c>
      <c r="E58" s="49" t="n">
        <v>19.24141882595753</v>
      </c>
      <c r="F58" s="10" t="n">
        <v>7.386509456587581e-05</v>
      </c>
      <c r="H58" s="11" t="n">
        <v>47</v>
      </c>
      <c r="I58" s="51" t="n">
        <v>49</v>
      </c>
      <c r="J58" s="51" t="n">
        <v>3</v>
      </c>
      <c r="K58" s="51" t="n">
        <v>0</v>
      </c>
      <c r="L58" s="49" t="n">
        <v>52</v>
      </c>
      <c r="M58" s="10" t="n">
        <v>0.0002897565487766144</v>
      </c>
    </row>
    <row r="59">
      <c r="A59" t="n">
        <v>48</v>
      </c>
      <c r="B59" s="49" t="n">
        <v>7.69656753038301</v>
      </c>
      <c r="C59" s="49" t="n">
        <v>0</v>
      </c>
      <c r="D59" s="49" t="n">
        <v>0</v>
      </c>
      <c r="E59" s="49" t="n">
        <v>7.69656753038301</v>
      </c>
      <c r="F59" s="10" t="n">
        <v>2.954603782635032e-05</v>
      </c>
      <c r="H59" s="11" t="n">
        <v>48</v>
      </c>
      <c r="I59" s="51" t="n">
        <v>44</v>
      </c>
      <c r="J59" s="51" t="n">
        <v>4</v>
      </c>
      <c r="K59" s="51" t="n">
        <v>3</v>
      </c>
      <c r="L59" s="49" t="n">
        <v>51</v>
      </c>
      <c r="M59" s="10" t="n">
        <v>0.0002841843074539872</v>
      </c>
    </row>
    <row r="60">
      <c r="A60" t="n">
        <v>49</v>
      </c>
      <c r="B60" s="49" t="n">
        <v>2.405177353244691</v>
      </c>
      <c r="C60" s="49" t="n">
        <v>0</v>
      </c>
      <c r="D60" s="49" t="n">
        <v>0</v>
      </c>
      <c r="E60" s="49" t="n">
        <v>2.405177353244691</v>
      </c>
      <c r="F60" s="10" t="n">
        <v>9.233136820734478e-06</v>
      </c>
      <c r="H60" s="11" t="n">
        <v>49</v>
      </c>
      <c r="I60" s="51" t="n">
        <v>39</v>
      </c>
      <c r="J60" s="51" t="n">
        <v>1</v>
      </c>
      <c r="K60" s="51" t="n">
        <v>4</v>
      </c>
      <c r="L60" s="49" t="n">
        <v>44</v>
      </c>
      <c r="M60" s="10" t="n">
        <v>0.0002451786181955968</v>
      </c>
    </row>
    <row r="61">
      <c r="A61" t="n">
        <v>50</v>
      </c>
      <c r="B61" s="49" t="n">
        <v>0.5659240831163979</v>
      </c>
      <c r="C61" s="49" t="n">
        <v>0</v>
      </c>
      <c r="D61" s="49" t="n">
        <v>0</v>
      </c>
      <c r="E61" s="49" t="n">
        <v>0.5659240831163979</v>
      </c>
      <c r="F61" s="10" t="n">
        <v>2.172502781349289e-06</v>
      </c>
      <c r="H61" s="11" t="n">
        <v>50</v>
      </c>
      <c r="I61" s="51" t="n">
        <v>46</v>
      </c>
      <c r="J61" s="51" t="n">
        <v>4</v>
      </c>
      <c r="K61" s="51" t="n">
        <v>1</v>
      </c>
      <c r="L61" s="49" t="n">
        <v>51</v>
      </c>
      <c r="M61" s="10" t="n">
        <v>0.0002841843074539872</v>
      </c>
    </row>
    <row r="62">
      <c r="A62" t="n">
        <v>51</v>
      </c>
      <c r="B62" s="49" t="n">
        <v>0.09432068051939964</v>
      </c>
      <c r="C62" s="49" t="n">
        <v>0</v>
      </c>
      <c r="D62" s="49" t="n">
        <v>0</v>
      </c>
      <c r="E62" s="49" t="n">
        <v>0.09432068051939964</v>
      </c>
      <c r="F62" s="10" t="n">
        <v>3.620837968915481e-07</v>
      </c>
      <c r="H62" s="11" t="n">
        <v>51</v>
      </c>
      <c r="I62" s="51" t="n">
        <v>34</v>
      </c>
      <c r="J62" s="51" t="n">
        <v>1</v>
      </c>
      <c r="K62" s="51" t="n">
        <v>1</v>
      </c>
      <c r="L62" s="49" t="n">
        <v>36</v>
      </c>
      <c r="M62" s="10" t="n">
        <v>0.0002006006876145792</v>
      </c>
    </row>
    <row r="63">
      <c r="A63" t="n">
        <v>52</v>
      </c>
      <c r="B63" s="49" t="n">
        <v>0.009928492686252595</v>
      </c>
      <c r="C63" s="49" t="n">
        <v>0</v>
      </c>
      <c r="D63" s="49" t="n">
        <v>0</v>
      </c>
      <c r="E63" s="49" t="n">
        <v>0.009928492686252595</v>
      </c>
      <c r="F63" s="10" t="n">
        <v>3.811408388332085e-08</v>
      </c>
      <c r="H63" s="11" t="n">
        <v>52</v>
      </c>
      <c r="I63" s="51" t="n">
        <v>34</v>
      </c>
      <c r="J63" s="51" t="n">
        <v>3</v>
      </c>
      <c r="K63" s="51" t="n">
        <v>0</v>
      </c>
      <c r="L63" s="49" t="n">
        <v>37</v>
      </c>
      <c r="M63" s="10" t="n">
        <v>0.0002061729289372064</v>
      </c>
    </row>
    <row r="64">
      <c r="A64" t="n">
        <v>53</v>
      </c>
      <c r="B64" s="49" t="n">
        <v>0.0004964246343126297</v>
      </c>
      <c r="C64" s="49" t="n">
        <v>0</v>
      </c>
      <c r="D64" s="49" t="n">
        <v>0</v>
      </c>
      <c r="E64" s="49" t="n">
        <v>0.0004964246343126297</v>
      </c>
      <c r="F64" s="10" t="n">
        <v>1.905704194166043e-09</v>
      </c>
      <c r="H64" s="11" t="n">
        <v>53</v>
      </c>
      <c r="I64" s="51" t="n">
        <v>24</v>
      </c>
      <c r="J64" s="51" t="n">
        <v>3</v>
      </c>
      <c r="K64" s="51" t="n">
        <v>1</v>
      </c>
      <c r="L64" s="49" t="n">
        <v>28</v>
      </c>
      <c r="M64" s="10" t="n">
        <v>0.0001560227570335616</v>
      </c>
    </row>
    <row r="65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21</v>
      </c>
      <c r="J65" s="51" t="n">
        <v>4</v>
      </c>
      <c r="K65" s="51" t="n">
        <v>2</v>
      </c>
      <c r="L65" s="49" t="n">
        <v>27</v>
      </c>
      <c r="M65" s="10" t="n">
        <v>0.0001504505157109344</v>
      </c>
    </row>
    <row r="66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31</v>
      </c>
      <c r="J66" s="51" t="n">
        <v>1</v>
      </c>
      <c r="K66" s="51" t="n">
        <v>1</v>
      </c>
      <c r="L66" s="49" t="n">
        <v>33</v>
      </c>
      <c r="M66" s="10" t="n">
        <v>0.0001838839636466976</v>
      </c>
    </row>
    <row r="67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21</v>
      </c>
      <c r="J67" s="51" t="n">
        <v>0</v>
      </c>
      <c r="K67" s="51" t="n">
        <v>1</v>
      </c>
      <c r="L67" s="49" t="n">
        <v>22</v>
      </c>
      <c r="M67" s="10" t="n">
        <v>0.0001225893090977984</v>
      </c>
    </row>
    <row r="6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10</v>
      </c>
      <c r="J68" s="51" t="n">
        <v>0</v>
      </c>
      <c r="K68" s="51" t="n">
        <v>0</v>
      </c>
      <c r="L68" s="49" t="n">
        <v>10</v>
      </c>
      <c r="M68" s="10" t="n">
        <v>5.572241322627201e-05</v>
      </c>
    </row>
    <row r="69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17</v>
      </c>
      <c r="J69" s="51" t="n">
        <v>0</v>
      </c>
      <c r="K69" s="51" t="n">
        <v>1</v>
      </c>
      <c r="L69" s="49" t="n">
        <v>18</v>
      </c>
      <c r="M69" s="10" t="n">
        <v>0.0001003003438072896</v>
      </c>
    </row>
    <row r="70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13</v>
      </c>
      <c r="J70" s="51" t="n">
        <v>0</v>
      </c>
      <c r="K70" s="51" t="n">
        <v>0</v>
      </c>
      <c r="L70" s="49" t="n">
        <v>13</v>
      </c>
      <c r="M70" s="10" t="n">
        <v>7.243913719415361e-05</v>
      </c>
    </row>
    <row r="71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14</v>
      </c>
      <c r="J71" s="51" t="n">
        <v>0</v>
      </c>
      <c r="K71" s="51" t="n">
        <v>1</v>
      </c>
      <c r="L71" s="49" t="n">
        <v>15</v>
      </c>
      <c r="M71" s="10" t="n">
        <v>8.358361983940801e-05</v>
      </c>
    </row>
    <row r="72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12</v>
      </c>
      <c r="J72" s="51" t="n">
        <v>0</v>
      </c>
      <c r="K72" s="51" t="n">
        <v>1</v>
      </c>
      <c r="L72" s="49" t="n">
        <v>13</v>
      </c>
      <c r="M72" s="10" t="n">
        <v>7.243913719415361e-05</v>
      </c>
    </row>
    <row r="73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9</v>
      </c>
      <c r="J73" s="51" t="n">
        <v>0</v>
      </c>
      <c r="K73" s="51" t="n">
        <v>0</v>
      </c>
      <c r="L73" s="49" t="n">
        <v>9</v>
      </c>
      <c r="M73" s="10" t="n">
        <v>5.01501719036448e-05</v>
      </c>
    </row>
    <row r="7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8</v>
      </c>
      <c r="J74" s="51" t="n">
        <v>1</v>
      </c>
      <c r="K74" s="51" t="n">
        <v>0</v>
      </c>
      <c r="L74" s="49" t="n">
        <v>9</v>
      </c>
      <c r="M74" s="10" t="n">
        <v>5.01501719036448e-05</v>
      </c>
    </row>
    <row r="75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5</v>
      </c>
      <c r="J75" s="51" t="n">
        <v>0</v>
      </c>
      <c r="K75" s="51" t="n">
        <v>0</v>
      </c>
      <c r="L75" s="49" t="n">
        <v>5</v>
      </c>
      <c r="M75" s="10" t="n">
        <v>2.7861206613136e-05</v>
      </c>
    </row>
    <row r="76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9</v>
      </c>
      <c r="J76" s="51" t="n">
        <v>0</v>
      </c>
      <c r="K76" s="51" t="n">
        <v>1</v>
      </c>
      <c r="L76" s="49" t="n">
        <v>10</v>
      </c>
      <c r="M76" s="10" t="n">
        <v>5.572241322627201e-05</v>
      </c>
    </row>
    <row r="77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4</v>
      </c>
      <c r="J77" s="51" t="n">
        <v>0</v>
      </c>
      <c r="K77" s="51" t="n">
        <v>0</v>
      </c>
      <c r="L77" s="49" t="n">
        <v>4</v>
      </c>
      <c r="M77" s="10" t="n">
        <v>2.22889652905088e-05</v>
      </c>
    </row>
    <row r="7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7</v>
      </c>
      <c r="J78" s="51" t="n">
        <v>0</v>
      </c>
      <c r="K78" s="51" t="n">
        <v>0</v>
      </c>
      <c r="L78" s="49" t="n">
        <v>7</v>
      </c>
      <c r="M78" s="10" t="n">
        <v>3.90056892583904e-05</v>
      </c>
    </row>
    <row r="79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5</v>
      </c>
      <c r="J79" s="51" t="n">
        <v>0</v>
      </c>
      <c r="K79" s="51" t="n">
        <v>0</v>
      </c>
      <c r="L79" s="49" t="n">
        <v>5</v>
      </c>
      <c r="M79" s="10" t="n">
        <v>2.7861206613136e-05</v>
      </c>
    </row>
    <row r="80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5</v>
      </c>
      <c r="J80" s="51" t="n">
        <v>0</v>
      </c>
      <c r="K80" s="51" t="n">
        <v>0</v>
      </c>
      <c r="L80" s="49" t="n">
        <v>5</v>
      </c>
      <c r="M80" s="10" t="n">
        <v>2.7861206613136e-05</v>
      </c>
    </row>
    <row r="81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4</v>
      </c>
      <c r="J81" s="51" t="n">
        <v>0</v>
      </c>
      <c r="K81" s="51" t="n">
        <v>0</v>
      </c>
      <c r="L81" s="49" t="n">
        <v>4</v>
      </c>
      <c r="M81" s="10" t="n">
        <v>2.22889652905088e-05</v>
      </c>
    </row>
    <row r="82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2</v>
      </c>
      <c r="J82" s="51" t="n">
        <v>0</v>
      </c>
      <c r="K82" s="51" t="n">
        <v>0</v>
      </c>
      <c r="L82" s="49" t="n">
        <v>2</v>
      </c>
      <c r="M82" s="10" t="n">
        <v>1.11444826452544e-05</v>
      </c>
    </row>
    <row r="83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3</v>
      </c>
      <c r="J83" s="51" t="n">
        <v>1</v>
      </c>
      <c r="K83" s="51" t="n">
        <v>0</v>
      </c>
      <c r="L83" s="49" t="n">
        <v>4</v>
      </c>
      <c r="M83" s="10" t="n">
        <v>2.22889652905088e-05</v>
      </c>
    </row>
    <row r="8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1</v>
      </c>
      <c r="J84" s="51" t="n">
        <v>0</v>
      </c>
      <c r="K84" s="51" t="n">
        <v>0</v>
      </c>
      <c r="L84" s="49" t="n">
        <v>1</v>
      </c>
      <c r="M84" s="10" t="n">
        <v>5.5722413226272e-06</v>
      </c>
    </row>
    <row r="85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1</v>
      </c>
      <c r="J85" s="51" t="n">
        <v>0</v>
      </c>
      <c r="K85" s="51" t="n">
        <v>0</v>
      </c>
      <c r="L85" s="49" t="n">
        <v>1</v>
      </c>
      <c r="M85" s="10" t="n">
        <v>5.5722413226272e-06</v>
      </c>
    </row>
    <row r="86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1</v>
      </c>
      <c r="J86" s="51" t="n">
        <v>0</v>
      </c>
      <c r="K86" s="51" t="n">
        <v>0</v>
      </c>
      <c r="L86" s="49" t="n">
        <v>1</v>
      </c>
      <c r="M86" s="10" t="n">
        <v>5.5722413226272e-06</v>
      </c>
    </row>
    <row r="87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2</v>
      </c>
      <c r="J90" s="51" t="n">
        <v>0</v>
      </c>
      <c r="K90" s="51" t="n">
        <v>0</v>
      </c>
      <c r="L90" s="49" t="n">
        <v>2</v>
      </c>
      <c r="M90" s="10" t="n">
        <v>1.11444826452544e-05</v>
      </c>
    </row>
    <row r="91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1</v>
      </c>
      <c r="K91" s="51" t="n">
        <v>0</v>
      </c>
      <c r="L91" s="49" t="n">
        <v>1</v>
      </c>
      <c r="M91" s="10" t="n">
        <v>5.5722413226272e-06</v>
      </c>
    </row>
    <row r="92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1</v>
      </c>
      <c r="J92" s="51" t="n">
        <v>0</v>
      </c>
      <c r="K92" s="51" t="n">
        <v>0</v>
      </c>
      <c r="L92" s="49" t="n">
        <v>1</v>
      </c>
      <c r="M92" s="10" t="n">
        <v>5.5722413226272e-06</v>
      </c>
    </row>
    <row r="93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1</v>
      </c>
      <c r="J97" s="51" t="n">
        <v>0</v>
      </c>
      <c r="K97" s="51" t="n">
        <v>0</v>
      </c>
      <c r="L97" s="49" t="n">
        <v>1</v>
      </c>
      <c r="M97" s="10" t="n">
        <v>5.5722413226272e-06</v>
      </c>
    </row>
    <row r="9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2</v>
      </c>
      <c r="J99" s="51" t="n">
        <v>0</v>
      </c>
      <c r="K99" s="51" t="n">
        <v>0</v>
      </c>
      <c r="L99" s="49" t="n">
        <v>2</v>
      </c>
      <c r="M99" s="10" t="n">
        <v>1.11444826452544e-05</v>
      </c>
    </row>
    <row r="100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r="101" ht="15.75" customHeight="1" s="52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>
      <c r="B102" s="49" t="n"/>
      <c r="C102" s="49" t="n"/>
      <c r="D102" s="49" t="n"/>
      <c r="E102" s="49" t="n">
        <v>260494.0660950115</v>
      </c>
      <c r="F102" s="10" t="n">
        <v>1</v>
      </c>
      <c r="I102" s="49" t="n"/>
      <c r="J102" s="49" t="n"/>
      <c r="K102" s="49" t="n"/>
      <c r="L102" s="49" t="n">
        <v>179461</v>
      </c>
      <c r="M102" s="10" t="n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1" sqref="G21"/>
    </sheetView>
  </sheetViews>
  <sheetFormatPr baseColWidth="10" defaultRowHeight="15"/>
  <cols>
    <col collapsed="1" width="12.7109375" bestFit="1" customWidth="1" style="52" min="1" max="1"/>
    <col collapsed="1" width="12.42578125" customWidth="1" style="13" min="2" max="2"/>
    <col collapsed="1" width="10.28515625" bestFit="1" customWidth="1" style="52" min="3" max="3"/>
    <col hidden="1" collapsed="1" width="12.7109375" customWidth="1" style="52" min="4" max="4"/>
    <col collapsed="1" width="12.140625" bestFit="1" customWidth="1" style="13" min="5" max="5"/>
    <col width="15.7109375" bestFit="1" customWidth="1" style="13" min="6" max="6"/>
    <col width="17.42578125" bestFit="1" customWidth="1" style="13" min="7" max="7"/>
    <col width="18.85546875" customWidth="1" style="13" min="8" max="8"/>
    <col collapsed="1" width="9.140625" customWidth="1" style="52" min="9" max="11"/>
    <col collapsed="1" width="13" customWidth="1" style="52" min="12" max="12"/>
    <col collapsed="1" width="19.5703125" bestFit="1" customWidth="1" style="64" min="13" max="13"/>
    <col collapsed="1" width="19.5703125" customWidth="1" style="64" min="14" max="14"/>
    <col collapsed="1" width="92.42578125" customWidth="1" style="52" min="15" max="15"/>
    <col collapsed="1" width="9.140625" customWidth="1" style="52" min="16" max="22"/>
    <col collapsed="1" width="9.140625" customWidth="1" style="52" min="23" max="16384"/>
  </cols>
  <sheetData>
    <row r="1">
      <c r="A1" s="7" t="inlineStr">
        <is>
          <t>Observed</t>
        </is>
      </c>
      <c r="D1" s="7" t="inlineStr">
        <is>
          <t>Estimated</t>
        </is>
      </c>
      <c r="K1" s="14" t="inlineStr">
        <is>
          <t>OtherTourDestinationCoefficients_SACOG-v1.8.F12</t>
        </is>
      </c>
      <c r="Q1" s="14" t="n"/>
    </row>
    <row r="2" ht="15.75" customHeight="1" s="52">
      <c r="A2" s="14" t="inlineStr">
        <is>
          <t>Count</t>
        </is>
      </c>
      <c r="M2" s="64" t="inlineStr">
        <is>
          <t>Current</t>
        </is>
      </c>
      <c r="N2" s="64" t="inlineStr">
        <is>
          <t>Next</t>
        </is>
      </c>
      <c r="S2" s="16" t="n"/>
      <c r="T2" s="16" t="n"/>
    </row>
    <row r="3">
      <c r="A3" s="17" t="inlineStr">
        <is>
          <t>Distance (mi)</t>
        </is>
      </c>
      <c r="B3" s="18" t="inlineStr">
        <is>
          <t>Survey</t>
        </is>
      </c>
      <c r="C3" s="18">
        <f>H3</f>
        <v/>
      </c>
      <c r="D3" s="17" t="inlineStr">
        <is>
          <t>Distance (mi)</t>
        </is>
      </c>
      <c r="E3" s="17" t="inlineStr">
        <is>
          <t>BKRCast (all)</t>
        </is>
      </c>
      <c r="F3" s="17" t="inlineStr">
        <is>
          <t>BKRCast (In BKR)</t>
        </is>
      </c>
      <c r="G3" s="17" t="inlineStr">
        <is>
          <t>BKRCast (Out BKR)</t>
        </is>
      </c>
      <c r="H3" s="17" t="inlineStr">
        <is>
          <t>SoundCast</t>
        </is>
      </c>
      <c r="I3" s="19" t="n"/>
      <c r="K3" t="n">
        <v>1</v>
      </c>
      <c r="L3" t="inlineStr">
        <is>
          <t>Beta00001</t>
        </is>
      </c>
      <c r="M3" s="64">
        <f>#REF!</f>
        <v/>
      </c>
      <c r="N3" s="65">
        <f>M3</f>
        <v/>
      </c>
      <c r="O3" t="inlineStr">
        <is>
          <t>sampleItem.AdjustmentFactor</t>
        </is>
      </c>
    </row>
    <row r="4">
      <c r="A4" s="20" t="inlineStr">
        <is>
          <t>0-1</t>
        </is>
      </c>
      <c r="B4" s="21">
        <f>TLFD!E11</f>
        <v/>
      </c>
      <c r="C4" s="21">
        <f>H4</f>
        <v/>
      </c>
      <c r="D4" s="20" t="inlineStr">
        <is>
          <t>0-1</t>
        </is>
      </c>
      <c r="E4" s="21">
        <f>TLFD!L11</f>
        <v/>
      </c>
      <c r="F4" s="21" t="n">
        <v>20693.25</v>
      </c>
      <c r="G4" s="21" t="n">
        <v>126283.4668663759</v>
      </c>
      <c r="H4" s="21" t="n">
        <v>148882</v>
      </c>
      <c r="I4" s="26" t="n"/>
      <c r="K4" t="n">
        <v>2</v>
      </c>
      <c r="L4" t="inlineStr">
        <is>
          <t>Beta00002</t>
        </is>
      </c>
      <c r="M4" s="64">
        <f>#REF!</f>
        <v/>
      </c>
      <c r="N4" s="65">
        <f>M4</f>
        <v/>
      </c>
      <c r="O4" t="inlineStr">
        <is>
          <t>_tour.IsHomeBasedTour).ToFlag() * timePressure</t>
        </is>
      </c>
    </row>
    <row r="5">
      <c r="A5" s="22" t="inlineStr">
        <is>
          <t>1-3.5</t>
        </is>
      </c>
      <c r="B5" s="23">
        <f>TLFD!E12+TLFD!E13+(TLFD!E14/2)</f>
        <v/>
      </c>
      <c r="C5" s="23">
        <f>H5</f>
        <v/>
      </c>
      <c r="D5" s="22" t="inlineStr">
        <is>
          <t>1-3.5</t>
        </is>
      </c>
      <c r="E5" s="23">
        <f>TLFD!L12+TLFD!L13+(TLFD!L14/2)</f>
        <v/>
      </c>
      <c r="F5" s="23" t="n">
        <v>14260.25</v>
      </c>
      <c r="G5" s="23" t="n">
        <v>84821.51623385469</v>
      </c>
      <c r="H5" s="23" t="n">
        <v>173133.5</v>
      </c>
      <c r="I5" s="26" t="n"/>
      <c r="K5" t="n">
        <v>3</v>
      </c>
      <c r="L5" t="inlineStr">
        <is>
          <t>Beta00003</t>
        </is>
      </c>
      <c r="M5" s="64">
        <f>#REF!</f>
        <v/>
      </c>
      <c r="N5" s="65">
        <f>M5</f>
        <v/>
      </c>
      <c r="O5" t="inlineStr">
        <is>
          <t>_secondaryFlag * _workOrSchoolPatternFlag * distanceFromOrigin0</t>
        </is>
      </c>
    </row>
    <row r="6">
      <c r="A6" s="22" t="inlineStr">
        <is>
          <t>3.5-10</t>
        </is>
      </c>
      <c r="B6" s="23">
        <f>(TLFD!E14/2)+SUM(TLFD!E15:E20)</f>
        <v/>
      </c>
      <c r="C6" s="23">
        <f>H6</f>
        <v/>
      </c>
      <c r="D6" s="22" t="inlineStr">
        <is>
          <t>3.5-10</t>
        </is>
      </c>
      <c r="E6" s="23">
        <f>(TLFD!L14/2)+SUM(TLFD!L15:L20)</f>
        <v/>
      </c>
      <c r="F6" s="23" t="n">
        <v>16573.5</v>
      </c>
      <c r="G6" s="23" t="n">
        <v>146755.4401286212</v>
      </c>
      <c r="H6" s="23" t="n">
        <v>120538.5</v>
      </c>
      <c r="I6" s="26" t="n"/>
      <c r="K6" t="n">
        <v>4</v>
      </c>
      <c r="L6" t="inlineStr">
        <is>
          <t>Beta00004</t>
        </is>
      </c>
      <c r="M6" s="64">
        <f>#REF!</f>
        <v/>
      </c>
      <c r="N6" s="65">
        <f>M6</f>
        <v/>
      </c>
      <c r="O6" t="inlineStr">
        <is>
          <t>_secondaryFlag * _otherPatternFlag * distanceFromOrigin5</t>
        </is>
      </c>
    </row>
    <row r="7">
      <c r="A7" s="24" t="inlineStr">
        <is>
          <t>&gt;= 10</t>
        </is>
      </c>
      <c r="B7" s="25">
        <f>SUM(TLFD!E21:E101)</f>
        <v/>
      </c>
      <c r="C7" s="25">
        <f>H7</f>
        <v/>
      </c>
      <c r="D7" s="24" t="inlineStr">
        <is>
          <t>&gt;= 10</t>
        </is>
      </c>
      <c r="E7" s="25">
        <f>SUM(TLFD!L21:L101)</f>
        <v/>
      </c>
      <c r="F7" s="25" t="n">
        <v>8947.75</v>
      </c>
      <c r="G7" s="25" t="n">
        <v>62241.39096771451</v>
      </c>
      <c r="H7" s="25" t="n">
        <v>66699</v>
      </c>
      <c r="I7" s="26" t="n"/>
      <c r="K7" t="n">
        <v>5</v>
      </c>
      <c r="L7" t="inlineStr">
        <is>
          <t>Beta00005</t>
        </is>
      </c>
      <c r="M7" s="64">
        <f>#REF!</f>
        <v/>
      </c>
      <c r="N7" s="65">
        <f>M7</f>
        <v/>
      </c>
      <c r="O7" t="inlineStr">
        <is>
          <t>_secondaryFlag * _otherPatternFlag * distanceFromOrigin0</t>
        </is>
      </c>
    </row>
    <row r="8" ht="15.75" customHeight="1" s="52">
      <c r="A8" s="27" t="inlineStr">
        <is>
          <t>Total</t>
        </is>
      </c>
      <c r="B8" s="28">
        <f>SUM(B4:B7)</f>
        <v/>
      </c>
      <c r="C8" s="28">
        <f>H8</f>
        <v/>
      </c>
      <c r="D8" s="27" t="inlineStr">
        <is>
          <t>Total</t>
        </is>
      </c>
      <c r="E8" s="28">
        <f>SUM(E4:E7)</f>
        <v/>
      </c>
      <c r="F8" s="28" t="n">
        <v>60474.75</v>
      </c>
      <c r="G8" s="28" t="n">
        <v>420101.8141965662</v>
      </c>
      <c r="H8" s="28" t="n">
        <v>509253</v>
      </c>
      <c r="K8" t="n">
        <v>6</v>
      </c>
      <c r="L8" t="inlineStr">
        <is>
          <t>Beta00006</t>
        </is>
      </c>
      <c r="M8" s="64">
        <f>#REF!</f>
        <v/>
      </c>
      <c r="N8" s="65">
        <f>M8</f>
        <v/>
      </c>
      <c r="O8" t="inlineStr">
        <is>
          <t>_secondaryFlag * _otherPatternFlag * distanceFromOrigin3</t>
        </is>
      </c>
    </row>
    <row r="9">
      <c r="C9" s="13" t="n"/>
      <c r="K9" t="n">
        <v>7</v>
      </c>
      <c r="L9" t="inlineStr">
        <is>
          <t>Beta00007</t>
        </is>
      </c>
      <c r="M9" s="64">
        <f>#REF!</f>
        <v/>
      </c>
      <c r="N9" s="65">
        <f>M9</f>
        <v/>
      </c>
      <c r="O9" t="inlineStr">
        <is>
          <t>(!_tour.IsHomeBasedTour).ToFlag() * distanceFromOriginLog</t>
        </is>
      </c>
    </row>
    <row r="10" ht="15.75" customHeight="1" s="52">
      <c r="A10" s="29" t="inlineStr">
        <is>
          <t>Share</t>
        </is>
      </c>
      <c r="C10" s="13" t="n"/>
      <c r="I10" s="19" t="n"/>
      <c r="K10" t="n">
        <v>8</v>
      </c>
      <c r="L10" t="inlineStr">
        <is>
          <t>Beta00008</t>
        </is>
      </c>
      <c r="M10" s="64">
        <f>#REF!</f>
        <v/>
      </c>
      <c r="N10" s="65">
        <f>M10</f>
        <v/>
      </c>
      <c r="O10" t="inlineStr">
        <is>
          <t>household.Has0To15KIncome.ToFlag() * distanceFromOriginLog</t>
        </is>
      </c>
    </row>
    <row r="11">
      <c r="A11" s="17" t="inlineStr">
        <is>
          <t>Distance (mi)</t>
        </is>
      </c>
      <c r="B11" s="18" t="inlineStr">
        <is>
          <t>Survey</t>
        </is>
      </c>
      <c r="C11" s="18">
        <f>H11</f>
        <v/>
      </c>
      <c r="D11" s="17" t="inlineStr">
        <is>
          <t>Distance (mi)</t>
        </is>
      </c>
      <c r="E11" s="17" t="inlineStr">
        <is>
          <t>BKRCast (all)</t>
        </is>
      </c>
      <c r="F11" s="17" t="inlineStr">
        <is>
          <t>BKRCast (In BKR)</t>
        </is>
      </c>
      <c r="G11" s="17" t="inlineStr">
        <is>
          <t>BKRCast (Out BKR)</t>
        </is>
      </c>
      <c r="H11" s="17" t="inlineStr">
        <is>
          <t>SoundCast</t>
        </is>
      </c>
      <c r="I11" s="32" t="n"/>
      <c r="K11" t="n">
        <v>9</v>
      </c>
      <c r="L11" t="inlineStr">
        <is>
          <t>Beta00009</t>
        </is>
      </c>
      <c r="M11" s="64">
        <f>#REF!</f>
        <v/>
      </c>
      <c r="N11" s="65">
        <f>M11</f>
        <v/>
      </c>
      <c r="O11" t="inlineStr">
        <is>
          <t>household.HasMissingIncome.ToFlag() * distanceFromOriginLog</t>
        </is>
      </c>
    </row>
    <row r="12">
      <c r="A12" s="20" t="inlineStr">
        <is>
          <t>0-1</t>
        </is>
      </c>
      <c r="B12" s="66">
        <f>B4/B$8</f>
        <v/>
      </c>
      <c r="C12" s="66">
        <f>H12</f>
        <v/>
      </c>
      <c r="D12" s="20" t="inlineStr">
        <is>
          <t>0-1</t>
        </is>
      </c>
      <c r="E12" s="66">
        <f>E4/E$8</f>
        <v/>
      </c>
      <c r="F12" s="66" t="n">
        <v>0.3421800007441122</v>
      </c>
      <c r="G12" s="66" t="n">
        <v>0.3006020507383185</v>
      </c>
      <c r="H12" s="66" t="n">
        <v>0.2923537023836875</v>
      </c>
      <c r="I12" s="32" t="n"/>
      <c r="K12" t="n">
        <v>10</v>
      </c>
      <c r="L12" t="inlineStr">
        <is>
          <t>Beta00010</t>
        </is>
      </c>
      <c r="M12" s="64">
        <f>#REF!</f>
        <v/>
      </c>
      <c r="N12" s="65">
        <f>M12</f>
        <v/>
      </c>
      <c r="O12" t="inlineStr">
        <is>
          <t>person.IsRetiredAdult.ToFlag() * distanceFromOriginLog</t>
        </is>
      </c>
    </row>
    <row r="13">
      <c r="A13" s="22" t="inlineStr">
        <is>
          <t>1-3.5</t>
        </is>
      </c>
      <c r="B13" s="67">
        <f>B5/B$8</f>
        <v/>
      </c>
      <c r="C13" s="67">
        <f>H13</f>
        <v/>
      </c>
      <c r="D13" s="22" t="inlineStr">
        <is>
          <t>1-3.5</t>
        </is>
      </c>
      <c r="E13" s="67">
        <f>E5/E$8</f>
        <v/>
      </c>
      <c r="F13" s="67" t="n">
        <v>0.2358050260645972</v>
      </c>
      <c r="G13" s="67" t="n">
        <v>0.2019070457862069</v>
      </c>
      <c r="H13" s="67" t="n">
        <v>0.3399754149705549</v>
      </c>
      <c r="I13" s="32" t="n"/>
      <c r="K13" t="n">
        <v>11</v>
      </c>
      <c r="L13" t="inlineStr">
        <is>
          <t>Beta00011</t>
        </is>
      </c>
      <c r="M13" s="64">
        <f>#REF!</f>
        <v/>
      </c>
      <c r="N13" s="65">
        <f>M13</f>
        <v/>
      </c>
      <c r="O13" t="inlineStr">
        <is>
          <t>person.IsChildAge5Through15.ToFlag() * distanceFromOriginLog</t>
        </is>
      </c>
    </row>
    <row r="14">
      <c r="A14" s="22" t="inlineStr">
        <is>
          <t>3.5-10</t>
        </is>
      </c>
      <c r="B14" s="67">
        <f>B6/B$8</f>
        <v/>
      </c>
      <c r="C14" s="67">
        <f>H14</f>
        <v/>
      </c>
      <c r="D14" s="22" t="inlineStr">
        <is>
          <t>3.5-10</t>
        </is>
      </c>
      <c r="E14" s="67">
        <f>E6/E$8</f>
        <v/>
      </c>
      <c r="F14" s="67" t="n">
        <v>0.2740565277243808</v>
      </c>
      <c r="G14" s="67" t="n">
        <v>0.3493330311112489</v>
      </c>
      <c r="H14" s="67" t="n">
        <v>0.2366966910356935</v>
      </c>
      <c r="I14" s="32" t="n"/>
      <c r="K14" t="n">
        <v>12</v>
      </c>
      <c r="L14" t="inlineStr">
        <is>
          <t>Beta00012</t>
        </is>
      </c>
      <c r="M14" s="64">
        <f>#REF!</f>
        <v/>
      </c>
      <c r="N14" s="65">
        <f>M14</f>
        <v/>
      </c>
      <c r="O14" t="inlineStr">
        <is>
          <t>person.IsChildUnder5.ToFlag() * distanceFromOriginLog</t>
        </is>
      </c>
    </row>
    <row r="15">
      <c r="A15" s="24" t="inlineStr">
        <is>
          <t>&gt;= 10</t>
        </is>
      </c>
      <c r="B15" s="67">
        <f>B7/B$8</f>
        <v/>
      </c>
      <c r="C15" s="67">
        <f>H15</f>
        <v/>
      </c>
      <c r="D15" s="24" t="inlineStr">
        <is>
          <t>&gt;= 10</t>
        </is>
      </c>
      <c r="E15" s="67">
        <f>E7/E$8</f>
        <v/>
      </c>
      <c r="F15" s="67" t="n">
        <v>0.1479584454669098</v>
      </c>
      <c r="G15" s="67" t="n">
        <v>0.1481578723642257</v>
      </c>
      <c r="H15" s="67" t="n">
        <v>0.1309741916100642</v>
      </c>
      <c r="K15" t="n">
        <v>13</v>
      </c>
      <c r="L15" t="inlineStr">
        <is>
          <t>Beta00013</t>
        </is>
      </c>
      <c r="M15" s="64">
        <f>#REF!</f>
        <v/>
      </c>
      <c r="N15" s="65">
        <f>M15</f>
        <v/>
      </c>
      <c r="O15" t="inlineStr">
        <is>
          <t>(_tour.IsHomeBasedTour).ToFlag() * distanceFromSchoolLog</t>
        </is>
      </c>
    </row>
    <row r="16" ht="15.75" customHeight="1" s="52">
      <c r="A16" s="27" t="inlineStr">
        <is>
          <t>Total</t>
        </is>
      </c>
      <c r="B16" s="68">
        <f>B8/B$8</f>
        <v/>
      </c>
      <c r="C16" s="68">
        <f>H16</f>
        <v/>
      </c>
      <c r="D16" s="27" t="inlineStr">
        <is>
          <t>Total</t>
        </is>
      </c>
      <c r="E16" s="68">
        <f>E8/E$8</f>
        <v/>
      </c>
      <c r="F16" s="68" t="n">
        <v>1</v>
      </c>
      <c r="G16" s="68" t="n">
        <v>1</v>
      </c>
      <c r="H16" s="68" t="n">
        <v>1</v>
      </c>
      <c r="K16" t="n">
        <v>14</v>
      </c>
      <c r="L16" t="inlineStr">
        <is>
          <t>Beta00014</t>
        </is>
      </c>
      <c r="M16" s="64">
        <f>#REF!</f>
        <v/>
      </c>
      <c r="N16" s="65">
        <f>M16</f>
        <v/>
      </c>
      <c r="O16" t="inlineStr">
        <is>
          <t>distanceFromWorkLog</t>
        </is>
      </c>
    </row>
    <row r="17">
      <c r="K17" t="n">
        <v>15</v>
      </c>
      <c r="L17" t="inlineStr">
        <is>
          <t>Beta00015</t>
        </is>
      </c>
      <c r="M17" s="64">
        <f>#REF!</f>
        <v/>
      </c>
      <c r="N17" s="65">
        <f>M17</f>
        <v/>
      </c>
      <c r="O17" t="inlineStr">
        <is>
          <t>carCompetitionFlag * destinationParcel.ParkingHourlyEmploymentCommercialMixInParcel()</t>
        </is>
      </c>
    </row>
    <row r="18">
      <c r="K18" t="n">
        <v>16</v>
      </c>
      <c r="L18" t="inlineStr">
        <is>
          <t>Beta00016</t>
        </is>
      </c>
      <c r="M18" s="64">
        <f>#REF!</f>
        <v/>
      </c>
      <c r="N18" s="65">
        <f>M18</f>
        <v/>
      </c>
      <c r="O18" t="inlineStr">
        <is>
          <t>noCarCompetitionFlag * destinationParcel.ParkingHourlyEmploymentCommercialMixInParcel()</t>
        </is>
      </c>
    </row>
    <row r="19">
      <c r="A19" s="34" t="inlineStr">
        <is>
          <t>Table X.X</t>
        </is>
      </c>
      <c r="K19" t="n">
        <v>17</v>
      </c>
      <c r="L19" t="inlineStr">
        <is>
          <t>Beta00017</t>
        </is>
      </c>
      <c r="M19" s="64">
        <f>#REF!</f>
        <v/>
      </c>
      <c r="N19" s="65">
        <f>M19</f>
        <v/>
      </c>
      <c r="O19" t="inlineStr">
        <is>
          <t>carCompetitionFlag * destinationParcel.ParkingHourlyEmploymentCommercialMixBuffer1()</t>
        </is>
      </c>
    </row>
    <row r="20">
      <c r="A20" s="34" t="inlineStr">
        <is>
          <t>ORIGINAL COEFFICIENT</t>
        </is>
      </c>
      <c r="K20" t="n">
        <v>18</v>
      </c>
      <c r="L20" t="inlineStr">
        <is>
          <t>Beta00018</t>
        </is>
      </c>
      <c r="M20" s="64">
        <f>#REF!</f>
        <v/>
      </c>
      <c r="N20" s="65">
        <f>M20</f>
        <v/>
      </c>
      <c r="O20" t="inlineStr">
        <is>
          <t>noCarCompetitionFlag * destinationParcel.ParkingHourlyEmploymentCommercialMixBuffer1()</t>
        </is>
      </c>
    </row>
    <row r="21" ht="15.75" customHeight="1" s="52">
      <c r="A21" s="35" t="n"/>
      <c r="J21" t="inlineStr">
        <is>
          <t>ESCORT</t>
        </is>
      </c>
      <c r="K21" t="n">
        <v>19</v>
      </c>
      <c r="L21" t="inlineStr">
        <is>
          <t>Beta00019</t>
        </is>
      </c>
      <c r="M21" s="64">
        <f>#REF!</f>
        <v/>
      </c>
      <c r="N21" s="65">
        <f>M21</f>
        <v/>
      </c>
      <c r="O21" t="inlineStr">
        <is>
          <t>noCarsFlag * c34Ratio</t>
        </is>
      </c>
    </row>
    <row r="22">
      <c r="A22" s="36" t="inlineStr">
        <is>
          <t>Purpose</t>
        </is>
      </c>
      <c r="B22" s="37" t="n"/>
      <c r="J22" t="inlineStr">
        <is>
          <t>ESCORT</t>
        </is>
      </c>
      <c r="K22" t="n">
        <v>20</v>
      </c>
      <c r="L22" t="inlineStr">
        <is>
          <t>Beta00020</t>
        </is>
      </c>
      <c r="M22" s="64">
        <f>#REF!</f>
        <v/>
      </c>
      <c r="N22" s="65">
        <f>M22</f>
        <v/>
      </c>
      <c r="O22" s="47" t="inlineStr">
        <is>
          <t>tourLogsum</t>
        </is>
      </c>
    </row>
    <row r="23">
      <c r="A23" s="20" t="inlineStr">
        <is>
          <t>0-1</t>
        </is>
      </c>
      <c r="B23" s="69" t="n"/>
      <c r="J23" t="inlineStr">
        <is>
          <t>ESCORT</t>
        </is>
      </c>
      <c r="K23" t="n">
        <v>21</v>
      </c>
      <c r="L23" t="inlineStr">
        <is>
          <t>Beta00021</t>
        </is>
      </c>
      <c r="M23" s="64">
        <f>#REF!</f>
        <v/>
      </c>
      <c r="N23" s="65">
        <f>M23</f>
        <v/>
      </c>
      <c r="O23" t="inlineStr">
        <is>
          <t>distanceFromOrigin4</t>
        </is>
      </c>
    </row>
    <row r="24">
      <c r="A24" s="22" t="inlineStr">
        <is>
          <t>1-3.5</t>
        </is>
      </c>
      <c r="B24" s="69" t="n"/>
      <c r="J24" t="inlineStr">
        <is>
          <t>ESCORT</t>
        </is>
      </c>
      <c r="K24" t="n">
        <v>22</v>
      </c>
      <c r="L24" t="inlineStr">
        <is>
          <t>Beta00022</t>
        </is>
      </c>
      <c r="M24" s="64">
        <f>#REF!</f>
        <v/>
      </c>
      <c r="N24" s="65">
        <f>M24</f>
        <v/>
      </c>
      <c r="O24" t="inlineStr">
        <is>
          <t>distanceFromOrigin8</t>
        </is>
      </c>
    </row>
    <row r="25">
      <c r="A25" s="22" t="inlineStr">
        <is>
          <t>3.5-10</t>
        </is>
      </c>
      <c r="B25" s="69" t="n"/>
      <c r="J25" t="inlineStr">
        <is>
          <t>ESCORT</t>
        </is>
      </c>
      <c r="K25" t="n">
        <v>23</v>
      </c>
      <c r="L25" t="inlineStr">
        <is>
          <t>Beta00023</t>
        </is>
      </c>
      <c r="M25" s="64">
        <f>#REF!</f>
        <v/>
      </c>
      <c r="N25" s="65">
        <f>M25</f>
        <v/>
      </c>
      <c r="O25" t="inlineStr">
        <is>
          <t>distanceFromOrigin9</t>
        </is>
      </c>
    </row>
    <row r="26" ht="15.75" customHeight="1" s="52">
      <c r="A26" s="39" t="inlineStr">
        <is>
          <t>&gt;= 10</t>
        </is>
      </c>
      <c r="B26" s="70" t="n"/>
      <c r="J26" t="inlineStr">
        <is>
          <t>ESCORT</t>
        </is>
      </c>
      <c r="K26" t="n">
        <v>24</v>
      </c>
      <c r="L26" t="inlineStr">
        <is>
          <t>Beta00024</t>
        </is>
      </c>
      <c r="M26" s="64">
        <f>#REF!</f>
        <v/>
      </c>
      <c r="N26" s="65">
        <f>M26</f>
        <v/>
      </c>
      <c r="O26" s="47" t="inlineStr">
        <is>
          <t>householdHasChildren.ToFlag() * studK12Buffer</t>
        </is>
      </c>
    </row>
    <row r="27">
      <c r="A27" s="35" t="n"/>
      <c r="B27" s="41" t="n"/>
      <c r="J27" t="inlineStr">
        <is>
          <t>PERSBUS/MED</t>
        </is>
      </c>
      <c r="K27" t="n">
        <v>25</v>
      </c>
      <c r="L27" t="inlineStr">
        <is>
          <t>Beta00025</t>
        </is>
      </c>
      <c r="M27" s="64">
        <f>#REF!</f>
        <v/>
      </c>
      <c r="N27" s="65">
        <f>M27</f>
        <v/>
      </c>
      <c r="O27" s="47" t="inlineStr">
        <is>
          <t>empTotBuffer</t>
        </is>
      </c>
    </row>
    <row r="28">
      <c r="A28" s="35" t="n"/>
      <c r="B28" s="41" t="n"/>
      <c r="J28" t="inlineStr">
        <is>
          <t>PERSBUS/MED</t>
        </is>
      </c>
      <c r="K28" t="n">
        <v>26</v>
      </c>
      <c r="L28" t="inlineStr">
        <is>
          <t>Beta00026</t>
        </is>
      </c>
      <c r="M28" s="64">
        <f>#REF!</f>
        <v/>
      </c>
      <c r="N28" s="65">
        <f>M28</f>
        <v/>
      </c>
      <c r="O28" t="inlineStr">
        <is>
          <t>tourLogsum</t>
        </is>
      </c>
    </row>
    <row r="29">
      <c r="A29" s="34" t="inlineStr">
        <is>
          <t>Table X.X</t>
        </is>
      </c>
      <c r="B29" s="42" t="n"/>
      <c r="J29" t="inlineStr">
        <is>
          <t>PERSBUS/MED</t>
        </is>
      </c>
      <c r="K29" t="n">
        <v>27</v>
      </c>
      <c r="L29" t="inlineStr">
        <is>
          <t>Beta00027</t>
        </is>
      </c>
      <c r="M29" s="64">
        <f>#REF!</f>
        <v/>
      </c>
      <c r="N29" s="65">
        <f>M29</f>
        <v/>
      </c>
      <c r="O29" t="inlineStr">
        <is>
          <t>distanceFromOrigin4</t>
        </is>
      </c>
    </row>
    <row r="30">
      <c r="A30" s="34" t="inlineStr">
        <is>
          <t>COEFFICIENT ADJUSTMENT</t>
        </is>
      </c>
      <c r="B30" s="42" t="n"/>
      <c r="J30" t="inlineStr">
        <is>
          <t>PERSBUS/MED</t>
        </is>
      </c>
      <c r="K30" t="n">
        <v>28</v>
      </c>
      <c r="L30" t="inlineStr">
        <is>
          <t>Beta00028</t>
        </is>
      </c>
      <c r="M30" s="64">
        <f>#REF!</f>
        <v/>
      </c>
      <c r="N30" s="65">
        <f>M30</f>
        <v/>
      </c>
      <c r="O30" t="inlineStr">
        <is>
          <t>distanceFromOrigin8</t>
        </is>
      </c>
    </row>
    <row r="31" ht="15.75" customHeight="1" s="52">
      <c r="A31" s="35" t="n"/>
      <c r="B31" s="41" t="n"/>
      <c r="J31" t="inlineStr">
        <is>
          <t>PERSBUS/MED</t>
        </is>
      </c>
      <c r="K31" t="n">
        <v>29</v>
      </c>
      <c r="L31" t="inlineStr">
        <is>
          <t>Beta00029</t>
        </is>
      </c>
      <c r="M31" s="64">
        <f>#REF!</f>
        <v/>
      </c>
      <c r="N31" s="65">
        <f>M31</f>
        <v/>
      </c>
      <c r="O31" t="inlineStr">
        <is>
          <t>distanceFromOrigin9</t>
        </is>
      </c>
    </row>
    <row r="32">
      <c r="A32" s="36" t="inlineStr">
        <is>
          <t>Purpose</t>
        </is>
      </c>
      <c r="B32" s="37" t="n"/>
      <c r="J32" t="inlineStr">
        <is>
          <t>PERSBUS/MED</t>
        </is>
      </c>
      <c r="K32" t="n">
        <v>30</v>
      </c>
      <c r="L32" t="inlineStr">
        <is>
          <t>Beta00030</t>
        </is>
      </c>
      <c r="M32" s="64">
        <f>#REF!</f>
        <v/>
      </c>
      <c r="N32" s="65">
        <f>M32</f>
        <v/>
      </c>
      <c r="O32" t="inlineStr">
        <is>
          <t>distanceFromOrigin3</t>
        </is>
      </c>
    </row>
    <row r="33">
      <c r="A33" s="20" t="inlineStr">
        <is>
          <t>0-1</t>
        </is>
      </c>
      <c r="B33" s="69">
        <f>LN(B12/E12)-LN(B12/E12)</f>
        <v/>
      </c>
      <c r="J33" t="inlineStr">
        <is>
          <t>PERSBUS/MED</t>
        </is>
      </c>
      <c r="K33" t="n">
        <v>31</v>
      </c>
      <c r="L33" t="inlineStr">
        <is>
          <t>Beta00031</t>
        </is>
      </c>
      <c r="M33" s="64">
        <f>#REF!</f>
        <v/>
      </c>
      <c r="N33" s="65">
        <f>M33</f>
        <v/>
      </c>
      <c r="O33" s="47" t="inlineStr">
        <is>
          <t>empEduBuffer</t>
        </is>
      </c>
    </row>
    <row r="34">
      <c r="A34" s="22" t="inlineStr">
        <is>
          <t>1-3.5</t>
        </is>
      </c>
      <c r="B34" s="69">
        <f>LN(B13/E13)-LN(B12/E12)</f>
        <v/>
      </c>
      <c r="J34" t="inlineStr">
        <is>
          <t>PERSBUS/MED</t>
        </is>
      </c>
      <c r="K34" t="n">
        <v>32</v>
      </c>
      <c r="L34" t="inlineStr">
        <is>
          <t>Beta00032</t>
        </is>
      </c>
      <c r="M34" s="64">
        <f>#REF!</f>
        <v/>
      </c>
      <c r="N34" s="65">
        <f>M34</f>
        <v/>
      </c>
      <c r="O34" s="47" t="inlineStr">
        <is>
          <t>empSvcBuffer</t>
        </is>
      </c>
    </row>
    <row r="35">
      <c r="A35" s="22" t="inlineStr">
        <is>
          <t>3.5-10</t>
        </is>
      </c>
      <c r="B35" s="69">
        <f>LN(B14/E14)-LN(B13/E13)-LN(B12/E12)</f>
        <v/>
      </c>
      <c r="E35" s="43" t="n"/>
      <c r="F35" s="43" t="n"/>
      <c r="G35" s="43" t="n"/>
      <c r="H35" s="43" t="n"/>
      <c r="J35" t="inlineStr">
        <is>
          <t>PERSBUS/MED</t>
        </is>
      </c>
      <c r="K35" t="n">
        <v>33</v>
      </c>
      <c r="L35" t="inlineStr">
        <is>
          <t>Beta00033</t>
        </is>
      </c>
      <c r="M35" s="64">
        <f>#REF!</f>
        <v/>
      </c>
      <c r="N35" s="65">
        <f>M35</f>
        <v/>
      </c>
      <c r="O35" s="47" t="inlineStr">
        <is>
          <t>empMedBuffer</t>
        </is>
      </c>
    </row>
    <row r="36" ht="15.75" customHeight="1" s="52">
      <c r="A36" s="39" t="inlineStr">
        <is>
          <t>&gt;= 10</t>
        </is>
      </c>
      <c r="B36" s="70">
        <f>LN(B15/E15)-LN(B14/E14)-LN(B13/E13)-LN(B12/E12)</f>
        <v/>
      </c>
      <c r="E36" s="44" t="n"/>
      <c r="F36" s="44" t="n"/>
      <c r="G36" s="44" t="n"/>
      <c r="H36" s="44" t="n"/>
      <c r="J36" t="inlineStr">
        <is>
          <t>PERSBUS/MED</t>
        </is>
      </c>
      <c r="K36" t="n">
        <v>34</v>
      </c>
      <c r="L36" t="inlineStr">
        <is>
          <t>Beta00034</t>
        </is>
      </c>
      <c r="M36" s="64">
        <f>#REF!</f>
        <v/>
      </c>
      <c r="N36" s="65">
        <f>M36</f>
        <v/>
      </c>
      <c r="O36" s="47" t="inlineStr">
        <is>
          <t>housesBuffer</t>
        </is>
      </c>
    </row>
    <row r="37">
      <c r="A37" s="35" t="n"/>
      <c r="B37" s="69" t="n"/>
      <c r="J37" t="inlineStr">
        <is>
          <t>SHOP</t>
        </is>
      </c>
      <c r="K37" t="n">
        <v>35</v>
      </c>
      <c r="L37" t="inlineStr">
        <is>
          <t>Beta00035</t>
        </is>
      </c>
      <c r="M37" s="64">
        <f>#REF!</f>
        <v/>
      </c>
      <c r="N37" s="65">
        <f>M37</f>
        <v/>
      </c>
      <c r="O37" s="47" t="inlineStr">
        <is>
          <t>studUniBuffer</t>
        </is>
      </c>
    </row>
    <row r="38">
      <c r="A38" s="35" t="n"/>
      <c r="B38" s="69" t="n"/>
      <c r="J38" t="inlineStr">
        <is>
          <t>SHOP</t>
        </is>
      </c>
      <c r="K38" t="n">
        <v>36</v>
      </c>
      <c r="L38" t="inlineStr">
        <is>
          <t>Beta00036</t>
        </is>
      </c>
      <c r="M38" s="64">
        <f>#REF!</f>
        <v/>
      </c>
      <c r="N38" s="65">
        <f>M38</f>
        <v/>
      </c>
      <c r="O38" s="47" t="inlineStr">
        <is>
          <t>tourLogsum</t>
        </is>
      </c>
    </row>
    <row r="39">
      <c r="A39" s="34" t="inlineStr">
        <is>
          <t>Table X.X</t>
        </is>
      </c>
      <c r="B39" s="71" t="n"/>
      <c r="J39" t="inlineStr">
        <is>
          <t>SHOP</t>
        </is>
      </c>
      <c r="K39" t="n">
        <v>37</v>
      </c>
      <c r="L39" t="inlineStr">
        <is>
          <t>Beta00037</t>
        </is>
      </c>
      <c r="M39" s="64">
        <f>#REF!</f>
        <v/>
      </c>
      <c r="N39" s="65">
        <f>M39</f>
        <v/>
      </c>
      <c r="O39" s="47" t="inlineStr">
        <is>
          <t>distanceFromOrigin4</t>
        </is>
      </c>
    </row>
    <row r="40">
      <c r="A40" s="34" t="inlineStr">
        <is>
          <t>NEXT COEFFICIENT</t>
        </is>
      </c>
      <c r="B40" s="71" t="n"/>
      <c r="J40" t="inlineStr">
        <is>
          <t>SHOP</t>
        </is>
      </c>
      <c r="K40" t="n">
        <v>38</v>
      </c>
      <c r="L40" t="inlineStr">
        <is>
          <t>Beta00038</t>
        </is>
      </c>
      <c r="M40" s="64">
        <f>#REF!</f>
        <v/>
      </c>
      <c r="N40" s="65">
        <f>M40</f>
        <v/>
      </c>
      <c r="O40" s="47" t="inlineStr">
        <is>
          <t>distanceFromOrigin8</t>
        </is>
      </c>
    </row>
    <row r="41" ht="15.75" customHeight="1" s="52">
      <c r="A41" s="35" t="n"/>
      <c r="B41" s="69" t="n"/>
      <c r="J41" t="inlineStr">
        <is>
          <t>SHOP</t>
        </is>
      </c>
      <c r="K41" t="n">
        <v>39</v>
      </c>
      <c r="L41" t="inlineStr">
        <is>
          <t>Beta00039</t>
        </is>
      </c>
      <c r="M41" s="64">
        <f>#REF!</f>
        <v/>
      </c>
      <c r="N41" s="65">
        <f>M41</f>
        <v/>
      </c>
      <c r="O41" s="47" t="inlineStr">
        <is>
          <t>distanceFromOrigin9</t>
        </is>
      </c>
    </row>
    <row r="42">
      <c r="A42" s="36" t="inlineStr">
        <is>
          <t>Purpose</t>
        </is>
      </c>
      <c r="B42" s="72" t="n"/>
      <c r="J42" t="inlineStr">
        <is>
          <t>SHOP</t>
        </is>
      </c>
      <c r="K42" t="n">
        <v>40</v>
      </c>
      <c r="L42" t="inlineStr">
        <is>
          <t>Beta00040</t>
        </is>
      </c>
      <c r="M42" s="64">
        <f>#REF!</f>
        <v/>
      </c>
      <c r="N42" s="65">
        <f>M42</f>
        <v/>
      </c>
      <c r="O42" s="47" t="inlineStr">
        <is>
          <t>distanceFromOrigin3</t>
        </is>
      </c>
    </row>
    <row r="43">
      <c r="A43" s="20" t="inlineStr">
        <is>
          <t>0-1</t>
        </is>
      </c>
      <c r="B43" s="69">
        <f>B23+B33</f>
        <v/>
      </c>
      <c r="J43" t="inlineStr">
        <is>
          <t>SHOP</t>
        </is>
      </c>
      <c r="K43" t="n">
        <v>41</v>
      </c>
      <c r="L43" t="inlineStr">
        <is>
          <t>Beta00041</t>
        </is>
      </c>
      <c r="M43" s="64">
        <f>#REF!</f>
        <v/>
      </c>
      <c r="N43" s="65">
        <f>M43</f>
        <v/>
      </c>
      <c r="O43" s="47" t="inlineStr">
        <is>
          <t>empEduBuffer</t>
        </is>
      </c>
    </row>
    <row r="44">
      <c r="A44" s="22" t="inlineStr">
        <is>
          <t>1-3.5</t>
        </is>
      </c>
      <c r="B44" s="69">
        <f>B24+B34</f>
        <v/>
      </c>
      <c r="J44" t="inlineStr">
        <is>
          <t>MEAL</t>
        </is>
      </c>
      <c r="K44" t="n">
        <v>42</v>
      </c>
      <c r="L44" t="inlineStr">
        <is>
          <t>Beta00042</t>
        </is>
      </c>
      <c r="M44" s="64">
        <f>#REF!</f>
        <v/>
      </c>
      <c r="N44" s="65">
        <f>M44</f>
        <v/>
      </c>
      <c r="O44" s="47" t="inlineStr">
        <is>
          <t>empRetBuffer</t>
        </is>
      </c>
    </row>
    <row r="45">
      <c r="A45" s="22" t="inlineStr">
        <is>
          <t>3.5-10</t>
        </is>
      </c>
      <c r="B45" s="69">
        <f>B25+B35</f>
        <v/>
      </c>
      <c r="J45" t="inlineStr">
        <is>
          <t>MEAL</t>
        </is>
      </c>
      <c r="K45" t="n">
        <v>43</v>
      </c>
      <c r="L45" t="inlineStr">
        <is>
          <t>Beta00043</t>
        </is>
      </c>
      <c r="M45" s="64">
        <f>#REF!</f>
        <v/>
      </c>
      <c r="N45" s="65">
        <f>M45</f>
        <v/>
      </c>
      <c r="O45" s="47" t="inlineStr">
        <is>
          <t>tourLogsum</t>
        </is>
      </c>
    </row>
    <row r="46" ht="15.75" customHeight="1" s="52">
      <c r="A46" s="39" t="inlineStr">
        <is>
          <t>&gt;= 10</t>
        </is>
      </c>
      <c r="B46" s="70">
        <f>B26+B36</f>
        <v/>
      </c>
      <c r="J46" t="inlineStr">
        <is>
          <t>MEAL</t>
        </is>
      </c>
      <c r="K46" t="n">
        <v>44</v>
      </c>
      <c r="L46" t="inlineStr">
        <is>
          <t>Beta00044</t>
        </is>
      </c>
      <c r="M46" s="64">
        <f>#REF!</f>
        <v/>
      </c>
      <c r="N46" s="65">
        <f>M46</f>
        <v/>
      </c>
      <c r="O46" s="47" t="inlineStr">
        <is>
          <t>distanceFromOrigin4  (0 -1 mile)</t>
        </is>
      </c>
    </row>
    <row r="47">
      <c r="J47" t="inlineStr">
        <is>
          <t>MEAL</t>
        </is>
      </c>
      <c r="K47" t="n">
        <v>45</v>
      </c>
      <c r="L47" t="inlineStr">
        <is>
          <t>Beta00045</t>
        </is>
      </c>
      <c r="M47" s="64">
        <f>#REF!</f>
        <v/>
      </c>
      <c r="N47" s="65">
        <f>M47</f>
        <v/>
      </c>
      <c r="O47" s="47" t="inlineStr">
        <is>
          <t>distanceFromOrigin8 (distance from 1 - 3.5 miles)</t>
        </is>
      </c>
    </row>
    <row r="48">
      <c r="J48" t="inlineStr">
        <is>
          <t>MEAL</t>
        </is>
      </c>
      <c r="K48" t="n">
        <v>46</v>
      </c>
      <c r="L48" t="inlineStr">
        <is>
          <t>Beta00046</t>
        </is>
      </c>
      <c r="M48" s="64">
        <f>#REF!</f>
        <v/>
      </c>
      <c r="N48" s="65">
        <f>M48</f>
        <v/>
      </c>
      <c r="O48" s="47" t="inlineStr">
        <is>
          <t>distanceFromOrigin9 (distance from 3.5 miles - 10 miles)</t>
        </is>
      </c>
    </row>
    <row r="49">
      <c r="J49" t="inlineStr">
        <is>
          <t>MEAL</t>
        </is>
      </c>
      <c r="K49" t="n">
        <v>47</v>
      </c>
      <c r="L49" t="inlineStr">
        <is>
          <t>Beta00047</t>
        </is>
      </c>
      <c r="M49" s="64">
        <f>#REF!</f>
        <v/>
      </c>
      <c r="N49" s="65">
        <f>M49</f>
        <v/>
      </c>
      <c r="O49" s="47" t="inlineStr">
        <is>
          <t>distanceFromOrigin3 (Distance over 10 miles)</t>
        </is>
      </c>
    </row>
    <row r="50">
      <c r="J50" t="inlineStr">
        <is>
          <t>SOCREC</t>
        </is>
      </c>
      <c r="K50" t="n">
        <v>48</v>
      </c>
      <c r="L50" t="inlineStr">
        <is>
          <t>Beta00048</t>
        </is>
      </c>
      <c r="M50" s="64">
        <f>#REF!</f>
        <v/>
      </c>
      <c r="N50" s="65">
        <f>M50</f>
        <v/>
      </c>
      <c r="O50" s="47" t="inlineStr">
        <is>
          <t>empFooBuffer</t>
        </is>
      </c>
    </row>
    <row r="51">
      <c r="J51" t="inlineStr">
        <is>
          <t>SOCREC</t>
        </is>
      </c>
      <c r="K51" t="n">
        <v>49</v>
      </c>
      <c r="L51" t="inlineStr">
        <is>
          <t>Beta00049</t>
        </is>
      </c>
      <c r="M51" s="64">
        <f>#REF!</f>
        <v/>
      </c>
      <c r="N51" s="65">
        <f>M51</f>
        <v/>
      </c>
      <c r="O51" s="47" t="inlineStr">
        <is>
          <t>tourLogsum</t>
        </is>
      </c>
    </row>
    <row r="52">
      <c r="J52" t="inlineStr">
        <is>
          <t>SOCREC</t>
        </is>
      </c>
      <c r="K52" t="n">
        <v>50</v>
      </c>
      <c r="L52" t="inlineStr">
        <is>
          <t>Beta00050</t>
        </is>
      </c>
      <c r="M52" s="64">
        <f>#REF!</f>
        <v/>
      </c>
      <c r="N52" s="65">
        <f>M52</f>
        <v/>
      </c>
      <c r="O52" s="47" t="inlineStr">
        <is>
          <t>distanceFromOrigin4</t>
        </is>
      </c>
    </row>
    <row r="53">
      <c r="J53" t="inlineStr">
        <is>
          <t>SOCREC</t>
        </is>
      </c>
      <c r="K53" t="n">
        <v>51</v>
      </c>
      <c r="L53" t="inlineStr">
        <is>
          <t>Beta00051</t>
        </is>
      </c>
      <c r="M53" s="64">
        <f>#REF!</f>
        <v/>
      </c>
      <c r="N53" s="65">
        <f>M53</f>
        <v/>
      </c>
      <c r="O53" s="47" t="inlineStr">
        <is>
          <t>distanceFromOrigin8</t>
        </is>
      </c>
    </row>
    <row r="54">
      <c r="J54" t="inlineStr">
        <is>
          <t>SOCREC</t>
        </is>
      </c>
      <c r="K54" t="n">
        <v>52</v>
      </c>
      <c r="L54" t="inlineStr">
        <is>
          <t>Beta00052</t>
        </is>
      </c>
      <c r="M54" s="64">
        <f>#REF!</f>
        <v/>
      </c>
      <c r="N54" s="65">
        <f>M54</f>
        <v/>
      </c>
      <c r="O54" s="47" t="inlineStr">
        <is>
          <t>distanceFromOrigin9</t>
        </is>
      </c>
    </row>
    <row r="55">
      <c r="J55" t="inlineStr">
        <is>
          <t>SOCREC</t>
        </is>
      </c>
      <c r="K55" t="n">
        <v>53</v>
      </c>
      <c r="L55" t="inlineStr">
        <is>
          <t>Beta00053</t>
        </is>
      </c>
      <c r="M55" s="64">
        <f>#REF!</f>
        <v/>
      </c>
      <c r="N55" s="65">
        <f>M55</f>
        <v/>
      </c>
      <c r="O55" s="47" t="inlineStr">
        <is>
          <t>distanceFromOrigin3</t>
        </is>
      </c>
    </row>
    <row r="56">
      <c r="J56" t="inlineStr">
        <is>
          <t>SOCREC</t>
        </is>
      </c>
      <c r="K56" t="n">
        <v>54</v>
      </c>
      <c r="L56" t="inlineStr">
        <is>
          <t>Beta00054</t>
        </is>
      </c>
      <c r="M56" s="64">
        <f>#REF!</f>
        <v/>
      </c>
      <c r="N56" s="65">
        <f>M56</f>
        <v/>
      </c>
      <c r="O56" s="47" t="inlineStr">
        <is>
          <t>empOfcBuffer</t>
        </is>
      </c>
    </row>
    <row r="57">
      <c r="J57" t="inlineStr">
        <is>
          <t>SOCREC</t>
        </is>
      </c>
      <c r="K57" t="n">
        <v>55</v>
      </c>
      <c r="L57" t="inlineStr">
        <is>
          <t>Beta00055</t>
        </is>
      </c>
      <c r="M57" s="64">
        <f>#REF!</f>
        <v/>
      </c>
      <c r="N57" s="65">
        <f>M57</f>
        <v/>
      </c>
      <c r="O57" s="47" t="inlineStr">
        <is>
          <t>empSvcBuffer</t>
        </is>
      </c>
    </row>
    <row r="58">
      <c r="J58" t="inlineStr">
        <is>
          <t>SOCREC</t>
        </is>
      </c>
      <c r="K58" t="n">
        <v>56</v>
      </c>
      <c r="L58" t="inlineStr">
        <is>
          <t>Beta00056</t>
        </is>
      </c>
      <c r="M58" s="64">
        <f>#REF!</f>
        <v/>
      </c>
      <c r="N58" s="65">
        <f>M58</f>
        <v/>
      </c>
      <c r="O58" s="47" t="inlineStr">
        <is>
          <t>housesBuffer</t>
        </is>
      </c>
    </row>
    <row r="59">
      <c r="K59" t="n">
        <v>57</v>
      </c>
      <c r="L59" t="inlineStr">
        <is>
          <t>Beta00057</t>
        </is>
      </c>
      <c r="M59" s="64">
        <f>#REF!</f>
        <v/>
      </c>
      <c r="N59" s="65">
        <f>M59</f>
        <v/>
      </c>
      <c r="O59" s="47" t="inlineStr">
        <is>
          <t>studUniBuffer</t>
        </is>
      </c>
    </row>
    <row r="60">
      <c r="J60" t="inlineStr">
        <is>
          <t>ESCORT</t>
        </is>
      </c>
      <c r="K60" t="n">
        <v>70</v>
      </c>
      <c r="L60" t="inlineStr">
        <is>
          <t>LSM_0070</t>
        </is>
      </c>
      <c r="M60" s="64">
        <f>#REF!</f>
        <v/>
      </c>
      <c r="N60" s="65">
        <f>M60</f>
        <v/>
      </c>
      <c r="O60" s="47" t="n"/>
    </row>
    <row r="61">
      <c r="J61" t="inlineStr">
        <is>
          <t>ESCORT</t>
        </is>
      </c>
      <c r="K61" t="n">
        <v>71</v>
      </c>
      <c r="L61" t="inlineStr">
        <is>
          <t>Gamma071</t>
        </is>
      </c>
      <c r="M61" s="64">
        <f>#REF!</f>
        <v/>
      </c>
      <c r="N61" s="65">
        <f>M61</f>
        <v/>
      </c>
      <c r="O61" t="inlineStr">
        <is>
          <t>(!householdHasChildren).ToFlag() * destinationParcel.EmploymentEducation</t>
        </is>
      </c>
    </row>
    <row r="62">
      <c r="J62" t="inlineStr">
        <is>
          <t>ESCORT</t>
        </is>
      </c>
      <c r="K62" t="n">
        <v>72</v>
      </c>
      <c r="L62" t="inlineStr">
        <is>
          <t>Gamma072</t>
        </is>
      </c>
      <c r="M62" s="64">
        <f>#REF!</f>
        <v/>
      </c>
      <c r="N62" s="65">
        <f>M62</f>
        <v/>
      </c>
      <c r="O62" t="inlineStr">
        <is>
          <t>(!householdHasChildren).ToFlag() * destinationParcel.EmploymentFood</t>
        </is>
      </c>
    </row>
    <row r="63">
      <c r="J63" t="inlineStr">
        <is>
          <t>ESCORT</t>
        </is>
      </c>
      <c r="K63" t="n">
        <v>73</v>
      </c>
      <c r="L63" t="inlineStr">
        <is>
          <t>Gamma073</t>
        </is>
      </c>
      <c r="M63" s="64">
        <f>#REF!</f>
        <v/>
      </c>
      <c r="N63" s="65">
        <f>M63</f>
        <v/>
      </c>
      <c r="O63" t="inlineStr">
        <is>
          <t>(!householdHasChildren).ToFlag() * destinationParcel.EmploymentGovernment</t>
        </is>
      </c>
    </row>
    <row r="64">
      <c r="J64" t="inlineStr">
        <is>
          <t>ESCORT</t>
        </is>
      </c>
      <c r="K64" t="n">
        <v>74</v>
      </c>
      <c r="L64" t="inlineStr">
        <is>
          <t>Gamma074</t>
        </is>
      </c>
      <c r="M64" s="64">
        <f>#REF!</f>
        <v/>
      </c>
      <c r="N64" s="65">
        <f>M64</f>
        <v/>
      </c>
      <c r="O64" t="inlineStr">
        <is>
          <t>(!householdHasChildren).ToFlag() * destinationParcel.EmploymentOffice</t>
        </is>
      </c>
    </row>
    <row r="65">
      <c r="J65" t="inlineStr">
        <is>
          <t>ESCORT</t>
        </is>
      </c>
      <c r="K65" t="n">
        <v>75</v>
      </c>
      <c r="L65" t="inlineStr">
        <is>
          <t>Gamma075</t>
        </is>
      </c>
      <c r="M65" s="64">
        <f>#REF!</f>
        <v/>
      </c>
      <c r="N65" s="65">
        <f>M65</f>
        <v/>
      </c>
      <c r="O65" t="inlineStr">
        <is>
          <t>(!householdHasChildren).ToFlag() * destinationParcel.EmploymentRetail</t>
        </is>
      </c>
    </row>
    <row r="66">
      <c r="J66" t="inlineStr">
        <is>
          <t>ESCORT</t>
        </is>
      </c>
      <c r="K66" t="n">
        <v>76</v>
      </c>
      <c r="L66" t="inlineStr">
        <is>
          <t>Gamma076</t>
        </is>
      </c>
      <c r="M66" s="64">
        <f>#REF!</f>
        <v/>
      </c>
      <c r="N66" s="65">
        <f>M66</f>
        <v/>
      </c>
      <c r="O66" t="inlineStr">
        <is>
          <t>(!householdHasChildren).ToFlag() * destinationParcel.EmploymentService</t>
        </is>
      </c>
    </row>
    <row r="67">
      <c r="J67" t="inlineStr">
        <is>
          <t>ESCORT</t>
        </is>
      </c>
      <c r="K67" t="n">
        <v>77</v>
      </c>
      <c r="L67" t="inlineStr">
        <is>
          <t>Gamma077</t>
        </is>
      </c>
      <c r="M67" s="64">
        <f>#REF!</f>
        <v/>
      </c>
      <c r="N67" s="65">
        <f>M67</f>
        <v/>
      </c>
      <c r="O67" t="inlineStr">
        <is>
          <t>(!householdHasChildren).ToFlag() * destinationParcel.EmploymentMedical</t>
        </is>
      </c>
    </row>
    <row r="68">
      <c r="J68" t="inlineStr">
        <is>
          <t>ESCORT</t>
        </is>
      </c>
      <c r="K68" t="n">
        <v>78</v>
      </c>
      <c r="L68" t="inlineStr">
        <is>
          <t>Gamma078</t>
        </is>
      </c>
      <c r="M68" s="64">
        <f>#REF!</f>
        <v/>
      </c>
      <c r="N68" s="65">
        <f>M68</f>
        <v/>
      </c>
      <c r="O68" t="inlineStr">
        <is>
          <t>(!householdHasChildren).ToFlag() * destinationParcel.EmploymentIndustrial + destinationParcel.EmploymentAgricultureConstruction</t>
        </is>
      </c>
    </row>
    <row r="69">
      <c r="J69" t="inlineStr">
        <is>
          <t>ESCORT</t>
        </is>
      </c>
      <c r="K69" t="n">
        <v>79</v>
      </c>
      <c r="L69" t="inlineStr">
        <is>
          <t>Gamma079</t>
        </is>
      </c>
      <c r="M69" s="64">
        <f>#REF!</f>
        <v/>
      </c>
      <c r="N69" s="65">
        <f>M69</f>
        <v/>
      </c>
      <c r="O69" t="inlineStr">
        <is>
          <t>(!householdHasChildren).ToFlag() * destinationParcel.Households</t>
        </is>
      </c>
    </row>
    <row r="70">
      <c r="J70" t="inlineStr">
        <is>
          <t>ESCORT</t>
        </is>
      </c>
      <c r="K70" t="n">
        <v>80</v>
      </c>
      <c r="L70" t="inlineStr">
        <is>
          <t>Gamma080</t>
        </is>
      </c>
      <c r="M70" s="64">
        <f>#REF!</f>
        <v/>
      </c>
      <c r="N70" s="65">
        <f>M70</f>
        <v/>
      </c>
      <c r="O70" t="inlineStr">
        <is>
          <t>householdHasChildren.ToFlag() * destinationParcel.EmploymentEducation</t>
        </is>
      </c>
    </row>
    <row r="71">
      <c r="J71" t="inlineStr">
        <is>
          <t>ESCORT</t>
        </is>
      </c>
      <c r="K71" t="n">
        <v>81</v>
      </c>
      <c r="L71" t="inlineStr">
        <is>
          <t>Gamma081</t>
        </is>
      </c>
      <c r="M71" s="64">
        <f>#REF!</f>
        <v/>
      </c>
      <c r="N71" s="65">
        <f>M71</f>
        <v/>
      </c>
      <c r="O71" t="inlineStr">
        <is>
          <t>householdHasChildren.ToFlag() * destinationParcel.EmploymentGovernment</t>
        </is>
      </c>
    </row>
    <row r="72">
      <c r="J72" t="inlineStr">
        <is>
          <t>ESCORT</t>
        </is>
      </c>
      <c r="K72" t="n">
        <v>82</v>
      </c>
      <c r="L72" t="inlineStr">
        <is>
          <t>Gamma082</t>
        </is>
      </c>
      <c r="M72" s="64">
        <f>#REF!</f>
        <v/>
      </c>
      <c r="N72" s="65">
        <f>M72</f>
        <v/>
      </c>
      <c r="O72" t="inlineStr">
        <is>
          <t>householdHasChildren.ToFlag() * destinationParcel.EmploymentGovernment</t>
        </is>
      </c>
    </row>
    <row r="73">
      <c r="J73" t="inlineStr">
        <is>
          <t>ESCORT</t>
        </is>
      </c>
      <c r="K73" t="n">
        <v>83</v>
      </c>
      <c r="L73" t="inlineStr">
        <is>
          <t>Gamma083</t>
        </is>
      </c>
      <c r="M73" s="64">
        <f>#REF!</f>
        <v/>
      </c>
      <c r="N73" s="65">
        <f>M73</f>
        <v/>
      </c>
      <c r="O73" t="inlineStr">
        <is>
          <t>householdHasChildren.ToFlag() * destinationParcel.EmploymentRetail</t>
        </is>
      </c>
    </row>
    <row r="74">
      <c r="J74" t="inlineStr">
        <is>
          <t>ESCORT</t>
        </is>
      </c>
      <c r="K74" t="n">
        <v>84</v>
      </c>
      <c r="L74" t="inlineStr">
        <is>
          <t>Gamma084</t>
        </is>
      </c>
      <c r="M74" s="64">
        <f>#REF!</f>
        <v/>
      </c>
      <c r="N74" s="65">
        <f>M74</f>
        <v/>
      </c>
      <c r="O74" t="inlineStr">
        <is>
          <t>householdHasChildren.ToFlag() * destinationParcel.EmploymentService</t>
        </is>
      </c>
    </row>
    <row r="75">
      <c r="J75" t="inlineStr">
        <is>
          <t>ESCORT</t>
        </is>
      </c>
      <c r="K75" t="n">
        <v>85</v>
      </c>
      <c r="L75" t="inlineStr">
        <is>
          <t>Gamma085</t>
        </is>
      </c>
      <c r="M75" s="64">
        <f>#REF!</f>
        <v/>
      </c>
      <c r="N75" s="65">
        <f>M75</f>
        <v/>
      </c>
      <c r="O75" t="inlineStr">
        <is>
          <t>householdHasChildren.ToFlag() * destinationParcel.EmploymentMedical</t>
        </is>
      </c>
    </row>
    <row r="76">
      <c r="J76" t="inlineStr">
        <is>
          <t>ESCORT</t>
        </is>
      </c>
      <c r="K76" t="n">
        <v>86</v>
      </c>
      <c r="L76" t="inlineStr">
        <is>
          <t>Gamma086</t>
        </is>
      </c>
      <c r="M76" s="64">
        <f>#REF!</f>
        <v/>
      </c>
      <c r="N76" s="65">
        <f>M76</f>
        <v/>
      </c>
      <c r="O76" t="inlineStr">
        <is>
          <t>householdHasChildren.ToFlag() * destinationParcel.EmploymentIndustrial + destinationParcel.EmploymentAgricultureConstruction</t>
        </is>
      </c>
    </row>
    <row r="77">
      <c r="J77" t="inlineStr">
        <is>
          <t>ESCORT</t>
        </is>
      </c>
      <c r="K77" t="n">
        <v>87</v>
      </c>
      <c r="L77" t="inlineStr">
        <is>
          <t>Gamma087</t>
        </is>
      </c>
      <c r="M77" s="64">
        <f>#REF!</f>
        <v/>
      </c>
      <c r="N77" s="65">
        <f>M77</f>
        <v/>
      </c>
      <c r="O77" t="inlineStr">
        <is>
          <t>householdHasChildren.ToFlag() * destinationParcel.Households</t>
        </is>
      </c>
    </row>
    <row r="78">
      <c r="J78" t="inlineStr">
        <is>
          <t>PERSBUS/MED</t>
        </is>
      </c>
      <c r="K78" t="n">
        <v>88</v>
      </c>
      <c r="L78" t="inlineStr">
        <is>
          <t>Gamma088</t>
        </is>
      </c>
      <c r="M78" s="64">
        <f>#REF!</f>
        <v/>
      </c>
      <c r="N78" s="65">
        <f>M78</f>
        <v/>
      </c>
      <c r="O78" t="inlineStr">
        <is>
          <t>householdHasChildren.ToFlag() * destinationParcel.StudentsK12</t>
        </is>
      </c>
    </row>
    <row r="79">
      <c r="J79" t="inlineStr">
        <is>
          <t>PERSBUS/MED</t>
        </is>
      </c>
      <c r="K79" t="n">
        <v>89</v>
      </c>
      <c r="L79" t="inlineStr">
        <is>
          <t>Gamma089</t>
        </is>
      </c>
      <c r="M79" s="64">
        <f>#REF!</f>
        <v/>
      </c>
      <c r="N79" s="65">
        <f>M79</f>
        <v/>
      </c>
      <c r="O79" t="inlineStr">
        <is>
          <t>destinationParcel.EmploymentEducation</t>
        </is>
      </c>
    </row>
    <row r="80">
      <c r="J80" t="inlineStr">
        <is>
          <t>PERSBUS/MED</t>
        </is>
      </c>
      <c r="K80" t="n">
        <v>90</v>
      </c>
      <c r="L80" t="inlineStr">
        <is>
          <t>Gamma090</t>
        </is>
      </c>
      <c r="M80" s="64">
        <f>#REF!</f>
        <v/>
      </c>
      <c r="N80" s="65">
        <f>M80</f>
        <v/>
      </c>
      <c r="O80" t="inlineStr">
        <is>
          <t>destinationParcel.EmploymentFood</t>
        </is>
      </c>
    </row>
    <row r="81">
      <c r="J81" t="inlineStr">
        <is>
          <t>PERSBUS/MED</t>
        </is>
      </c>
      <c r="K81" t="n">
        <v>91</v>
      </c>
      <c r="L81" t="inlineStr">
        <is>
          <t>Gamma091</t>
        </is>
      </c>
      <c r="M81" s="64">
        <f>#REF!</f>
        <v/>
      </c>
      <c r="N81" s="65">
        <f>M81</f>
        <v/>
      </c>
      <c r="O81" t="inlineStr">
        <is>
          <t>destinationParcel.EmploymentOffice</t>
        </is>
      </c>
    </row>
    <row r="82">
      <c r="J82" t="inlineStr">
        <is>
          <t>PERSBUS/MED</t>
        </is>
      </c>
      <c r="K82" t="n">
        <v>92</v>
      </c>
      <c r="L82" t="inlineStr">
        <is>
          <t>Gamma092</t>
        </is>
      </c>
      <c r="M82" s="64">
        <f>#REF!</f>
        <v/>
      </c>
      <c r="N82" s="65">
        <f>M82</f>
        <v/>
      </c>
      <c r="O82" t="inlineStr">
        <is>
          <t>destinationParcel.EmploymentRetail</t>
        </is>
      </c>
    </row>
    <row r="83">
      <c r="J83" t="inlineStr">
        <is>
          <t>PERSBUS/MED</t>
        </is>
      </c>
      <c r="K83" t="n">
        <v>93</v>
      </c>
      <c r="L83" t="inlineStr">
        <is>
          <t>Gamma093</t>
        </is>
      </c>
      <c r="M83" s="64">
        <f>#REF!</f>
        <v/>
      </c>
      <c r="N83" s="65">
        <f>M83</f>
        <v/>
      </c>
      <c r="O83" t="inlineStr">
        <is>
          <t>destinationParcel.EmploymentService</t>
        </is>
      </c>
    </row>
    <row r="84">
      <c r="J84" t="inlineStr">
        <is>
          <t>PERSBUS/MED</t>
        </is>
      </c>
      <c r="K84" t="n">
        <v>94</v>
      </c>
      <c r="L84" t="inlineStr">
        <is>
          <t>Gamma094</t>
        </is>
      </c>
      <c r="M84" s="64">
        <f>#REF!</f>
        <v/>
      </c>
      <c r="N84" s="65">
        <f>M84</f>
        <v/>
      </c>
      <c r="O84" t="inlineStr">
        <is>
          <t>destinationParcel.EmploymentMedical</t>
        </is>
      </c>
    </row>
    <row r="85">
      <c r="J85" t="inlineStr">
        <is>
          <t>PERSBUS/MED</t>
        </is>
      </c>
      <c r="K85" t="n">
        <v>95</v>
      </c>
      <c r="L85" t="inlineStr">
        <is>
          <t>Gamma095</t>
        </is>
      </c>
      <c r="M85" s="64">
        <f>#REF!</f>
        <v/>
      </c>
      <c r="N85" s="65">
        <f>M85</f>
        <v/>
      </c>
      <c r="O85" t="inlineStr">
        <is>
          <t>destinationParcel.EmploymentIndustrial + destinationParcel.EmploymentAgricultureConstruction</t>
        </is>
      </c>
    </row>
    <row r="86">
      <c r="J86" t="inlineStr">
        <is>
          <t>PERSBUS/MED</t>
        </is>
      </c>
      <c r="K86" t="n">
        <v>96</v>
      </c>
      <c r="L86" t="inlineStr">
        <is>
          <t>Gamma096</t>
        </is>
      </c>
      <c r="M86" s="64">
        <f>#REF!</f>
        <v/>
      </c>
      <c r="N86" s="65">
        <f>M86</f>
        <v/>
      </c>
      <c r="O86" t="inlineStr">
        <is>
          <t>destinationParcel.Households</t>
        </is>
      </c>
    </row>
    <row r="87">
      <c r="J87" t="inlineStr">
        <is>
          <t>SHOP</t>
        </is>
      </c>
      <c r="K87" t="n">
        <v>97</v>
      </c>
      <c r="L87" t="inlineStr">
        <is>
          <t>Gamma097</t>
        </is>
      </c>
      <c r="M87" s="64">
        <f>#REF!</f>
        <v/>
      </c>
      <c r="N87" s="65">
        <f>M87</f>
        <v/>
      </c>
      <c r="O87" t="inlineStr">
        <is>
          <t>destinationParcel.StudentsK12</t>
        </is>
      </c>
    </row>
    <row r="88">
      <c r="J88" t="inlineStr">
        <is>
          <t>SHOP</t>
        </is>
      </c>
      <c r="K88" t="n">
        <v>98</v>
      </c>
      <c r="L88" t="inlineStr">
        <is>
          <t>Gamma098</t>
        </is>
      </c>
      <c r="M88" s="64">
        <f>#REF!</f>
        <v/>
      </c>
      <c r="N88" s="65">
        <f>M88</f>
        <v/>
      </c>
      <c r="O88" t="inlineStr">
        <is>
          <t>destinationParcel.EmploymentFood</t>
        </is>
      </c>
    </row>
    <row r="89">
      <c r="J89" t="inlineStr">
        <is>
          <t>SHOP</t>
        </is>
      </c>
      <c r="K89" t="n">
        <v>99</v>
      </c>
      <c r="L89" t="inlineStr">
        <is>
          <t>Gamma099</t>
        </is>
      </c>
      <c r="M89" s="64">
        <f>#REF!</f>
        <v/>
      </c>
      <c r="N89" s="65">
        <f>M89</f>
        <v/>
      </c>
      <c r="O89" t="inlineStr">
        <is>
          <t>destinationParcel.EmploymentOffice</t>
        </is>
      </c>
    </row>
    <row r="90">
      <c r="J90" t="inlineStr">
        <is>
          <t>SHOP</t>
        </is>
      </c>
      <c r="K90" t="n">
        <v>100</v>
      </c>
      <c r="L90" t="inlineStr">
        <is>
          <t>Gamma100</t>
        </is>
      </c>
      <c r="M90" s="64">
        <f>#REF!</f>
        <v/>
      </c>
      <c r="N90" s="65">
        <f>M90</f>
        <v/>
      </c>
      <c r="O90" t="inlineStr">
        <is>
          <t>destinationParcel.EmploymentRetail</t>
        </is>
      </c>
    </row>
    <row r="91">
      <c r="J91" t="inlineStr">
        <is>
          <t>MEAL</t>
        </is>
      </c>
      <c r="K91" t="n">
        <v>101</v>
      </c>
      <c r="L91" t="inlineStr">
        <is>
          <t>Gamma101</t>
        </is>
      </c>
      <c r="M91" s="64">
        <f>#REF!</f>
        <v/>
      </c>
      <c r="N91" s="65">
        <f>M91</f>
        <v/>
      </c>
      <c r="O91" t="inlineStr">
        <is>
          <t>destinationParcel.EmploymentService</t>
        </is>
      </c>
    </row>
    <row r="92">
      <c r="J92" t="inlineStr">
        <is>
          <t>MEAL</t>
        </is>
      </c>
      <c r="K92" t="n">
        <v>102</v>
      </c>
      <c r="L92" t="inlineStr">
        <is>
          <t>Gamma102</t>
        </is>
      </c>
      <c r="M92" s="64">
        <f>#REF!</f>
        <v/>
      </c>
      <c r="N92" s="65">
        <f>M92</f>
        <v/>
      </c>
      <c r="O92" t="inlineStr">
        <is>
          <t>destinationParcel.EmploymentFood</t>
        </is>
      </c>
    </row>
    <row r="93">
      <c r="J93" t="inlineStr">
        <is>
          <t>MEAL</t>
        </is>
      </c>
      <c r="K93" t="n">
        <v>103</v>
      </c>
      <c r="L93" t="inlineStr">
        <is>
          <t>Gamma103</t>
        </is>
      </c>
      <c r="M93" s="64">
        <f>#REF!</f>
        <v/>
      </c>
      <c r="N93" s="65">
        <f>M93</f>
        <v/>
      </c>
      <c r="O93" t="inlineStr">
        <is>
          <t>destinationParcel.EmploymentOffice</t>
        </is>
      </c>
    </row>
    <row r="94">
      <c r="J94" t="inlineStr">
        <is>
          <t>MEAL</t>
        </is>
      </c>
      <c r="K94" t="n">
        <v>104</v>
      </c>
      <c r="L94" t="inlineStr">
        <is>
          <t>Gamma104</t>
        </is>
      </c>
      <c r="M94" s="64">
        <f>#REF!</f>
        <v/>
      </c>
      <c r="N94" s="65">
        <f>M94</f>
        <v/>
      </c>
      <c r="O94" t="inlineStr">
        <is>
          <t>destinationParcel.EmploymentRetail</t>
        </is>
      </c>
    </row>
    <row r="95">
      <c r="J95" t="inlineStr">
        <is>
          <t>SOCREC</t>
        </is>
      </c>
      <c r="K95" t="n">
        <v>105</v>
      </c>
      <c r="L95" t="inlineStr">
        <is>
          <t>Gamma105</t>
        </is>
      </c>
      <c r="M95" s="64">
        <f>#REF!</f>
        <v/>
      </c>
      <c r="N95" s="65">
        <f>M95</f>
        <v/>
      </c>
      <c r="O95" t="inlineStr">
        <is>
          <t>destinationParcel.EmploymentService</t>
        </is>
      </c>
    </row>
    <row r="96">
      <c r="J96" t="inlineStr">
        <is>
          <t>SOCREC</t>
        </is>
      </c>
      <c r="K96" t="n">
        <v>106</v>
      </c>
      <c r="L96" t="inlineStr">
        <is>
          <t>Gamma106</t>
        </is>
      </c>
      <c r="M96" s="64">
        <f>#REF!</f>
        <v/>
      </c>
      <c r="N96" s="65">
        <f>M96</f>
        <v/>
      </c>
      <c r="O96" t="inlineStr">
        <is>
          <t>destinationParcel.EmploymentFood</t>
        </is>
      </c>
    </row>
    <row r="97">
      <c r="J97" t="inlineStr">
        <is>
          <t>SOCREC</t>
        </is>
      </c>
      <c r="K97" t="n">
        <v>107</v>
      </c>
      <c r="L97" t="inlineStr">
        <is>
          <t>Gamma107</t>
        </is>
      </c>
      <c r="M97" s="64">
        <f>#REF!</f>
        <v/>
      </c>
      <c r="N97" s="65">
        <f>M97</f>
        <v/>
      </c>
      <c r="O97" t="inlineStr">
        <is>
          <t>destinationParcel.EmploymentGovernment</t>
        </is>
      </c>
    </row>
    <row r="98">
      <c r="J98" t="inlineStr">
        <is>
          <t>SOCREC</t>
        </is>
      </c>
      <c r="K98" t="n">
        <v>108</v>
      </c>
      <c r="L98" t="inlineStr">
        <is>
          <t>Gamma108</t>
        </is>
      </c>
      <c r="M98" s="64">
        <f>#REF!</f>
        <v/>
      </c>
      <c r="N98" s="65">
        <f>M98</f>
        <v/>
      </c>
      <c r="O98" t="inlineStr">
        <is>
          <t>destinationParcel.EmploymentOffice</t>
        </is>
      </c>
    </row>
    <row r="99">
      <c r="J99" t="inlineStr">
        <is>
          <t>SOCREC</t>
        </is>
      </c>
      <c r="K99" t="n">
        <v>109</v>
      </c>
      <c r="L99" t="inlineStr">
        <is>
          <t>Gamma109</t>
        </is>
      </c>
      <c r="M99" s="64">
        <f>#REF!</f>
        <v/>
      </c>
      <c r="N99" s="65">
        <f>M99</f>
        <v/>
      </c>
      <c r="O99" t="inlineStr">
        <is>
          <t>destinationParcel.EmploymentRetail</t>
        </is>
      </c>
    </row>
    <row r="100">
      <c r="J100" t="inlineStr">
        <is>
          <t>SOCREC</t>
        </is>
      </c>
      <c r="K100" t="n">
        <v>110</v>
      </c>
      <c r="L100" t="inlineStr">
        <is>
          <t>Gamma110</t>
        </is>
      </c>
      <c r="M100" s="64">
        <f>#REF!</f>
        <v/>
      </c>
      <c r="N100" s="65">
        <f>M100</f>
        <v/>
      </c>
      <c r="O100" t="inlineStr">
        <is>
          <t>destinationParcel.EmploymentService</t>
        </is>
      </c>
    </row>
    <row r="101">
      <c r="J101" t="inlineStr">
        <is>
          <t>SOCREC</t>
        </is>
      </c>
      <c r="K101" t="n">
        <v>111</v>
      </c>
      <c r="L101" t="inlineStr">
        <is>
          <t>Gamma111</t>
        </is>
      </c>
      <c r="M101" s="64">
        <f>#REF!</f>
        <v/>
      </c>
      <c r="N101" s="65">
        <f>M101</f>
        <v/>
      </c>
      <c r="O101" t="inlineStr">
        <is>
          <t>destinationParcel.Households</t>
        </is>
      </c>
    </row>
    <row r="102">
      <c r="J102" t="inlineStr">
        <is>
          <t>SOCREC</t>
        </is>
      </c>
      <c r="K102" t="n">
        <v>112</v>
      </c>
      <c r="L102" t="inlineStr">
        <is>
          <t>Gamma112</t>
        </is>
      </c>
      <c r="M102" s="64">
        <f>#REF!</f>
        <v/>
      </c>
      <c r="N102" s="65">
        <f>M102</f>
        <v/>
      </c>
      <c r="O102" t="inlineStr">
        <is>
          <t>destinationParcel.StudentsUniversity</t>
        </is>
      </c>
    </row>
    <row r="103">
      <c r="J103" t="inlineStr">
        <is>
          <t>SOCREC</t>
        </is>
      </c>
      <c r="K103" t="n">
        <v>113</v>
      </c>
      <c r="L103" t="inlineStr">
        <is>
          <t>Gamma113</t>
        </is>
      </c>
      <c r="M103" s="64">
        <f>#REF!</f>
        <v/>
      </c>
      <c r="N103" s="65">
        <f>M103</f>
        <v/>
      </c>
      <c r="O103" t="inlineStr">
        <is>
          <t>destinationParcel.StudentsK12</t>
        </is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/>
  <cols>
    <col collapsed="1" width="13.5703125" customWidth="1" style="52" min="1" max="1"/>
    <col collapsed="1" width="10.5703125" customWidth="1" style="52" min="2" max="2"/>
    <col collapsed="1" width="9.28515625" customWidth="1" style="52" min="3" max="4"/>
    <col collapsed="1" width="10.5703125" customWidth="1" style="52" min="5" max="5"/>
    <col collapsed="1" width="10.5703125" customWidth="1" style="52" min="9" max="9"/>
    <col collapsed="1" width="9.5703125" customWidth="1" style="52" min="10" max="11"/>
    <col collapsed="1" width="10.5703125" customWidth="1" style="52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52">
      <c r="A9" s="3" t="inlineStr">
        <is>
          <t>Table X. Observed Trip Lengths: Survey</t>
        </is>
      </c>
      <c r="B9" s="1" t="inlineStr"/>
      <c r="C9" s="1" t="inlineStr"/>
      <c r="D9" s="1" t="inlineStr"/>
      <c r="E9" s="1" t="inlineStr"/>
      <c r="F9" s="1" t="inlineStr"/>
      <c r="H9" s="3" t="inlineStr">
        <is>
          <t>Table X. Estimated Trip Lengths</t>
        </is>
      </c>
      <c r="I9" s="1" t="inlineStr"/>
      <c r="J9" s="1" t="inlineStr"/>
      <c r="K9" s="1" t="inlineStr"/>
      <c r="L9" s="1" t="inlineStr"/>
      <c r="M9" s="1" t="inlineStr"/>
      <c r="P9" s="7" t="inlineStr">
        <is>
          <t>Table X. Average Trip Length</t>
        </is>
      </c>
    </row>
    <row r="10">
      <c r="A10" s="2" t="inlineStr">
        <is>
          <t>Distance (mi)</t>
        </is>
      </c>
      <c r="B10" s="17" t="inlineStr">
        <is>
          <t>FT</t>
        </is>
      </c>
      <c r="C10" s="17" t="inlineStr">
        <is>
          <t>PT</t>
        </is>
      </c>
      <c r="D10" s="17" t="inlineStr">
        <is>
          <t>NotFTPT</t>
        </is>
      </c>
      <c r="E10" s="17" t="inlineStr">
        <is>
          <t>Total</t>
        </is>
      </c>
      <c r="F10" s="9" t="inlineStr">
        <is>
          <t>Survey</t>
        </is>
      </c>
      <c r="H10" s="2" t="inlineStr">
        <is>
          <t>Distance (mi)</t>
        </is>
      </c>
      <c r="I10" s="17" t="inlineStr">
        <is>
          <t>FT</t>
        </is>
      </c>
      <c r="J10" s="17" t="inlineStr">
        <is>
          <t>PT</t>
        </is>
      </c>
      <c r="K10" s="17" t="inlineStr">
        <is>
          <t>NotFTPT</t>
        </is>
      </c>
      <c r="L10" s="17" t="inlineStr">
        <is>
          <t>Total</t>
        </is>
      </c>
      <c r="M10" s="9" t="inlineStr">
        <is>
          <t>DaySim</t>
        </is>
      </c>
      <c r="P10" s="2" t="inlineStr"/>
      <c r="Q10" s="17" t="inlineStr">
        <is>
          <t>Survey</t>
        </is>
      </c>
      <c r="R10" s="17" t="inlineStr">
        <is>
          <t>DaySim</t>
        </is>
      </c>
    </row>
    <row r="11">
      <c r="A11" t="n">
        <v>0</v>
      </c>
      <c r="B11" s="49" t="n">
        <v>33529.2496428338</v>
      </c>
      <c r="C11" s="49" t="n">
        <v>623.8512507065</v>
      </c>
      <c r="D11" s="49" t="n">
        <v>1693.8448047706</v>
      </c>
      <c r="E11" s="49" t="n">
        <v>35846.9456983109</v>
      </c>
      <c r="F11" s="10" t="n">
        <v>0.1947746639811521</v>
      </c>
      <c r="H11" s="11" t="n">
        <v>0</v>
      </c>
      <c r="I11" s="51" t="n">
        <v>68049</v>
      </c>
      <c r="J11" s="51" t="n">
        <v>5898</v>
      </c>
      <c r="K11" s="51" t="n">
        <v>5687</v>
      </c>
      <c r="L11" s="49" t="n">
        <v>79682</v>
      </c>
      <c r="M11" s="10" t="n">
        <v>0.3416089687252149</v>
      </c>
      <c r="P11" t="inlineStr">
        <is>
          <t>FT</t>
        </is>
      </c>
      <c r="Q11" s="5" t="n">
        <v>3.996223974169072</v>
      </c>
      <c r="R11" s="5" t="n">
        <v>4.919709185907442</v>
      </c>
    </row>
    <row r="12">
      <c r="A12" t="n">
        <v>1</v>
      </c>
      <c r="B12" s="49" t="n">
        <v>19741.0888088627</v>
      </c>
      <c r="C12" s="49" t="n">
        <v>1282.9672045295</v>
      </c>
      <c r="D12" s="49" t="n">
        <v>1270.553164984</v>
      </c>
      <c r="E12" s="49" t="n">
        <v>22294.6091783762</v>
      </c>
      <c r="F12" s="10" t="n">
        <v>0.1211379359305903</v>
      </c>
      <c r="H12" s="11" t="n">
        <v>1</v>
      </c>
      <c r="I12" s="51" t="n">
        <v>20898</v>
      </c>
      <c r="J12" s="51" t="n">
        <v>2317</v>
      </c>
      <c r="K12" s="51" t="n">
        <v>2090</v>
      </c>
      <c r="L12" s="49" t="n">
        <v>25163</v>
      </c>
      <c r="M12" s="10" t="n">
        <v>0.1078776446378427</v>
      </c>
      <c r="P12" t="inlineStr">
        <is>
          <t>PT</t>
        </is>
      </c>
      <c r="Q12" s="5" t="n">
        <v>4.367656827552512</v>
      </c>
      <c r="R12" s="5" t="n">
        <v>4.943865753240392</v>
      </c>
    </row>
    <row r="13">
      <c r="A13" t="n">
        <v>2</v>
      </c>
      <c r="B13" s="49" t="n">
        <v>9929.634844345701</v>
      </c>
      <c r="C13" s="49" t="n">
        <v>371.518941673</v>
      </c>
      <c r="D13" s="49" t="n">
        <v>0</v>
      </c>
      <c r="E13" s="49" t="n">
        <v>10301.1537860187</v>
      </c>
      <c r="F13" s="10" t="n">
        <v>0.05597140086008798</v>
      </c>
      <c r="H13" s="11" t="n">
        <v>2</v>
      </c>
      <c r="I13" s="51" t="n">
        <v>12166</v>
      </c>
      <c r="J13" s="51" t="n">
        <v>1332</v>
      </c>
      <c r="K13" s="51" t="n">
        <v>1249</v>
      </c>
      <c r="L13" s="49" t="n">
        <v>14669</v>
      </c>
      <c r="M13" s="10" t="n">
        <v>0.0628882553428651</v>
      </c>
      <c r="P13" s="4" t="inlineStr">
        <is>
          <t>NotFTPT</t>
        </is>
      </c>
      <c r="Q13" s="8" t="n">
        <v>4.455458028041579</v>
      </c>
      <c r="R13" s="8" t="n">
        <v>4.696744651540875</v>
      </c>
    </row>
    <row r="14" ht="15.75" customHeight="1" s="52">
      <c r="A14" t="n">
        <v>3</v>
      </c>
      <c r="B14" s="49" t="n">
        <v>25599.561736635</v>
      </c>
      <c r="C14" s="49" t="n">
        <v>764.363108539</v>
      </c>
      <c r="D14" s="49" t="n">
        <v>0</v>
      </c>
      <c r="E14" s="49" t="n">
        <v>26363.924845174</v>
      </c>
      <c r="F14" s="10" t="n">
        <v>0.1432485949056763</v>
      </c>
      <c r="H14" s="11" t="n">
        <v>3</v>
      </c>
      <c r="I14" s="51" t="n">
        <v>6805</v>
      </c>
      <c r="J14" s="51" t="n">
        <v>853</v>
      </c>
      <c r="K14" s="51" t="n">
        <v>738</v>
      </c>
      <c r="L14" s="49" t="n">
        <v>8147</v>
      </c>
      <c r="M14" s="10" t="n">
        <v>0.03492743992626096</v>
      </c>
      <c r="P14" s="1" t="inlineStr">
        <is>
          <t>Total</t>
        </is>
      </c>
      <c r="Q14" s="6" t="n">
        <v>4.024516630604764</v>
      </c>
      <c r="R14" s="6" t="n">
        <v>4.904557092244556</v>
      </c>
    </row>
    <row r="15">
      <c r="A15" t="n">
        <v>4</v>
      </c>
      <c r="B15" s="49" t="n">
        <v>34768.3191834659</v>
      </c>
      <c r="C15" s="49" t="n">
        <v>1001.4134433272</v>
      </c>
      <c r="D15" s="49" t="n">
        <v>295.6132959603</v>
      </c>
      <c r="E15" s="49" t="n">
        <v>36065.3459227534</v>
      </c>
      <c r="F15" s="10" t="n">
        <v>0.1959613433341772</v>
      </c>
      <c r="H15" s="11" t="n">
        <v>4</v>
      </c>
      <c r="I15" s="51" t="n">
        <v>21186</v>
      </c>
      <c r="J15" s="51" t="n">
        <v>2577</v>
      </c>
      <c r="K15" s="51" t="n">
        <v>2172</v>
      </c>
      <c r="L15" s="49" t="n">
        <v>25819</v>
      </c>
      <c r="M15" s="10" t="n">
        <v>0.1106900173629718</v>
      </c>
    </row>
    <row r="16">
      <c r="A16" t="n">
        <v>5</v>
      </c>
      <c r="B16" s="49" t="n">
        <v>17811.0833723785</v>
      </c>
      <c r="C16" s="49" t="n">
        <v>1762.380686484</v>
      </c>
      <c r="D16" s="49" t="n">
        <v>86.29215148919999</v>
      </c>
      <c r="E16" s="49" t="n">
        <v>19659.7562103517</v>
      </c>
      <c r="F16" s="10" t="n">
        <v>0.1068214414151065</v>
      </c>
      <c r="H16" s="11" t="n">
        <v>5</v>
      </c>
      <c r="I16" s="51" t="n">
        <v>14200</v>
      </c>
      <c r="J16" s="51" t="n">
        <v>1572</v>
      </c>
      <c r="K16" s="51" t="n">
        <v>1412</v>
      </c>
      <c r="L16" s="49" t="n">
        <v>16986</v>
      </c>
      <c r="M16" s="10" t="n">
        <v>0.07282159010524962</v>
      </c>
    </row>
    <row r="17">
      <c r="A17" t="n">
        <v>6</v>
      </c>
      <c r="B17" s="49" t="n">
        <v>8332.574327730899</v>
      </c>
      <c r="C17" s="49" t="n">
        <v>321.1044334949</v>
      </c>
      <c r="D17" s="49" t="n">
        <v>0</v>
      </c>
      <c r="E17" s="49" t="n">
        <v>8653.678761225799</v>
      </c>
      <c r="F17" s="10" t="n">
        <v>0.04701983223630708</v>
      </c>
      <c r="H17" s="11" t="n">
        <v>6</v>
      </c>
      <c r="I17" s="51" t="n">
        <v>10567</v>
      </c>
      <c r="J17" s="51" t="n">
        <v>1244</v>
      </c>
      <c r="K17" s="51" t="n">
        <v>1049</v>
      </c>
      <c r="L17" s="49" t="n">
        <v>12807</v>
      </c>
      <c r="M17" s="10" t="n">
        <v>0.0549055754431845</v>
      </c>
    </row>
    <row r="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0.006500660959237362</v>
      </c>
      <c r="H18" s="11" t="n">
        <v>7</v>
      </c>
      <c r="I18" s="51" t="n">
        <v>5687</v>
      </c>
      <c r="J18" s="51" t="n">
        <v>652</v>
      </c>
      <c r="K18" s="51" t="n">
        <v>583</v>
      </c>
      <c r="L18" s="49" t="n">
        <v>7787</v>
      </c>
      <c r="M18" s="10" t="n">
        <v>0.03338406465027545</v>
      </c>
    </row>
    <row r="19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0.03471027218499366</v>
      </c>
      <c r="H19" s="11" t="n">
        <v>8</v>
      </c>
      <c r="I19" s="51" t="n">
        <v>6818</v>
      </c>
      <c r="J19" s="51" t="n">
        <v>756</v>
      </c>
      <c r="K19" s="51" t="n">
        <v>654</v>
      </c>
      <c r="L19" s="49" t="n">
        <v>7277</v>
      </c>
      <c r="M19" s="10" t="n">
        <v>0.03119761634262931</v>
      </c>
    </row>
    <row r="20">
      <c r="A20" t="n">
        <v>9</v>
      </c>
      <c r="B20" s="49" t="n">
        <v>1584.759641761</v>
      </c>
      <c r="C20" s="49" t="n">
        <v>0</v>
      </c>
      <c r="D20" s="49" t="n">
        <v>0</v>
      </c>
      <c r="E20" s="49" t="n">
        <v>1584.759641761</v>
      </c>
      <c r="F20" s="10" t="n">
        <v>0.008610804092283778</v>
      </c>
      <c r="H20" s="11" t="n">
        <v>9</v>
      </c>
      <c r="I20" s="51" t="n">
        <v>3281</v>
      </c>
      <c r="J20" s="51" t="n">
        <v>373</v>
      </c>
      <c r="K20" s="51" t="n">
        <v>362</v>
      </c>
      <c r="L20" s="49" t="n">
        <v>4467</v>
      </c>
      <c r="M20" s="10" t="n">
        <v>0.01915071488285353</v>
      </c>
    </row>
    <row r="21">
      <c r="A21" t="n">
        <v>10</v>
      </c>
      <c r="B21" s="49" t="n">
        <v>6599.1783360809</v>
      </c>
      <c r="C21" s="49" t="n">
        <v>0</v>
      </c>
      <c r="D21" s="49" t="n">
        <v>0</v>
      </c>
      <c r="E21" s="49" t="n">
        <v>6599.1783360809</v>
      </c>
      <c r="F21" s="10" t="n">
        <v>0.03585668786901478</v>
      </c>
      <c r="H21" s="11" t="n">
        <v>10</v>
      </c>
      <c r="I21" s="51" t="n">
        <v>2311</v>
      </c>
      <c r="J21" s="51" t="n">
        <v>222</v>
      </c>
      <c r="K21" s="51" t="n">
        <v>214</v>
      </c>
      <c r="L21" s="49" t="n">
        <v>2895</v>
      </c>
      <c r="M21" s="10" t="n">
        <v>0.01241130951105014</v>
      </c>
    </row>
    <row r="22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2855</v>
      </c>
      <c r="J22" s="51" t="n">
        <v>287</v>
      </c>
      <c r="K22" s="51" t="n">
        <v>230</v>
      </c>
      <c r="L22" s="49" t="n">
        <v>3255</v>
      </c>
      <c r="M22" s="10" t="n">
        <v>0.01395468478703565</v>
      </c>
    </row>
    <row r="23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0.007205240655850834</v>
      </c>
      <c r="H23" s="11" t="n">
        <v>12</v>
      </c>
      <c r="I23" s="51" t="n">
        <v>2094</v>
      </c>
      <c r="J23" s="51" t="n">
        <v>225</v>
      </c>
      <c r="K23" s="51" t="n">
        <v>162</v>
      </c>
      <c r="L23" s="49" t="n">
        <v>2391</v>
      </c>
      <c r="M23" s="10" t="n">
        <v>0.01025058412467043</v>
      </c>
    </row>
    <row r="24">
      <c r="A24" t="n">
        <v>13</v>
      </c>
      <c r="B24" s="49" t="n">
        <v>1459.395501922</v>
      </c>
      <c r="C24" s="49" t="n">
        <v>0</v>
      </c>
      <c r="D24" s="49" t="n">
        <v>0</v>
      </c>
      <c r="E24" s="49" t="n">
        <v>1459.395501922</v>
      </c>
      <c r="F24" s="10" t="n">
        <v>0.007929637043410825</v>
      </c>
      <c r="H24" s="11" t="n">
        <v>13</v>
      </c>
      <c r="I24" s="51" t="n">
        <v>2413</v>
      </c>
      <c r="J24" s="51" t="n">
        <v>228</v>
      </c>
      <c r="K24" s="51" t="n">
        <v>224</v>
      </c>
      <c r="L24" s="49" t="n">
        <v>2791</v>
      </c>
      <c r="M24" s="10" t="n">
        <v>0.0119654455424321</v>
      </c>
    </row>
    <row r="25">
      <c r="A25" t="n">
        <v>14</v>
      </c>
      <c r="B25" s="49" t="n">
        <v>424.8588006925</v>
      </c>
      <c r="C25" s="49" t="n">
        <v>209.4327097914</v>
      </c>
      <c r="D25" s="49" t="n">
        <v>0</v>
      </c>
      <c r="E25" s="49" t="n">
        <v>634.2915104839</v>
      </c>
      <c r="F25" s="10" t="n">
        <v>0.003446427956801364</v>
      </c>
      <c r="H25" s="11" t="n">
        <v>14</v>
      </c>
      <c r="I25" s="51" t="n">
        <v>1561</v>
      </c>
      <c r="J25" s="51" t="n">
        <v>153</v>
      </c>
      <c r="K25" s="51" t="n">
        <v>117</v>
      </c>
      <c r="L25" s="49" t="n">
        <v>1862</v>
      </c>
      <c r="M25" s="10" t="n">
        <v>0.007982679899680607</v>
      </c>
    </row>
    <row r="26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2111</v>
      </c>
      <c r="J26" s="51" t="n">
        <v>238</v>
      </c>
      <c r="K26" s="51" t="n">
        <v>176</v>
      </c>
      <c r="L26" s="49" t="n">
        <v>2127</v>
      </c>
      <c r="M26" s="10" t="n">
        <v>0.009118775588947718</v>
      </c>
    </row>
    <row r="27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0.00208215586036298</v>
      </c>
      <c r="H27" s="11" t="n">
        <v>16</v>
      </c>
      <c r="I27" s="51" t="n">
        <v>1547</v>
      </c>
      <c r="J27" s="51" t="n">
        <v>156</v>
      </c>
      <c r="K27" s="51" t="n">
        <v>146</v>
      </c>
      <c r="L27" s="49" t="n">
        <v>1895</v>
      </c>
      <c r="M27" s="10" t="n">
        <v>0.008124155966645945</v>
      </c>
    </row>
    <row r="2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0.001314286543122483</v>
      </c>
      <c r="H28" s="11" t="n">
        <v>17</v>
      </c>
      <c r="I28" s="51" t="n">
        <v>1275</v>
      </c>
      <c r="J28" s="51" t="n">
        <v>144</v>
      </c>
      <c r="K28" s="51" t="n">
        <v>103</v>
      </c>
      <c r="L28" s="49" t="n">
        <v>1518</v>
      </c>
      <c r="M28" s="10" t="n">
        <v>0.006507899080405564</v>
      </c>
    </row>
    <row r="29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0.001436797409767334</v>
      </c>
      <c r="H29" s="11" t="n">
        <v>18</v>
      </c>
      <c r="I29" s="51" t="n">
        <v>1062</v>
      </c>
      <c r="J29" s="51" t="n">
        <v>90</v>
      </c>
      <c r="K29" s="51" t="n">
        <v>95</v>
      </c>
      <c r="L29" s="49" t="n">
        <v>1398</v>
      </c>
      <c r="M29" s="10" t="n">
        <v>0.005993440655077061</v>
      </c>
    </row>
    <row r="30">
      <c r="A30" t="n">
        <v>19</v>
      </c>
      <c r="B30" s="49" t="n">
        <v>1149.5167104721</v>
      </c>
      <c r="C30" s="49" t="n">
        <v>0</v>
      </c>
      <c r="D30" s="49" t="n">
        <v>0</v>
      </c>
      <c r="E30" s="49" t="n">
        <v>1149.5167104721</v>
      </c>
      <c r="F30" s="10" t="n">
        <v>0.006245908170454606</v>
      </c>
      <c r="H30" s="11" t="n">
        <v>19</v>
      </c>
      <c r="I30" s="51" t="n">
        <v>942</v>
      </c>
      <c r="J30" s="51" t="n">
        <v>89</v>
      </c>
      <c r="K30" s="51" t="n">
        <v>71</v>
      </c>
      <c r="L30" s="49" t="n">
        <v>1041</v>
      </c>
      <c r="M30" s="10" t="n">
        <v>0.004462926839724764</v>
      </c>
    </row>
    <row r="31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0.0007459463710534586</v>
      </c>
      <c r="H31" s="11" t="n">
        <v>20</v>
      </c>
      <c r="I31" s="51" t="n">
        <v>861</v>
      </c>
      <c r="J31" s="51" t="n">
        <v>71</v>
      </c>
      <c r="K31" s="51" t="n">
        <v>64</v>
      </c>
      <c r="L31" s="49" t="n">
        <v>1044</v>
      </c>
      <c r="M31" s="10" t="n">
        <v>0.004475788300357978</v>
      </c>
    </row>
    <row r="32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0.001776973654374982</v>
      </c>
      <c r="H32" s="11" t="n">
        <v>21</v>
      </c>
      <c r="I32" s="51" t="n">
        <v>693</v>
      </c>
      <c r="J32" s="51" t="n">
        <v>72</v>
      </c>
      <c r="K32" s="51" t="n">
        <v>50</v>
      </c>
      <c r="L32" s="49" t="n">
        <v>774</v>
      </c>
      <c r="M32" s="10" t="n">
        <v>0.003318256843368845</v>
      </c>
    </row>
    <row r="33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0.00594193092141473</v>
      </c>
      <c r="H33" s="11" t="n">
        <v>22</v>
      </c>
      <c r="I33" s="51" t="n">
        <v>679</v>
      </c>
      <c r="J33" s="51" t="n">
        <v>62</v>
      </c>
      <c r="K33" s="51" t="n">
        <v>50</v>
      </c>
      <c r="L33" s="49" t="n">
        <v>758</v>
      </c>
      <c r="M33" s="10" t="n">
        <v>0.003249662386658378</v>
      </c>
    </row>
    <row r="3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588</v>
      </c>
      <c r="J34" s="51" t="n">
        <v>61</v>
      </c>
      <c r="K34" s="51" t="n">
        <v>34</v>
      </c>
      <c r="L34" s="49" t="n">
        <v>786</v>
      </c>
      <c r="M34" s="10" t="n">
        <v>0.003369702685901696</v>
      </c>
    </row>
    <row r="35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0.0003613506882653887</v>
      </c>
      <c r="H35" s="11" t="n">
        <v>24</v>
      </c>
      <c r="I35" s="51" t="n">
        <v>612</v>
      </c>
      <c r="J35" s="51" t="n">
        <v>63</v>
      </c>
      <c r="K35" s="51" t="n">
        <v>39</v>
      </c>
      <c r="L35" s="49" t="n">
        <v>714</v>
      </c>
      <c r="M35" s="10" t="n">
        <v>0.003061027630704594</v>
      </c>
    </row>
    <row r="36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502</v>
      </c>
      <c r="J36" s="51" t="n">
        <v>41</v>
      </c>
      <c r="K36" s="51" t="n">
        <v>43</v>
      </c>
      <c r="L36" s="49" t="n">
        <v>630</v>
      </c>
      <c r="M36" s="10" t="n">
        <v>0.002700906732974641</v>
      </c>
    </row>
    <row r="37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391</v>
      </c>
      <c r="J37" s="51" t="n">
        <v>34</v>
      </c>
      <c r="K37" s="51" t="n">
        <v>32</v>
      </c>
      <c r="L37" s="49" t="n">
        <v>507</v>
      </c>
      <c r="M37" s="10" t="n">
        <v>0.002173586847012926</v>
      </c>
    </row>
    <row r="3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296</v>
      </c>
      <c r="J38" s="51" t="n">
        <v>28</v>
      </c>
      <c r="K38" s="51" t="n">
        <v>25</v>
      </c>
      <c r="L38" s="49" t="n">
        <v>357</v>
      </c>
      <c r="M38" s="10" t="n">
        <v>0.001530513815352297</v>
      </c>
    </row>
    <row r="39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0.0004531427434939522</v>
      </c>
      <c r="H39" s="11" t="n">
        <v>28</v>
      </c>
      <c r="I39" s="51" t="n">
        <v>308</v>
      </c>
      <c r="J39" s="51" t="n">
        <v>32</v>
      </c>
      <c r="K39" s="51" t="n">
        <v>16</v>
      </c>
      <c r="L39" s="49" t="n">
        <v>323</v>
      </c>
      <c r="M39" s="10" t="n">
        <v>0.001384750594842554</v>
      </c>
    </row>
    <row r="40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0.0009882964560690266</v>
      </c>
      <c r="H40" s="11" t="n">
        <v>29</v>
      </c>
      <c r="I40" s="51" t="n">
        <v>337</v>
      </c>
      <c r="J40" s="51" t="n">
        <v>31</v>
      </c>
      <c r="K40" s="51" t="n">
        <v>25</v>
      </c>
      <c r="L40" s="49" t="n">
        <v>317</v>
      </c>
      <c r="M40" s="10" t="n">
        <v>0.001359027673576129</v>
      </c>
    </row>
    <row r="41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247</v>
      </c>
      <c r="J41" s="51" t="n">
        <v>24</v>
      </c>
      <c r="K41" s="51" t="n">
        <v>14</v>
      </c>
      <c r="L41" s="49" t="n">
        <v>308</v>
      </c>
      <c r="M41" s="10" t="n">
        <v>0.001320443291676491</v>
      </c>
    </row>
    <row r="42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253</v>
      </c>
      <c r="J42" s="51" t="n">
        <v>16</v>
      </c>
      <c r="K42" s="51" t="n">
        <v>17</v>
      </c>
      <c r="L42" s="49" t="n">
        <v>317</v>
      </c>
      <c r="M42" s="10" t="n">
        <v>0.001359027673576129</v>
      </c>
    </row>
    <row r="43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167</v>
      </c>
      <c r="J43" s="51" t="n">
        <v>11</v>
      </c>
      <c r="K43" s="51" t="n">
        <v>10</v>
      </c>
      <c r="L43" s="49" t="n">
        <v>258</v>
      </c>
      <c r="M43" s="10" t="n">
        <v>0.001106085614456282</v>
      </c>
    </row>
    <row r="44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0.001495898709264719</v>
      </c>
      <c r="H44" s="11" t="n">
        <v>33</v>
      </c>
      <c r="I44" s="51" t="n">
        <v>170</v>
      </c>
      <c r="J44" s="51" t="n">
        <v>10</v>
      </c>
      <c r="K44" s="51" t="n">
        <v>11</v>
      </c>
      <c r="L44" s="49" t="n">
        <v>176</v>
      </c>
      <c r="M44" s="10" t="n">
        <v>0.0007545390238151379</v>
      </c>
    </row>
    <row r="45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0.005134016491216165</v>
      </c>
      <c r="H45" s="11" t="n">
        <v>34</v>
      </c>
      <c r="I45" s="51" t="n">
        <v>194</v>
      </c>
      <c r="J45" s="51" t="n">
        <v>14</v>
      </c>
      <c r="K45" s="51" t="n">
        <v>14</v>
      </c>
      <c r="L45" s="49" t="n">
        <v>237</v>
      </c>
      <c r="M45" s="10" t="n">
        <v>0.001016055390023794</v>
      </c>
    </row>
    <row r="46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197</v>
      </c>
      <c r="J46" s="51" t="n">
        <v>13</v>
      </c>
      <c r="K46" s="51" t="n">
        <v>11</v>
      </c>
      <c r="L46" s="49" t="n">
        <v>149</v>
      </c>
      <c r="M46" s="10" t="n">
        <v>0.0006387858781162247</v>
      </c>
    </row>
    <row r="47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166</v>
      </c>
      <c r="J47" s="51" t="n">
        <v>18</v>
      </c>
      <c r="K47" s="51" t="n">
        <v>10</v>
      </c>
      <c r="L47" s="49" t="n">
        <v>193</v>
      </c>
      <c r="M47" s="10" t="n">
        <v>0.0008274206340700092</v>
      </c>
    </row>
    <row r="4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115</v>
      </c>
      <c r="J48" s="51" t="n">
        <v>8</v>
      </c>
      <c r="K48" s="51" t="n">
        <v>3</v>
      </c>
      <c r="L48" s="49" t="n">
        <v>152</v>
      </c>
      <c r="M48" s="10" t="n">
        <v>0.0006516473387494373</v>
      </c>
    </row>
    <row r="49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0.002828352556450246</v>
      </c>
      <c r="H49" s="11" t="n">
        <v>38</v>
      </c>
      <c r="I49" s="51" t="n">
        <v>125</v>
      </c>
      <c r="J49" s="51" t="n">
        <v>7</v>
      </c>
      <c r="K49" s="51" t="n">
        <v>10</v>
      </c>
      <c r="L49" s="49" t="n">
        <v>179</v>
      </c>
      <c r="M49" s="10" t="n">
        <v>0.0007674004844483505</v>
      </c>
    </row>
    <row r="50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135</v>
      </c>
      <c r="J50" s="51" t="n">
        <v>8</v>
      </c>
      <c r="K50" s="51" t="n">
        <v>4</v>
      </c>
      <c r="L50" s="49" t="n">
        <v>176</v>
      </c>
      <c r="M50" s="10" t="n">
        <v>0.0007545390238151379</v>
      </c>
    </row>
    <row r="51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83</v>
      </c>
      <c r="J51" s="51" t="n">
        <v>6</v>
      </c>
      <c r="K51" s="51" t="n">
        <v>6</v>
      </c>
      <c r="L51" s="49" t="n">
        <v>108</v>
      </c>
      <c r="M51" s="10" t="n">
        <v>0.0004630125827956528</v>
      </c>
    </row>
    <row r="52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74</v>
      </c>
      <c r="J52" s="51" t="n">
        <v>8</v>
      </c>
      <c r="K52" s="51" t="n">
        <v>6</v>
      </c>
      <c r="L52" s="49" t="n">
        <v>85</v>
      </c>
      <c r="M52" s="10" t="n">
        <v>0.0003644080512743564</v>
      </c>
    </row>
    <row r="53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82</v>
      </c>
      <c r="J53" s="51" t="n">
        <v>3</v>
      </c>
      <c r="K53" s="51" t="n">
        <v>5</v>
      </c>
      <c r="L53" s="49" t="n">
        <v>130</v>
      </c>
      <c r="M53" s="10" t="n">
        <v>0.000557329960772545</v>
      </c>
    </row>
    <row r="54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53</v>
      </c>
      <c r="J54" s="51" t="n">
        <v>2</v>
      </c>
      <c r="K54" s="51" t="n">
        <v>5</v>
      </c>
      <c r="L54" s="49" t="n">
        <v>54</v>
      </c>
      <c r="M54" s="10" t="n">
        <v>0.0002315062913978264</v>
      </c>
    </row>
    <row r="55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62</v>
      </c>
      <c r="J55" s="51" t="n">
        <v>3</v>
      </c>
      <c r="K55" s="51" t="n">
        <v>2</v>
      </c>
      <c r="L55" s="49" t="n">
        <v>55</v>
      </c>
      <c r="M55" s="10" t="n">
        <v>0.0002357934449422306</v>
      </c>
    </row>
    <row r="56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70</v>
      </c>
      <c r="J56" s="51" t="n">
        <v>3</v>
      </c>
      <c r="K56" s="51" t="n">
        <v>2</v>
      </c>
      <c r="L56" s="49" t="n">
        <v>64</v>
      </c>
      <c r="M56" s="10" t="n">
        <v>0.0002743778268418683</v>
      </c>
    </row>
    <row r="57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49</v>
      </c>
      <c r="J57" s="51" t="n">
        <v>2</v>
      </c>
      <c r="K57" s="51" t="n">
        <v>2</v>
      </c>
      <c r="L57" s="49" t="n">
        <v>72</v>
      </c>
      <c r="M57" s="10" t="n">
        <v>0.0003086750551971019</v>
      </c>
    </row>
    <row r="5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37</v>
      </c>
      <c r="J58" s="51" t="n">
        <v>2</v>
      </c>
      <c r="K58" s="51" t="n">
        <v>2</v>
      </c>
      <c r="L58" s="49" t="n">
        <v>42</v>
      </c>
      <c r="M58" s="10" t="n">
        <v>0.0001800604488649761</v>
      </c>
    </row>
    <row r="59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32</v>
      </c>
      <c r="J59" s="51" t="n">
        <v>5</v>
      </c>
      <c r="K59" s="51" t="n">
        <v>3</v>
      </c>
      <c r="L59" s="49" t="n">
        <v>43</v>
      </c>
      <c r="M59" s="10" t="n">
        <v>0.0001843476024093803</v>
      </c>
    </row>
    <row r="60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26</v>
      </c>
      <c r="J60" s="51" t="n">
        <v>1</v>
      </c>
      <c r="K60" s="51" t="n">
        <v>0</v>
      </c>
      <c r="L60" s="49" t="n">
        <v>35</v>
      </c>
      <c r="M60" s="10" t="n">
        <v>0.0001500503740541467</v>
      </c>
    </row>
    <row r="61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27</v>
      </c>
      <c r="J61" s="51" t="n">
        <v>0</v>
      </c>
      <c r="K61" s="51" t="n">
        <v>3</v>
      </c>
      <c r="L61" s="49" t="n">
        <v>25</v>
      </c>
      <c r="M61" s="10" t="n">
        <v>0.0001071788386101048</v>
      </c>
    </row>
    <row r="62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22</v>
      </c>
      <c r="J62" s="51" t="n">
        <v>1</v>
      </c>
      <c r="K62" s="51" t="n">
        <v>1</v>
      </c>
      <c r="L62" s="49" t="n">
        <v>21</v>
      </c>
      <c r="M62" s="10" t="n">
        <v>9.003022443248805e-05</v>
      </c>
    </row>
    <row r="63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36</v>
      </c>
      <c r="J63" s="51" t="n">
        <v>3</v>
      </c>
      <c r="K63" s="51" t="n">
        <v>1</v>
      </c>
      <c r="L63" s="49" t="n">
        <v>21</v>
      </c>
      <c r="M63" s="10" t="n">
        <v>9.003022443248805e-05</v>
      </c>
    </row>
    <row r="6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15</v>
      </c>
      <c r="J64" s="51" t="n">
        <v>4</v>
      </c>
      <c r="K64" s="51" t="n">
        <v>0</v>
      </c>
      <c r="L64" s="49" t="n">
        <v>21</v>
      </c>
      <c r="M64" s="10" t="n">
        <v>9.003022443248805e-05</v>
      </c>
    </row>
    <row r="65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15</v>
      </c>
      <c r="J65" s="51" t="n">
        <v>0</v>
      </c>
      <c r="K65" s="51" t="n">
        <v>4</v>
      </c>
      <c r="L65" s="49" t="n">
        <v>24</v>
      </c>
      <c r="M65" s="10" t="n">
        <v>0.0001028916850657006</v>
      </c>
    </row>
    <row r="66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9</v>
      </c>
      <c r="J66" s="51" t="n">
        <v>0</v>
      </c>
      <c r="K66" s="51" t="n">
        <v>0</v>
      </c>
      <c r="L66" s="49" t="n">
        <v>18</v>
      </c>
      <c r="M66" s="10" t="n">
        <v>7.716876379927547e-05</v>
      </c>
    </row>
    <row r="67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7</v>
      </c>
      <c r="J67" s="51" t="n">
        <v>0</v>
      </c>
      <c r="K67" s="51" t="n">
        <v>0</v>
      </c>
      <c r="L67" s="49" t="n">
        <v>12</v>
      </c>
      <c r="M67" s="10" t="n">
        <v>5.144584253285032e-05</v>
      </c>
    </row>
    <row r="6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5</v>
      </c>
      <c r="J68" s="51" t="n">
        <v>0</v>
      </c>
      <c r="K68" s="51" t="n">
        <v>1</v>
      </c>
      <c r="L68" s="49" t="n">
        <v>6</v>
      </c>
      <c r="M68" s="10" t="n">
        <v>2.572292126642516e-05</v>
      </c>
    </row>
    <row r="69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19</v>
      </c>
      <c r="J69" s="51" t="n">
        <v>0</v>
      </c>
      <c r="K69" s="51" t="n">
        <v>0</v>
      </c>
      <c r="L69" s="49" t="n">
        <v>19</v>
      </c>
      <c r="M69" s="10" t="n">
        <v>8.145591734367967e-05</v>
      </c>
    </row>
    <row r="70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13</v>
      </c>
      <c r="J70" s="51" t="n">
        <v>0</v>
      </c>
      <c r="K70" s="51" t="n">
        <v>1</v>
      </c>
      <c r="L70" s="49" t="n">
        <v>12</v>
      </c>
      <c r="M70" s="10" t="n">
        <v>5.144584253285032e-05</v>
      </c>
    </row>
    <row r="71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9</v>
      </c>
      <c r="J71" s="51" t="n">
        <v>0</v>
      </c>
      <c r="K71" s="51" t="n">
        <v>0</v>
      </c>
      <c r="L71" s="49" t="n">
        <v>2</v>
      </c>
      <c r="M71" s="10" t="n">
        <v>8.574307088808385e-06</v>
      </c>
    </row>
    <row r="72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12</v>
      </c>
      <c r="J72" s="51" t="n">
        <v>2</v>
      </c>
      <c r="K72" s="51" t="n">
        <v>0</v>
      </c>
      <c r="L72" s="49" t="n">
        <v>14</v>
      </c>
      <c r="M72" s="10" t="n">
        <v>6.00201496216587e-05</v>
      </c>
    </row>
    <row r="73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1</v>
      </c>
      <c r="J73" s="51" t="n">
        <v>1</v>
      </c>
      <c r="K73" s="51" t="n">
        <v>0</v>
      </c>
      <c r="L73" s="49" t="n">
        <v>4</v>
      </c>
      <c r="M73" s="10" t="n">
        <v>1.714861417761677e-05</v>
      </c>
    </row>
    <row r="7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1</v>
      </c>
      <c r="J74" s="51" t="n">
        <v>0</v>
      </c>
      <c r="K74" s="51" t="n">
        <v>2</v>
      </c>
      <c r="L74" s="49" t="n">
        <v>4</v>
      </c>
      <c r="M74" s="10" t="n">
        <v>1.714861417761677e-05</v>
      </c>
    </row>
    <row r="75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1</v>
      </c>
      <c r="J75" s="51" t="n">
        <v>0</v>
      </c>
      <c r="K75" s="51" t="n">
        <v>0</v>
      </c>
      <c r="L75" s="49" t="n">
        <v>2</v>
      </c>
      <c r="M75" s="10" t="n">
        <v>8.574307088808385e-06</v>
      </c>
    </row>
    <row r="76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3</v>
      </c>
      <c r="J76" s="51" t="n">
        <v>0</v>
      </c>
      <c r="K76" s="51" t="n">
        <v>0</v>
      </c>
      <c r="L76" s="49" t="n">
        <v>7</v>
      </c>
      <c r="M76" s="10" t="n">
        <v>3.001007481082935e-05</v>
      </c>
    </row>
    <row r="77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7</v>
      </c>
      <c r="J77" s="51" t="n">
        <v>0</v>
      </c>
      <c r="K77" s="51" t="n">
        <v>1</v>
      </c>
      <c r="L77" s="49" t="n">
        <v>6</v>
      </c>
      <c r="M77" s="10" t="n">
        <v>2.572292126642516e-05</v>
      </c>
    </row>
    <row r="7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3</v>
      </c>
      <c r="J78" s="51" t="n">
        <v>0</v>
      </c>
      <c r="K78" s="51" t="n">
        <v>0</v>
      </c>
      <c r="L78" s="49" t="n">
        <v>3</v>
      </c>
      <c r="M78" s="10" t="n">
        <v>1.286146063321258e-05</v>
      </c>
    </row>
    <row r="79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1</v>
      </c>
      <c r="J79" s="51" t="n">
        <v>1</v>
      </c>
      <c r="K79" s="51" t="n">
        <v>0</v>
      </c>
      <c r="L79" s="49" t="n">
        <v>1</v>
      </c>
      <c r="M79" s="10" t="n">
        <v>4.287153544404193e-06</v>
      </c>
    </row>
    <row r="80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1</v>
      </c>
      <c r="J80" s="51" t="n">
        <v>0</v>
      </c>
      <c r="K80" s="51" t="n">
        <v>0</v>
      </c>
      <c r="L80" s="49" t="n">
        <v>1</v>
      </c>
      <c r="M80" s="10" t="n">
        <v>4.287153544404193e-06</v>
      </c>
    </row>
    <row r="81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1</v>
      </c>
      <c r="J81" s="51" t="n">
        <v>1</v>
      </c>
      <c r="K81" s="51" t="n">
        <v>0</v>
      </c>
      <c r="L81" s="49" t="n">
        <v>0</v>
      </c>
      <c r="M81" s="10" t="n">
        <v>0</v>
      </c>
    </row>
    <row r="82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1</v>
      </c>
      <c r="J82" s="51" t="n">
        <v>0</v>
      </c>
      <c r="K82" s="51" t="n">
        <v>0</v>
      </c>
      <c r="L82" s="49" t="n">
        <v>3</v>
      </c>
      <c r="M82" s="10" t="n">
        <v>1.286146063321258e-05</v>
      </c>
    </row>
    <row r="83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1</v>
      </c>
      <c r="J83" s="51" t="n">
        <v>0</v>
      </c>
      <c r="K83" s="51" t="n">
        <v>0</v>
      </c>
      <c r="L83" s="49" t="n">
        <v>0</v>
      </c>
      <c r="M83" s="10" t="n">
        <v>0</v>
      </c>
    </row>
    <row r="8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0</v>
      </c>
      <c r="J84" s="51" t="n">
        <v>0</v>
      </c>
      <c r="K84" s="51" t="n">
        <v>0</v>
      </c>
      <c r="L84" s="49" t="n">
        <v>1</v>
      </c>
      <c r="M84" s="10" t="n">
        <v>4.287153544404193e-06</v>
      </c>
    </row>
    <row r="85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1</v>
      </c>
      <c r="J85" s="51" t="n">
        <v>0</v>
      </c>
      <c r="K85" s="51" t="n">
        <v>0</v>
      </c>
      <c r="L85" s="49" t="n">
        <v>3</v>
      </c>
      <c r="M85" s="10" t="n">
        <v>1.286146063321258e-05</v>
      </c>
    </row>
    <row r="86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1</v>
      </c>
      <c r="J87" s="51" t="n">
        <v>0</v>
      </c>
      <c r="K87" s="51" t="n">
        <v>0</v>
      </c>
      <c r="L87" s="49" t="n">
        <v>0</v>
      </c>
      <c r="M87" s="10" t="n">
        <v>0</v>
      </c>
    </row>
    <row r="8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1</v>
      </c>
      <c r="M88" s="10" t="n">
        <v>4.287153544404193e-06</v>
      </c>
    </row>
    <row r="89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1</v>
      </c>
      <c r="M89" s="10" t="n">
        <v>4.287153544404193e-06</v>
      </c>
    </row>
    <row r="90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1</v>
      </c>
      <c r="J90" s="51" t="n">
        <v>0</v>
      </c>
      <c r="K90" s="51" t="n">
        <v>0</v>
      </c>
      <c r="L90" s="49" t="n">
        <v>0</v>
      </c>
      <c r="M90" s="10" t="n">
        <v>0</v>
      </c>
    </row>
    <row r="91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1</v>
      </c>
      <c r="M92" s="10" t="n">
        <v>4.287153544404193e-06</v>
      </c>
    </row>
    <row r="93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1</v>
      </c>
      <c r="M93" s="10" t="n">
        <v>4.287153544404193e-06</v>
      </c>
    </row>
    <row r="9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2</v>
      </c>
      <c r="J97" s="51" t="n">
        <v>0</v>
      </c>
      <c r="K97" s="51" t="n">
        <v>0</v>
      </c>
      <c r="L97" s="49" t="n">
        <v>0</v>
      </c>
      <c r="M97" s="10" t="n">
        <v>0</v>
      </c>
    </row>
    <row r="9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1</v>
      </c>
      <c r="M100" s="10" t="n">
        <v>4.287153544404193e-06</v>
      </c>
    </row>
    <row r="101" ht="15.75" customHeight="1" s="52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1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>
      <c r="B102" s="49" t="inlineStr"/>
      <c r="C102" s="49" t="inlineStr"/>
      <c r="D102" s="49" t="inlineStr"/>
      <c r="E102" s="49" t="n">
        <v>184043.1653974242</v>
      </c>
      <c r="F102" s="10" t="n">
        <v>1</v>
      </c>
      <c r="I102" s="49" t="inlineStr"/>
      <c r="J102" s="49" t="inlineStr"/>
      <c r="K102" s="49" t="inlineStr"/>
      <c r="L102" s="49" t="n">
        <v>233255</v>
      </c>
      <c r="M102" s="10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/>
  <cols>
    <col collapsed="1" width="13.5703125" customWidth="1" style="52" min="1" max="1"/>
    <col collapsed="1" width="10.5703125" customWidth="1" style="52" min="2" max="2"/>
    <col collapsed="1" width="9.28515625" customWidth="1" style="52" min="3" max="4"/>
    <col collapsed="1" width="10.5703125" customWidth="1" style="52" min="5" max="5"/>
    <col collapsed="1" width="10.5703125" customWidth="1" style="52" min="9" max="9"/>
    <col collapsed="1" width="9.5703125" customWidth="1" style="52" min="10" max="11"/>
    <col collapsed="1" width="10.5703125" customWidth="1" style="52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52">
      <c r="A9" s="3" t="inlineStr">
        <is>
          <t>Table X. Observed Trip Lengths: Survey</t>
        </is>
      </c>
      <c r="B9" s="1" t="inlineStr"/>
      <c r="C9" s="1" t="inlineStr"/>
      <c r="D9" s="1" t="inlineStr"/>
      <c r="E9" s="1" t="inlineStr"/>
      <c r="F9" s="1" t="inlineStr"/>
      <c r="H9" s="3" t="inlineStr">
        <is>
          <t>Table X. Estimated Trip Lengths</t>
        </is>
      </c>
      <c r="I9" s="1" t="inlineStr"/>
      <c r="J9" s="1" t="inlineStr"/>
      <c r="K9" s="1" t="inlineStr"/>
      <c r="L9" s="1" t="inlineStr"/>
      <c r="M9" s="1" t="inlineStr"/>
      <c r="P9" s="7" t="inlineStr">
        <is>
          <t>Table X. Average Trip Length</t>
        </is>
      </c>
    </row>
    <row r="10">
      <c r="A10" s="2" t="inlineStr">
        <is>
          <t>Distance (mi)</t>
        </is>
      </c>
      <c r="B10" s="17" t="inlineStr">
        <is>
          <t>FT</t>
        </is>
      </c>
      <c r="C10" s="17" t="inlineStr">
        <is>
          <t>PT</t>
        </is>
      </c>
      <c r="D10" s="17" t="inlineStr">
        <is>
          <t>NotFTPT</t>
        </is>
      </c>
      <c r="E10" s="17" t="inlineStr">
        <is>
          <t>Total</t>
        </is>
      </c>
      <c r="F10" s="9" t="inlineStr">
        <is>
          <t>Survey</t>
        </is>
      </c>
      <c r="H10" s="2" t="inlineStr">
        <is>
          <t>Distance (mi)</t>
        </is>
      </c>
      <c r="I10" s="17" t="inlineStr">
        <is>
          <t>FT</t>
        </is>
      </c>
      <c r="J10" s="17" t="inlineStr">
        <is>
          <t>PT</t>
        </is>
      </c>
      <c r="K10" s="17" t="inlineStr">
        <is>
          <t>NotFTPT</t>
        </is>
      </c>
      <c r="L10" s="17" t="inlineStr">
        <is>
          <t>Total</t>
        </is>
      </c>
      <c r="M10" s="9" t="inlineStr">
        <is>
          <t>DaySim</t>
        </is>
      </c>
      <c r="P10" s="2" t="inlineStr"/>
      <c r="Q10" s="17" t="inlineStr">
        <is>
          <t>Survey</t>
        </is>
      </c>
      <c r="R10" s="17" t="inlineStr">
        <is>
          <t>DaySim</t>
        </is>
      </c>
    </row>
    <row r="11">
      <c r="A11" t="n">
        <v>0</v>
      </c>
      <c r="B11" s="49" t="n">
        <v>8173.3818460509</v>
      </c>
      <c r="C11" s="49" t="n">
        <v>38.3193439039</v>
      </c>
      <c r="D11" s="49" t="n">
        <v>0</v>
      </c>
      <c r="E11" s="49" t="n">
        <v>8211.7011899548</v>
      </c>
      <c r="F11" s="10" t="n">
        <v>0.3672087235650184</v>
      </c>
      <c r="H11" s="11" t="n">
        <v>0</v>
      </c>
      <c r="I11" s="51" t="n">
        <v>9981</v>
      </c>
      <c r="J11" s="51" t="n">
        <v>963</v>
      </c>
      <c r="K11" s="51" t="n">
        <v>795</v>
      </c>
      <c r="L11" s="49" t="n">
        <v>11815</v>
      </c>
      <c r="M11" s="10" t="n">
        <v>0.4009570027488377</v>
      </c>
      <c r="P11" t="inlineStr">
        <is>
          <t>FT</t>
        </is>
      </c>
      <c r="Q11" s="5" t="n">
        <v>4.541569439734806</v>
      </c>
      <c r="R11" s="5" t="n">
        <v>4.568811589918946</v>
      </c>
    </row>
    <row r="12">
      <c r="A12" t="n">
        <v>1</v>
      </c>
      <c r="B12" s="49" t="n">
        <v>3222.796531946</v>
      </c>
      <c r="C12" s="49" t="n">
        <v>282.581394172</v>
      </c>
      <c r="D12" s="49" t="n">
        <v>0</v>
      </c>
      <c r="E12" s="49" t="n">
        <v>3505.377926118</v>
      </c>
      <c r="F12" s="10" t="n">
        <v>0.1567525807487239</v>
      </c>
      <c r="H12" s="11" t="n">
        <v>1</v>
      </c>
      <c r="I12" s="51" t="n">
        <v>2805</v>
      </c>
      <c r="J12" s="51" t="n">
        <v>343</v>
      </c>
      <c r="K12" s="51" t="n">
        <v>289</v>
      </c>
      <c r="L12" s="49" t="n">
        <v>3470</v>
      </c>
      <c r="M12" s="10" t="n">
        <v>0.1177588488818</v>
      </c>
      <c r="P12" t="inlineStr">
        <is>
          <t>PT</t>
        </is>
      </c>
      <c r="Q12" s="5" t="n">
        <v>1.481210467458019</v>
      </c>
      <c r="R12" s="5" t="n">
        <v>4.669179667254714</v>
      </c>
    </row>
    <row r="13">
      <c r="A13" t="n">
        <v>2</v>
      </c>
      <c r="B13" s="49" t="n">
        <v>1160.6349405275</v>
      </c>
      <c r="C13" s="49" t="n">
        <v>371.518941673</v>
      </c>
      <c r="D13" s="49" t="n">
        <v>0</v>
      </c>
      <c r="E13" s="49" t="n">
        <v>1532.1538822005</v>
      </c>
      <c r="F13" s="10" t="n">
        <v>0.06851445983887904</v>
      </c>
      <c r="H13" s="11" t="n">
        <v>2</v>
      </c>
      <c r="I13" s="51" t="n">
        <v>1565</v>
      </c>
      <c r="J13" s="51" t="n">
        <v>209</v>
      </c>
      <c r="K13" s="51" t="n">
        <v>215</v>
      </c>
      <c r="L13" s="49" t="n">
        <v>1988</v>
      </c>
      <c r="M13" s="10" t="n">
        <v>0.06746530016628771</v>
      </c>
      <c r="P13" s="4" t="inlineStr">
        <is>
          <t>NotFTPT</t>
        </is>
      </c>
      <c r="Q13" s="8" t="n">
        <v>0</v>
      </c>
      <c r="R13" s="8" t="n">
        <v>4.424341357982652</v>
      </c>
    </row>
    <row r="14" ht="15.75" customHeight="1" s="52">
      <c r="A14" t="n">
        <v>3</v>
      </c>
      <c r="B14" s="49" t="n">
        <v>1498.7073236924</v>
      </c>
      <c r="C14" s="49" t="n">
        <v>0</v>
      </c>
      <c r="D14" s="49" t="n">
        <v>0</v>
      </c>
      <c r="E14" s="49" t="n">
        <v>1498.7073236924</v>
      </c>
      <c r="F14" s="10" t="n">
        <v>0.06701880531208911</v>
      </c>
      <c r="H14" s="11" t="n">
        <v>3</v>
      </c>
      <c r="I14" s="51" t="n">
        <v>1120</v>
      </c>
      <c r="J14" s="51" t="n">
        <v>183</v>
      </c>
      <c r="K14" s="51" t="n">
        <v>166</v>
      </c>
      <c r="L14" s="49" t="n">
        <v>1353</v>
      </c>
      <c r="M14" s="10" t="n">
        <v>0.04591577018359521</v>
      </c>
      <c r="P14" s="1" t="inlineStr">
        <is>
          <t>Total</t>
        </is>
      </c>
      <c r="Q14" s="6" t="n">
        <v>4.446810187257477</v>
      </c>
      <c r="R14" s="6" t="n">
        <v>4.566873317878259</v>
      </c>
    </row>
    <row r="15">
      <c r="A15" t="n">
        <v>4</v>
      </c>
      <c r="B15" s="49" t="n">
        <v>912.4050225668</v>
      </c>
      <c r="C15" s="49" t="n">
        <v>0</v>
      </c>
      <c r="D15" s="49" t="n">
        <v>0</v>
      </c>
      <c r="E15" s="49" t="n">
        <v>912.4050225668</v>
      </c>
      <c r="F15" s="10" t="n">
        <v>0.04080069110660256</v>
      </c>
      <c r="H15" s="11" t="n">
        <v>4</v>
      </c>
      <c r="I15" s="51" t="n">
        <v>1983</v>
      </c>
      <c r="J15" s="51" t="n">
        <v>206</v>
      </c>
      <c r="K15" s="51" t="n">
        <v>201</v>
      </c>
      <c r="L15" s="49" t="n">
        <v>2235</v>
      </c>
      <c r="M15" s="10" t="n">
        <v>0.07584755828553975</v>
      </c>
    </row>
    <row r="16">
      <c r="A16" t="n">
        <v>5</v>
      </c>
      <c r="B16" s="49" t="n">
        <v>1696.329204124</v>
      </c>
      <c r="C16" s="49" t="n">
        <v>0</v>
      </c>
      <c r="D16" s="49" t="n">
        <v>0</v>
      </c>
      <c r="E16" s="49" t="n">
        <v>1696.329204124</v>
      </c>
      <c r="F16" s="10" t="n">
        <v>0.0758560092949347</v>
      </c>
      <c r="H16" s="11" t="n">
        <v>5</v>
      </c>
      <c r="I16" s="51" t="n">
        <v>1412</v>
      </c>
      <c r="J16" s="51" t="n">
        <v>179</v>
      </c>
      <c r="K16" s="51" t="n">
        <v>128</v>
      </c>
      <c r="L16" s="49" t="n">
        <v>1546</v>
      </c>
      <c r="M16" s="10" t="n">
        <v>0.05246546984762616</v>
      </c>
    </row>
    <row r="17">
      <c r="A17" t="n">
        <v>6</v>
      </c>
      <c r="B17" s="49" t="n">
        <v>578.830834063</v>
      </c>
      <c r="C17" s="49" t="n">
        <v>0</v>
      </c>
      <c r="D17" s="49" t="n">
        <v>0</v>
      </c>
      <c r="E17" s="49" t="n">
        <v>578.830834063</v>
      </c>
      <c r="F17" s="10" t="n">
        <v>0.02588400707959993</v>
      </c>
      <c r="H17" s="11" t="n">
        <v>6</v>
      </c>
      <c r="I17" s="51" t="n">
        <v>914</v>
      </c>
      <c r="J17" s="51" t="n">
        <v>115</v>
      </c>
      <c r="K17" s="51" t="n">
        <v>90</v>
      </c>
      <c r="L17" s="49" t="n">
        <v>1188</v>
      </c>
      <c r="M17" s="10" t="n">
        <v>0.04031628601486408</v>
      </c>
    </row>
    <row r="18">
      <c r="A18" t="n">
        <v>7</v>
      </c>
      <c r="B18" s="49" t="n">
        <v>0</v>
      </c>
      <c r="C18" s="49" t="n">
        <v>0</v>
      </c>
      <c r="D18" s="49" t="n">
        <v>0</v>
      </c>
      <c r="E18" s="49" t="n">
        <v>0</v>
      </c>
      <c r="F18" s="10" t="n">
        <v>0</v>
      </c>
      <c r="H18" s="11" t="n">
        <v>7</v>
      </c>
      <c r="I18" s="51" t="n">
        <v>608</v>
      </c>
      <c r="J18" s="51" t="n">
        <v>96</v>
      </c>
      <c r="K18" s="51" t="n">
        <v>54</v>
      </c>
      <c r="L18" s="49" t="n">
        <v>738</v>
      </c>
      <c r="M18" s="10" t="n">
        <v>0.02504496555468829</v>
      </c>
    </row>
    <row r="19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 t="n">
        <v>0</v>
      </c>
      <c r="H19" s="11" t="n">
        <v>8</v>
      </c>
      <c r="I19" s="51" t="n">
        <v>541</v>
      </c>
      <c r="J19" s="51" t="n">
        <v>57</v>
      </c>
      <c r="K19" s="51" t="n">
        <v>66</v>
      </c>
      <c r="L19" s="49" t="n">
        <v>661</v>
      </c>
      <c r="M19" s="10" t="n">
        <v>0.02243187294261377</v>
      </c>
    </row>
    <row r="20">
      <c r="A20" t="n">
        <v>9</v>
      </c>
      <c r="B20" s="49" t="n">
        <v>344.737652501</v>
      </c>
      <c r="C20" s="49" t="n">
        <v>0</v>
      </c>
      <c r="D20" s="49" t="n">
        <v>0</v>
      </c>
      <c r="E20" s="49" t="n">
        <v>344.737652501</v>
      </c>
      <c r="F20" s="10" t="n">
        <v>0.01541588891404729</v>
      </c>
      <c r="H20" s="11" t="n">
        <v>9</v>
      </c>
      <c r="I20" s="51" t="n">
        <v>336</v>
      </c>
      <c r="J20" s="51" t="n">
        <v>45</v>
      </c>
      <c r="K20" s="51" t="n">
        <v>43</v>
      </c>
      <c r="L20" s="49" t="n">
        <v>445</v>
      </c>
      <c r="M20" s="10" t="n">
        <v>0.01510163912172939</v>
      </c>
    </row>
    <row r="21">
      <c r="A21" t="n">
        <v>10</v>
      </c>
      <c r="B21" s="49" t="n">
        <v>134.8705071</v>
      </c>
      <c r="C21" s="49" t="n">
        <v>0</v>
      </c>
      <c r="D21" s="49" t="n">
        <v>0</v>
      </c>
      <c r="E21" s="49" t="n">
        <v>134.8705071</v>
      </c>
      <c r="F21" s="10" t="n">
        <v>0.006031104348918761</v>
      </c>
      <c r="H21" s="11" t="n">
        <v>10</v>
      </c>
      <c r="I21" s="51" t="n">
        <v>291</v>
      </c>
      <c r="J21" s="51" t="n">
        <v>37</v>
      </c>
      <c r="K21" s="51" t="n">
        <v>31</v>
      </c>
      <c r="L21" s="49" t="n">
        <v>364</v>
      </c>
      <c r="M21" s="10" t="n">
        <v>0.01235280143889775</v>
      </c>
    </row>
    <row r="22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311</v>
      </c>
      <c r="J22" s="51" t="n">
        <v>30</v>
      </c>
      <c r="K22" s="51" t="n">
        <v>31</v>
      </c>
      <c r="L22" s="49" t="n">
        <v>385</v>
      </c>
      <c r="M22" s="10" t="n">
        <v>0.01306546306037262</v>
      </c>
    </row>
    <row r="23">
      <c r="A23" t="n">
        <v>12</v>
      </c>
      <c r="B23" s="49" t="n">
        <v>0</v>
      </c>
      <c r="C23" s="49" t="n">
        <v>0</v>
      </c>
      <c r="D23" s="49" t="n">
        <v>0</v>
      </c>
      <c r="E23" s="49" t="n">
        <v>0</v>
      </c>
      <c r="F23" s="10" t="n">
        <v>0</v>
      </c>
      <c r="H23" s="11" t="n">
        <v>12</v>
      </c>
      <c r="I23" s="51" t="n">
        <v>277</v>
      </c>
      <c r="J23" s="51" t="n">
        <v>35</v>
      </c>
      <c r="K23" s="51" t="n">
        <v>25</v>
      </c>
      <c r="L23" s="49" t="n">
        <v>329</v>
      </c>
      <c r="M23" s="10" t="n">
        <v>0.01116503206977297</v>
      </c>
    </row>
    <row r="24">
      <c r="A24" t="n">
        <v>13</v>
      </c>
      <c r="B24" s="49" t="n">
        <v>1345.57431748</v>
      </c>
      <c r="C24" s="49" t="n">
        <v>0</v>
      </c>
      <c r="D24" s="49" t="n">
        <v>0</v>
      </c>
      <c r="E24" s="49" t="n">
        <v>1345.57431748</v>
      </c>
      <c r="F24" s="10" t="n">
        <v>0.06017104326544807</v>
      </c>
      <c r="H24" s="11" t="n">
        <v>13</v>
      </c>
      <c r="I24" s="51" t="n">
        <v>276</v>
      </c>
      <c r="J24" s="51" t="n">
        <v>37</v>
      </c>
      <c r="K24" s="51" t="n">
        <v>25</v>
      </c>
      <c r="L24" s="49" t="n">
        <v>331</v>
      </c>
      <c r="M24" s="10" t="n">
        <v>0.01123290460515153</v>
      </c>
    </row>
    <row r="25">
      <c r="A25" t="n">
        <v>14</v>
      </c>
      <c r="B25" s="49" t="n">
        <v>377.413565254</v>
      </c>
      <c r="C25" s="49" t="n">
        <v>0</v>
      </c>
      <c r="D25" s="49" t="n">
        <v>0</v>
      </c>
      <c r="E25" s="49" t="n">
        <v>377.413565254</v>
      </c>
      <c r="F25" s="10" t="n">
        <v>0.01687708190387855</v>
      </c>
      <c r="H25" s="11" t="n">
        <v>14</v>
      </c>
      <c r="I25" s="51" t="n">
        <v>216</v>
      </c>
      <c r="J25" s="51" t="n">
        <v>33</v>
      </c>
      <c r="K25" s="51" t="n">
        <v>22</v>
      </c>
      <c r="L25" s="49" t="n">
        <v>285</v>
      </c>
      <c r="M25" s="10" t="n">
        <v>0.009671836291444667</v>
      </c>
    </row>
    <row r="26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251</v>
      </c>
      <c r="J26" s="51" t="n">
        <v>33</v>
      </c>
      <c r="K26" s="51" t="n">
        <v>20</v>
      </c>
      <c r="L26" s="49" t="n">
        <v>274</v>
      </c>
      <c r="M26" s="10" t="n">
        <v>0.009298537346862592</v>
      </c>
    </row>
    <row r="27">
      <c r="A27" t="n">
        <v>16</v>
      </c>
      <c r="B27" s="49" t="n">
        <v>0</v>
      </c>
      <c r="C27" s="49" t="n">
        <v>0</v>
      </c>
      <c r="D27" s="49" t="n">
        <v>0</v>
      </c>
      <c r="E27" s="49" t="n">
        <v>0</v>
      </c>
      <c r="F27" s="10" t="n">
        <v>0</v>
      </c>
      <c r="H27" s="11" t="n">
        <v>16</v>
      </c>
      <c r="I27" s="51" t="n">
        <v>258</v>
      </c>
      <c r="J27" s="51" t="n">
        <v>28</v>
      </c>
      <c r="K27" s="51" t="n">
        <v>30</v>
      </c>
      <c r="L27" s="49" t="n">
        <v>280</v>
      </c>
      <c r="M27" s="10" t="n">
        <v>0.009502154952998269</v>
      </c>
    </row>
    <row r="28">
      <c r="A28" t="n">
        <v>17</v>
      </c>
      <c r="B28" s="49" t="n">
        <v>0</v>
      </c>
      <c r="C28" s="49" t="n">
        <v>0</v>
      </c>
      <c r="D28" s="49" t="n">
        <v>0</v>
      </c>
      <c r="E28" s="49" t="n">
        <v>0</v>
      </c>
      <c r="F28" s="10" t="n">
        <v>0</v>
      </c>
      <c r="H28" s="11" t="n">
        <v>17</v>
      </c>
      <c r="I28" s="51" t="n">
        <v>207</v>
      </c>
      <c r="J28" s="51" t="n">
        <v>30</v>
      </c>
      <c r="K28" s="51" t="n">
        <v>15</v>
      </c>
      <c r="L28" s="49" t="n">
        <v>222</v>
      </c>
      <c r="M28" s="10" t="n">
        <v>0.007533851427020057</v>
      </c>
    </row>
    <row r="29">
      <c r="A29" t="n">
        <v>18</v>
      </c>
      <c r="B29" s="49" t="n">
        <v>0</v>
      </c>
      <c r="C29" s="49" t="n">
        <v>0</v>
      </c>
      <c r="D29" s="49" t="n">
        <v>0</v>
      </c>
      <c r="E29" s="49" t="n">
        <v>0</v>
      </c>
      <c r="F29" s="10" t="n">
        <v>0</v>
      </c>
      <c r="H29" s="11" t="n">
        <v>18</v>
      </c>
      <c r="I29" s="51" t="n">
        <v>182</v>
      </c>
      <c r="J29" s="51" t="n">
        <v>23</v>
      </c>
      <c r="K29" s="51" t="n">
        <v>12</v>
      </c>
      <c r="L29" s="49" t="n">
        <v>205</v>
      </c>
      <c r="M29" s="10" t="n">
        <v>0.006956934876302304</v>
      </c>
    </row>
    <row r="30">
      <c r="A30" t="n">
        <v>19</v>
      </c>
      <c r="B30" s="49" t="n">
        <v>1130.816204074</v>
      </c>
      <c r="C30" s="49" t="n">
        <v>0</v>
      </c>
      <c r="D30" s="49" t="n">
        <v>0</v>
      </c>
      <c r="E30" s="49" t="n">
        <v>1130.816204074</v>
      </c>
      <c r="F30" s="10" t="n">
        <v>0.05056754566186773</v>
      </c>
      <c r="H30" s="11" t="n">
        <v>19</v>
      </c>
      <c r="I30" s="51" t="n">
        <v>179</v>
      </c>
      <c r="J30" s="51" t="n">
        <v>18</v>
      </c>
      <c r="K30" s="51" t="n">
        <v>18</v>
      </c>
      <c r="L30" s="49" t="n">
        <v>210</v>
      </c>
      <c r="M30" s="10" t="n">
        <v>0.007126616214748702</v>
      </c>
    </row>
    <row r="31">
      <c r="A31" t="n">
        <v>20</v>
      </c>
      <c r="B31" s="49" t="n">
        <v>0</v>
      </c>
      <c r="C31" s="49" t="n">
        <v>0</v>
      </c>
      <c r="D31" s="49" t="n">
        <v>0</v>
      </c>
      <c r="E31" s="49" t="n">
        <v>0</v>
      </c>
      <c r="F31" s="10" t="n">
        <v>0</v>
      </c>
      <c r="H31" s="11" t="n">
        <v>20</v>
      </c>
      <c r="I31" s="51" t="n">
        <v>120</v>
      </c>
      <c r="J31" s="51" t="n">
        <v>18</v>
      </c>
      <c r="K31" s="51" t="n">
        <v>9</v>
      </c>
      <c r="L31" s="49" t="n">
        <v>145</v>
      </c>
      <c r="M31" s="10" t="n">
        <v>0.004920758814945532</v>
      </c>
    </row>
    <row r="32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 t="n">
        <v>0</v>
      </c>
      <c r="H32" s="11" t="n">
        <v>21</v>
      </c>
      <c r="I32" s="51" t="n">
        <v>93</v>
      </c>
      <c r="J32" s="51" t="n">
        <v>12</v>
      </c>
      <c r="K32" s="51" t="n">
        <v>3</v>
      </c>
      <c r="L32" s="49" t="n">
        <v>124</v>
      </c>
      <c r="M32" s="10" t="n">
        <v>0.004208097193470662</v>
      </c>
    </row>
    <row r="33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0.04890205895999183</v>
      </c>
      <c r="H33" s="11" t="n">
        <v>22</v>
      </c>
      <c r="I33" s="51" t="n">
        <v>117</v>
      </c>
      <c r="J33" s="51" t="n">
        <v>8</v>
      </c>
      <c r="K33" s="51" t="n">
        <v>7</v>
      </c>
      <c r="L33" s="49" t="n">
        <v>120</v>
      </c>
      <c r="M33" s="10" t="n">
        <v>0.004072352122713544</v>
      </c>
    </row>
    <row r="3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79</v>
      </c>
      <c r="J34" s="51" t="n">
        <v>9</v>
      </c>
      <c r="K34" s="51" t="n">
        <v>8</v>
      </c>
      <c r="L34" s="49" t="n">
        <v>114</v>
      </c>
      <c r="M34" s="10" t="n">
        <v>0.003868734516577867</v>
      </c>
    </row>
    <row r="35">
      <c r="A35" t="n">
        <v>24</v>
      </c>
      <c r="B35" s="49" t="n">
        <v>0</v>
      </c>
      <c r="C35" s="49" t="n">
        <v>0</v>
      </c>
      <c r="D35" s="49" t="n">
        <v>0</v>
      </c>
      <c r="E35" s="49" t="n">
        <v>0</v>
      </c>
      <c r="F35" s="10" t="n">
        <v>0</v>
      </c>
      <c r="H35" s="11" t="n">
        <v>24</v>
      </c>
      <c r="I35" s="51" t="n">
        <v>89</v>
      </c>
      <c r="J35" s="51" t="n">
        <v>7</v>
      </c>
      <c r="K35" s="51" t="n">
        <v>6</v>
      </c>
      <c r="L35" s="49" t="n">
        <v>65</v>
      </c>
      <c r="M35" s="10" t="n">
        <v>0.00220585739980317</v>
      </c>
    </row>
    <row r="36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45</v>
      </c>
      <c r="J36" s="51" t="n">
        <v>2</v>
      </c>
      <c r="K36" s="51" t="n">
        <v>1</v>
      </c>
      <c r="L36" s="49" t="n">
        <v>59</v>
      </c>
      <c r="M36" s="10" t="n">
        <v>0.002002239793667492</v>
      </c>
    </row>
    <row r="37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48</v>
      </c>
      <c r="J37" s="51" t="n">
        <v>2</v>
      </c>
      <c r="K37" s="51" t="n">
        <v>3</v>
      </c>
      <c r="L37" s="49" t="n">
        <v>62</v>
      </c>
      <c r="M37" s="10" t="n">
        <v>0.002104048596735331</v>
      </c>
    </row>
    <row r="3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44</v>
      </c>
      <c r="J38" s="51" t="n">
        <v>4</v>
      </c>
      <c r="K38" s="51" t="n">
        <v>2</v>
      </c>
      <c r="L38" s="49" t="n">
        <v>39</v>
      </c>
      <c r="M38" s="10" t="n">
        <v>0.001323514439881902</v>
      </c>
    </row>
    <row r="39">
      <c r="A39" t="n">
        <v>28</v>
      </c>
      <c r="B39" s="49" t="n">
        <v>0</v>
      </c>
      <c r="C39" s="49" t="n">
        <v>0</v>
      </c>
      <c r="D39" s="49" t="n">
        <v>0</v>
      </c>
      <c r="E39" s="49" t="n">
        <v>0</v>
      </c>
      <c r="F39" s="10" t="n">
        <v>0</v>
      </c>
      <c r="H39" s="11" t="n">
        <v>28</v>
      </c>
      <c r="I39" s="51" t="n">
        <v>26</v>
      </c>
      <c r="J39" s="51" t="n">
        <v>5</v>
      </c>
      <c r="K39" s="51" t="n">
        <v>2</v>
      </c>
      <c r="L39" s="49" t="n">
        <v>39</v>
      </c>
      <c r="M39" s="10" t="n">
        <v>0.001323514439881902</v>
      </c>
    </row>
    <row r="40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 t="n">
        <v>0</v>
      </c>
      <c r="H40" s="11" t="n">
        <v>29</v>
      </c>
      <c r="I40" s="51" t="n">
        <v>38</v>
      </c>
      <c r="J40" s="51" t="n">
        <v>3</v>
      </c>
      <c r="K40" s="51" t="n">
        <v>2</v>
      </c>
      <c r="L40" s="49" t="n">
        <v>36</v>
      </c>
      <c r="M40" s="10" t="n">
        <v>0.001221705636814063</v>
      </c>
    </row>
    <row r="41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33</v>
      </c>
      <c r="J41" s="51" t="n">
        <v>2</v>
      </c>
      <c r="K41" s="51" t="n">
        <v>5</v>
      </c>
      <c r="L41" s="49" t="n">
        <v>29</v>
      </c>
      <c r="M41" s="10" t="n">
        <v>0.0009841517629891065</v>
      </c>
    </row>
    <row r="42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26</v>
      </c>
      <c r="J42" s="51" t="n">
        <v>1</v>
      </c>
      <c r="K42" s="51" t="n">
        <v>2</v>
      </c>
      <c r="L42" s="49" t="n">
        <v>29</v>
      </c>
      <c r="M42" s="10" t="n">
        <v>0.0009841517629891065</v>
      </c>
    </row>
    <row r="43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16</v>
      </c>
      <c r="J43" s="51" t="n">
        <v>3</v>
      </c>
      <c r="K43" s="51" t="n">
        <v>2</v>
      </c>
      <c r="L43" s="49" t="n">
        <v>29</v>
      </c>
      <c r="M43" s="10" t="n">
        <v>0.0009841517629891065</v>
      </c>
    </row>
    <row r="44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 t="n">
        <v>0</v>
      </c>
      <c r="H44" s="11" t="n">
        <v>33</v>
      </c>
      <c r="I44" s="51" t="n">
        <v>14</v>
      </c>
      <c r="J44" s="51" t="n">
        <v>1</v>
      </c>
      <c r="K44" s="51" t="n">
        <v>1</v>
      </c>
      <c r="L44" s="49" t="n">
        <v>16</v>
      </c>
      <c r="M44" s="10" t="n">
        <v>0.0005429802830284725</v>
      </c>
    </row>
    <row r="45">
      <c r="A45" t="n">
        <v>34</v>
      </c>
      <c r="B45" s="49" t="n">
        <v>0</v>
      </c>
      <c r="C45" s="49" t="n">
        <v>0</v>
      </c>
      <c r="D45" s="49" t="n">
        <v>0</v>
      </c>
      <c r="E45" s="49" t="n">
        <v>0</v>
      </c>
      <c r="F45" s="10" t="n">
        <v>0</v>
      </c>
      <c r="H45" s="11" t="n">
        <v>34</v>
      </c>
      <c r="I45" s="51" t="n">
        <v>24</v>
      </c>
      <c r="J45" s="51" t="n">
        <v>3</v>
      </c>
      <c r="K45" s="51" t="n">
        <v>1</v>
      </c>
      <c r="L45" s="49" t="n">
        <v>33</v>
      </c>
      <c r="M45" s="10" t="n">
        <v>0.001119896833746225</v>
      </c>
    </row>
    <row r="46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17</v>
      </c>
      <c r="J46" s="51" t="n">
        <v>0</v>
      </c>
      <c r="K46" s="51" t="n">
        <v>1</v>
      </c>
      <c r="L46" s="49" t="n">
        <v>22</v>
      </c>
      <c r="M46" s="10" t="n">
        <v>0.0007465978891641497</v>
      </c>
    </row>
    <row r="47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17</v>
      </c>
      <c r="J47" s="51" t="n">
        <v>0</v>
      </c>
      <c r="K47" s="51" t="n">
        <v>1</v>
      </c>
      <c r="L47" s="49" t="n">
        <v>21</v>
      </c>
      <c r="M47" s="10" t="n">
        <v>0.0007126616214748702</v>
      </c>
    </row>
    <row r="4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13</v>
      </c>
      <c r="J48" s="51" t="n">
        <v>2</v>
      </c>
      <c r="K48" s="51" t="n">
        <v>0</v>
      </c>
      <c r="L48" s="49" t="n">
        <v>28</v>
      </c>
      <c r="M48" s="10" t="n">
        <v>0.0009502154952998269</v>
      </c>
    </row>
    <row r="49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 t="n">
        <v>0</v>
      </c>
      <c r="H49" s="11" t="n">
        <v>38</v>
      </c>
      <c r="I49" s="51" t="n">
        <v>12</v>
      </c>
      <c r="J49" s="51" t="n">
        <v>0</v>
      </c>
      <c r="K49" s="51" t="n">
        <v>1</v>
      </c>
      <c r="L49" s="49" t="n">
        <v>19</v>
      </c>
      <c r="M49" s="10" t="n">
        <v>0.0006447890860963112</v>
      </c>
    </row>
    <row r="50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18</v>
      </c>
      <c r="J50" s="51" t="n">
        <v>3</v>
      </c>
      <c r="K50" s="51" t="n">
        <v>0</v>
      </c>
      <c r="L50" s="49" t="n">
        <v>20</v>
      </c>
      <c r="M50" s="10" t="n">
        <v>0.0006787253537855907</v>
      </c>
    </row>
    <row r="51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10</v>
      </c>
      <c r="J51" s="51" t="n">
        <v>0</v>
      </c>
      <c r="K51" s="51" t="n">
        <v>0</v>
      </c>
      <c r="L51" s="49" t="n">
        <v>17</v>
      </c>
      <c r="M51" s="10" t="n">
        <v>0.000576916550717752</v>
      </c>
    </row>
    <row r="52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12</v>
      </c>
      <c r="J52" s="51" t="n">
        <v>0</v>
      </c>
      <c r="K52" s="51" t="n">
        <v>1</v>
      </c>
      <c r="L52" s="49" t="n">
        <v>9</v>
      </c>
      <c r="M52" s="10" t="n">
        <v>0.0003054264092035158</v>
      </c>
    </row>
    <row r="53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11</v>
      </c>
      <c r="J53" s="51" t="n">
        <v>1</v>
      </c>
      <c r="K53" s="51" t="n">
        <v>1</v>
      </c>
      <c r="L53" s="49" t="n">
        <v>10</v>
      </c>
      <c r="M53" s="10" t="n">
        <v>0.0003393626768927953</v>
      </c>
    </row>
    <row r="54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9</v>
      </c>
      <c r="J54" s="51" t="n">
        <v>0</v>
      </c>
      <c r="K54" s="51" t="n">
        <v>0</v>
      </c>
      <c r="L54" s="49" t="n">
        <v>7</v>
      </c>
      <c r="M54" s="10" t="n">
        <v>0.0002375538738249567</v>
      </c>
    </row>
    <row r="55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5</v>
      </c>
      <c r="J55" s="51" t="n">
        <v>0</v>
      </c>
      <c r="K55" s="51" t="n">
        <v>0</v>
      </c>
      <c r="L55" s="49" t="n">
        <v>11</v>
      </c>
      <c r="M55" s="10" t="n">
        <v>0.0003732989445820749</v>
      </c>
    </row>
    <row r="56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9</v>
      </c>
      <c r="J56" s="51" t="n">
        <v>0</v>
      </c>
      <c r="K56" s="51" t="n">
        <v>0</v>
      </c>
      <c r="L56" s="49" t="n">
        <v>10</v>
      </c>
      <c r="M56" s="10" t="n">
        <v>0.0003393626768927953</v>
      </c>
    </row>
    <row r="57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2</v>
      </c>
      <c r="J57" s="51" t="n">
        <v>0</v>
      </c>
      <c r="K57" s="51" t="n">
        <v>0</v>
      </c>
      <c r="L57" s="49" t="n">
        <v>4</v>
      </c>
      <c r="M57" s="10" t="n">
        <v>0.0001357450707571181</v>
      </c>
    </row>
    <row r="5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3</v>
      </c>
      <c r="J58" s="51" t="n">
        <v>0</v>
      </c>
      <c r="K58" s="51" t="n">
        <v>0</v>
      </c>
      <c r="L58" s="49" t="n">
        <v>3</v>
      </c>
      <c r="M58" s="10" t="n">
        <v>0.0001018088030678386</v>
      </c>
    </row>
    <row r="59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1</v>
      </c>
      <c r="J59" s="51" t="n">
        <v>0</v>
      </c>
      <c r="K59" s="51" t="n">
        <v>0</v>
      </c>
      <c r="L59" s="49" t="n">
        <v>5</v>
      </c>
      <c r="M59" s="10" t="n">
        <v>0.0001696813384463977</v>
      </c>
    </row>
    <row r="60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1</v>
      </c>
      <c r="J60" s="51" t="n">
        <v>1</v>
      </c>
      <c r="K60" s="51" t="n">
        <v>0</v>
      </c>
      <c r="L60" s="49" t="n">
        <v>2</v>
      </c>
      <c r="M60" s="10" t="n">
        <v>6.787253537855906e-05</v>
      </c>
    </row>
    <row r="61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</v>
      </c>
      <c r="J61" s="51" t="n">
        <v>0</v>
      </c>
      <c r="K61" s="51" t="n">
        <v>1</v>
      </c>
      <c r="L61" s="49" t="n">
        <v>2</v>
      </c>
      <c r="M61" s="10" t="n">
        <v>6.787253537855906e-05</v>
      </c>
    </row>
    <row r="62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1</v>
      </c>
      <c r="J62" s="51" t="n">
        <v>0</v>
      </c>
      <c r="K62" s="51" t="n">
        <v>0</v>
      </c>
      <c r="L62" s="49" t="n">
        <v>1</v>
      </c>
      <c r="M62" s="10" t="n">
        <v>3.393626768927953e-05</v>
      </c>
    </row>
    <row r="63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2</v>
      </c>
      <c r="J63" s="51" t="n">
        <v>0</v>
      </c>
      <c r="K63" s="51" t="n">
        <v>0</v>
      </c>
      <c r="L63" s="49" t="n">
        <v>2</v>
      </c>
      <c r="M63" s="10" t="n">
        <v>6.787253537855906e-05</v>
      </c>
    </row>
    <row r="6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</v>
      </c>
      <c r="J64" s="51" t="n">
        <v>0</v>
      </c>
      <c r="K64" s="51" t="n">
        <v>0</v>
      </c>
      <c r="L64" s="49" t="n">
        <v>1</v>
      </c>
      <c r="M64" s="10" t="n">
        <v>3.393626768927953e-05</v>
      </c>
    </row>
    <row r="65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1</v>
      </c>
      <c r="J65" s="51" t="n">
        <v>0</v>
      </c>
      <c r="K65" s="51" t="n">
        <v>0</v>
      </c>
      <c r="L65" s="49" t="n">
        <v>0</v>
      </c>
      <c r="M65" s="10" t="n">
        <v>0</v>
      </c>
    </row>
    <row r="66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0</v>
      </c>
      <c r="J66" s="51" t="n">
        <v>0</v>
      </c>
      <c r="K66" s="51" t="n">
        <v>0</v>
      </c>
      <c r="L66" s="49" t="n">
        <v>4</v>
      </c>
      <c r="M66" s="10" t="n">
        <v>0.0001357450707571181</v>
      </c>
    </row>
    <row r="67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1</v>
      </c>
      <c r="J67" s="51" t="n">
        <v>0</v>
      </c>
      <c r="K67" s="51" t="n">
        <v>0</v>
      </c>
      <c r="L67" s="49" t="n">
        <v>0</v>
      </c>
      <c r="M67" s="10" t="n">
        <v>0</v>
      </c>
    </row>
    <row r="6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0</v>
      </c>
      <c r="J68" s="51" t="n">
        <v>0</v>
      </c>
      <c r="K68" s="51" t="n">
        <v>0</v>
      </c>
      <c r="L68" s="49" t="n">
        <v>1</v>
      </c>
      <c r="M68" s="10" t="n">
        <v>3.393626768927953e-05</v>
      </c>
    </row>
    <row r="69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0</v>
      </c>
      <c r="J69" s="51" t="n">
        <v>0</v>
      </c>
      <c r="K69" s="51" t="n">
        <v>0</v>
      </c>
      <c r="L69" s="49" t="n">
        <v>2</v>
      </c>
      <c r="M69" s="10" t="n">
        <v>6.787253537855906e-05</v>
      </c>
    </row>
    <row r="70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0</v>
      </c>
      <c r="J70" s="51" t="n">
        <v>0</v>
      </c>
      <c r="K70" s="51" t="n">
        <v>0</v>
      </c>
      <c r="L70" s="49" t="n">
        <v>0</v>
      </c>
      <c r="M70" s="10" t="n">
        <v>0</v>
      </c>
    </row>
    <row r="71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0</v>
      </c>
      <c r="J71" s="51" t="n">
        <v>0</v>
      </c>
      <c r="K71" s="51" t="n">
        <v>0</v>
      </c>
      <c r="L71" s="49" t="n">
        <v>0</v>
      </c>
      <c r="M71" s="10" t="n">
        <v>0</v>
      </c>
    </row>
    <row r="72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</v>
      </c>
      <c r="J72" s="51" t="n">
        <v>0</v>
      </c>
      <c r="K72" s="51" t="n">
        <v>0</v>
      </c>
      <c r="L72" s="49" t="n">
        <v>2</v>
      </c>
      <c r="M72" s="10" t="n">
        <v>6.787253537855906e-05</v>
      </c>
    </row>
    <row r="73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0</v>
      </c>
      <c r="J73" s="51" t="n">
        <v>0</v>
      </c>
      <c r="K73" s="51" t="n">
        <v>0</v>
      </c>
      <c r="L73" s="49" t="n">
        <v>0</v>
      </c>
      <c r="M73" s="10" t="n">
        <v>0</v>
      </c>
    </row>
    <row r="7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0</v>
      </c>
      <c r="J74" s="51" t="n">
        <v>0</v>
      </c>
      <c r="K74" s="51" t="n">
        <v>0</v>
      </c>
      <c r="L74" s="49" t="n">
        <v>0</v>
      </c>
      <c r="M74" s="10" t="n">
        <v>0</v>
      </c>
    </row>
    <row r="75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0</v>
      </c>
      <c r="J75" s="51" t="n">
        <v>0</v>
      </c>
      <c r="K75" s="51" t="n">
        <v>0</v>
      </c>
      <c r="L75" s="49" t="n">
        <v>0</v>
      </c>
      <c r="M75" s="10" t="n">
        <v>0</v>
      </c>
    </row>
    <row r="76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0</v>
      </c>
      <c r="J76" s="51" t="n">
        <v>0</v>
      </c>
      <c r="K76" s="51" t="n">
        <v>0</v>
      </c>
      <c r="L76" s="49" t="n">
        <v>0</v>
      </c>
      <c r="M76" s="10" t="n">
        <v>0</v>
      </c>
    </row>
    <row r="77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0</v>
      </c>
      <c r="J77" s="51" t="n">
        <v>0</v>
      </c>
      <c r="K77" s="51" t="n">
        <v>0</v>
      </c>
      <c r="L77" s="49" t="n">
        <v>0</v>
      </c>
      <c r="M77" s="10" t="n">
        <v>0</v>
      </c>
    </row>
    <row r="7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1</v>
      </c>
      <c r="J78" s="51" t="n">
        <v>0</v>
      </c>
      <c r="K78" s="51" t="n">
        <v>0</v>
      </c>
      <c r="L78" s="49" t="n">
        <v>0</v>
      </c>
      <c r="M78" s="10" t="n">
        <v>0</v>
      </c>
    </row>
    <row r="79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0</v>
      </c>
      <c r="J79" s="51" t="n">
        <v>0</v>
      </c>
      <c r="K79" s="51" t="n">
        <v>0</v>
      </c>
      <c r="L79" s="49" t="n">
        <v>0</v>
      </c>
      <c r="M79" s="10" t="n">
        <v>0</v>
      </c>
    </row>
    <row r="80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0</v>
      </c>
      <c r="J80" s="51" t="n">
        <v>0</v>
      </c>
      <c r="K80" s="51" t="n">
        <v>0</v>
      </c>
      <c r="L80" s="49" t="n">
        <v>0</v>
      </c>
      <c r="M80" s="10" t="n">
        <v>0</v>
      </c>
    </row>
    <row r="81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0</v>
      </c>
      <c r="J81" s="51" t="n">
        <v>0</v>
      </c>
      <c r="K81" s="51" t="n">
        <v>0</v>
      </c>
      <c r="L81" s="49" t="n">
        <v>0</v>
      </c>
      <c r="M81" s="10" t="n">
        <v>0</v>
      </c>
    </row>
    <row r="82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0</v>
      </c>
      <c r="J82" s="51" t="n">
        <v>0</v>
      </c>
      <c r="K82" s="51" t="n">
        <v>0</v>
      </c>
      <c r="L82" s="49" t="n">
        <v>0</v>
      </c>
      <c r="M82" s="10" t="n">
        <v>0</v>
      </c>
    </row>
    <row r="83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0</v>
      </c>
      <c r="J83" s="51" t="n">
        <v>0</v>
      </c>
      <c r="K83" s="51" t="n">
        <v>0</v>
      </c>
      <c r="L83" s="49" t="n">
        <v>0</v>
      </c>
      <c r="M83" s="10" t="n">
        <v>0</v>
      </c>
    </row>
    <row r="8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0</v>
      </c>
      <c r="J84" s="51" t="n">
        <v>0</v>
      </c>
      <c r="K84" s="51" t="n">
        <v>0</v>
      </c>
      <c r="L84" s="49" t="n">
        <v>0</v>
      </c>
      <c r="M84" s="10" t="n">
        <v>0</v>
      </c>
    </row>
    <row r="85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0</v>
      </c>
      <c r="J85" s="51" t="n">
        <v>0</v>
      </c>
      <c r="K85" s="51" t="n">
        <v>0</v>
      </c>
      <c r="L85" s="49" t="n">
        <v>0</v>
      </c>
      <c r="M85" s="10" t="n">
        <v>0</v>
      </c>
    </row>
    <row r="86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1</v>
      </c>
      <c r="M89" s="10" t="n">
        <v>3.393626768927953e-05</v>
      </c>
    </row>
    <row r="90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0</v>
      </c>
      <c r="J90" s="51" t="n">
        <v>0</v>
      </c>
      <c r="K90" s="51" t="n">
        <v>0</v>
      </c>
      <c r="L90" s="49" t="n">
        <v>0</v>
      </c>
      <c r="M90" s="10" t="n">
        <v>0</v>
      </c>
    </row>
    <row r="91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r="101" ht="15.75" customHeight="1" s="52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>
      <c r="B102" s="49" t="inlineStr"/>
      <c r="C102" s="49" t="inlineStr"/>
      <c r="D102" s="49" t="inlineStr"/>
      <c r="E102" s="49" t="n">
        <v>22362.4894044785</v>
      </c>
      <c r="F102" s="10" t="n">
        <v>1</v>
      </c>
      <c r="I102" s="49" t="inlineStr"/>
      <c r="J102" s="49" t="inlineStr"/>
      <c r="K102" s="49" t="inlineStr"/>
      <c r="L102" s="49" t="n">
        <v>29467</v>
      </c>
      <c r="M102" s="10" t="n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I33" sqref="I33"/>
    </sheetView>
  </sheetViews>
  <sheetFormatPr baseColWidth="10" defaultRowHeight="15"/>
  <cols>
    <col collapsed="1" width="13.5703125" customWidth="1" style="52" min="1" max="1"/>
    <col collapsed="1" width="10.5703125" customWidth="1" style="52" min="2" max="2"/>
    <col collapsed="1" width="9.28515625" customWidth="1" style="52" min="3" max="4"/>
    <col collapsed="1" width="10.5703125" customWidth="1" style="52" min="5" max="5"/>
    <col collapsed="1" width="10.5703125" customWidth="1" style="52" min="9" max="9"/>
    <col collapsed="1" width="9.5703125" customWidth="1" style="52" min="10" max="11"/>
    <col collapsed="1" width="10.5703125" customWidth="1" style="52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 s="52">
      <c r="A9" s="3" t="inlineStr">
        <is>
          <t>Table X. Observed Trip Lengths: Survey</t>
        </is>
      </c>
      <c r="B9" s="1" t="inlineStr"/>
      <c r="C9" s="1" t="inlineStr"/>
      <c r="D9" s="1" t="inlineStr"/>
      <c r="E9" s="1" t="inlineStr"/>
      <c r="F9" s="1" t="inlineStr"/>
      <c r="H9" s="3" t="inlineStr">
        <is>
          <t>Table X. Estimated Trip Lengths</t>
        </is>
      </c>
      <c r="I9" s="1" t="inlineStr"/>
      <c r="J9" s="1" t="inlineStr"/>
      <c r="K9" s="1" t="inlineStr"/>
      <c r="L9" s="1" t="inlineStr"/>
      <c r="M9" s="1" t="inlineStr"/>
      <c r="P9" s="7" t="inlineStr">
        <is>
          <t>Table X. Average Trip Length</t>
        </is>
      </c>
    </row>
    <row r="10">
      <c r="A10" s="2" t="inlineStr">
        <is>
          <t>Distance (mi)</t>
        </is>
      </c>
      <c r="B10" s="17" t="inlineStr">
        <is>
          <t>FT</t>
        </is>
      </c>
      <c r="C10" s="17" t="inlineStr">
        <is>
          <t>PT</t>
        </is>
      </c>
      <c r="D10" s="17" t="inlineStr">
        <is>
          <t>NotFTPT</t>
        </is>
      </c>
      <c r="E10" s="17" t="inlineStr">
        <is>
          <t>Total</t>
        </is>
      </c>
      <c r="F10" s="9" t="inlineStr">
        <is>
          <t>Survey</t>
        </is>
      </c>
      <c r="H10" s="2" t="inlineStr">
        <is>
          <t>Distance (mi)</t>
        </is>
      </c>
      <c r="I10" s="17" t="inlineStr">
        <is>
          <t>FT</t>
        </is>
      </c>
      <c r="J10" s="17" t="inlineStr">
        <is>
          <t>PT</t>
        </is>
      </c>
      <c r="K10" s="17" t="inlineStr">
        <is>
          <t>NotFTPT</t>
        </is>
      </c>
      <c r="L10" s="17" t="inlineStr">
        <is>
          <t>Total</t>
        </is>
      </c>
      <c r="M10" s="9" t="inlineStr">
        <is>
          <t>DaySim</t>
        </is>
      </c>
      <c r="P10" s="2" t="inlineStr"/>
      <c r="Q10" s="17" t="inlineStr">
        <is>
          <t>Survey</t>
        </is>
      </c>
      <c r="R10" s="17" t="inlineStr">
        <is>
          <t>DaySim</t>
        </is>
      </c>
    </row>
    <row r="11">
      <c r="A11" t="n">
        <v>0</v>
      </c>
      <c r="B11" s="49" t="n">
        <v>25355.8677967829</v>
      </c>
      <c r="C11" s="49" t="n">
        <v>585.5319068026</v>
      </c>
      <c r="D11" s="49" t="n">
        <v>1693.8448047706</v>
      </c>
      <c r="E11" s="49" t="n">
        <v>27635.2445083561</v>
      </c>
      <c r="F11" s="10" t="n">
        <v>0.1709248451531824</v>
      </c>
      <c r="H11" s="11" t="n">
        <v>0</v>
      </c>
      <c r="I11" s="51" t="n">
        <v>58068</v>
      </c>
      <c r="J11" s="51" t="n">
        <v>4935</v>
      </c>
      <c r="K11" s="51" t="n">
        <v>4892</v>
      </c>
      <c r="L11" s="49" t="n">
        <v>67867</v>
      </c>
      <c r="M11" s="10" t="n">
        <v>0.3330274599093175</v>
      </c>
      <c r="P11" t="inlineStr">
        <is>
          <t>FT</t>
        </is>
      </c>
      <c r="Q11" s="5" t="n">
        <v>3.917304119234497</v>
      </c>
      <c r="R11" s="5" t="n">
        <v>4.970351089488803</v>
      </c>
    </row>
    <row r="12">
      <c r="A12" t="n">
        <v>1</v>
      </c>
      <c r="B12" s="49" t="n">
        <v>16518.2922769167</v>
      </c>
      <c r="C12" s="49" t="n">
        <v>1000.3858103575</v>
      </c>
      <c r="D12" s="49" t="n">
        <v>1270.553164984</v>
      </c>
      <c r="E12" s="49" t="n">
        <v>18789.2312522582</v>
      </c>
      <c r="F12" s="10" t="n">
        <v>0.1162119785612351</v>
      </c>
      <c r="H12" s="11" t="n">
        <v>1</v>
      </c>
      <c r="I12" s="51" t="n">
        <v>18093</v>
      </c>
      <c r="J12" s="51" t="n">
        <v>1974</v>
      </c>
      <c r="K12" s="51" t="n">
        <v>1801</v>
      </c>
      <c r="L12" s="49" t="n">
        <v>21693</v>
      </c>
      <c r="M12" s="10" t="n">
        <v>0.1064488586177793</v>
      </c>
      <c r="P12" t="inlineStr">
        <is>
          <t>PT</t>
        </is>
      </c>
      <c r="Q12" s="5" t="n">
        <v>4.697244245822938</v>
      </c>
      <c r="R12" s="5" t="n">
        <v>4.988140238327553</v>
      </c>
    </row>
    <row r="13">
      <c r="A13" t="n">
        <v>2</v>
      </c>
      <c r="B13" s="49" t="n">
        <v>8768.9999038182</v>
      </c>
      <c r="C13" s="49" t="n">
        <v>0</v>
      </c>
      <c r="D13" s="49" t="n">
        <v>0</v>
      </c>
      <c r="E13" s="49" t="n">
        <v>8768.9999038182</v>
      </c>
      <c r="F13" s="10" t="n">
        <v>0.05423653661740503</v>
      </c>
      <c r="H13" s="11" t="n">
        <v>2</v>
      </c>
      <c r="I13" s="51" t="n">
        <v>10601</v>
      </c>
      <c r="J13" s="51" t="n">
        <v>1123</v>
      </c>
      <c r="K13" s="51" t="n">
        <v>1034</v>
      </c>
      <c r="L13" s="49" t="n">
        <v>12681</v>
      </c>
      <c r="M13" s="10" t="n">
        <v>0.06222643138948319</v>
      </c>
      <c r="P13" s="4" t="inlineStr">
        <is>
          <t>NotFTPT</t>
        </is>
      </c>
      <c r="Q13" s="8" t="n">
        <v>4.455458028041579</v>
      </c>
      <c r="R13" s="8" t="n">
        <v>4.737205902494777</v>
      </c>
    </row>
    <row r="14" ht="15.75" customHeight="1" s="52">
      <c r="A14" t="n">
        <v>3</v>
      </c>
      <c r="B14" s="49" t="n">
        <v>24100.8544129426</v>
      </c>
      <c r="C14" s="49" t="n">
        <v>764.363108539</v>
      </c>
      <c r="D14" s="49" t="n">
        <v>0</v>
      </c>
      <c r="E14" s="49" t="n">
        <v>24865.2175214816</v>
      </c>
      <c r="F14" s="10" t="n">
        <v>0.1537921422506082</v>
      </c>
      <c r="H14" s="11" t="n">
        <v>3</v>
      </c>
      <c r="I14" s="51" t="n">
        <v>5685</v>
      </c>
      <c r="J14" s="51" t="n">
        <v>670</v>
      </c>
      <c r="K14" s="51" t="n">
        <v>572</v>
      </c>
      <c r="L14" s="49" t="n">
        <v>6794</v>
      </c>
      <c r="M14" s="10" t="n">
        <v>0.03333856753096355</v>
      </c>
      <c r="P14" s="1" t="inlineStr">
        <is>
          <t>Total</t>
        </is>
      </c>
      <c r="Q14" s="6" t="n">
        <v>3.96610807232636</v>
      </c>
      <c r="R14" s="6" t="n">
        <v>4.953884273877898</v>
      </c>
    </row>
    <row r="15">
      <c r="A15" t="n">
        <v>4</v>
      </c>
      <c r="B15" s="49" t="n">
        <v>33855.9141608991</v>
      </c>
      <c r="C15" s="49" t="n">
        <v>1001.4134433272</v>
      </c>
      <c r="D15" s="49" t="n">
        <v>295.6132959603</v>
      </c>
      <c r="E15" s="49" t="n">
        <v>35152.94090018659</v>
      </c>
      <c r="F15" s="10" t="n">
        <v>0.2174220307052671</v>
      </c>
      <c r="H15" s="11" t="n">
        <v>4</v>
      </c>
      <c r="I15" s="51" t="n">
        <v>19203</v>
      </c>
      <c r="J15" s="51" t="n">
        <v>2371</v>
      </c>
      <c r="K15" s="51" t="n">
        <v>1971</v>
      </c>
      <c r="L15" s="49" t="n">
        <v>23584</v>
      </c>
      <c r="M15" s="10" t="n">
        <v>0.1157281096040984</v>
      </c>
    </row>
    <row r="16">
      <c r="A16" t="n">
        <v>5</v>
      </c>
      <c r="B16" s="49" t="n">
        <v>16114.7541682545</v>
      </c>
      <c r="C16" s="49" t="n">
        <v>1762.380686484</v>
      </c>
      <c r="D16" s="49" t="n">
        <v>86.29215148919999</v>
      </c>
      <c r="E16" s="49" t="n">
        <v>17963.4270062277</v>
      </c>
      <c r="F16" s="10" t="n">
        <v>0.1111043536644507</v>
      </c>
      <c r="H16" s="11" t="n">
        <v>5</v>
      </c>
      <c r="I16" s="51" t="n">
        <v>12788</v>
      </c>
      <c r="J16" s="51" t="n">
        <v>1393</v>
      </c>
      <c r="K16" s="51" t="n">
        <v>1284</v>
      </c>
      <c r="L16" s="49" t="n">
        <v>15440</v>
      </c>
      <c r="M16" s="10" t="n">
        <v>0.0757650106973914</v>
      </c>
    </row>
    <row r="17">
      <c r="A17" t="n">
        <v>6</v>
      </c>
      <c r="B17" s="49" t="n">
        <v>7753.7434936679</v>
      </c>
      <c r="C17" s="49" t="n">
        <v>321.1044334949</v>
      </c>
      <c r="D17" s="49" t="n">
        <v>0</v>
      </c>
      <c r="E17" s="49" t="n">
        <v>8074.8479271628</v>
      </c>
      <c r="F17" s="10" t="n">
        <v>0.04994318509353037</v>
      </c>
      <c r="H17" s="11" t="n">
        <v>6</v>
      </c>
      <c r="I17" s="51" t="n">
        <v>9653</v>
      </c>
      <c r="J17" s="51" t="n">
        <v>1129</v>
      </c>
      <c r="K17" s="51" t="n">
        <v>959</v>
      </c>
      <c r="L17" s="49" t="n">
        <v>11619</v>
      </c>
      <c r="M17" s="10" t="n">
        <v>0.05701513337389837</v>
      </c>
    </row>
    <row r="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0.007399784870801134</v>
      </c>
      <c r="H18" s="11" t="n">
        <v>7</v>
      </c>
      <c r="I18" s="51" t="n">
        <v>5079</v>
      </c>
      <c r="J18" s="51" t="n">
        <v>556</v>
      </c>
      <c r="K18" s="51" t="n">
        <v>529</v>
      </c>
      <c r="L18" s="49" t="n">
        <v>7049</v>
      </c>
      <c r="M18" s="10" t="n">
        <v>0.03458986790193731</v>
      </c>
    </row>
    <row r="19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0.03951114334165155</v>
      </c>
      <c r="H19" s="11" t="n">
        <v>8</v>
      </c>
      <c r="I19" s="51" t="n">
        <v>6277</v>
      </c>
      <c r="J19" s="51" t="n">
        <v>699</v>
      </c>
      <c r="K19" s="51" t="n">
        <v>588</v>
      </c>
      <c r="L19" s="49" t="n">
        <v>6616</v>
      </c>
      <c r="M19" s="10" t="n">
        <v>0.03246511080142109</v>
      </c>
    </row>
    <row r="20">
      <c r="A20" t="n">
        <v>9</v>
      </c>
      <c r="B20" s="49" t="n">
        <v>1240.02198926</v>
      </c>
      <c r="C20" s="49" t="n">
        <v>0</v>
      </c>
      <c r="D20" s="49" t="n">
        <v>0</v>
      </c>
      <c r="E20" s="49" t="n">
        <v>1240.02198926</v>
      </c>
      <c r="F20" s="10" t="n">
        <v>0.007669574497041955</v>
      </c>
      <c r="H20" s="11" t="n">
        <v>9</v>
      </c>
      <c r="I20" s="51" t="n">
        <v>2945</v>
      </c>
      <c r="J20" s="51" t="n">
        <v>328</v>
      </c>
      <c r="K20" s="51" t="n">
        <v>319</v>
      </c>
      <c r="L20" s="49" t="n">
        <v>4022</v>
      </c>
      <c r="M20" s="10" t="n">
        <v>0.01973619643943706</v>
      </c>
    </row>
    <row r="21">
      <c r="A21" t="n">
        <v>10</v>
      </c>
      <c r="B21" s="49" t="n">
        <v>6464.3078289809</v>
      </c>
      <c r="C21" s="49" t="n">
        <v>0</v>
      </c>
      <c r="D21" s="49" t="n">
        <v>0</v>
      </c>
      <c r="E21" s="49" t="n">
        <v>6464.3078289809</v>
      </c>
      <c r="F21" s="10" t="n">
        <v>0.03998194459097229</v>
      </c>
      <c r="H21" s="11" t="n">
        <v>10</v>
      </c>
      <c r="I21" s="51" t="n">
        <v>2020</v>
      </c>
      <c r="J21" s="51" t="n">
        <v>185</v>
      </c>
      <c r="K21" s="51" t="n">
        <v>183</v>
      </c>
      <c r="L21" s="49" t="n">
        <v>2531</v>
      </c>
      <c r="M21" s="10" t="n">
        <v>0.01241976956444933</v>
      </c>
    </row>
    <row r="22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2544</v>
      </c>
      <c r="J22" s="51" t="n">
        <v>257</v>
      </c>
      <c r="K22" s="51" t="n">
        <v>199</v>
      </c>
      <c r="L22" s="49" t="n">
        <v>2870</v>
      </c>
      <c r="M22" s="10" t="n">
        <v>0.01408326299880268</v>
      </c>
    </row>
    <row r="23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0.008201816881386974</v>
      </c>
      <c r="H23" s="11" t="n">
        <v>12</v>
      </c>
      <c r="I23" s="51" t="n">
        <v>1817</v>
      </c>
      <c r="J23" s="51" t="n">
        <v>190</v>
      </c>
      <c r="K23" s="51" t="n">
        <v>137</v>
      </c>
      <c r="L23" s="49" t="n">
        <v>2062</v>
      </c>
      <c r="M23" s="10" t="n">
        <v>0.01011835829391328</v>
      </c>
    </row>
    <row r="24">
      <c r="A24" t="n">
        <v>13</v>
      </c>
      <c r="B24" s="49" t="n">
        <v>113.821184442</v>
      </c>
      <c r="C24" s="49" t="n">
        <v>0</v>
      </c>
      <c r="D24" s="49" t="n">
        <v>0</v>
      </c>
      <c r="E24" s="49" t="n">
        <v>113.821184442</v>
      </c>
      <c r="F24" s="10" t="n">
        <v>0.0007039875590758052</v>
      </c>
      <c r="H24" s="11" t="n">
        <v>13</v>
      </c>
      <c r="I24" s="51" t="n">
        <v>2137</v>
      </c>
      <c r="J24" s="51" t="n">
        <v>191</v>
      </c>
      <c r="K24" s="51" t="n">
        <v>199</v>
      </c>
      <c r="L24" s="49" t="n">
        <v>2460</v>
      </c>
      <c r="M24" s="10" t="n">
        <v>0.01207136828468801</v>
      </c>
    </row>
    <row r="25">
      <c r="A25" t="n">
        <v>14</v>
      </c>
      <c r="B25" s="49" t="n">
        <v>47.4452354385</v>
      </c>
      <c r="C25" s="49" t="n">
        <v>209.4327097914</v>
      </c>
      <c r="D25" s="49" t="n">
        <v>0</v>
      </c>
      <c r="E25" s="49" t="n">
        <v>256.8779452299</v>
      </c>
      <c r="F25" s="10" t="n">
        <v>0.001588798065398414</v>
      </c>
      <c r="H25" s="11" t="n">
        <v>14</v>
      </c>
      <c r="I25" s="51" t="n">
        <v>1345</v>
      </c>
      <c r="J25" s="51" t="n">
        <v>120</v>
      </c>
      <c r="K25" s="51" t="n">
        <v>95</v>
      </c>
      <c r="L25" s="49" t="n">
        <v>1577</v>
      </c>
      <c r="M25" s="10" t="n">
        <v>0.00773843405892398</v>
      </c>
    </row>
    <row r="26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1860</v>
      </c>
      <c r="J26" s="51" t="n">
        <v>205</v>
      </c>
      <c r="K26" s="51" t="n">
        <v>156</v>
      </c>
      <c r="L26" s="49" t="n">
        <v>1853</v>
      </c>
      <c r="M26" s="10" t="n">
        <v>0.009092782695742634</v>
      </c>
    </row>
    <row r="27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0.002370144440815671</v>
      </c>
      <c r="H27" s="11" t="n">
        <v>16</v>
      </c>
      <c r="I27" s="51" t="n">
        <v>1289</v>
      </c>
      <c r="J27" s="51" t="n">
        <v>128</v>
      </c>
      <c r="K27" s="51" t="n">
        <v>116</v>
      </c>
      <c r="L27" s="49" t="n">
        <v>1615</v>
      </c>
      <c r="M27" s="10" t="n">
        <v>0.007924902349500461</v>
      </c>
    </row>
    <row r="2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0.001496069051851649</v>
      </c>
      <c r="H28" s="11" t="n">
        <v>17</v>
      </c>
      <c r="I28" s="51" t="n">
        <v>1068</v>
      </c>
      <c r="J28" s="51" t="n">
        <v>114</v>
      </c>
      <c r="K28" s="51" t="n">
        <v>88</v>
      </c>
      <c r="L28" s="49" t="n">
        <v>1296</v>
      </c>
      <c r="M28" s="10" t="n">
        <v>0.006359550120713683</v>
      </c>
    </row>
    <row r="29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0.001635524726157982</v>
      </c>
      <c r="H29" s="11" t="n">
        <v>18</v>
      </c>
      <c r="I29" s="51" t="n">
        <v>880</v>
      </c>
      <c r="J29" s="51" t="n">
        <v>67</v>
      </c>
      <c r="K29" s="51" t="n">
        <v>83</v>
      </c>
      <c r="L29" s="49" t="n">
        <v>1193</v>
      </c>
      <c r="M29" s="10" t="n">
        <v>0.005854122912045852</v>
      </c>
    </row>
    <row r="30">
      <c r="A30" t="n">
        <v>19</v>
      </c>
      <c r="B30" s="49" t="n">
        <v>18.7005063981</v>
      </c>
      <c r="C30" s="49" t="n">
        <v>0</v>
      </c>
      <c r="D30" s="49" t="n">
        <v>0</v>
      </c>
      <c r="E30" s="49" t="n">
        <v>18.7005063981</v>
      </c>
      <c r="F30" s="10" t="n">
        <v>0.0001156632125840191</v>
      </c>
      <c r="H30" s="11" t="n">
        <v>19</v>
      </c>
      <c r="I30" s="51" t="n">
        <v>763</v>
      </c>
      <c r="J30" s="51" t="n">
        <v>71</v>
      </c>
      <c r="K30" s="51" t="n">
        <v>53</v>
      </c>
      <c r="L30" s="49" t="n">
        <v>831</v>
      </c>
      <c r="M30" s="10" t="n">
        <v>0.004077767091290949</v>
      </c>
    </row>
    <row r="31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0.0008491202210917892</v>
      </c>
      <c r="H31" s="11" t="n">
        <v>20</v>
      </c>
      <c r="I31" s="51" t="n">
        <v>741</v>
      </c>
      <c r="J31" s="51" t="n">
        <v>53</v>
      </c>
      <c r="K31" s="51" t="n">
        <v>55</v>
      </c>
      <c r="L31" s="49" t="n">
        <v>899</v>
      </c>
      <c r="M31" s="10" t="n">
        <v>0.004411447190217284</v>
      </c>
    </row>
    <row r="32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0.002022751662624599</v>
      </c>
      <c r="H32" s="11" t="n">
        <v>21</v>
      </c>
      <c r="I32" s="51" t="n">
        <v>600</v>
      </c>
      <c r="J32" s="51" t="n">
        <v>60</v>
      </c>
      <c r="K32" s="51" t="n">
        <v>47</v>
      </c>
      <c r="L32" s="49" t="n">
        <v>650</v>
      </c>
      <c r="M32" s="10" t="n">
        <v>0.003189589180913498</v>
      </c>
    </row>
    <row r="33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 t="n">
        <v>0</v>
      </c>
      <c r="H33" s="11" t="n">
        <v>22</v>
      </c>
      <c r="I33" s="51" t="n">
        <v>562</v>
      </c>
      <c r="J33" s="51" t="n">
        <v>54</v>
      </c>
      <c r="K33" s="51" t="n">
        <v>43</v>
      </c>
      <c r="L33" s="49" t="n">
        <v>638</v>
      </c>
      <c r="M33" s="10" t="n">
        <v>0.003130704457573557</v>
      </c>
    </row>
    <row r="3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509</v>
      </c>
      <c r="J34" s="51" t="n">
        <v>52</v>
      </c>
      <c r="K34" s="51" t="n">
        <v>26</v>
      </c>
      <c r="L34" s="49" t="n">
        <v>672</v>
      </c>
      <c r="M34" s="10" t="n">
        <v>0.003297544507036725</v>
      </c>
    </row>
    <row r="35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0.0004113300744103867</v>
      </c>
      <c r="H35" s="11" t="n">
        <v>24</v>
      </c>
      <c r="I35" s="51" t="n">
        <v>523</v>
      </c>
      <c r="J35" s="51" t="n">
        <v>56</v>
      </c>
      <c r="K35" s="51" t="n">
        <v>33</v>
      </c>
      <c r="L35" s="49" t="n">
        <v>649</v>
      </c>
      <c r="M35" s="10" t="n">
        <v>0.00318468212063517</v>
      </c>
    </row>
    <row r="36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457</v>
      </c>
      <c r="J36" s="51" t="n">
        <v>39</v>
      </c>
      <c r="K36" s="51" t="n">
        <v>42</v>
      </c>
      <c r="L36" s="49" t="n">
        <v>571</v>
      </c>
      <c r="M36" s="10" t="n">
        <v>0.00280193141892555</v>
      </c>
    </row>
    <row r="37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343</v>
      </c>
      <c r="J37" s="51" t="n">
        <v>32</v>
      </c>
      <c r="K37" s="51" t="n">
        <v>29</v>
      </c>
      <c r="L37" s="49" t="n">
        <v>445</v>
      </c>
      <c r="M37" s="10" t="n">
        <v>0.002183641823856164</v>
      </c>
    </row>
    <row r="3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252</v>
      </c>
      <c r="J38" s="51" t="n">
        <v>24</v>
      </c>
      <c r="K38" s="51" t="n">
        <v>23</v>
      </c>
      <c r="L38" s="49" t="n">
        <v>318</v>
      </c>
      <c r="M38" s="10" t="n">
        <v>0.00156044516850845</v>
      </c>
    </row>
    <row r="39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0.0005158181358243376</v>
      </c>
      <c r="H39" s="11" t="n">
        <v>28</v>
      </c>
      <c r="I39" s="51" t="n">
        <v>282</v>
      </c>
      <c r="J39" s="51" t="n">
        <v>27</v>
      </c>
      <c r="K39" s="51" t="n">
        <v>14</v>
      </c>
      <c r="L39" s="49" t="n">
        <v>284</v>
      </c>
      <c r="M39" s="10" t="n">
        <v>0.001393605119045282</v>
      </c>
    </row>
    <row r="40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0.001124990398567705</v>
      </c>
      <c r="H40" s="11" t="n">
        <v>29</v>
      </c>
      <c r="I40" s="51" t="n">
        <v>299</v>
      </c>
      <c r="J40" s="51" t="n">
        <v>28</v>
      </c>
      <c r="K40" s="51" t="n">
        <v>23</v>
      </c>
      <c r="L40" s="49" t="n">
        <v>281</v>
      </c>
      <c r="M40" s="10" t="n">
        <v>0.001378883938210297</v>
      </c>
    </row>
    <row r="41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214</v>
      </c>
      <c r="J41" s="51" t="n">
        <v>22</v>
      </c>
      <c r="K41" s="51" t="n">
        <v>9</v>
      </c>
      <c r="L41" s="49" t="n">
        <v>279</v>
      </c>
      <c r="M41" s="10" t="n">
        <v>0.00136906981765364</v>
      </c>
    </row>
    <row r="42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227</v>
      </c>
      <c r="J42" s="51" t="n">
        <v>15</v>
      </c>
      <c r="K42" s="51" t="n">
        <v>15</v>
      </c>
      <c r="L42" s="49" t="n">
        <v>288</v>
      </c>
      <c r="M42" s="10" t="n">
        <v>0.001413233360158596</v>
      </c>
    </row>
    <row r="43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151</v>
      </c>
      <c r="J43" s="51" t="n">
        <v>8</v>
      </c>
      <c r="K43" s="51" t="n">
        <v>8</v>
      </c>
      <c r="L43" s="49" t="n">
        <v>229</v>
      </c>
      <c r="M43" s="10" t="n">
        <v>0.001123716803737217</v>
      </c>
    </row>
    <row r="44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0.001702800485439657</v>
      </c>
      <c r="H44" s="11" t="n">
        <v>33</v>
      </c>
      <c r="I44" s="51" t="n">
        <v>156</v>
      </c>
      <c r="J44" s="51" t="n">
        <v>9</v>
      </c>
      <c r="K44" s="51" t="n">
        <v>10</v>
      </c>
      <c r="L44" s="49" t="n">
        <v>160</v>
      </c>
      <c r="M44" s="10" t="n">
        <v>0.0007851296445325534</v>
      </c>
    </row>
    <row r="45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0.005844116128554695</v>
      </c>
      <c r="H45" s="11" t="n">
        <v>34</v>
      </c>
      <c r="I45" s="51" t="n">
        <v>170</v>
      </c>
      <c r="J45" s="51" t="n">
        <v>11</v>
      </c>
      <c r="K45" s="51" t="n">
        <v>13</v>
      </c>
      <c r="L45" s="49" t="n">
        <v>204</v>
      </c>
      <c r="M45" s="10" t="n">
        <v>0.001001040296779006</v>
      </c>
    </row>
    <row r="46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180</v>
      </c>
      <c r="J46" s="51" t="n">
        <v>13</v>
      </c>
      <c r="K46" s="51" t="n">
        <v>10</v>
      </c>
      <c r="L46" s="49" t="n">
        <v>127</v>
      </c>
      <c r="M46" s="10" t="n">
        <v>0.0006231966553477143</v>
      </c>
    </row>
    <row r="47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149</v>
      </c>
      <c r="J47" s="51" t="n">
        <v>18</v>
      </c>
      <c r="K47" s="51" t="n">
        <v>9</v>
      </c>
      <c r="L47" s="49" t="n">
        <v>172</v>
      </c>
      <c r="M47" s="10" t="n">
        <v>0.000844014367872495</v>
      </c>
    </row>
    <row r="4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102</v>
      </c>
      <c r="J48" s="51" t="n">
        <v>6</v>
      </c>
      <c r="K48" s="51" t="n">
        <v>3</v>
      </c>
      <c r="L48" s="49" t="n">
        <v>124</v>
      </c>
      <c r="M48" s="10" t="n">
        <v>0.0006084754745127289</v>
      </c>
    </row>
    <row r="49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0.003219549610070356</v>
      </c>
      <c r="H49" s="11" t="n">
        <v>38</v>
      </c>
      <c r="I49" s="51" t="n">
        <v>113</v>
      </c>
      <c r="J49" s="51" t="n">
        <v>7</v>
      </c>
      <c r="K49" s="51" t="n">
        <v>9</v>
      </c>
      <c r="L49" s="49" t="n">
        <v>160</v>
      </c>
      <c r="M49" s="10" t="n">
        <v>0.0007851296445325534</v>
      </c>
    </row>
    <row r="50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117</v>
      </c>
      <c r="J50" s="51" t="n">
        <v>5</v>
      </c>
      <c r="K50" s="51" t="n">
        <v>4</v>
      </c>
      <c r="L50" s="49" t="n">
        <v>156</v>
      </c>
      <c r="M50" s="10" t="n">
        <v>0.0007655014034192396</v>
      </c>
    </row>
    <row r="51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73</v>
      </c>
      <c r="J51" s="51" t="n">
        <v>6</v>
      </c>
      <c r="K51" s="51" t="n">
        <v>6</v>
      </c>
      <c r="L51" s="49" t="n">
        <v>91</v>
      </c>
      <c r="M51" s="10" t="n">
        <v>0.0004465424853278898</v>
      </c>
    </row>
    <row r="52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62</v>
      </c>
      <c r="J52" s="51" t="n">
        <v>8</v>
      </c>
      <c r="K52" s="51" t="n">
        <v>5</v>
      </c>
      <c r="L52" s="49" t="n">
        <v>76</v>
      </c>
      <c r="M52" s="10" t="n">
        <v>0.0003729365811529629</v>
      </c>
    </row>
    <row r="53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71</v>
      </c>
      <c r="J53" s="51" t="n">
        <v>2</v>
      </c>
      <c r="K53" s="51" t="n">
        <v>4</v>
      </c>
      <c r="L53" s="49" t="n">
        <v>120</v>
      </c>
      <c r="M53" s="10" t="n">
        <v>0.0005888472333994151</v>
      </c>
    </row>
    <row r="54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44</v>
      </c>
      <c r="J54" s="51" t="n">
        <v>2</v>
      </c>
      <c r="K54" s="51" t="n">
        <v>5</v>
      </c>
      <c r="L54" s="49" t="n">
        <v>47</v>
      </c>
      <c r="M54" s="10" t="n">
        <v>0.0002306318330814376</v>
      </c>
    </row>
    <row r="55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57</v>
      </c>
      <c r="J55" s="51" t="n">
        <v>3</v>
      </c>
      <c r="K55" s="51" t="n">
        <v>2</v>
      </c>
      <c r="L55" s="49" t="n">
        <v>44</v>
      </c>
      <c r="M55" s="10" t="n">
        <v>0.0002159106522464522</v>
      </c>
    </row>
    <row r="56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61</v>
      </c>
      <c r="J56" s="51" t="n">
        <v>3</v>
      </c>
      <c r="K56" s="51" t="n">
        <v>2</v>
      </c>
      <c r="L56" s="49" t="n">
        <v>54</v>
      </c>
      <c r="M56" s="10" t="n">
        <v>0.0002649812550297368</v>
      </c>
    </row>
    <row r="57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47</v>
      </c>
      <c r="J57" s="51" t="n">
        <v>2</v>
      </c>
      <c r="K57" s="51" t="n">
        <v>2</v>
      </c>
      <c r="L57" s="49" t="n">
        <v>68</v>
      </c>
      <c r="M57" s="10" t="n">
        <v>0.0003336800989263352</v>
      </c>
    </row>
    <row r="5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34</v>
      </c>
      <c r="J58" s="51" t="n">
        <v>2</v>
      </c>
      <c r="K58" s="51" t="n">
        <v>2</v>
      </c>
      <c r="L58" s="49" t="n">
        <v>39</v>
      </c>
      <c r="M58" s="10" t="n">
        <v>0.0001913753508548099</v>
      </c>
    </row>
    <row r="59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31</v>
      </c>
      <c r="J59" s="51" t="n">
        <v>5</v>
      </c>
      <c r="K59" s="51" t="n">
        <v>3</v>
      </c>
      <c r="L59" s="49" t="n">
        <v>38</v>
      </c>
      <c r="M59" s="10" t="n">
        <v>0.0001864682905764814</v>
      </c>
    </row>
    <row r="60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25</v>
      </c>
      <c r="J60" s="51" t="n">
        <v>0</v>
      </c>
      <c r="K60" s="51" t="n">
        <v>0</v>
      </c>
      <c r="L60" s="49" t="n">
        <v>33</v>
      </c>
      <c r="M60" s="10" t="n">
        <v>0.0001619329891848391</v>
      </c>
    </row>
    <row r="61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25</v>
      </c>
      <c r="J61" s="51" t="n">
        <v>0</v>
      </c>
      <c r="K61" s="51" t="n">
        <v>2</v>
      </c>
      <c r="L61" s="49" t="n">
        <v>23</v>
      </c>
      <c r="M61" s="10" t="n">
        <v>0.0001128623864015546</v>
      </c>
    </row>
    <row r="62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21</v>
      </c>
      <c r="J62" s="51" t="n">
        <v>1</v>
      </c>
      <c r="K62" s="51" t="n">
        <v>1</v>
      </c>
      <c r="L62" s="49" t="n">
        <v>20</v>
      </c>
      <c r="M62" s="10" t="n">
        <v>9.814120556656917e-05</v>
      </c>
    </row>
    <row r="63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34</v>
      </c>
      <c r="J63" s="51" t="n">
        <v>3</v>
      </c>
      <c r="K63" s="51" t="n">
        <v>1</v>
      </c>
      <c r="L63" s="49" t="n">
        <v>19</v>
      </c>
      <c r="M63" s="10" t="n">
        <v>9.323414528824072e-05</v>
      </c>
    </row>
    <row r="6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14</v>
      </c>
      <c r="J64" s="51" t="n">
        <v>4</v>
      </c>
      <c r="K64" s="51" t="n">
        <v>0</v>
      </c>
      <c r="L64" s="49" t="n">
        <v>20</v>
      </c>
      <c r="M64" s="10" t="n">
        <v>9.814120556656917e-05</v>
      </c>
    </row>
    <row r="65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14</v>
      </c>
      <c r="J65" s="51" t="n">
        <v>0</v>
      </c>
      <c r="K65" s="51" t="n">
        <v>4</v>
      </c>
      <c r="L65" s="49" t="n">
        <v>24</v>
      </c>
      <c r="M65" s="10" t="n">
        <v>0.000117769446679883</v>
      </c>
    </row>
    <row r="66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9</v>
      </c>
      <c r="J66" s="51" t="n">
        <v>0</v>
      </c>
      <c r="K66" s="51" t="n">
        <v>0</v>
      </c>
      <c r="L66" s="49" t="n">
        <v>14</v>
      </c>
      <c r="M66" s="10" t="n">
        <v>6.869884389659842e-05</v>
      </c>
    </row>
    <row r="67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6</v>
      </c>
      <c r="J67" s="51" t="n">
        <v>0</v>
      </c>
      <c r="K67" s="51" t="n">
        <v>0</v>
      </c>
      <c r="L67" s="49" t="n">
        <v>12</v>
      </c>
      <c r="M67" s="10" t="n">
        <v>5.888472333994151e-05</v>
      </c>
    </row>
    <row r="6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5</v>
      </c>
      <c r="J68" s="51" t="n">
        <v>0</v>
      </c>
      <c r="K68" s="51" t="n">
        <v>1</v>
      </c>
      <c r="L68" s="49" t="n">
        <v>5</v>
      </c>
      <c r="M68" s="10" t="n">
        <v>2.453530139164229e-05</v>
      </c>
    </row>
    <row r="69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19</v>
      </c>
      <c r="J69" s="51" t="n">
        <v>0</v>
      </c>
      <c r="K69" s="51" t="n">
        <v>0</v>
      </c>
      <c r="L69" s="49" t="n">
        <v>17</v>
      </c>
      <c r="M69" s="10" t="n">
        <v>8.34200247315838e-05</v>
      </c>
    </row>
    <row r="70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13</v>
      </c>
      <c r="J70" s="51" t="n">
        <v>0</v>
      </c>
      <c r="K70" s="51" t="n">
        <v>1</v>
      </c>
      <c r="L70" s="49" t="n">
        <v>12</v>
      </c>
      <c r="M70" s="10" t="n">
        <v>5.888472333994151e-05</v>
      </c>
    </row>
    <row r="71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9</v>
      </c>
      <c r="J71" s="51" t="n">
        <v>0</v>
      </c>
      <c r="K71" s="51" t="n">
        <v>0</v>
      </c>
      <c r="L71" s="49" t="n">
        <v>2</v>
      </c>
      <c r="M71" s="10" t="n">
        <v>9.814120556656918e-06</v>
      </c>
    </row>
    <row r="72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11</v>
      </c>
      <c r="J72" s="51" t="n">
        <v>2</v>
      </c>
      <c r="K72" s="51" t="n">
        <v>0</v>
      </c>
      <c r="L72" s="49" t="n">
        <v>12</v>
      </c>
      <c r="M72" s="10" t="n">
        <v>5.888472333994151e-05</v>
      </c>
    </row>
    <row r="73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1</v>
      </c>
      <c r="J73" s="51" t="n">
        <v>1</v>
      </c>
      <c r="K73" s="51" t="n">
        <v>0</v>
      </c>
      <c r="L73" s="49" t="n">
        <v>4</v>
      </c>
      <c r="M73" s="10" t="n">
        <v>1.962824111331384e-05</v>
      </c>
    </row>
    <row r="7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1</v>
      </c>
      <c r="J74" s="51" t="n">
        <v>0</v>
      </c>
      <c r="K74" s="51" t="n">
        <v>2</v>
      </c>
      <c r="L74" s="49" t="n">
        <v>4</v>
      </c>
      <c r="M74" s="10" t="n">
        <v>1.962824111331384e-05</v>
      </c>
    </row>
    <row r="75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1</v>
      </c>
      <c r="J75" s="51" t="n">
        <v>0</v>
      </c>
      <c r="K75" s="51" t="n">
        <v>0</v>
      </c>
      <c r="L75" s="49" t="n">
        <v>2</v>
      </c>
      <c r="M75" s="10" t="n">
        <v>9.814120556656918e-06</v>
      </c>
    </row>
    <row r="76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3</v>
      </c>
      <c r="J76" s="51" t="n">
        <v>0</v>
      </c>
      <c r="K76" s="51" t="n">
        <v>0</v>
      </c>
      <c r="L76" s="49" t="n">
        <v>7</v>
      </c>
      <c r="M76" s="10" t="n">
        <v>3.434942194829921e-05</v>
      </c>
    </row>
    <row r="77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7</v>
      </c>
      <c r="J77" s="51" t="n">
        <v>0</v>
      </c>
      <c r="K77" s="51" t="n">
        <v>1</v>
      </c>
      <c r="L77" s="49" t="n">
        <v>6</v>
      </c>
      <c r="M77" s="10" t="n">
        <v>2.944236166997075e-05</v>
      </c>
    </row>
    <row r="7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2</v>
      </c>
      <c r="J78" s="51" t="n">
        <v>0</v>
      </c>
      <c r="K78" s="51" t="n">
        <v>0</v>
      </c>
      <c r="L78" s="49" t="n">
        <v>3</v>
      </c>
      <c r="M78" s="10" t="n">
        <v>1.472118083498538e-05</v>
      </c>
    </row>
    <row r="79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1</v>
      </c>
      <c r="J79" s="51" t="n">
        <v>1</v>
      </c>
      <c r="K79" s="51" t="n">
        <v>0</v>
      </c>
      <c r="L79" s="49" t="n">
        <v>1</v>
      </c>
      <c r="M79" s="10" t="n">
        <v>4.907060278328459e-06</v>
      </c>
    </row>
    <row r="80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1</v>
      </c>
      <c r="J80" s="51" t="n">
        <v>0</v>
      </c>
      <c r="K80" s="51" t="n">
        <v>0</v>
      </c>
      <c r="L80" s="49" t="n">
        <v>1</v>
      </c>
      <c r="M80" s="10" t="n">
        <v>4.907060278328459e-06</v>
      </c>
    </row>
    <row r="81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1</v>
      </c>
      <c r="J81" s="51" t="n">
        <v>1</v>
      </c>
      <c r="K81" s="51" t="n">
        <v>0</v>
      </c>
      <c r="L81" s="49" t="n">
        <v>0</v>
      </c>
      <c r="M81" s="10" t="n">
        <v>0</v>
      </c>
    </row>
    <row r="82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1</v>
      </c>
      <c r="J82" s="51" t="n">
        <v>0</v>
      </c>
      <c r="K82" s="51" t="n">
        <v>0</v>
      </c>
      <c r="L82" s="49" t="n">
        <v>3</v>
      </c>
      <c r="M82" s="10" t="n">
        <v>1.472118083498538e-05</v>
      </c>
    </row>
    <row r="83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1</v>
      </c>
      <c r="J83" s="51" t="n">
        <v>0</v>
      </c>
      <c r="K83" s="51" t="n">
        <v>0</v>
      </c>
      <c r="L83" s="49" t="n">
        <v>0</v>
      </c>
      <c r="M83" s="10" t="n">
        <v>0</v>
      </c>
    </row>
    <row r="8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0</v>
      </c>
      <c r="J84" s="51" t="n">
        <v>0</v>
      </c>
      <c r="K84" s="51" t="n">
        <v>0</v>
      </c>
      <c r="L84" s="49" t="n">
        <v>1</v>
      </c>
      <c r="M84" s="10" t="n">
        <v>4.907060278328459e-06</v>
      </c>
    </row>
    <row r="85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1</v>
      </c>
      <c r="J85" s="51" t="n">
        <v>0</v>
      </c>
      <c r="K85" s="51" t="n">
        <v>0</v>
      </c>
      <c r="L85" s="49" t="n">
        <v>3</v>
      </c>
      <c r="M85" s="10" t="n">
        <v>1.472118083498538e-05</v>
      </c>
    </row>
    <row r="86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1</v>
      </c>
      <c r="J87" s="51" t="n">
        <v>0</v>
      </c>
      <c r="K87" s="51" t="n">
        <v>0</v>
      </c>
      <c r="L87" s="49" t="n">
        <v>0</v>
      </c>
      <c r="M87" s="10" t="n">
        <v>0</v>
      </c>
    </row>
    <row r="8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1</v>
      </c>
      <c r="M88" s="10" t="n">
        <v>4.907060278328459e-06</v>
      </c>
    </row>
    <row r="89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1</v>
      </c>
      <c r="J90" s="51" t="n">
        <v>0</v>
      </c>
      <c r="K90" s="51" t="n">
        <v>0</v>
      </c>
      <c r="L90" s="49" t="n">
        <v>0</v>
      </c>
      <c r="M90" s="10" t="n">
        <v>0</v>
      </c>
    </row>
    <row r="91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1</v>
      </c>
      <c r="M92" s="10" t="n">
        <v>4.907060278328459e-06</v>
      </c>
    </row>
    <row r="93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1</v>
      </c>
      <c r="M93" s="10" t="n">
        <v>4.907060278328459e-06</v>
      </c>
    </row>
    <row r="9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2</v>
      </c>
      <c r="J97" s="51" t="n">
        <v>0</v>
      </c>
      <c r="K97" s="51" t="n">
        <v>0</v>
      </c>
      <c r="L97" s="49" t="n">
        <v>0</v>
      </c>
      <c r="M97" s="10" t="n">
        <v>0</v>
      </c>
    </row>
    <row r="9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1</v>
      </c>
      <c r="M100" s="10" t="n">
        <v>4.907060278328459e-06</v>
      </c>
    </row>
    <row r="101" ht="15.75" customHeight="1" s="52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1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>
      <c r="B102" s="49" t="inlineStr"/>
      <c r="C102" s="49" t="inlineStr"/>
      <c r="D102" s="49" t="inlineStr"/>
      <c r="E102" s="49" t="n">
        <v>161680.6759929457</v>
      </c>
      <c r="F102" s="10" t="n">
        <v>1</v>
      </c>
      <c r="I102" s="49" t="inlineStr"/>
      <c r="J102" s="49" t="inlineStr"/>
      <c r="K102" s="49" t="inlineStr"/>
      <c r="L102" s="49" t="n">
        <v>203788</v>
      </c>
      <c r="M102" s="10" t="n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2017-07-06T17:42:34Z</dcterms:modified>
  <cp:lastModifiedBy>Nagendra Dhakar</cp:lastModifiedBy>
</cp:coreProperties>
</file>