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drawing+xml" PartName="/xl/drawings/drawing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drawingml.chart+xml" PartName="/xl/charts/chart1.xml"/>
  <Override ContentType="application/vnd.ms-excel.sheet.macroEnabled.main+xml" PartName="/xl/workbook.xml"/>
  <Override ContentType="application/vnd.openxmlformats-officedocument.spreadsheetml.calcChain+xml" PartName="/xl/calcChain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0"/>
  </bookViews>
  <sheets>
    <sheet xmlns:r="http://schemas.openxmlformats.org/officeDocument/2006/relationships" name="TLFD" sheetId="1" state="visible" r:id="rId1"/>
    <sheet xmlns:r="http://schemas.openxmlformats.org/officeDocument/2006/relationships" name="soundcast" sheetId="2" state="visible" r:id="rId2"/>
    <sheet xmlns:r="http://schemas.openxmlformats.org/officeDocument/2006/relationships" name="Calibration" sheetId="3" state="visible" r:id="rId3"/>
    <sheet xmlns:r="http://schemas.openxmlformats.org/officeDocument/2006/relationships" name="bkrcast_all" sheetId="4" state="visible" r:id="rId4"/>
    <sheet xmlns:r="http://schemas.openxmlformats.org/officeDocument/2006/relationships" name="bkrcast_inbkr" sheetId="5" state="visible" r:id="rId5"/>
    <sheet xmlns:r="http://schemas.openxmlformats.org/officeDocument/2006/relationships" name="bkrcast_outbkr" sheetId="6" state="visible" r:id="rId6"/>
  </sheets>
  <definedNames>
    <definedName name="AVGD">'TLFD'!$U$15:$U$15</definedName>
    <definedName name="out1">'TLFD'!$B$11:$D$101</definedName>
    <definedName name="out2">'TLFD'!$I$11:$K$101</definedName>
    <definedName name="out5">'TLFD'!$T$11:$T$14</definedName>
    <definedName name="out6">'TLFD'!$V$11:$V$14</definedName>
    <definedName name="TLFD">'TLFD'!$H$11:$K$102</definedName>
  </definedNames>
  <calcPr calcId="124519" fullCalcOnLoad="1"/>
</workbook>
</file>

<file path=xl/sharedStrings.xml><?xml version="1.0" encoding="utf-8"?>
<sst xmlns="http://schemas.openxmlformats.org/spreadsheetml/2006/main" uniqueCount="210">
  <si>
    <t>Trip Length Frequency Distribution</t>
  </si>
  <si>
    <t>Observed Sources: Survey</t>
  </si>
  <si>
    <t>Observed distance (in miles) based on joining AM peak SOV skim values to HH survey</t>
  </si>
  <si>
    <t>Frequency of trips by 1-mile increment</t>
  </si>
  <si>
    <t>Distance values reflect low end of each range (ie. 0 refers to 0-1 miles)</t>
  </si>
  <si>
    <t>Model coefficients are segmented by HH income and person type, but most distance measures segmented only by person type, FT/PT status may not be available in Census</t>
  </si>
  <si>
    <t>Table X. Observed Trip Lengths: Survey</t>
  </si>
  <si>
    <t>Table X. Estimated Trip Lengths</t>
  </si>
  <si>
    <t>Average Half Tour Length (miles)</t>
  </si>
  <si>
    <t>Distance (mi)</t>
  </si>
  <si>
    <t>FT</t>
  </si>
  <si>
    <t>PT</t>
  </si>
  <si>
    <t>NotFTPT</t>
  </si>
  <si>
    <t>Total</t>
  </si>
  <si>
    <t>Survey</t>
  </si>
  <si>
    <t>BKRCast (all)</t>
  </si>
  <si>
    <t>BKRCast (In BKR)</t>
  </si>
  <si>
    <t>BKRCast (Out BKR)</t>
  </si>
  <si>
    <t>SoundCast</t>
  </si>
  <si>
    <t>Other Workers</t>
  </si>
  <si>
    <t>Table X. Average Trip Length</t>
  </si>
  <si>
    <t>DaySim</t>
  </si>
  <si>
    <t>Observed</t>
  </si>
  <si>
    <t>Estimated</t>
  </si>
  <si>
    <t>OtherTourDestinationCoefficients_SACOG-v1.8.F12</t>
  </si>
  <si>
    <t>Count</t>
  </si>
  <si>
    <t>Current</t>
  </si>
  <si>
    <t>Next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</si>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</sst>
</file>

<file path=xl/styles.xml><?xml version="1.0" encoding="utf-8"?>
<styleSheet xmlns="http://schemas.openxmlformats.org/spreadsheetml/2006/main">
  <numFmts count="5">
    <numFmt formatCode="0.0%" numFmtId="164"/>
    <numFmt formatCode="0.0000000000000" numFmtId="165"/>
    <numFmt formatCode="0.00000000000" numFmtId="166"/>
    <numFmt formatCode="0.000000000" numFmtId="167"/>
    <numFmt formatCode="_(* #,##0_);_(* \(#,##0\);_(* &quot;-&quot;??_);_(@_)" numFmtId="168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</fonts>
  <fills count="5">
    <fill>
      <patternFill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0" numFmtId="0"/>
    <xf borderId="0" fillId="0" fontId="1" numFmtId="0"/>
    <xf borderId="0" fillId="0" fontId="0" numFmtId="0"/>
    <xf borderId="0" fillId="2" fontId="0" numFmtId="0"/>
    <xf borderId="0" fillId="0" fontId="0" numFmtId="0"/>
    <xf borderId="0" fillId="0" fontId="0" numFmtId="0"/>
    <xf borderId="0" fillId="0" fontId="0" numFmtId="0"/>
  </cellStyleXfs>
  <cellXfs count="64">
    <xf borderId="0" fillId="0" fontId="0" numFmtId="0" pivotButton="0" quotePrefix="0" xfId="0"/>
    <xf borderId="1" fillId="0" fontId="0" numFmtId="0" pivotButton="0" quotePrefix="0" xfId="0"/>
    <xf borderId="2" fillId="0" fontId="0" numFmtId="0" pivotButton="0" quotePrefix="0" xfId="0"/>
    <xf borderId="1" fillId="0" fontId="1" numFmtId="0" pivotButton="0" quotePrefix="0" xfId="0"/>
    <xf borderId="3" fillId="0" fontId="0" numFmtId="0" pivotButton="0" quotePrefix="0" xfId="0"/>
    <xf borderId="0" fillId="0" fontId="0" numFmtId="2" pivotButton="0" quotePrefix="0" xfId="0"/>
    <xf borderId="1" fillId="0" fontId="0" numFmtId="2" pivotButton="0" quotePrefix="0" xfId="0"/>
    <xf borderId="0" fillId="0" fontId="1" numFmtId="0" pivotButton="0" quotePrefix="0" xfId="0"/>
    <xf borderId="3" fillId="0" fontId="0" numFmtId="2" pivotButton="0" quotePrefix="0" xfId="0"/>
    <xf applyAlignment="1" borderId="3" fillId="0" fontId="0" numFmtId="0" pivotButton="0" quotePrefix="0" xfId="0">
      <alignment horizontal="center" vertical="top"/>
    </xf>
    <xf borderId="0" fillId="0" fontId="0" numFmtId="10" pivotButton="0" quotePrefix="0" xfId="0"/>
    <xf borderId="0" fillId="0" fontId="2" numFmtId="0" pivotButton="0" quotePrefix="0" xfId="1"/>
    <xf borderId="1" fillId="0" fontId="0" numFmtId="1" pivotButton="0" quotePrefix="0" xfId="0"/>
    <xf applyAlignment="1" borderId="0" fillId="0" fontId="0" numFmtId="1" pivotButton="0" quotePrefix="0" xfId="0">
      <alignment horizontal="right"/>
    </xf>
    <xf borderId="0" fillId="0" fontId="4" numFmtId="0" pivotButton="0" quotePrefix="0" xfId="0"/>
    <xf borderId="0" fillId="0" fontId="0" numFmtId="165" pivotButton="0" quotePrefix="0" xfId="0"/>
    <xf applyAlignment="1" borderId="0" fillId="0" fontId="1" numFmtId="0" pivotButton="0" quotePrefix="0" xfId="0">
      <alignment horizontal="right"/>
    </xf>
    <xf applyAlignment="1" borderId="2" fillId="0" fontId="0" numFmtId="0" pivotButton="0" quotePrefix="0" xfId="0">
      <alignment horizontal="center" vertical="top"/>
    </xf>
    <xf applyAlignment="1" borderId="2" fillId="0" fontId="0" numFmtId="1" pivotButton="0" quotePrefix="0" xfId="0">
      <alignment horizontal="center" vertical="top"/>
    </xf>
    <xf applyAlignment="1" borderId="0" fillId="0" fontId="0" numFmtId="0" pivotButton="0" quotePrefix="0" xfId="0">
      <alignment horizontal="center" vertical="top"/>
    </xf>
    <xf applyAlignment="1" borderId="0" fillId="0" fontId="0" numFmtId="0" pivotButton="0" quotePrefix="0" xfId="0">
      <alignment horizontal="left" vertical="top"/>
    </xf>
    <xf applyAlignment="1" borderId="0" fillId="0" fontId="0" numFmtId="3" pivotButton="0" quotePrefix="0" xfId="0">
      <alignment horizontal="right" vertical="top"/>
    </xf>
    <xf borderId="0" fillId="0" fontId="0" numFmtId="3" pivotButton="0" quotePrefix="0" xfId="0"/>
    <xf applyAlignment="1" borderId="0" fillId="0" fontId="0" numFmtId="3" pivotButton="0" quotePrefix="0" xfId="0">
      <alignment horizontal="right"/>
    </xf>
    <xf borderId="3" fillId="0" fontId="0" numFmtId="3" pivotButton="0" quotePrefix="0" xfId="0"/>
    <xf applyAlignment="1" borderId="3" fillId="0" fontId="0" numFmtId="3" pivotButton="0" quotePrefix="0" xfId="0">
      <alignment horizontal="right"/>
    </xf>
    <xf borderId="0" fillId="0" fontId="0" numFmtId="1" pivotButton="0" quotePrefix="0" xfId="0"/>
    <xf borderId="4" fillId="0" fontId="0" numFmtId="3" pivotButton="0" quotePrefix="0" xfId="0"/>
    <xf applyAlignment="1" borderId="4" fillId="0" fontId="0" numFmtId="3" pivotButton="0" quotePrefix="0" xfId="0">
      <alignment horizontal="right"/>
    </xf>
    <xf borderId="0" fillId="0" fontId="4" numFmtId="3" pivotButton="0" quotePrefix="0" xfId="0"/>
    <xf applyAlignment="1" borderId="0" fillId="0" fontId="0" numFmtId="164" pivotButton="0" quotePrefix="0" xfId="0">
      <alignment horizontal="right" vertical="top"/>
    </xf>
    <xf applyAlignment="1" borderId="0" fillId="0" fontId="0" numFmtId="164" pivotButton="0" quotePrefix="0" xfId="0">
      <alignment horizontal="right"/>
    </xf>
    <xf borderId="0" fillId="0" fontId="0" numFmtId="9" pivotButton="0" quotePrefix="0" xfId="0"/>
    <xf applyAlignment="1" borderId="4" fillId="0" fontId="0" numFmtId="164" pivotButton="0" quotePrefix="0" xfId="0">
      <alignment horizontal="right"/>
    </xf>
    <xf borderId="0" fillId="0" fontId="5" numFmtId="0" pivotButton="0" quotePrefix="0" xfId="0"/>
    <xf borderId="0" fillId="0" fontId="6" numFmtId="0" pivotButton="0" quotePrefix="0" xfId="0"/>
    <xf applyAlignment="1" borderId="2" fillId="0" fontId="5" numFmtId="0" pivotButton="0" quotePrefix="0" xfId="0">
      <alignment horizontal="left"/>
    </xf>
    <xf applyAlignment="1" borderId="2" fillId="0" fontId="5" numFmtId="1" pivotButton="0" quotePrefix="0" xfId="0">
      <alignment horizontal="right"/>
    </xf>
    <xf applyAlignment="1" borderId="0" fillId="0" fontId="6" numFmtId="165" pivotButton="0" quotePrefix="0" xfId="0">
      <alignment horizontal="right"/>
    </xf>
    <xf borderId="1" fillId="0" fontId="0" numFmtId="3" pivotButton="0" quotePrefix="0" xfId="0"/>
    <xf applyAlignment="1" borderId="1" fillId="0" fontId="6" numFmtId="165" pivotButton="0" quotePrefix="0" xfId="0">
      <alignment horizontal="right"/>
    </xf>
    <xf applyAlignment="1" borderId="0" fillId="0" fontId="6" numFmtId="1" pivotButton="0" quotePrefix="0" xfId="0">
      <alignment horizontal="right"/>
    </xf>
    <xf applyAlignment="1" borderId="0" fillId="0" fontId="5" numFmtId="1" pivotButton="0" quotePrefix="0" xfId="0">
      <alignment horizontal="right"/>
    </xf>
    <xf applyAlignment="1" borderId="0" fillId="0" fontId="0" numFmtId="166" pivotButton="0" quotePrefix="0" xfId="0">
      <alignment horizontal="right"/>
    </xf>
    <xf applyAlignment="1" borderId="0" fillId="0" fontId="0" numFmtId="167" pivotButton="0" quotePrefix="0" xfId="0">
      <alignment horizontal="right"/>
    </xf>
    <xf applyAlignment="1" borderId="0" fillId="0" fontId="5" numFmtId="165" pivotButton="0" quotePrefix="0" xfId="0">
      <alignment horizontal="right"/>
    </xf>
    <xf applyAlignment="1" borderId="2" fillId="0" fontId="5" numFmtId="165" pivotButton="0" quotePrefix="0" xfId="0">
      <alignment horizontal="right"/>
    </xf>
    <xf borderId="0" fillId="0" fontId="0" numFmtId="11" pivotButton="0" quotePrefix="0" xfId="0"/>
    <xf borderId="0" fillId="3" fontId="0" numFmtId="165" pivotButton="0" quotePrefix="0" xfId="0"/>
    <xf borderId="0" fillId="0" fontId="0" numFmtId="168" pivotButton="0" quotePrefix="0" xfId="6"/>
    <xf borderId="1" fillId="0" fontId="0" numFmtId="168" pivotButton="0" quotePrefix="0" xfId="6"/>
    <xf borderId="0" fillId="0" fontId="2" numFmtId="168" pivotButton="0" quotePrefix="0" xfId="6"/>
    <xf borderId="0" fillId="0" fontId="0" numFmtId="0" pivotButton="0" quotePrefix="0" xfId="0"/>
    <xf borderId="0" fillId="0" fontId="0" numFmtId="10" pivotButton="0" quotePrefix="0" xfId="7"/>
    <xf borderId="0" fillId="4" fontId="1" numFmtId="0" pivotButton="0" quotePrefix="0" xfId="0"/>
    <xf borderId="0" fillId="4" fontId="0" numFmtId="0" pivotButton="0" quotePrefix="0" xfId="0"/>
    <xf borderId="0" fillId="4" fontId="0" numFmtId="0" pivotButton="0" quotePrefix="0" xfId="0"/>
    <xf borderId="2" fillId="4" fontId="0" numFmtId="0" pivotButton="0" quotePrefix="0" xfId="0"/>
    <xf applyAlignment="1" borderId="2" fillId="4" fontId="0" numFmtId="0" pivotButton="0" quotePrefix="0" xfId="0">
      <alignment horizontal="center" vertical="top"/>
    </xf>
    <xf borderId="0" fillId="4" fontId="0" numFmtId="2" pivotButton="0" quotePrefix="0" xfId="0"/>
    <xf borderId="3" fillId="4" fontId="0" numFmtId="0" pivotButton="0" quotePrefix="0" xfId="0"/>
    <xf borderId="3" fillId="4" fontId="0" numFmtId="2" pivotButton="0" quotePrefix="0" xfId="0"/>
    <xf borderId="1" fillId="4" fontId="0" numFmtId="0" pivotButton="0" quotePrefix="0" xfId="0"/>
    <xf borderId="4" fillId="4" fontId="0" numFmtId="2" pivotButton="0" quotePrefix="0" xfId="0"/>
  </cellXfs>
  <cellStyles count="8">
    <cellStyle name="XLConnect.String" xfId="0"/>
    <cellStyle name="XLConnect.DateTime" xfId="1"/>
    <cellStyle name="XLConnect.General" xfId="2"/>
    <cellStyle builtinId="0" name="Normal" xfId="3"/>
    <cellStyle name="XLConnect.Header" xfId="4"/>
    <cellStyle name="XLConnect.Date" xfId="5"/>
    <cellStyle name="XLConnect.Boolean" xfId="6"/>
    <cellStyle name="XLConnect.Numeric" xfId="7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/xl/worksheets/sheet3.xml" Type="http://schemas.openxmlformats.org/officeDocument/2006/relationships/worksheet"/><Relationship Id="rId4" Target="/xl/worksheets/sheet4.xml" Type="http://schemas.openxmlformats.org/officeDocument/2006/relationships/worksheet"/><Relationship Id="rId5" Target="/xl/worksheets/sheet5.xml" Type="http://schemas.openxmlformats.org/officeDocument/2006/relationships/worksheet"/><Relationship Id="rId6" Target="/xl/worksheets/sheet6.xml" Type="http://schemas.openxmlformats.org/officeDocument/2006/relationships/worksheet"/><Relationship Id="rId7" Target="sharedStrings.xml" Type="http://schemas.openxmlformats.org/officeDocument/2006/relationships/sharedStrings"/><Relationship Id="rId8" Target="styles.xml" Type="http://schemas.openxmlformats.org/officeDocument/2006/relationships/styles"/><Relationship Id="rId9" Target="theme/theme1.xml" Type="http://schemas.openxmlformats.org/officeDocument/2006/relationships/theme"/><Relationship Id="rId10" Target="vbaProject.bin" Type="http://schemas.microsoft.com/office/2006/relationships/vbaProject"/></Relationships>
</file>

<file path=xl/charts/chart1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TLFD!M10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TLFD!$M$11:$M$100</f>
            </numRef>
          </val>
        </ser>
        <ser>
          <idx val="1"/>
          <order val="1"/>
          <tx>
            <strRef>
              <f>TLFD!N10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TLFD!$N$11:$N$100</f>
            </numRef>
          </val>
        </ser>
        <ser>
          <idx val="2"/>
          <order val="2"/>
          <tx>
            <strRef>
              <f>TLFD!O10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TLFD!$O$11:$O$100</f>
            </numRef>
          </val>
        </ser>
        <ser>
          <idx val="3"/>
          <order val="3"/>
          <tx>
            <strRef>
              <f>TLFD!P10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TLFD!$P$11:$P$100</f>
            </numRef>
          </val>
        </ser>
        <ser>
          <idx val="4"/>
          <order val="4"/>
          <tx>
            <strRef>
              <f>TLFD!Q10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TLFD!$Q$11:$Q$100</f>
            </numRef>
          </val>
        </ser>
        <axId val="10"/>
        <axId val="100"/>
      </lineChart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Tours</a:t>
                </a:r>
              </a:p>
            </rich>
          </tx>
        </title>
        <crossAx val="10"/>
      </valAx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Tour Length (mile)</a:t>
                </a:r>
              </a:p>
            </rich>
          </tx>
        </title>
        <crossAx val="100"/>
        <lblOffset val="100"/>
      </catAx>
    </plotArea>
    <legend>
      <legendPos val="r"/>
    </legend>
    <dispBlanksAs val="gap"/>
  </chart>
</chartSpace>
</file>

<file path=xl/drawings/_rels/drawing1.xml.rels><Relationships xmlns="http://schemas.openxmlformats.org/package/2006/relationships"><Relationship Id="rId1" Target="/xl/charts/chart1.xml" Type="http://schemas.openxmlformats.org/officeDocument/2006/relationships/chart"/></Relationships>
</file>

<file path=xl/drawings/drawing1.xml><?xml version="1.0" encoding="utf-8"?>
<wsDr xmlns="http://schemas.openxmlformats.org/drawingml/2006/spreadsheetDrawing">
  <oneCellAnchor>
    <from>
      <col>18</col>
      <colOff>0</colOff>
      <row>17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Id="rId1" Target="/xl/drawings/drawing1.xml" Type="http://schemas.openxmlformats.org/officeDocument/2006/relationships/drawing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X102"/>
  <sheetViews>
    <sheetView tabSelected="1" topLeftCell="H1" workbookViewId="0">
      <selection activeCell="S6" sqref="S6"/>
    </sheetView>
  </sheetViews>
  <sheetFormatPr baseColWidth="10" defaultRowHeight="15" outlineLevelCol="0"/>
  <cols>
    <col collapsed="1" customWidth="1" max="1" min="1" style="52" width="13.5703125"/>
    <col bestFit="1" collapsed="1" customWidth="1" max="2" min="2" style="52" width="10.5703125"/>
    <col bestFit="1" collapsed="1" customWidth="1" max="4" min="3" style="52" width="9.28515625"/>
    <col bestFit="1" collapsed="1" customWidth="1" max="5" min="5" style="52" width="10.5703125"/>
    <col bestFit="1" collapsed="1" customWidth="1" max="9" min="9" style="52" width="10.5703125"/>
    <col bestFit="1" collapsed="1" customWidth="1" max="11" min="10" style="52" width="9.5703125"/>
    <col bestFit="1" collapsed="1" customWidth="1" max="12" min="12" style="52" width="10.5703125"/>
    <col bestFit="1" customWidth="1" max="13" min="13" style="52" width="12.140625"/>
    <col bestFit="1" customWidth="1" max="14" min="14" style="52" width="15.7109375"/>
    <col bestFit="1" customWidth="1" max="15" min="15" style="52" width="17.42578125"/>
    <col bestFit="1" customWidth="1" max="16" min="16" style="52" width="10.28515625"/>
    <col customWidth="1" max="19" min="19" style="52" width="14.85546875"/>
    <col bestFit="1" customWidth="1" max="21" min="21" style="52" width="10.28515625"/>
    <col bestFit="1" customWidth="1" max="22" min="22" style="52" width="12.140625"/>
    <col bestFit="1" customWidth="1" max="23" min="23" style="52" width="15.7109375"/>
    <col bestFit="1" customWidth="1" max="24" min="24" style="52" width="17.42578125"/>
  </cols>
  <sheetData>
    <row r="1" spans="1:24">
      <c r="A1" t="s">
        <v>0</v>
      </c>
    </row>
    <row r="2" spans="1:24">
      <c r="A2" t="s">
        <v>1</v>
      </c>
    </row>
    <row r="3" spans="1:24">
      <c r="A3" t="s">
        <v>2</v>
      </c>
    </row>
    <row r="4" spans="1:24">
      <c r="A4" t="s">
        <v>3</v>
      </c>
    </row>
    <row r="5" spans="1:24">
      <c r="A5" t="s">
        <v>4</v>
      </c>
    </row>
    <row r="7" spans="1:24">
      <c r="A7" t="s">
        <v>5</v>
      </c>
    </row>
    <row customHeight="1" ht="15.75" r="9" s="52" spans="1:24">
      <c r="A9" s="3" t="s">
        <v>6</v>
      </c>
      <c r="B9" s="1" t="n"/>
      <c r="C9" s="1" t="n"/>
      <c r="D9" s="1" t="n"/>
      <c r="E9" s="1" t="n"/>
      <c r="F9" s="1" t="n"/>
      <c r="H9" s="3" t="s">
        <v>7</v>
      </c>
      <c r="I9" s="1" t="n"/>
      <c r="J9" s="1" t="n"/>
      <c r="K9" s="1" t="n"/>
      <c r="L9" s="1" t="n"/>
      <c r="M9" s="1" t="n"/>
      <c r="S9" s="54" t="s">
        <v>8</v>
      </c>
      <c r="T9" s="56" t="n"/>
      <c r="U9" s="56" t="n"/>
      <c r="V9" s="56" t="n"/>
      <c r="W9" s="56" t="n"/>
      <c r="X9" s="56" t="n"/>
    </row>
    <row r="10" spans="1:24">
      <c r="A10" s="2" t="s">
        <v>9</v>
      </c>
      <c r="B10" s="17" t="s">
        <v>10</v>
      </c>
      <c r="C10" s="17" t="s">
        <v>11</v>
      </c>
      <c r="D10" s="17" t="s">
        <v>12</v>
      </c>
      <c r="E10" s="17" t="s">
        <v>13</v>
      </c>
      <c r="F10" s="9" t="s">
        <v>14</v>
      </c>
      <c r="H10" s="2" t="s">
        <v>9</v>
      </c>
      <c r="I10" s="17" t="s">
        <v>10</v>
      </c>
      <c r="J10" s="17" t="s">
        <v>11</v>
      </c>
      <c r="K10" s="17" t="s">
        <v>12</v>
      </c>
      <c r="L10" s="17" t="s">
        <v>13</v>
      </c>
      <c r="M10" s="17" t="s">
        <v>15</v>
      </c>
      <c r="N10" s="17" t="s">
        <v>16</v>
      </c>
      <c r="O10" s="17" t="s">
        <v>17</v>
      </c>
      <c r="P10" s="17" t="s">
        <v>18</v>
      </c>
      <c r="Q10" s="53">
        <f>F10</f>
        <v/>
      </c>
      <c r="S10" s="57" t="n"/>
      <c r="T10" s="58" t="s">
        <v>14</v>
      </c>
      <c r="U10" s="58" t="s">
        <v>18</v>
      </c>
      <c r="V10" s="58" t="s">
        <v>15</v>
      </c>
      <c r="W10" s="58" t="s">
        <v>16</v>
      </c>
      <c r="X10" s="58" t="s">
        <v>17</v>
      </c>
    </row>
    <row r="11" spans="1:24">
      <c r="A11" t="n">
        <v>0</v>
      </c>
      <c r="B11" s="49" t="n">
        <v>82124.0039136897</v>
      </c>
      <c r="C11" s="49" t="n">
        <v>1732.7144668347</v>
      </c>
      <c r="D11" s="49" t="n">
        <v>992.7625674935999</v>
      </c>
      <c r="E11" s="49" t="n">
        <v>84849.480948018</v>
      </c>
      <c r="F11" s="10">
        <f>bkrcast_all!F11</f>
        <v/>
      </c>
      <c r="H11" s="11" t="n">
        <v>0</v>
      </c>
      <c r="I11" s="51" t="n">
        <v>122917.4322365079</v>
      </c>
      <c r="J11" s="51" t="n">
        <v>13862.24746779052</v>
      </c>
      <c r="K11" s="51" t="n">
        <v>10197.03716207748</v>
      </c>
      <c r="L11" s="49">
        <f>SUM(I11:K11)</f>
        <v/>
      </c>
      <c r="M11" s="10">
        <f>bkrcast_all!M11</f>
        <v/>
      </c>
      <c r="N11" s="10">
        <f>bkrcast_inbkr!M11</f>
        <v/>
      </c>
      <c r="O11" s="10">
        <f>bkrcast_outbkr!M11</f>
        <v/>
      </c>
      <c r="P11" s="10">
        <f>soundcast!M11</f>
        <v/>
      </c>
      <c r="Q11" s="53">
        <f>F11</f>
        <v/>
      </c>
      <c r="S11" s="56" t="s">
        <v>10</v>
      </c>
      <c r="T11" s="59">
        <f>bkrcast_all!Q11</f>
        <v/>
      </c>
      <c r="U11" s="59">
        <f>soundcast!R11</f>
        <v/>
      </c>
      <c r="V11" s="59">
        <f>bkrcast_all!R11</f>
        <v/>
      </c>
      <c r="W11" s="59">
        <f>bkrcast_inbkr!R11</f>
        <v/>
      </c>
      <c r="X11" s="59">
        <f>bkrcast_outbkr!R11</f>
        <v/>
      </c>
    </row>
    <row r="12" spans="1:24">
      <c r="A12" t="n">
        <v>1</v>
      </c>
      <c r="B12" s="49" t="n">
        <v>30451.9314664559</v>
      </c>
      <c r="C12" s="49" t="n">
        <v>1865.2582294065</v>
      </c>
      <c r="D12" s="49" t="n">
        <v>1902.176330396</v>
      </c>
      <c r="E12" s="49" t="n">
        <v>34219.3660262584</v>
      </c>
      <c r="F12" s="10">
        <f>bkrcast_all!F12</f>
        <v/>
      </c>
      <c r="H12" s="11" t="n">
        <v>1</v>
      </c>
      <c r="I12" s="51" t="n">
        <v>45442.51973145761</v>
      </c>
      <c r="J12" s="51" t="n">
        <v>6616.19792851634</v>
      </c>
      <c r="K12" s="51" t="n">
        <v>4244.279224924752</v>
      </c>
      <c r="L12" s="49">
        <f>SUM(I12:K12)</f>
        <v/>
      </c>
      <c r="M12" s="10">
        <f>bkrcast_all!M12</f>
        <v/>
      </c>
      <c r="N12" s="10">
        <f>bkrcast_inbkr!M12</f>
        <v/>
      </c>
      <c r="O12" s="10">
        <f>bkrcast_outbkr!M12</f>
        <v/>
      </c>
      <c r="P12" s="10">
        <f>soundcast!M12</f>
        <v/>
      </c>
      <c r="Q12" s="53">
        <f>F12</f>
        <v/>
      </c>
      <c r="S12" s="56" t="s">
        <v>11</v>
      </c>
      <c r="T12" s="59">
        <f>bkrcast_all!Q12</f>
        <v/>
      </c>
      <c r="U12" s="59">
        <f>soundcast!R12</f>
        <v/>
      </c>
      <c r="V12" s="59">
        <f>bkrcast_all!R12</f>
        <v/>
      </c>
      <c r="W12" s="59">
        <f>bkrcast_inbkr!R12</f>
        <v/>
      </c>
      <c r="X12" s="59">
        <f>bkrcast_outbkr!R12</f>
        <v/>
      </c>
    </row>
    <row r="13" spans="1:24">
      <c r="A13" t="n">
        <v>2</v>
      </c>
      <c r="B13" s="49" t="n">
        <v>21393.3341564304</v>
      </c>
      <c r="C13" s="49" t="n">
        <v>1373.2958171159</v>
      </c>
      <c r="D13" s="49" t="n">
        <v>2388.6710814865</v>
      </c>
      <c r="E13" s="49" t="n">
        <v>25155.3010550328</v>
      </c>
      <c r="F13" s="10">
        <f>bkrcast_all!F13</f>
        <v/>
      </c>
      <c r="H13" s="11" t="n">
        <v>2</v>
      </c>
      <c r="I13" s="51" t="n">
        <v>27977.68508542493</v>
      </c>
      <c r="J13" s="51" t="n">
        <v>3616.589198311514</v>
      </c>
      <c r="K13" s="51" t="n">
        <v>2487.139054882312</v>
      </c>
      <c r="L13" s="49">
        <f>SUM(I13:K13)</f>
        <v/>
      </c>
      <c r="M13" s="10">
        <f>bkrcast_all!M13</f>
        <v/>
      </c>
      <c r="N13" s="10">
        <f>bkrcast_inbkr!M13</f>
        <v/>
      </c>
      <c r="O13" s="10">
        <f>bkrcast_outbkr!M13</f>
        <v/>
      </c>
      <c r="P13" s="10">
        <f>soundcast!M13</f>
        <v/>
      </c>
      <c r="Q13" s="53">
        <f>F13</f>
        <v/>
      </c>
      <c r="S13" s="60" t="s">
        <v>19</v>
      </c>
      <c r="T13" s="61">
        <f>bkrcast_all!Q13</f>
        <v/>
      </c>
      <c r="U13" s="61">
        <f>soundcast!R13</f>
        <v/>
      </c>
      <c r="V13" s="61">
        <f>bkrcast_all!R13</f>
        <v/>
      </c>
      <c r="W13" s="61">
        <f>bkrcast_inbkr!R13</f>
        <v/>
      </c>
      <c r="X13" s="61">
        <f>bkrcast_outbkr!R13</f>
        <v/>
      </c>
    </row>
    <row customHeight="1" ht="15.75" r="14" s="52" spans="1:24">
      <c r="A14" t="n">
        <v>3</v>
      </c>
      <c r="B14" s="49" t="n">
        <v>13451.0780158682</v>
      </c>
      <c r="C14" s="49" t="n">
        <v>0</v>
      </c>
      <c r="D14" s="49" t="n">
        <v>89.5322452875</v>
      </c>
      <c r="E14" s="49" t="n">
        <v>13540.6102611557</v>
      </c>
      <c r="F14" s="10">
        <f>bkrcast_all!F14</f>
        <v/>
      </c>
      <c r="H14" s="11" t="n">
        <v>3</v>
      </c>
      <c r="I14" s="51" t="n">
        <v>14036.64270802861</v>
      </c>
      <c r="J14" s="51" t="n">
        <v>2097.726930671354</v>
      </c>
      <c r="K14" s="51" t="n">
        <v>1260.342381974511</v>
      </c>
      <c r="L14" s="49">
        <f>SUM(I14:K14)</f>
        <v/>
      </c>
      <c r="M14" s="10">
        <f>bkrcast_all!M14</f>
        <v/>
      </c>
      <c r="N14" s="10">
        <f>bkrcast_inbkr!M14</f>
        <v/>
      </c>
      <c r="O14" s="10">
        <f>bkrcast_outbkr!M14</f>
        <v/>
      </c>
      <c r="P14" s="10">
        <f>soundcast!M14</f>
        <v/>
      </c>
      <c r="Q14" s="53">
        <f>F14</f>
        <v/>
      </c>
      <c r="S14" s="62" t="s">
        <v>13</v>
      </c>
      <c r="T14" s="63">
        <f>bkrcast_all!Q14</f>
        <v/>
      </c>
      <c r="U14" s="63">
        <f>soundcast!R14</f>
        <v/>
      </c>
      <c r="V14" s="63">
        <f>bkrcast_all!R14</f>
        <v/>
      </c>
      <c r="W14" s="63">
        <f>bkrcast_inbkr!R14</f>
        <v/>
      </c>
      <c r="X14" s="63">
        <f>bkrcast_outbkr!R14</f>
        <v/>
      </c>
    </row>
    <row r="15" spans="1:24">
      <c r="A15" t="n">
        <v>4</v>
      </c>
      <c r="B15" s="49" t="n">
        <v>3813.2797766162</v>
      </c>
      <c r="C15" s="49" t="n">
        <v>401.8803290337</v>
      </c>
      <c r="D15" s="49" t="n">
        <v>0</v>
      </c>
      <c r="E15" s="49" t="n">
        <v>4215.1601056499</v>
      </c>
      <c r="F15" s="10">
        <f>bkrcast_all!F15</f>
        <v/>
      </c>
      <c r="H15" s="11" t="n">
        <v>4</v>
      </c>
      <c r="I15" s="51" t="n">
        <v>39352.00738902824</v>
      </c>
      <c r="J15" s="51" t="n">
        <v>5589.381681378084</v>
      </c>
      <c r="K15" s="51" t="n">
        <v>4117.624435166324</v>
      </c>
      <c r="L15" s="49">
        <f>SUM(I15:K15)</f>
        <v/>
      </c>
      <c r="M15" s="10">
        <f>bkrcast_all!M15</f>
        <v/>
      </c>
      <c r="N15" s="10">
        <f>bkrcast_inbkr!M15</f>
        <v/>
      </c>
      <c r="O15" s="10">
        <f>bkrcast_outbkr!M15</f>
        <v/>
      </c>
      <c r="P15" s="10">
        <f>soundcast!M15</f>
        <v/>
      </c>
      <c r="Q15" s="53">
        <f>F15</f>
        <v/>
      </c>
    </row>
    <row r="16" spans="1:24">
      <c r="A16" t="n">
        <v>5</v>
      </c>
      <c r="B16" s="49" t="n">
        <v>4439.6421296316</v>
      </c>
      <c r="C16" s="49" t="n">
        <v>277.21009121</v>
      </c>
      <c r="D16" s="49" t="n">
        <v>383.206555392</v>
      </c>
      <c r="E16" s="49" t="n">
        <v>5100.0587762336</v>
      </c>
      <c r="F16" s="10">
        <f>bkrcast_all!F16</f>
        <v/>
      </c>
      <c r="H16" s="11" t="n">
        <v>5</v>
      </c>
      <c r="I16" s="51" t="n">
        <v>28995.11909013536</v>
      </c>
      <c r="J16" s="51" t="n">
        <v>3701.187805565453</v>
      </c>
      <c r="K16" s="51" t="n">
        <v>2507.802602850504</v>
      </c>
      <c r="L16" s="49">
        <f>SUM(I16:K16)</f>
        <v/>
      </c>
      <c r="M16" s="10">
        <f>bkrcast_all!M16</f>
        <v/>
      </c>
      <c r="N16" s="10">
        <f>bkrcast_inbkr!M16</f>
        <v/>
      </c>
      <c r="O16" s="10">
        <f>bkrcast_outbkr!M16</f>
        <v/>
      </c>
      <c r="P16" s="10">
        <f>soundcast!M16</f>
        <v/>
      </c>
      <c r="Q16" s="53">
        <f>F16</f>
        <v/>
      </c>
    </row>
    <row r="17" spans="1:24">
      <c r="A17" t="n">
        <v>6</v>
      </c>
      <c r="B17" s="49" t="n">
        <v>3476.4867592237</v>
      </c>
      <c r="C17" s="49" t="n">
        <v>0</v>
      </c>
      <c r="D17" s="49" t="n">
        <v>0</v>
      </c>
      <c r="E17" s="49" t="n">
        <v>3476.4867592237</v>
      </c>
      <c r="F17" s="10">
        <f>bkrcast_all!F17</f>
        <v/>
      </c>
      <c r="H17" s="11" t="n">
        <v>6</v>
      </c>
      <c r="I17" s="51" t="n">
        <v>21016.85062101102</v>
      </c>
      <c r="J17" s="51" t="n">
        <v>3076.377291266331</v>
      </c>
      <c r="K17" s="51" t="n">
        <v>1899.045885506502</v>
      </c>
      <c r="L17" s="49">
        <f>SUM(I17:K17)</f>
        <v/>
      </c>
      <c r="M17" s="10">
        <f>bkrcast_all!M17</f>
        <v/>
      </c>
      <c r="N17" s="10">
        <f>bkrcast_inbkr!M17</f>
        <v/>
      </c>
      <c r="O17" s="10">
        <f>bkrcast_outbkr!M17</f>
        <v/>
      </c>
      <c r="P17" s="10">
        <f>soundcast!M17</f>
        <v/>
      </c>
      <c r="Q17" s="53">
        <f>F17</f>
        <v/>
      </c>
    </row>
    <row r="18" spans="1:24">
      <c r="A18" t="n">
        <v>7</v>
      </c>
      <c r="B18" s="49" t="n">
        <v>171.888456281</v>
      </c>
      <c r="C18" s="49" t="n">
        <v>0</v>
      </c>
      <c r="D18" s="49" t="n">
        <v>0</v>
      </c>
      <c r="E18" s="49" t="n">
        <v>171.888456281</v>
      </c>
      <c r="F18" s="10">
        <f>bkrcast_all!F18</f>
        <v/>
      </c>
      <c r="H18" s="11" t="n">
        <v>7</v>
      </c>
      <c r="I18" s="51" t="n">
        <v>11925.76863980828</v>
      </c>
      <c r="J18" s="51" t="n">
        <v>1388.203236062106</v>
      </c>
      <c r="K18" s="51" t="n">
        <v>1043.9731593966</v>
      </c>
      <c r="L18" s="49">
        <f>SUM(I18:K18)</f>
        <v/>
      </c>
      <c r="M18" s="10">
        <f>bkrcast_all!M18</f>
        <v/>
      </c>
      <c r="N18" s="10">
        <f>bkrcast_inbkr!M18</f>
        <v/>
      </c>
      <c r="O18" s="10">
        <f>bkrcast_outbkr!M18</f>
        <v/>
      </c>
      <c r="P18" s="10">
        <f>soundcast!M18</f>
        <v/>
      </c>
      <c r="Q18" s="53">
        <f>F18</f>
        <v/>
      </c>
    </row>
    <row r="19" spans="1:24">
      <c r="A19" t="n">
        <v>8</v>
      </c>
      <c r="B19" s="49" t="n">
        <v>0</v>
      </c>
      <c r="C19" s="49" t="n">
        <v>0</v>
      </c>
      <c r="D19" s="49" t="n">
        <v>0</v>
      </c>
      <c r="E19" s="49" t="n">
        <v>0</v>
      </c>
      <c r="F19" s="10">
        <f>bkrcast_all!F19</f>
        <v/>
      </c>
      <c r="H19" s="11" t="n">
        <v>8</v>
      </c>
      <c r="I19" s="51" t="n">
        <v>18337.50086983619</v>
      </c>
      <c r="J19" s="51" t="n">
        <v>2133.455293205396</v>
      </c>
      <c r="K19" s="51" t="n">
        <v>1249.562452144784</v>
      </c>
      <c r="L19" s="49">
        <f>SUM(I19:K19)</f>
        <v/>
      </c>
      <c r="M19" s="10">
        <f>bkrcast_all!M19</f>
        <v/>
      </c>
      <c r="N19" s="10">
        <f>bkrcast_inbkr!M19</f>
        <v/>
      </c>
      <c r="O19" s="10">
        <f>bkrcast_outbkr!M19</f>
        <v/>
      </c>
      <c r="P19" s="10">
        <f>soundcast!M19</f>
        <v/>
      </c>
      <c r="Q19" s="53">
        <f>F19</f>
        <v/>
      </c>
    </row>
    <row r="20" spans="1:24">
      <c r="A20" t="n">
        <v>9</v>
      </c>
      <c r="B20" s="49" t="n">
        <v>626.812224563</v>
      </c>
      <c r="C20" s="49" t="n">
        <v>0</v>
      </c>
      <c r="D20" s="49" t="n">
        <v>117.557623914</v>
      </c>
      <c r="E20" s="49" t="n">
        <v>744.369848477</v>
      </c>
      <c r="F20" s="10">
        <f>bkrcast_all!F20</f>
        <v/>
      </c>
      <c r="H20" s="11" t="n">
        <v>9</v>
      </c>
      <c r="I20" s="51" t="n">
        <v>6864.611726675704</v>
      </c>
      <c r="J20" s="51" t="n">
        <v>783.3424961072176</v>
      </c>
      <c r="K20" s="51" t="n">
        <v>649.7694431398492</v>
      </c>
      <c r="L20" s="49">
        <f>SUM(I20:K20)</f>
        <v/>
      </c>
      <c r="M20" s="10">
        <f>bkrcast_all!M20</f>
        <v/>
      </c>
      <c r="N20" s="10">
        <f>bkrcast_inbkr!M20</f>
        <v/>
      </c>
      <c r="O20" s="10">
        <f>bkrcast_outbkr!M20</f>
        <v/>
      </c>
      <c r="P20" s="10">
        <f>soundcast!M20</f>
        <v/>
      </c>
      <c r="Q20" s="53">
        <f>F20</f>
        <v/>
      </c>
    </row>
    <row r="21" spans="1:24">
      <c r="A21" t="n">
        <v>10</v>
      </c>
      <c r="B21" s="49" t="n">
        <v>909.571422328</v>
      </c>
      <c r="C21" s="49" t="n">
        <v>0</v>
      </c>
      <c r="D21" s="49" t="n">
        <v>0</v>
      </c>
      <c r="E21" s="49" t="n">
        <v>909.571422328</v>
      </c>
      <c r="F21" s="10">
        <f>bkrcast_all!F21</f>
        <v/>
      </c>
      <c r="H21" s="11" t="n">
        <v>10</v>
      </c>
      <c r="I21" s="51" t="n">
        <v>5704.201008609707</v>
      </c>
      <c r="J21" s="51" t="n">
        <v>685.7712943922511</v>
      </c>
      <c r="K21" s="51" t="n">
        <v>366.4421876984188</v>
      </c>
      <c r="L21" s="49">
        <f>SUM(I21:K21)</f>
        <v/>
      </c>
      <c r="M21" s="10">
        <f>bkrcast_all!M21</f>
        <v/>
      </c>
      <c r="N21" s="10">
        <f>bkrcast_inbkr!M21</f>
        <v/>
      </c>
      <c r="O21" s="10">
        <f>bkrcast_outbkr!M21</f>
        <v/>
      </c>
      <c r="P21" s="10">
        <f>soundcast!M21</f>
        <v/>
      </c>
      <c r="Q21" s="53">
        <f>F21</f>
        <v/>
      </c>
    </row>
    <row r="22" spans="1:24">
      <c r="A22" t="n">
        <v>11</v>
      </c>
      <c r="B22" s="49" t="n">
        <v>2079.44308799</v>
      </c>
      <c r="C22" s="49" t="n">
        <v>153.293833701</v>
      </c>
      <c r="D22" s="49" t="n">
        <v>0</v>
      </c>
      <c r="E22" s="49" t="n">
        <v>2232.736921691</v>
      </c>
      <c r="F22" s="10">
        <f>bkrcast_all!F22</f>
        <v/>
      </c>
      <c r="H22" s="11" t="n">
        <v>11</v>
      </c>
      <c r="I22" s="51" t="n">
        <v>6304.833575157754</v>
      </c>
      <c r="J22" s="51" t="n">
        <v>507.6249820919562</v>
      </c>
      <c r="K22" s="51" t="n">
        <v>331.5933991434205</v>
      </c>
      <c r="L22" s="49">
        <f>SUM(I22:K22)</f>
        <v/>
      </c>
      <c r="M22" s="10">
        <f>bkrcast_all!M22</f>
        <v/>
      </c>
      <c r="N22" s="10">
        <f>bkrcast_inbkr!M22</f>
        <v/>
      </c>
      <c r="O22" s="10">
        <f>bkrcast_outbkr!M22</f>
        <v/>
      </c>
      <c r="P22" s="10">
        <f>soundcast!M22</f>
        <v/>
      </c>
      <c r="Q22" s="53">
        <f>F22</f>
        <v/>
      </c>
    </row>
    <row r="23" spans="1:24">
      <c r="A23" t="n">
        <v>12</v>
      </c>
      <c r="B23" s="49" t="n">
        <v>358.649389471</v>
      </c>
      <c r="C23" s="49" t="n">
        <v>56.1388760904</v>
      </c>
      <c r="D23" s="49" t="n">
        <v>0</v>
      </c>
      <c r="E23" s="49" t="n">
        <v>414.7882655614</v>
      </c>
      <c r="F23" s="10">
        <f>bkrcast_all!F23</f>
        <v/>
      </c>
      <c r="H23" s="11" t="n">
        <v>12</v>
      </c>
      <c r="I23" s="51" t="n">
        <v>4942.966887875014</v>
      </c>
      <c r="J23" s="51" t="n">
        <v>488.4774258199401</v>
      </c>
      <c r="K23" s="51" t="n">
        <v>361.8454476382317</v>
      </c>
      <c r="L23" s="49">
        <f>SUM(I23:K23)</f>
        <v/>
      </c>
      <c r="M23" s="10">
        <f>bkrcast_all!M23</f>
        <v/>
      </c>
      <c r="N23" s="10">
        <f>bkrcast_inbkr!M23</f>
        <v/>
      </c>
      <c r="O23" s="10">
        <f>bkrcast_outbkr!M23</f>
        <v/>
      </c>
      <c r="P23" s="10">
        <f>soundcast!M23</f>
        <v/>
      </c>
      <c r="Q23" s="53">
        <f>F23</f>
        <v/>
      </c>
    </row>
    <row r="24" spans="1:24">
      <c r="A24" t="n">
        <v>13</v>
      </c>
      <c r="B24" s="49" t="n">
        <v>47.4452354385</v>
      </c>
      <c r="C24" s="49" t="n">
        <v>0</v>
      </c>
      <c r="D24" s="49" t="n">
        <v>0</v>
      </c>
      <c r="E24" s="49" t="n">
        <v>47.4452354385</v>
      </c>
      <c r="F24" s="10">
        <f>bkrcast_all!F24</f>
        <v/>
      </c>
      <c r="H24" s="11" t="n">
        <v>13</v>
      </c>
      <c r="I24" s="51" t="n">
        <v>4100.143595064397</v>
      </c>
      <c r="J24" s="51" t="n">
        <v>479.9174948011969</v>
      </c>
      <c r="K24" s="51" t="n">
        <v>314.0670706269302</v>
      </c>
      <c r="L24" s="49">
        <f>SUM(I24:K24)</f>
        <v/>
      </c>
      <c r="M24" s="10">
        <f>bkrcast_all!M24</f>
        <v/>
      </c>
      <c r="N24" s="10">
        <f>bkrcast_inbkr!M24</f>
        <v/>
      </c>
      <c r="O24" s="10">
        <f>bkrcast_outbkr!M24</f>
        <v/>
      </c>
      <c r="P24" s="10">
        <f>soundcast!M24</f>
        <v/>
      </c>
      <c r="Q24" s="53">
        <f>F24</f>
        <v/>
      </c>
    </row>
    <row r="25" spans="1:24">
      <c r="A25" t="n">
        <v>14</v>
      </c>
      <c r="B25" s="49" t="n">
        <v>1603.593051197</v>
      </c>
      <c r="C25" s="49" t="n">
        <v>0</v>
      </c>
      <c r="D25" s="49" t="n">
        <v>0</v>
      </c>
      <c r="E25" s="49" t="n">
        <v>1603.593051197</v>
      </c>
      <c r="F25" s="10">
        <f>bkrcast_all!F25</f>
        <v/>
      </c>
      <c r="H25" s="11" t="n">
        <v>14</v>
      </c>
      <c r="I25" s="51" t="n">
        <v>4842.01349488037</v>
      </c>
      <c r="J25" s="51" t="n">
        <v>446.0895559936735</v>
      </c>
      <c r="K25" s="51" t="n">
        <v>321.7729660900467</v>
      </c>
      <c r="L25" s="49">
        <f>SUM(I25:K25)</f>
        <v/>
      </c>
      <c r="M25" s="10">
        <f>bkrcast_all!M25</f>
        <v/>
      </c>
      <c r="N25" s="10">
        <f>bkrcast_inbkr!M25</f>
        <v/>
      </c>
      <c r="O25" s="10">
        <f>bkrcast_outbkr!M25</f>
        <v/>
      </c>
      <c r="P25" s="10">
        <f>soundcast!M25</f>
        <v/>
      </c>
      <c r="Q25" s="53">
        <f>F25</f>
        <v/>
      </c>
    </row>
    <row r="26" spans="1:24">
      <c r="A26" t="n">
        <v>15</v>
      </c>
      <c r="B26" s="49" t="n">
        <v>62.2568391455</v>
      </c>
      <c r="C26" s="49" t="n">
        <v>0</v>
      </c>
      <c r="D26" s="49" t="n">
        <v>0</v>
      </c>
      <c r="E26" s="49" t="n">
        <v>62.2568391455</v>
      </c>
      <c r="F26" s="10">
        <f>bkrcast_all!F26</f>
        <v/>
      </c>
      <c r="H26" s="11" t="n">
        <v>15</v>
      </c>
      <c r="I26" s="51" t="n">
        <v>4705.297170223554</v>
      </c>
      <c r="J26" s="51" t="n">
        <v>469.7334630704724</v>
      </c>
      <c r="K26" s="51" t="n">
        <v>289.4788113751118</v>
      </c>
      <c r="L26" s="49">
        <f>SUM(I26:K26)</f>
        <v/>
      </c>
      <c r="M26" s="10">
        <f>bkrcast_all!M26</f>
        <v/>
      </c>
      <c r="N26" s="10">
        <f>bkrcast_inbkr!M26</f>
        <v/>
      </c>
      <c r="O26" s="10">
        <f>bkrcast_outbkr!M26</f>
        <v/>
      </c>
      <c r="P26" s="10">
        <f>soundcast!M26</f>
        <v/>
      </c>
      <c r="Q26" s="53">
        <f>F26</f>
        <v/>
      </c>
    </row>
    <row r="27" spans="1:24">
      <c r="A27" t="n">
        <v>16</v>
      </c>
      <c r="B27" s="49" t="n">
        <v>641.8463085824</v>
      </c>
      <c r="C27" s="49" t="n">
        <v>0</v>
      </c>
      <c r="D27" s="49" t="n">
        <v>0</v>
      </c>
      <c r="E27" s="49" t="n">
        <v>641.8463085824</v>
      </c>
      <c r="F27" s="10">
        <f>bkrcast_all!F27</f>
        <v/>
      </c>
      <c r="H27" s="11" t="n">
        <v>16</v>
      </c>
      <c r="I27" s="51" t="n">
        <v>3395.525375266999</v>
      </c>
      <c r="J27" s="51" t="n">
        <v>336.2314540166612</v>
      </c>
      <c r="K27" s="51" t="n">
        <v>162.0172097709123</v>
      </c>
      <c r="L27" s="49">
        <f>SUM(I27:K27)</f>
        <v/>
      </c>
      <c r="M27" s="10">
        <f>bkrcast_all!M27</f>
        <v/>
      </c>
      <c r="N27" s="10">
        <f>bkrcast_inbkr!M27</f>
        <v/>
      </c>
      <c r="O27" s="10">
        <f>bkrcast_outbkr!M27</f>
        <v/>
      </c>
      <c r="P27" s="10">
        <f>soundcast!M27</f>
        <v/>
      </c>
      <c r="Q27" s="53">
        <f>F27</f>
        <v/>
      </c>
    </row>
    <row r="28" spans="1:24">
      <c r="A28" t="n">
        <v>17</v>
      </c>
      <c r="B28" s="49" t="n">
        <v>65.9755993965</v>
      </c>
      <c r="C28" s="49" t="n">
        <v>0</v>
      </c>
      <c r="D28" s="49" t="n">
        <v>0</v>
      </c>
      <c r="E28" s="49" t="n">
        <v>65.9755993965</v>
      </c>
      <c r="F28" s="10">
        <f>bkrcast_all!F28</f>
        <v/>
      </c>
      <c r="H28" s="11" t="n">
        <v>17</v>
      </c>
      <c r="I28" s="51" t="n">
        <v>2990.98996730945</v>
      </c>
      <c r="J28" s="51" t="n">
        <v>357.5756911314843</v>
      </c>
      <c r="K28" s="51" t="n">
        <v>223.9455577301035</v>
      </c>
      <c r="L28" s="49">
        <f>SUM(I28:K28)</f>
        <v/>
      </c>
      <c r="M28" s="10">
        <f>bkrcast_all!M28</f>
        <v/>
      </c>
      <c r="N28" s="10">
        <f>bkrcast_inbkr!M28</f>
        <v/>
      </c>
      <c r="O28" s="10">
        <f>bkrcast_outbkr!M28</f>
        <v/>
      </c>
      <c r="P28" s="10">
        <f>soundcast!M28</f>
        <v/>
      </c>
      <c r="Q28" s="53">
        <f>F28</f>
        <v/>
      </c>
    </row>
    <row r="29" spans="1:24">
      <c r="A29" t="n">
        <v>18</v>
      </c>
      <c r="B29" s="49" t="n">
        <v>79.1127528623</v>
      </c>
      <c r="C29" s="49" t="n">
        <v>0</v>
      </c>
      <c r="D29" s="49" t="n">
        <v>0</v>
      </c>
      <c r="E29" s="49" t="n">
        <v>79.1127528623</v>
      </c>
      <c r="F29" s="10">
        <f>bkrcast_all!F29</f>
        <v/>
      </c>
      <c r="H29" s="11" t="n">
        <v>18</v>
      </c>
      <c r="I29" s="51" t="n">
        <v>2921.99295449923</v>
      </c>
      <c r="J29" s="51" t="n">
        <v>278.0234046662871</v>
      </c>
      <c r="K29" s="51" t="n">
        <v>143.9566207936339</v>
      </c>
      <c r="L29" s="49">
        <f>SUM(I29:K29)</f>
        <v/>
      </c>
      <c r="M29" s="10">
        <f>bkrcast_all!M29</f>
        <v/>
      </c>
      <c r="N29" s="10">
        <f>bkrcast_inbkr!M29</f>
        <v/>
      </c>
      <c r="O29" s="10">
        <f>bkrcast_outbkr!M29</f>
        <v/>
      </c>
      <c r="P29" s="10">
        <f>soundcast!M29</f>
        <v/>
      </c>
      <c r="Q29" s="53">
        <f>F29</f>
        <v/>
      </c>
    </row>
    <row r="30" spans="1:24">
      <c r="A30" t="n">
        <v>19</v>
      </c>
      <c r="B30" s="49" t="n">
        <v>264.896623257</v>
      </c>
      <c r="C30" s="49" t="n">
        <v>327.039856179</v>
      </c>
      <c r="D30" s="49" t="n">
        <v>0</v>
      </c>
      <c r="E30" s="49" t="n">
        <v>591.936479436</v>
      </c>
      <c r="F30" s="10">
        <f>bkrcast_all!F30</f>
        <v/>
      </c>
      <c r="H30" s="11" t="n">
        <v>19</v>
      </c>
      <c r="I30" s="51" t="n">
        <v>2589.295564093948</v>
      </c>
      <c r="J30" s="51" t="n">
        <v>194.2353987428156</v>
      </c>
      <c r="K30" s="51" t="n">
        <v>148.7971661386599</v>
      </c>
      <c r="L30" s="49">
        <f>SUM(I30:K30)</f>
        <v/>
      </c>
      <c r="M30" s="10">
        <f>bkrcast_all!M30</f>
        <v/>
      </c>
      <c r="N30" s="10">
        <f>bkrcast_inbkr!M30</f>
        <v/>
      </c>
      <c r="O30" s="10">
        <f>bkrcast_outbkr!M30</f>
        <v/>
      </c>
      <c r="P30" s="10">
        <f>soundcast!M30</f>
        <v/>
      </c>
      <c r="Q30" s="53">
        <f>F30</f>
        <v/>
      </c>
    </row>
    <row r="31" spans="1:24">
      <c r="A31" t="n">
        <v>20</v>
      </c>
      <c r="B31" s="49" t="n">
        <v>58.1735784831</v>
      </c>
      <c r="C31" s="49" t="n">
        <v>0</v>
      </c>
      <c r="D31" s="49" t="n">
        <v>0</v>
      </c>
      <c r="E31" s="49" t="n">
        <v>58.1735784831</v>
      </c>
      <c r="F31" s="10">
        <f>bkrcast_all!F31</f>
        <v/>
      </c>
      <c r="H31" s="11" t="n">
        <v>20</v>
      </c>
      <c r="I31" s="51" t="n">
        <v>1940.485475426387</v>
      </c>
      <c r="J31" s="51" t="n">
        <v>195.0896966337863</v>
      </c>
      <c r="K31" s="51" t="n">
        <v>92.86786084745394</v>
      </c>
      <c r="L31" s="49">
        <f>SUM(I31:K31)</f>
        <v/>
      </c>
      <c r="M31" s="10">
        <f>bkrcast_all!M31</f>
        <v/>
      </c>
      <c r="N31" s="10">
        <f>bkrcast_inbkr!M31</f>
        <v/>
      </c>
      <c r="O31" s="10">
        <f>bkrcast_outbkr!M31</f>
        <v/>
      </c>
      <c r="P31" s="10">
        <f>soundcast!M31</f>
        <v/>
      </c>
      <c r="Q31" s="53">
        <f>F31</f>
        <v/>
      </c>
    </row>
    <row r="32" spans="1:24">
      <c r="A32" t="n">
        <v>21</v>
      </c>
      <c r="B32" s="49" t="n">
        <v>0</v>
      </c>
      <c r="C32" s="49" t="n">
        <v>0</v>
      </c>
      <c r="D32" s="49" t="n">
        <v>0</v>
      </c>
      <c r="E32" s="49" t="n">
        <v>0</v>
      </c>
      <c r="F32" s="10">
        <f>bkrcast_all!F32</f>
        <v/>
      </c>
      <c r="H32" s="11" t="n">
        <v>21</v>
      </c>
      <c r="I32" s="51" t="n">
        <v>1829.904916632424</v>
      </c>
      <c r="J32" s="51" t="n">
        <v>182.4838138705477</v>
      </c>
      <c r="K32" s="51" t="n">
        <v>135.6430484798549</v>
      </c>
      <c r="L32" s="49">
        <f>SUM(I32:K32)</f>
        <v/>
      </c>
      <c r="M32" s="10">
        <f>bkrcast_all!M32</f>
        <v/>
      </c>
      <c r="N32" s="10">
        <f>bkrcast_inbkr!M32</f>
        <v/>
      </c>
      <c r="O32" s="10">
        <f>bkrcast_outbkr!M32</f>
        <v/>
      </c>
      <c r="P32" s="10">
        <f>soundcast!M32</f>
        <v/>
      </c>
      <c r="Q32" s="53">
        <f>F32</f>
        <v/>
      </c>
    </row>
    <row r="33" spans="1:24">
      <c r="A33" t="n">
        <v>22</v>
      </c>
      <c r="B33" s="49" t="n">
        <v>0</v>
      </c>
      <c r="C33" s="49" t="n">
        <v>0</v>
      </c>
      <c r="D33" s="49" t="n">
        <v>0</v>
      </c>
      <c r="E33" s="49" t="n">
        <v>0</v>
      </c>
      <c r="F33" s="10">
        <f>bkrcast_all!F33</f>
        <v/>
      </c>
      <c r="H33" s="11" t="n">
        <v>22</v>
      </c>
      <c r="I33" s="51" t="n">
        <v>1602.646067163982</v>
      </c>
      <c r="J33" s="51" t="n">
        <v>120.75725709171</v>
      </c>
      <c r="K33" s="51" t="n">
        <v>104.1503974081577</v>
      </c>
      <c r="L33" s="49">
        <f>SUM(I33:K33)</f>
        <v/>
      </c>
      <c r="M33" s="10">
        <f>bkrcast_all!M33</f>
        <v/>
      </c>
      <c r="N33" s="10">
        <f>bkrcast_inbkr!M33</f>
        <v/>
      </c>
      <c r="O33" s="10">
        <f>bkrcast_outbkr!M33</f>
        <v/>
      </c>
      <c r="P33" s="10">
        <f>soundcast!M33</f>
        <v/>
      </c>
      <c r="Q33" s="53">
        <f>F33</f>
        <v/>
      </c>
    </row>
    <row r="34" spans="1:24">
      <c r="A34" t="n">
        <v>23</v>
      </c>
      <c r="B34" s="49" t="n">
        <v>0</v>
      </c>
      <c r="C34" s="49" t="n">
        <v>0</v>
      </c>
      <c r="D34" s="49" t="n">
        <v>0</v>
      </c>
      <c r="E34" s="49" t="n">
        <v>0</v>
      </c>
      <c r="F34" s="10">
        <f>bkrcast_all!F34</f>
        <v/>
      </c>
      <c r="H34" s="11" t="n">
        <v>23</v>
      </c>
      <c r="I34" s="51" t="n">
        <v>1868.626769442852</v>
      </c>
      <c r="J34" s="51" t="n">
        <v>194.3488672228972</v>
      </c>
      <c r="K34" s="51" t="n">
        <v>88.33377163051871</v>
      </c>
      <c r="L34" s="49">
        <f>SUM(I34:K34)</f>
        <v/>
      </c>
      <c r="M34" s="10">
        <f>bkrcast_all!M34</f>
        <v/>
      </c>
      <c r="N34" s="10">
        <f>bkrcast_inbkr!M34</f>
        <v/>
      </c>
      <c r="O34" s="10">
        <f>bkrcast_outbkr!M34</f>
        <v/>
      </c>
      <c r="P34" s="10">
        <f>soundcast!M34</f>
        <v/>
      </c>
      <c r="Q34" s="53">
        <f>F34</f>
        <v/>
      </c>
    </row>
    <row r="35" spans="1:24">
      <c r="A35" t="n">
        <v>24</v>
      </c>
      <c r="B35" s="49" t="n">
        <v>1160.0758998369</v>
      </c>
      <c r="C35" s="49" t="n">
        <v>0</v>
      </c>
      <c r="D35" s="49" t="n">
        <v>0</v>
      </c>
      <c r="E35" s="49" t="n">
        <v>1160.0758998369</v>
      </c>
      <c r="F35" s="10">
        <f>bkrcast_all!F35</f>
        <v/>
      </c>
      <c r="H35" s="11" t="n">
        <v>24</v>
      </c>
      <c r="I35" s="51" t="n">
        <v>1163.91171938055</v>
      </c>
      <c r="J35" s="51" t="n">
        <v>90.80618406507936</v>
      </c>
      <c r="K35" s="51" t="n">
        <v>101.0577326159368</v>
      </c>
      <c r="L35" s="49">
        <f>SUM(I35:K35)</f>
        <v/>
      </c>
      <c r="M35" s="10">
        <f>bkrcast_all!M35</f>
        <v/>
      </c>
      <c r="N35" s="10">
        <f>bkrcast_inbkr!M35</f>
        <v/>
      </c>
      <c r="O35" s="10">
        <f>bkrcast_outbkr!M35</f>
        <v/>
      </c>
      <c r="P35" s="10">
        <f>soundcast!M35</f>
        <v/>
      </c>
      <c r="Q35" s="53">
        <f>F35</f>
        <v/>
      </c>
    </row>
    <row r="36" spans="1:24">
      <c r="A36" t="n">
        <v>25</v>
      </c>
      <c r="B36" s="49" t="n">
        <v>0</v>
      </c>
      <c r="C36" s="49" t="n">
        <v>0</v>
      </c>
      <c r="D36" s="49" t="n">
        <v>0</v>
      </c>
      <c r="E36" s="49" t="n">
        <v>0</v>
      </c>
      <c r="F36" s="10">
        <f>bkrcast_all!F36</f>
        <v/>
      </c>
      <c r="H36" s="11" t="n">
        <v>25</v>
      </c>
      <c r="I36" s="51" t="n">
        <v>991.3706133242522</v>
      </c>
      <c r="J36" s="51" t="n">
        <v>104.185948689469</v>
      </c>
      <c r="K36" s="51" t="n">
        <v>32.98149855343315</v>
      </c>
      <c r="L36" s="49">
        <f>SUM(I36:K36)</f>
        <v/>
      </c>
      <c r="M36" s="10">
        <f>bkrcast_all!M36</f>
        <v/>
      </c>
      <c r="N36" s="10">
        <f>bkrcast_inbkr!M36</f>
        <v/>
      </c>
      <c r="O36" s="10">
        <f>bkrcast_outbkr!M36</f>
        <v/>
      </c>
      <c r="P36" s="10">
        <f>soundcast!M36</f>
        <v/>
      </c>
      <c r="Q36" s="53">
        <f>F36</f>
        <v/>
      </c>
    </row>
    <row r="37" spans="1:24">
      <c r="A37" t="n">
        <v>26</v>
      </c>
      <c r="B37" s="49" t="n">
        <v>181.889208126</v>
      </c>
      <c r="C37" s="49" t="n">
        <v>0</v>
      </c>
      <c r="D37" s="49" t="n">
        <v>0</v>
      </c>
      <c r="E37" s="49" t="n">
        <v>181.889208126</v>
      </c>
      <c r="F37" s="10">
        <f>bkrcast_all!F37</f>
        <v/>
      </c>
      <c r="H37" s="11" t="n">
        <v>26</v>
      </c>
      <c r="I37" s="51" t="n">
        <v>918.6555831170722</v>
      </c>
      <c r="J37" s="51" t="n">
        <v>103.7449222434366</v>
      </c>
      <c r="K37" s="51" t="n">
        <v>61.03270393932407</v>
      </c>
      <c r="L37" s="49">
        <f>SUM(I37:K37)</f>
        <v/>
      </c>
      <c r="M37" s="10">
        <f>bkrcast_all!M37</f>
        <v/>
      </c>
      <c r="N37" s="10">
        <f>bkrcast_inbkr!M37</f>
        <v/>
      </c>
      <c r="O37" s="10">
        <f>bkrcast_outbkr!M37</f>
        <v/>
      </c>
      <c r="P37" s="10">
        <f>soundcast!M37</f>
        <v/>
      </c>
      <c r="Q37" s="53">
        <f>F37</f>
        <v/>
      </c>
    </row>
    <row r="38" spans="1:24">
      <c r="A38" t="n">
        <v>27</v>
      </c>
      <c r="B38" s="49" t="n">
        <v>0</v>
      </c>
      <c r="C38" s="49" t="n">
        <v>0</v>
      </c>
      <c r="D38" s="49" t="n">
        <v>0</v>
      </c>
      <c r="E38" s="49" t="n">
        <v>0</v>
      </c>
      <c r="F38" s="10">
        <f>bkrcast_all!F38</f>
        <v/>
      </c>
      <c r="H38" s="11" t="n">
        <v>27</v>
      </c>
      <c r="I38" s="51" t="n">
        <v>957.4353460007369</v>
      </c>
      <c r="J38" s="51" t="n">
        <v>58.59328999891341</v>
      </c>
      <c r="K38" s="51" t="n">
        <v>45.7264389265212</v>
      </c>
      <c r="L38" s="49">
        <f>SUM(I38:K38)</f>
        <v/>
      </c>
      <c r="M38" s="10">
        <f>bkrcast_all!M38</f>
        <v/>
      </c>
      <c r="N38" s="10">
        <f>bkrcast_inbkr!M38</f>
        <v/>
      </c>
      <c r="O38" s="10">
        <f>bkrcast_outbkr!M38</f>
        <v/>
      </c>
      <c r="P38" s="10">
        <f>soundcast!M38</f>
        <v/>
      </c>
      <c r="Q38" s="53">
        <f>F38</f>
        <v/>
      </c>
    </row>
    <row r="39" spans="1:24">
      <c r="A39" t="n">
        <v>28</v>
      </c>
      <c r="B39" s="49" t="n">
        <v>83.3978248895</v>
      </c>
      <c r="C39" s="49" t="n">
        <v>0</v>
      </c>
      <c r="D39" s="49" t="n">
        <v>0</v>
      </c>
      <c r="E39" s="49" t="n">
        <v>83.3978248895</v>
      </c>
      <c r="F39" s="10">
        <f>bkrcast_all!F39</f>
        <v/>
      </c>
      <c r="H39" s="11" t="n">
        <v>28</v>
      </c>
      <c r="I39" s="51" t="n">
        <v>659.4412795866282</v>
      </c>
      <c r="J39" s="51" t="n">
        <v>53.88676809648077</v>
      </c>
      <c r="K39" s="51" t="n">
        <v>36.96845936252678</v>
      </c>
      <c r="L39" s="49">
        <f>SUM(I39:K39)</f>
        <v/>
      </c>
      <c r="M39" s="10">
        <f>bkrcast_all!M39</f>
        <v/>
      </c>
      <c r="N39" s="10">
        <f>bkrcast_inbkr!M39</f>
        <v/>
      </c>
      <c r="O39" s="10">
        <f>bkrcast_outbkr!M39</f>
        <v/>
      </c>
      <c r="P39" s="10">
        <f>soundcast!M39</f>
        <v/>
      </c>
      <c r="Q39" s="53">
        <f>F39</f>
        <v/>
      </c>
    </row>
    <row r="40" spans="1:24">
      <c r="A40" t="n">
        <v>29</v>
      </c>
      <c r="B40" s="49" t="n">
        <v>0</v>
      </c>
      <c r="C40" s="49" t="n">
        <v>0</v>
      </c>
      <c r="D40" s="49" t="n">
        <v>0</v>
      </c>
      <c r="E40" s="49" t="n">
        <v>0</v>
      </c>
      <c r="F40" s="10">
        <f>bkrcast_all!F40</f>
        <v/>
      </c>
      <c r="H40" s="11" t="n">
        <v>29</v>
      </c>
      <c r="I40" s="51" t="n">
        <v>604.3935550493873</v>
      </c>
      <c r="J40" s="51" t="n">
        <v>81.18119064495393</v>
      </c>
      <c r="K40" s="51" t="n">
        <v>22.37328657241655</v>
      </c>
      <c r="L40" s="49">
        <f>SUM(I40:K40)</f>
        <v/>
      </c>
      <c r="M40" s="10">
        <f>bkrcast_all!M40</f>
        <v/>
      </c>
      <c r="N40" s="10">
        <f>bkrcast_inbkr!M40</f>
        <v/>
      </c>
      <c r="O40" s="10">
        <f>bkrcast_outbkr!M40</f>
        <v/>
      </c>
      <c r="P40" s="10">
        <f>soundcast!M40</f>
        <v/>
      </c>
      <c r="Q40" s="53">
        <f>F40</f>
        <v/>
      </c>
    </row>
    <row r="41" spans="1:24">
      <c r="A41" t="n">
        <v>30</v>
      </c>
      <c r="B41" s="49" t="n">
        <v>0</v>
      </c>
      <c r="C41" s="49" t="n">
        <v>0</v>
      </c>
      <c r="D41" s="49" t="n">
        <v>0</v>
      </c>
      <c r="E41" s="49" t="n">
        <v>0</v>
      </c>
      <c r="F41" s="10">
        <f>bkrcast_all!F41</f>
        <v/>
      </c>
      <c r="H41" s="11" t="n">
        <v>30</v>
      </c>
      <c r="I41" s="51" t="n">
        <v>448.9938149699228</v>
      </c>
      <c r="J41" s="51" t="n">
        <v>41.27673555885545</v>
      </c>
      <c r="K41" s="51" t="n">
        <v>19.24429123004633</v>
      </c>
      <c r="L41" s="49">
        <f>SUM(I41:K41)</f>
        <v/>
      </c>
      <c r="M41" s="10">
        <f>bkrcast_all!M41</f>
        <v/>
      </c>
      <c r="N41" s="10">
        <f>bkrcast_inbkr!M41</f>
        <v/>
      </c>
      <c r="O41" s="10">
        <f>bkrcast_outbkr!M41</f>
        <v/>
      </c>
      <c r="P41" s="10">
        <f>soundcast!M41</f>
        <v/>
      </c>
      <c r="Q41" s="53">
        <f>F41</f>
        <v/>
      </c>
    </row>
    <row r="42" spans="1:24">
      <c r="A42" t="n">
        <v>31</v>
      </c>
      <c r="B42" s="49" t="n">
        <v>275.309933567</v>
      </c>
      <c r="C42" s="49" t="n">
        <v>0</v>
      </c>
      <c r="D42" s="49" t="n">
        <v>0</v>
      </c>
      <c r="E42" s="49" t="n">
        <v>275.309933567</v>
      </c>
      <c r="F42" s="10">
        <f>bkrcast_all!F42</f>
        <v/>
      </c>
      <c r="H42" s="11" t="n">
        <v>31</v>
      </c>
      <c r="I42" s="51" t="n">
        <v>588.2447771632089</v>
      </c>
      <c r="J42" s="51" t="n">
        <v>38.28347574197535</v>
      </c>
      <c r="K42" s="51" t="n">
        <v>28.03848021390365</v>
      </c>
      <c r="L42" s="49">
        <f>SUM(I42:K42)</f>
        <v/>
      </c>
      <c r="M42" s="10">
        <f>bkrcast_all!M42</f>
        <v/>
      </c>
      <c r="N42" s="10">
        <f>bkrcast_inbkr!M42</f>
        <v/>
      </c>
      <c r="O42" s="10">
        <f>bkrcast_outbkr!M42</f>
        <v/>
      </c>
      <c r="P42" s="10">
        <f>soundcast!M42</f>
        <v/>
      </c>
      <c r="Q42" s="53">
        <f>F42</f>
        <v/>
      </c>
    </row>
    <row r="43" spans="1:24">
      <c r="A43" t="n">
        <v>32</v>
      </c>
      <c r="B43" s="49" t="n">
        <v>0</v>
      </c>
      <c r="C43" s="49" t="n">
        <v>0</v>
      </c>
      <c r="D43" s="49" t="n">
        <v>0</v>
      </c>
      <c r="E43" s="49" t="n">
        <v>0</v>
      </c>
      <c r="F43" s="10">
        <f>bkrcast_all!F43</f>
        <v/>
      </c>
      <c r="H43" s="11" t="n">
        <v>32</v>
      </c>
      <c r="I43" s="51" t="n">
        <v>495.6251488499643</v>
      </c>
      <c r="J43" s="51" t="n">
        <v>38.83207560744268</v>
      </c>
      <c r="K43" s="51" t="n">
        <v>12.75617477760335</v>
      </c>
      <c r="L43" s="49">
        <f>SUM(I43:K43)</f>
        <v/>
      </c>
      <c r="M43" s="10">
        <f>bkrcast_all!M43</f>
        <v/>
      </c>
      <c r="N43" s="10">
        <f>bkrcast_inbkr!M43</f>
        <v/>
      </c>
      <c r="O43" s="10">
        <f>bkrcast_outbkr!M43</f>
        <v/>
      </c>
      <c r="P43" s="10">
        <f>soundcast!M43</f>
        <v/>
      </c>
      <c r="Q43" s="53">
        <f>F43</f>
        <v/>
      </c>
    </row>
    <row r="44" spans="1:24">
      <c r="A44" t="n">
        <v>33</v>
      </c>
      <c r="B44" s="49" t="n">
        <v>0</v>
      </c>
      <c r="C44" s="49" t="n">
        <v>0</v>
      </c>
      <c r="D44" s="49" t="n">
        <v>0</v>
      </c>
      <c r="E44" s="49" t="n">
        <v>0</v>
      </c>
      <c r="F44" s="10">
        <f>bkrcast_all!F44</f>
        <v/>
      </c>
      <c r="H44" s="11" t="n">
        <v>33</v>
      </c>
      <c r="I44" s="51" t="n">
        <v>613.2138853591636</v>
      </c>
      <c r="J44" s="51" t="n">
        <v>97.72418032043093</v>
      </c>
      <c r="K44" s="51" t="n">
        <v>6.9972972972973</v>
      </c>
      <c r="L44" s="49">
        <f>SUM(I44:K44)</f>
        <v/>
      </c>
      <c r="M44" s="10">
        <f>bkrcast_all!M44</f>
        <v/>
      </c>
      <c r="N44" s="10">
        <f>bkrcast_inbkr!M44</f>
        <v/>
      </c>
      <c r="O44" s="10">
        <f>bkrcast_outbkr!M44</f>
        <v/>
      </c>
      <c r="P44" s="10">
        <f>soundcast!M44</f>
        <v/>
      </c>
      <c r="Q44" s="53">
        <f>F44</f>
        <v/>
      </c>
    </row>
    <row r="45" spans="1:24">
      <c r="A45" t="n">
        <v>34</v>
      </c>
      <c r="B45" s="49" t="n">
        <v>944.880646246</v>
      </c>
      <c r="C45" s="49" t="n">
        <v>0</v>
      </c>
      <c r="D45" s="49" t="n">
        <v>0</v>
      </c>
      <c r="E45" s="49" t="n">
        <v>944.880646246</v>
      </c>
      <c r="F45" s="10">
        <f>bkrcast_all!F45</f>
        <v/>
      </c>
      <c r="H45" s="11" t="n">
        <v>34</v>
      </c>
      <c r="I45" s="51" t="n">
        <v>426.7726117087244</v>
      </c>
      <c r="J45" s="51" t="n">
        <v>40.23708355051863</v>
      </c>
      <c r="K45" s="51" t="n">
        <v>1</v>
      </c>
      <c r="L45" s="49">
        <f>SUM(I45:K45)</f>
        <v/>
      </c>
      <c r="M45" s="10">
        <f>bkrcast_all!M45</f>
        <v/>
      </c>
      <c r="N45" s="10">
        <f>bkrcast_inbkr!M45</f>
        <v/>
      </c>
      <c r="O45" s="10">
        <f>bkrcast_outbkr!M45</f>
        <v/>
      </c>
      <c r="P45" s="10">
        <f>soundcast!M45</f>
        <v/>
      </c>
      <c r="Q45" s="53">
        <f>F45</f>
        <v/>
      </c>
    </row>
    <row r="46" spans="1:24">
      <c r="A46" t="n">
        <v>35</v>
      </c>
      <c r="B46" s="49" t="n">
        <v>0</v>
      </c>
      <c r="C46" s="49" t="n">
        <v>0</v>
      </c>
      <c r="D46" s="49" t="n">
        <v>0</v>
      </c>
      <c r="E46" s="49" t="n">
        <v>0</v>
      </c>
      <c r="F46" s="10">
        <f>bkrcast_all!F46</f>
        <v/>
      </c>
      <c r="H46" s="11" t="n">
        <v>35</v>
      </c>
      <c r="I46" s="51" t="n">
        <v>367.8561014559749</v>
      </c>
      <c r="J46" s="51" t="n">
        <v>35.70649139152791</v>
      </c>
      <c r="K46" s="51" t="n">
        <v>23.78430208759722</v>
      </c>
      <c r="L46" s="49">
        <f>SUM(I46:K46)</f>
        <v/>
      </c>
      <c r="M46" s="10">
        <f>bkrcast_all!M46</f>
        <v/>
      </c>
      <c r="N46" s="10">
        <f>bkrcast_inbkr!M46</f>
        <v/>
      </c>
      <c r="O46" s="10">
        <f>bkrcast_outbkr!M46</f>
        <v/>
      </c>
      <c r="P46" s="10">
        <f>soundcast!M46</f>
        <v/>
      </c>
      <c r="Q46" s="53">
        <f>F46</f>
        <v/>
      </c>
    </row>
    <row r="47" spans="1:24">
      <c r="A47" t="n">
        <v>36</v>
      </c>
      <c r="B47" s="49" t="n">
        <v>0</v>
      </c>
      <c r="C47" s="49" t="n">
        <v>0</v>
      </c>
      <c r="D47" s="49" t="n">
        <v>0</v>
      </c>
      <c r="E47" s="49" t="n">
        <v>0</v>
      </c>
      <c r="F47" s="10">
        <f>bkrcast_all!F47</f>
        <v/>
      </c>
      <c r="H47" s="11" t="n">
        <v>36</v>
      </c>
      <c r="I47" s="51" t="n">
        <v>455.9116346212426</v>
      </c>
      <c r="J47" s="51" t="n">
        <v>61.27342924339556</v>
      </c>
      <c r="K47" s="51" t="n">
        <v>11.49770114942529</v>
      </c>
      <c r="L47" s="49">
        <f>SUM(I47:K47)</f>
        <v/>
      </c>
      <c r="M47" s="10">
        <f>bkrcast_all!M47</f>
        <v/>
      </c>
      <c r="N47" s="10">
        <f>bkrcast_inbkr!M47</f>
        <v/>
      </c>
      <c r="O47" s="10">
        <f>bkrcast_outbkr!M47</f>
        <v/>
      </c>
      <c r="P47" s="10">
        <f>soundcast!M47</f>
        <v/>
      </c>
      <c r="Q47" s="53">
        <f>F47</f>
        <v/>
      </c>
    </row>
    <row r="48" spans="1:24">
      <c r="A48" t="n">
        <v>37</v>
      </c>
      <c r="B48" s="49" t="n">
        <v>0</v>
      </c>
      <c r="C48" s="49" t="n">
        <v>0</v>
      </c>
      <c r="D48" s="49" t="n">
        <v>0</v>
      </c>
      <c r="E48" s="49" t="n">
        <v>0</v>
      </c>
      <c r="F48" s="10">
        <f>bkrcast_all!F48</f>
        <v/>
      </c>
      <c r="H48" s="11" t="n">
        <v>37</v>
      </c>
      <c r="I48" s="51" t="n">
        <v>317.5283250052515</v>
      </c>
      <c r="J48" s="51" t="n">
        <v>20.24598140888469</v>
      </c>
      <c r="K48" s="51" t="n">
        <v>23.55635227063797</v>
      </c>
      <c r="L48" s="49">
        <f>SUM(I48:K48)</f>
        <v/>
      </c>
      <c r="M48" s="10">
        <f>bkrcast_all!M48</f>
        <v/>
      </c>
      <c r="N48" s="10">
        <f>bkrcast_inbkr!M48</f>
        <v/>
      </c>
      <c r="O48" s="10">
        <f>bkrcast_outbkr!M48</f>
        <v/>
      </c>
      <c r="P48" s="10">
        <f>soundcast!M48</f>
        <v/>
      </c>
      <c r="Q48" s="53">
        <f>F48</f>
        <v/>
      </c>
    </row>
    <row r="49" spans="1:24">
      <c r="A49" t="n">
        <v>38</v>
      </c>
      <c r="B49" s="49" t="n">
        <v>0</v>
      </c>
      <c r="C49" s="49" t="n">
        <v>0</v>
      </c>
      <c r="D49" s="49" t="n">
        <v>0</v>
      </c>
      <c r="E49" s="49" t="n">
        <v>0</v>
      </c>
      <c r="F49" s="10">
        <f>bkrcast_all!F49</f>
        <v/>
      </c>
      <c r="H49" s="11" t="n">
        <v>38</v>
      </c>
      <c r="I49" s="51" t="n">
        <v>384.7059598066256</v>
      </c>
      <c r="J49" s="51" t="n">
        <v>12.98873277131005</v>
      </c>
      <c r="K49" s="51" t="n">
        <v>0.5</v>
      </c>
      <c r="L49" s="49">
        <f>SUM(I49:K49)</f>
        <v/>
      </c>
      <c r="M49" s="10">
        <f>bkrcast_all!M49</f>
        <v/>
      </c>
      <c r="N49" s="10">
        <f>bkrcast_inbkr!M49</f>
        <v/>
      </c>
      <c r="O49" s="10">
        <f>bkrcast_outbkr!M49</f>
        <v/>
      </c>
      <c r="P49" s="10">
        <f>soundcast!M49</f>
        <v/>
      </c>
      <c r="Q49" s="53">
        <f>F49</f>
        <v/>
      </c>
    </row>
    <row r="50" spans="1:24">
      <c r="A50" t="n">
        <v>39</v>
      </c>
      <c r="B50" s="49" t="n">
        <v>0</v>
      </c>
      <c r="C50" s="49" t="n">
        <v>0</v>
      </c>
      <c r="D50" s="49" t="n">
        <v>0</v>
      </c>
      <c r="E50" s="49" t="n">
        <v>0</v>
      </c>
      <c r="F50" s="10">
        <f>bkrcast_all!F50</f>
        <v/>
      </c>
      <c r="H50" s="11" t="n">
        <v>39</v>
      </c>
      <c r="I50" s="51" t="n">
        <v>315.3189970742433</v>
      </c>
      <c r="J50" s="51" t="n">
        <v>22.73852506885749</v>
      </c>
      <c r="K50" s="51" t="n">
        <v>15.84198717948718</v>
      </c>
      <c r="L50" s="49">
        <f>SUM(I50:K50)</f>
        <v/>
      </c>
      <c r="M50" s="10">
        <f>bkrcast_all!M50</f>
        <v/>
      </c>
      <c r="N50" s="10">
        <f>bkrcast_inbkr!M50</f>
        <v/>
      </c>
      <c r="O50" s="10">
        <f>bkrcast_outbkr!M50</f>
        <v/>
      </c>
      <c r="P50" s="10">
        <f>soundcast!M50</f>
        <v/>
      </c>
      <c r="Q50" s="53">
        <f>F50</f>
        <v/>
      </c>
    </row>
    <row r="51" spans="1:24">
      <c r="A51" t="n">
        <v>40</v>
      </c>
      <c r="B51" s="49" t="n">
        <v>0</v>
      </c>
      <c r="C51" s="49" t="n">
        <v>0</v>
      </c>
      <c r="D51" s="49" t="n">
        <v>0</v>
      </c>
      <c r="E51" s="49" t="n">
        <v>0</v>
      </c>
      <c r="F51" s="10">
        <f>bkrcast_all!F51</f>
        <v/>
      </c>
      <c r="H51" s="11" t="n">
        <v>40</v>
      </c>
      <c r="I51" s="51" t="n">
        <v>160.0120375640885</v>
      </c>
      <c r="J51" s="51" t="n">
        <v>33.47457388811785</v>
      </c>
      <c r="K51" s="51" t="n">
        <v>7.49930825121927</v>
      </c>
      <c r="L51" s="49">
        <f>SUM(I51:K51)</f>
        <v/>
      </c>
      <c r="M51" s="10">
        <f>bkrcast_all!M51</f>
        <v/>
      </c>
      <c r="N51" s="10">
        <f>bkrcast_inbkr!M51</f>
        <v/>
      </c>
      <c r="O51" s="10">
        <f>bkrcast_outbkr!M51</f>
        <v/>
      </c>
      <c r="P51" s="10">
        <f>soundcast!M51</f>
        <v/>
      </c>
      <c r="Q51" s="53">
        <f>F51</f>
        <v/>
      </c>
    </row>
    <row r="52" spans="1:24">
      <c r="A52" t="n">
        <v>41</v>
      </c>
      <c r="B52" s="49" t="n">
        <v>0</v>
      </c>
      <c r="C52" s="49" t="n">
        <v>0</v>
      </c>
      <c r="D52" s="49" t="n">
        <v>0</v>
      </c>
      <c r="E52" s="49" t="n">
        <v>0</v>
      </c>
      <c r="F52" s="10">
        <f>bkrcast_all!F52</f>
        <v/>
      </c>
      <c r="H52" s="11" t="n">
        <v>41</v>
      </c>
      <c r="I52" s="51" t="n">
        <v>272.6521145066246</v>
      </c>
      <c r="J52" s="51" t="n">
        <v>42.72791208791206</v>
      </c>
      <c r="K52" s="51" t="n">
        <v>12.263986013986</v>
      </c>
      <c r="L52" s="49">
        <f>SUM(I52:K52)</f>
        <v/>
      </c>
      <c r="M52" s="10">
        <f>bkrcast_all!M52</f>
        <v/>
      </c>
      <c r="N52" s="10">
        <f>bkrcast_inbkr!M52</f>
        <v/>
      </c>
      <c r="O52" s="10">
        <f>bkrcast_outbkr!M52</f>
        <v/>
      </c>
      <c r="P52" s="10">
        <f>soundcast!M52</f>
        <v/>
      </c>
      <c r="Q52" s="53">
        <f>F52</f>
        <v/>
      </c>
    </row>
    <row r="53" spans="1:24">
      <c r="A53" t="n">
        <v>42</v>
      </c>
      <c r="B53" s="49" t="n">
        <v>0</v>
      </c>
      <c r="C53" s="49" t="n">
        <v>0</v>
      </c>
      <c r="D53" s="49" t="n">
        <v>0</v>
      </c>
      <c r="E53" s="49" t="n">
        <v>0</v>
      </c>
      <c r="F53" s="10">
        <f>bkrcast_all!F53</f>
        <v/>
      </c>
      <c r="H53" s="11" t="n">
        <v>42</v>
      </c>
      <c r="I53" s="51" t="n">
        <v>125.25853852306</v>
      </c>
      <c r="J53" s="51" t="n">
        <v>1.75</v>
      </c>
      <c r="K53" s="51" t="n">
        <v>14.73524925822054</v>
      </c>
      <c r="L53" s="49">
        <f>SUM(I53:K53)</f>
        <v/>
      </c>
      <c r="M53" s="10">
        <f>bkrcast_all!M53</f>
        <v/>
      </c>
      <c r="N53" s="10">
        <f>bkrcast_inbkr!M53</f>
        <v/>
      </c>
      <c r="O53" s="10">
        <f>bkrcast_outbkr!M53</f>
        <v/>
      </c>
      <c r="P53" s="10">
        <f>soundcast!M53</f>
        <v/>
      </c>
      <c r="Q53" s="53">
        <f>F53</f>
        <v/>
      </c>
    </row>
    <row r="54" spans="1:24">
      <c r="A54" t="n">
        <v>43</v>
      </c>
      <c r="B54" s="49" t="n">
        <v>520.538957349</v>
      </c>
      <c r="C54" s="49" t="n">
        <v>0</v>
      </c>
      <c r="D54" s="49" t="n">
        <v>0</v>
      </c>
      <c r="E54" s="49" t="n">
        <v>520.538957349</v>
      </c>
      <c r="F54" s="10">
        <f>bkrcast_all!F54</f>
        <v/>
      </c>
      <c r="H54" s="11" t="n">
        <v>43</v>
      </c>
      <c r="I54" s="51" t="n">
        <v>213.414854803002</v>
      </c>
      <c r="J54" s="51" t="n">
        <v>10.49747993457339</v>
      </c>
      <c r="K54" s="51" t="n">
        <v>12.24336870026525</v>
      </c>
      <c r="L54" s="49">
        <f>SUM(I54:K54)</f>
        <v/>
      </c>
      <c r="M54" s="10">
        <f>bkrcast_all!M54</f>
        <v/>
      </c>
      <c r="N54" s="10">
        <f>bkrcast_inbkr!M54</f>
        <v/>
      </c>
      <c r="O54" s="10">
        <f>bkrcast_outbkr!M54</f>
        <v/>
      </c>
      <c r="P54" s="10">
        <f>soundcast!M54</f>
        <v/>
      </c>
      <c r="Q54" s="53">
        <f>F54</f>
        <v/>
      </c>
    </row>
    <row r="55" spans="1:24">
      <c r="A55" t="n">
        <v>44</v>
      </c>
      <c r="B55" s="49" t="n">
        <v>0</v>
      </c>
      <c r="C55" s="49" t="n">
        <v>0</v>
      </c>
      <c r="D55" s="49" t="n">
        <v>0</v>
      </c>
      <c r="E55" s="49" t="n">
        <v>0</v>
      </c>
      <c r="F55" s="10">
        <f>bkrcast_all!F55</f>
        <v/>
      </c>
      <c r="H55" s="11" t="n">
        <v>44</v>
      </c>
      <c r="I55" s="51" t="n">
        <v>123.0418071572944</v>
      </c>
      <c r="J55" s="51" t="n">
        <v>1</v>
      </c>
      <c r="K55" s="51" t="n">
        <v>1.25</v>
      </c>
      <c r="L55" s="49">
        <f>SUM(I55:K55)</f>
        <v/>
      </c>
      <c r="M55" s="10">
        <f>bkrcast_all!M55</f>
        <v/>
      </c>
      <c r="N55" s="10">
        <f>bkrcast_inbkr!M55</f>
        <v/>
      </c>
      <c r="O55" s="10">
        <f>bkrcast_outbkr!M55</f>
        <v/>
      </c>
      <c r="P55" s="10">
        <f>soundcast!M55</f>
        <v/>
      </c>
      <c r="Q55" s="53">
        <f>F55</f>
        <v/>
      </c>
    </row>
    <row r="56" spans="1:24">
      <c r="A56" t="n">
        <v>45</v>
      </c>
      <c r="B56" s="49" t="n">
        <v>0</v>
      </c>
      <c r="C56" s="49" t="n">
        <v>0</v>
      </c>
      <c r="D56" s="49" t="n">
        <v>0</v>
      </c>
      <c r="E56" s="49" t="n">
        <v>0</v>
      </c>
      <c r="F56" s="10">
        <f>bkrcast_all!F56</f>
        <v/>
      </c>
      <c r="H56" s="11" t="n">
        <v>45</v>
      </c>
      <c r="I56" s="51" t="n">
        <v>136.7126541949685</v>
      </c>
      <c r="J56" s="51" t="n">
        <v>0</v>
      </c>
      <c r="K56" s="51" t="n">
        <v>0</v>
      </c>
      <c r="L56" s="49">
        <f>SUM(I56:K56)</f>
        <v/>
      </c>
      <c r="M56" s="10">
        <f>bkrcast_all!M56</f>
        <v/>
      </c>
      <c r="N56" s="10">
        <f>bkrcast_inbkr!M56</f>
        <v/>
      </c>
      <c r="O56" s="10">
        <f>bkrcast_outbkr!M56</f>
        <v/>
      </c>
      <c r="P56" s="10">
        <f>soundcast!M56</f>
        <v/>
      </c>
      <c r="Q56" s="53">
        <f>F56</f>
        <v/>
      </c>
    </row>
    <row r="57" spans="1:24">
      <c r="A57" t="n">
        <v>46</v>
      </c>
      <c r="B57" s="49" t="n">
        <v>0</v>
      </c>
      <c r="C57" s="49" t="n">
        <v>0</v>
      </c>
      <c r="D57" s="49" t="n">
        <v>0</v>
      </c>
      <c r="E57" s="49" t="n">
        <v>0</v>
      </c>
      <c r="F57" s="10">
        <f>bkrcast_all!F57</f>
        <v/>
      </c>
      <c r="H57" s="11" t="n">
        <v>46</v>
      </c>
      <c r="I57" s="51" t="n">
        <v>170.3787044991768</v>
      </c>
      <c r="J57" s="51" t="n">
        <v>6.99926524614254</v>
      </c>
      <c r="K57" s="51" t="n">
        <v>0.25</v>
      </c>
      <c r="L57" s="49">
        <f>SUM(I57:K57)</f>
        <v/>
      </c>
      <c r="M57" s="10">
        <f>bkrcast_all!M57</f>
        <v/>
      </c>
      <c r="N57" s="10">
        <f>bkrcast_inbkr!M57</f>
        <v/>
      </c>
      <c r="O57" s="10">
        <f>bkrcast_outbkr!M57</f>
        <v/>
      </c>
      <c r="P57" s="10">
        <f>soundcast!M57</f>
        <v/>
      </c>
      <c r="Q57" s="53">
        <f>F57</f>
        <v/>
      </c>
    </row>
    <row r="58" spans="1:24">
      <c r="A58" t="n">
        <v>47</v>
      </c>
      <c r="B58" s="49" t="n">
        <v>0</v>
      </c>
      <c r="C58" s="49" t="n">
        <v>0</v>
      </c>
      <c r="D58" s="49" t="n">
        <v>0</v>
      </c>
      <c r="E58" s="49" t="n">
        <v>0</v>
      </c>
      <c r="F58" s="10">
        <f>bkrcast_all!F58</f>
        <v/>
      </c>
      <c r="H58" s="11" t="n">
        <v>47</v>
      </c>
      <c r="I58" s="51" t="n">
        <v>70.94892013663629</v>
      </c>
      <c r="J58" s="51" t="n">
        <v>0.75</v>
      </c>
      <c r="K58" s="51" t="n">
        <v>0.25</v>
      </c>
      <c r="L58" s="49">
        <f>SUM(I58:K58)</f>
        <v/>
      </c>
      <c r="M58" s="10">
        <f>bkrcast_all!M58</f>
        <v/>
      </c>
      <c r="N58" s="10">
        <f>bkrcast_inbkr!M58</f>
        <v/>
      </c>
      <c r="O58" s="10">
        <f>bkrcast_outbkr!M58</f>
        <v/>
      </c>
      <c r="P58" s="10">
        <f>soundcast!M58</f>
        <v/>
      </c>
      <c r="Q58" s="53">
        <f>F58</f>
        <v/>
      </c>
    </row>
    <row r="59" spans="1:24">
      <c r="A59" t="n">
        <v>48</v>
      </c>
      <c r="B59" s="49" t="n">
        <v>0</v>
      </c>
      <c r="C59" s="49" t="n">
        <v>0</v>
      </c>
      <c r="D59" s="49" t="n">
        <v>0</v>
      </c>
      <c r="E59" s="49" t="n">
        <v>0</v>
      </c>
      <c r="F59" s="10">
        <f>bkrcast_all!F59</f>
        <v/>
      </c>
      <c r="H59" s="11" t="n">
        <v>48</v>
      </c>
      <c r="I59" s="51" t="n">
        <v>88.70225664296812</v>
      </c>
      <c r="J59" s="51" t="n">
        <v>0.75</v>
      </c>
      <c r="K59" s="51" t="n">
        <v>0</v>
      </c>
      <c r="L59" s="49">
        <f>SUM(I59:K59)</f>
        <v/>
      </c>
      <c r="M59" s="10">
        <f>bkrcast_all!M59</f>
        <v/>
      </c>
      <c r="N59" s="10">
        <f>bkrcast_inbkr!M59</f>
        <v/>
      </c>
      <c r="O59" s="10">
        <f>bkrcast_outbkr!M59</f>
        <v/>
      </c>
      <c r="P59" s="10">
        <f>soundcast!M59</f>
        <v/>
      </c>
      <c r="Q59" s="53">
        <f>F59</f>
        <v/>
      </c>
    </row>
    <row r="60" spans="1:24">
      <c r="A60" t="n">
        <v>49</v>
      </c>
      <c r="B60" s="49" t="n">
        <v>0</v>
      </c>
      <c r="C60" s="49" t="n">
        <v>0</v>
      </c>
      <c r="D60" s="49" t="n">
        <v>0</v>
      </c>
      <c r="E60" s="49" t="n">
        <v>0</v>
      </c>
      <c r="F60" s="10">
        <f>bkrcast_all!F60</f>
        <v/>
      </c>
      <c r="H60" s="11" t="n">
        <v>49</v>
      </c>
      <c r="I60" s="51" t="n">
        <v>112.0272468235067</v>
      </c>
      <c r="J60" s="51" t="n">
        <v>10.24825783972125</v>
      </c>
      <c r="K60" s="51" t="n">
        <v>0</v>
      </c>
      <c r="L60" s="49">
        <f>SUM(I60:K60)</f>
        <v/>
      </c>
      <c r="M60" s="10">
        <f>bkrcast_all!M60</f>
        <v/>
      </c>
      <c r="N60" s="10">
        <f>bkrcast_inbkr!M60</f>
        <v/>
      </c>
      <c r="O60" s="10">
        <f>bkrcast_outbkr!M60</f>
        <v/>
      </c>
      <c r="P60" s="10">
        <f>soundcast!M60</f>
        <v/>
      </c>
      <c r="Q60" s="53">
        <f>F60</f>
        <v/>
      </c>
    </row>
    <row r="61" spans="1:24">
      <c r="A61" t="n">
        <v>50</v>
      </c>
      <c r="B61" s="49" t="n">
        <v>0</v>
      </c>
      <c r="C61" s="49" t="n">
        <v>0</v>
      </c>
      <c r="D61" s="49" t="n">
        <v>0</v>
      </c>
      <c r="E61" s="49" t="n">
        <v>0</v>
      </c>
      <c r="F61" s="10">
        <f>bkrcast_all!F61</f>
        <v/>
      </c>
      <c r="H61" s="11" t="n">
        <v>50</v>
      </c>
      <c r="I61" s="51" t="n">
        <v>25.99482138260484</v>
      </c>
      <c r="J61" s="51" t="n">
        <v>0</v>
      </c>
      <c r="K61" s="51" t="n">
        <v>0</v>
      </c>
      <c r="L61" s="49">
        <f>SUM(I61:K61)</f>
        <v/>
      </c>
      <c r="M61" s="10">
        <f>bkrcast_all!M61</f>
        <v/>
      </c>
      <c r="N61" s="10">
        <f>bkrcast_inbkr!M61</f>
        <v/>
      </c>
      <c r="O61" s="10">
        <f>bkrcast_outbkr!M61</f>
        <v/>
      </c>
      <c r="P61" s="10">
        <f>soundcast!M61</f>
        <v/>
      </c>
      <c r="Q61" s="53">
        <f>F61</f>
        <v/>
      </c>
    </row>
    <row r="62" spans="1:24">
      <c r="A62" t="n">
        <v>51</v>
      </c>
      <c r="B62" s="49" t="n">
        <v>0</v>
      </c>
      <c r="C62" s="49" t="n">
        <v>0</v>
      </c>
      <c r="D62" s="49" t="n">
        <v>0</v>
      </c>
      <c r="E62" s="49" t="n">
        <v>0</v>
      </c>
      <c r="F62" s="10">
        <f>bkrcast_all!F62</f>
        <v/>
      </c>
      <c r="H62" s="11" t="n">
        <v>51</v>
      </c>
      <c r="I62" s="51" t="n">
        <v>59.67275116775246</v>
      </c>
      <c r="J62" s="51" t="n">
        <v>20.25318213783406</v>
      </c>
      <c r="K62" s="51" t="n">
        <v>0.25</v>
      </c>
      <c r="L62" s="49">
        <f>SUM(I62:K62)</f>
        <v/>
      </c>
      <c r="M62" s="10">
        <f>bkrcast_all!M62</f>
        <v/>
      </c>
      <c r="N62" s="10">
        <f>bkrcast_inbkr!M62</f>
        <v/>
      </c>
      <c r="O62" s="10">
        <f>bkrcast_outbkr!M62</f>
        <v/>
      </c>
      <c r="P62" s="10">
        <f>soundcast!M62</f>
        <v/>
      </c>
      <c r="Q62" s="53">
        <f>F62</f>
        <v/>
      </c>
    </row>
    <row r="63" spans="1:24">
      <c r="A63" t="n">
        <v>52</v>
      </c>
      <c r="B63" s="49" t="n">
        <v>0</v>
      </c>
      <c r="C63" s="49" t="n">
        <v>0</v>
      </c>
      <c r="D63" s="49" t="n">
        <v>0</v>
      </c>
      <c r="E63" s="49" t="n">
        <v>0</v>
      </c>
      <c r="F63" s="10">
        <f>bkrcast_all!F63</f>
        <v/>
      </c>
      <c r="H63" s="11" t="n">
        <v>52</v>
      </c>
      <c r="I63" s="51" t="n">
        <v>60.19187127378453</v>
      </c>
      <c r="J63" s="51" t="n">
        <v>0.5</v>
      </c>
      <c r="K63" s="51" t="n">
        <v>0</v>
      </c>
      <c r="L63" s="49">
        <f>SUM(I63:K63)</f>
        <v/>
      </c>
      <c r="M63" s="10">
        <f>bkrcast_all!M63</f>
        <v/>
      </c>
      <c r="N63" s="10">
        <f>bkrcast_inbkr!M63</f>
        <v/>
      </c>
      <c r="O63" s="10">
        <f>bkrcast_outbkr!M63</f>
        <v/>
      </c>
      <c r="P63" s="10">
        <f>soundcast!M63</f>
        <v/>
      </c>
      <c r="Q63" s="53">
        <f>F63</f>
        <v/>
      </c>
    </row>
    <row r="64" spans="1:24">
      <c r="A64" t="n">
        <v>53</v>
      </c>
      <c r="B64" s="49" t="n">
        <v>0</v>
      </c>
      <c r="C64" s="49" t="n">
        <v>0</v>
      </c>
      <c r="D64" s="49" t="n">
        <v>0</v>
      </c>
      <c r="E64" s="49" t="n">
        <v>0</v>
      </c>
      <c r="F64" s="10">
        <f>bkrcast_all!F64</f>
        <v/>
      </c>
      <c r="H64" s="11" t="n">
        <v>53</v>
      </c>
      <c r="I64" s="51" t="n">
        <v>73.97283727283805</v>
      </c>
      <c r="J64" s="51" t="n">
        <v>10.21190476190476</v>
      </c>
      <c r="K64" s="51" t="n">
        <v>0.5</v>
      </c>
      <c r="L64" s="49">
        <f>SUM(I64:K64)</f>
        <v/>
      </c>
      <c r="M64" s="10">
        <f>bkrcast_all!M64</f>
        <v/>
      </c>
      <c r="N64" s="10">
        <f>bkrcast_inbkr!M64</f>
        <v/>
      </c>
      <c r="O64" s="10">
        <f>bkrcast_outbkr!M64</f>
        <v/>
      </c>
      <c r="P64" s="10">
        <f>soundcast!M64</f>
        <v/>
      </c>
      <c r="Q64" s="53">
        <f>F64</f>
        <v/>
      </c>
    </row>
    <row r="65" spans="1:24">
      <c r="A65" t="n">
        <v>54</v>
      </c>
      <c r="B65" s="49" t="n">
        <v>0</v>
      </c>
      <c r="C65" s="49" t="n">
        <v>0</v>
      </c>
      <c r="D65" s="49" t="n">
        <v>0</v>
      </c>
      <c r="E65" s="49" t="n">
        <v>0</v>
      </c>
      <c r="F65" s="10">
        <f>bkrcast_all!F65</f>
        <v/>
      </c>
      <c r="H65" s="11" t="n">
        <v>54</v>
      </c>
      <c r="I65" s="51" t="n">
        <v>59.00761229176444</v>
      </c>
      <c r="J65" s="51" t="n">
        <v>0.25</v>
      </c>
      <c r="K65" s="51" t="n">
        <v>0.75</v>
      </c>
      <c r="L65" s="49">
        <f>SUM(I65:K65)</f>
        <v/>
      </c>
      <c r="M65" s="10">
        <f>bkrcast_all!M65</f>
        <v/>
      </c>
      <c r="N65" s="10">
        <f>bkrcast_inbkr!M65</f>
        <v/>
      </c>
      <c r="O65" s="10">
        <f>bkrcast_outbkr!M65</f>
        <v/>
      </c>
      <c r="P65" s="10">
        <f>soundcast!M65</f>
        <v/>
      </c>
      <c r="Q65" s="53">
        <f>F65</f>
        <v/>
      </c>
    </row>
    <row r="66" spans="1:24">
      <c r="A66" t="n">
        <v>55</v>
      </c>
      <c r="B66" s="49" t="n">
        <v>0</v>
      </c>
      <c r="C66" s="49" t="n">
        <v>0</v>
      </c>
      <c r="D66" s="49" t="n">
        <v>0</v>
      </c>
      <c r="E66" s="49" t="n">
        <v>0</v>
      </c>
      <c r="F66" s="10">
        <f>bkrcast_all!F66</f>
        <v/>
      </c>
      <c r="H66" s="11" t="n">
        <v>55</v>
      </c>
      <c r="I66" s="51" t="n">
        <v>52.66589635160374</v>
      </c>
      <c r="J66" s="51" t="n">
        <v>0</v>
      </c>
      <c r="K66" s="51" t="n">
        <v>10.0048780487805</v>
      </c>
      <c r="L66" s="49">
        <f>SUM(I66:K66)</f>
        <v/>
      </c>
      <c r="M66" s="10">
        <f>bkrcast_all!M66</f>
        <v/>
      </c>
      <c r="N66" s="10">
        <f>bkrcast_inbkr!M66</f>
        <v/>
      </c>
      <c r="O66" s="10">
        <f>bkrcast_outbkr!M66</f>
        <v/>
      </c>
      <c r="P66" s="10">
        <f>soundcast!M66</f>
        <v/>
      </c>
      <c r="Q66" s="53">
        <f>F66</f>
        <v/>
      </c>
    </row>
    <row r="67" spans="1:24">
      <c r="A67" t="n">
        <v>56</v>
      </c>
      <c r="B67" s="49" t="n">
        <v>0</v>
      </c>
      <c r="C67" s="49" t="n">
        <v>0</v>
      </c>
      <c r="D67" s="49" t="n">
        <v>0</v>
      </c>
      <c r="E67" s="49" t="n">
        <v>0</v>
      </c>
      <c r="F67" s="10">
        <f>bkrcast_all!F67</f>
        <v/>
      </c>
      <c r="H67" s="11" t="n">
        <v>56</v>
      </c>
      <c r="I67" s="51" t="n">
        <v>38.50022595198191</v>
      </c>
      <c r="J67" s="51" t="n">
        <v>0.5</v>
      </c>
      <c r="K67" s="51" t="n">
        <v>0</v>
      </c>
      <c r="L67" s="49">
        <f>SUM(I67:K67)</f>
        <v/>
      </c>
      <c r="M67" s="10">
        <f>bkrcast_all!M67</f>
        <v/>
      </c>
      <c r="N67" s="10">
        <f>bkrcast_inbkr!M67</f>
        <v/>
      </c>
      <c r="O67" s="10">
        <f>bkrcast_outbkr!M67</f>
        <v/>
      </c>
      <c r="P67" s="10">
        <f>soundcast!M67</f>
        <v/>
      </c>
      <c r="Q67" s="53">
        <f>F67</f>
        <v/>
      </c>
    </row>
    <row r="68" spans="1:24">
      <c r="A68" t="n">
        <v>57</v>
      </c>
      <c r="B68" s="49" t="n">
        <v>0</v>
      </c>
      <c r="C68" s="49" t="n">
        <v>0</v>
      </c>
      <c r="D68" s="49" t="n">
        <v>0</v>
      </c>
      <c r="E68" s="49" t="n">
        <v>0</v>
      </c>
      <c r="F68" s="10">
        <f>bkrcast_all!F68</f>
        <v/>
      </c>
      <c r="H68" s="11" t="n">
        <v>57</v>
      </c>
      <c r="I68" s="51" t="n">
        <v>89.44482290208356</v>
      </c>
      <c r="J68" s="51" t="n">
        <v>0</v>
      </c>
      <c r="K68" s="51" t="n">
        <v>0</v>
      </c>
      <c r="L68" s="49">
        <f>SUM(I68:K68)</f>
        <v/>
      </c>
      <c r="M68" s="10">
        <f>bkrcast_all!M68</f>
        <v/>
      </c>
      <c r="N68" s="10">
        <f>bkrcast_inbkr!M68</f>
        <v/>
      </c>
      <c r="O68" s="10">
        <f>bkrcast_outbkr!M68</f>
        <v/>
      </c>
      <c r="P68" s="10">
        <f>soundcast!M68</f>
        <v/>
      </c>
      <c r="Q68" s="53">
        <f>F68</f>
        <v/>
      </c>
    </row>
    <row r="69" spans="1:24">
      <c r="A69" t="n">
        <v>58</v>
      </c>
      <c r="B69" s="49" t="n">
        <v>0</v>
      </c>
      <c r="C69" s="49" t="n">
        <v>0</v>
      </c>
      <c r="D69" s="49" t="n">
        <v>0</v>
      </c>
      <c r="E69" s="49" t="n">
        <v>0</v>
      </c>
      <c r="F69" s="10">
        <f>bkrcast_all!F69</f>
        <v/>
      </c>
      <c r="H69" s="11" t="n">
        <v>58</v>
      </c>
      <c r="I69" s="51" t="n">
        <v>29.97529639288668</v>
      </c>
      <c r="J69" s="51" t="n">
        <v>0</v>
      </c>
      <c r="K69" s="51" t="n">
        <v>0</v>
      </c>
      <c r="L69" s="49">
        <f>SUM(I69:K69)</f>
        <v/>
      </c>
      <c r="M69" s="10">
        <f>bkrcast_all!M69</f>
        <v/>
      </c>
      <c r="N69" s="10">
        <f>bkrcast_inbkr!M69</f>
        <v/>
      </c>
      <c r="O69" s="10">
        <f>bkrcast_outbkr!M69</f>
        <v/>
      </c>
      <c r="P69" s="10">
        <f>soundcast!M69</f>
        <v/>
      </c>
      <c r="Q69" s="53">
        <f>F69</f>
        <v/>
      </c>
    </row>
    <row r="70" spans="1:24">
      <c r="A70" t="n">
        <v>59</v>
      </c>
      <c r="B70" s="49" t="n">
        <v>0</v>
      </c>
      <c r="C70" s="49" t="n">
        <v>0</v>
      </c>
      <c r="D70" s="49" t="n">
        <v>0</v>
      </c>
      <c r="E70" s="49" t="n">
        <v>0</v>
      </c>
      <c r="F70" s="10">
        <f>bkrcast_all!F70</f>
        <v/>
      </c>
      <c r="H70" s="11" t="n">
        <v>59</v>
      </c>
      <c r="I70" s="51" t="n">
        <v>51.98170317133291</v>
      </c>
      <c r="J70" s="51" t="n">
        <v>0</v>
      </c>
      <c r="K70" s="51" t="n">
        <v>9.96815286624204</v>
      </c>
      <c r="L70" s="49">
        <f>SUM(I70:K70)</f>
        <v/>
      </c>
      <c r="M70" s="10">
        <f>bkrcast_all!M70</f>
        <v/>
      </c>
      <c r="N70" s="10">
        <f>bkrcast_inbkr!M70</f>
        <v/>
      </c>
      <c r="O70" s="10">
        <f>bkrcast_outbkr!M70</f>
        <v/>
      </c>
      <c r="P70" s="10">
        <f>soundcast!M70</f>
        <v/>
      </c>
      <c r="Q70" s="53">
        <f>F70</f>
        <v/>
      </c>
    </row>
    <row r="71" spans="1:24">
      <c r="A71" t="n">
        <v>60</v>
      </c>
      <c r="B71" s="49" t="n">
        <v>0</v>
      </c>
      <c r="C71" s="49" t="n">
        <v>0</v>
      </c>
      <c r="D71" s="49" t="n">
        <v>0</v>
      </c>
      <c r="E71" s="49" t="n">
        <v>0</v>
      </c>
      <c r="F71" s="10">
        <f>bkrcast_all!F71</f>
        <v/>
      </c>
      <c r="H71" s="11" t="n">
        <v>60</v>
      </c>
      <c r="I71" s="51" t="n">
        <v>5.71666666666667</v>
      </c>
      <c r="J71" s="51" t="n">
        <v>0</v>
      </c>
      <c r="K71" s="51" t="n">
        <v>0</v>
      </c>
      <c r="L71" s="49">
        <f>SUM(I71:K71)</f>
        <v/>
      </c>
      <c r="M71" s="10">
        <f>bkrcast_all!M71</f>
        <v/>
      </c>
      <c r="N71" s="10">
        <f>bkrcast_inbkr!M71</f>
        <v/>
      </c>
      <c r="O71" s="10">
        <f>bkrcast_outbkr!M71</f>
        <v/>
      </c>
      <c r="P71" s="10">
        <f>soundcast!M71</f>
        <v/>
      </c>
      <c r="Q71" s="53">
        <f>F71</f>
        <v/>
      </c>
    </row>
    <row r="72" spans="1:24">
      <c r="A72" t="n">
        <v>61</v>
      </c>
      <c r="B72" s="49" t="n">
        <v>0</v>
      </c>
      <c r="C72" s="49" t="n">
        <v>0</v>
      </c>
      <c r="D72" s="49" t="n">
        <v>0</v>
      </c>
      <c r="E72" s="49" t="n">
        <v>0</v>
      </c>
      <c r="F72" s="10">
        <f>bkrcast_all!F72</f>
        <v/>
      </c>
      <c r="H72" s="11" t="n">
        <v>61</v>
      </c>
      <c r="I72" s="51" t="n">
        <v>15.50967110551885</v>
      </c>
      <c r="J72" s="51" t="n">
        <v>4.9990089197225</v>
      </c>
      <c r="K72" s="51" t="n">
        <v>0</v>
      </c>
      <c r="L72" s="49">
        <f>SUM(I72:K72)</f>
        <v/>
      </c>
      <c r="M72" s="10">
        <f>bkrcast_all!M72</f>
        <v/>
      </c>
      <c r="N72" s="10">
        <f>bkrcast_inbkr!M72</f>
        <v/>
      </c>
      <c r="O72" s="10">
        <f>bkrcast_outbkr!M72</f>
        <v/>
      </c>
      <c r="P72" s="10">
        <f>soundcast!M72</f>
        <v/>
      </c>
      <c r="Q72" s="53">
        <f>F72</f>
        <v/>
      </c>
    </row>
    <row r="73" spans="1:24">
      <c r="A73" t="n">
        <v>62</v>
      </c>
      <c r="B73" s="49" t="n">
        <v>0</v>
      </c>
      <c r="C73" s="49" t="n">
        <v>0</v>
      </c>
      <c r="D73" s="49" t="n">
        <v>0</v>
      </c>
      <c r="E73" s="49" t="n">
        <v>0</v>
      </c>
      <c r="F73" s="10">
        <f>bkrcast_all!F73</f>
        <v/>
      </c>
      <c r="H73" s="11" t="n">
        <v>62</v>
      </c>
      <c r="I73" s="51" t="n">
        <v>1.25</v>
      </c>
      <c r="J73" s="51" t="n">
        <v>0</v>
      </c>
      <c r="K73" s="51" t="n">
        <v>0</v>
      </c>
      <c r="L73" s="49">
        <f>SUM(I73:K73)</f>
        <v/>
      </c>
      <c r="M73" s="10">
        <f>bkrcast_all!M73</f>
        <v/>
      </c>
      <c r="N73" s="10">
        <f>bkrcast_inbkr!M73</f>
        <v/>
      </c>
      <c r="O73" s="10">
        <f>bkrcast_outbkr!M73</f>
        <v/>
      </c>
      <c r="P73" s="10">
        <f>soundcast!M73</f>
        <v/>
      </c>
      <c r="Q73" s="53">
        <f>F73</f>
        <v/>
      </c>
    </row>
    <row r="74" spans="1:24">
      <c r="A74" t="n">
        <v>63</v>
      </c>
      <c r="B74" s="49" t="n">
        <v>0</v>
      </c>
      <c r="C74" s="49" t="n">
        <v>0</v>
      </c>
      <c r="D74" s="49" t="n">
        <v>0</v>
      </c>
      <c r="E74" s="49" t="n">
        <v>0</v>
      </c>
      <c r="F74" s="10">
        <f>bkrcast_all!F74</f>
        <v/>
      </c>
      <c r="H74" s="11" t="n">
        <v>63</v>
      </c>
      <c r="I74" s="51" t="n">
        <v>14.9042105263158</v>
      </c>
      <c r="J74" s="51" t="n">
        <v>0</v>
      </c>
      <c r="K74" s="51" t="n">
        <v>0</v>
      </c>
      <c r="L74" s="49">
        <f>SUM(I74:K74)</f>
        <v/>
      </c>
      <c r="M74" s="10">
        <f>bkrcast_all!M74</f>
        <v/>
      </c>
      <c r="N74" s="10">
        <f>bkrcast_inbkr!M74</f>
        <v/>
      </c>
      <c r="O74" s="10">
        <f>bkrcast_outbkr!M74</f>
        <v/>
      </c>
      <c r="P74" s="10">
        <f>soundcast!M74</f>
        <v/>
      </c>
      <c r="Q74" s="53">
        <f>F74</f>
        <v/>
      </c>
    </row>
    <row r="75" spans="1:24">
      <c r="A75" t="n">
        <v>64</v>
      </c>
      <c r="B75" s="49" t="n">
        <v>0</v>
      </c>
      <c r="C75" s="49" t="n">
        <v>0</v>
      </c>
      <c r="D75" s="49" t="n">
        <v>0</v>
      </c>
      <c r="E75" s="49" t="n">
        <v>0</v>
      </c>
      <c r="F75" s="10">
        <f>bkrcast_all!F75</f>
        <v/>
      </c>
      <c r="H75" s="11" t="n">
        <v>64</v>
      </c>
      <c r="I75" s="51" t="n">
        <v>10.002380952381</v>
      </c>
      <c r="J75" s="51" t="n">
        <v>0</v>
      </c>
      <c r="K75" s="51" t="n">
        <v>0</v>
      </c>
      <c r="L75" s="49">
        <f>SUM(I75:K75)</f>
        <v/>
      </c>
      <c r="M75" s="10">
        <f>bkrcast_all!M75</f>
        <v/>
      </c>
      <c r="N75" s="10">
        <f>bkrcast_inbkr!M75</f>
        <v/>
      </c>
      <c r="O75" s="10">
        <f>bkrcast_outbkr!M75</f>
        <v/>
      </c>
      <c r="P75" s="10">
        <f>soundcast!M75</f>
        <v/>
      </c>
      <c r="Q75" s="53">
        <f>F75</f>
        <v/>
      </c>
    </row>
    <row r="76" spans="1:24">
      <c r="A76" t="n">
        <v>65</v>
      </c>
      <c r="B76" s="49" t="n">
        <v>0</v>
      </c>
      <c r="C76" s="49" t="n">
        <v>0</v>
      </c>
      <c r="D76" s="49" t="n">
        <v>0</v>
      </c>
      <c r="E76" s="49" t="n">
        <v>0</v>
      </c>
      <c r="F76" s="10">
        <f>bkrcast_all!F76</f>
        <v/>
      </c>
      <c r="H76" s="11" t="n">
        <v>65</v>
      </c>
      <c r="I76" s="51" t="n">
        <v>0</v>
      </c>
      <c r="J76" s="51" t="n">
        <v>0</v>
      </c>
      <c r="K76" s="51" t="n">
        <v>0</v>
      </c>
      <c r="L76" s="49">
        <f>SUM(I76:K76)</f>
        <v/>
      </c>
      <c r="M76" s="10">
        <f>bkrcast_all!M76</f>
        <v/>
      </c>
      <c r="N76" s="10">
        <f>bkrcast_inbkr!M76</f>
        <v/>
      </c>
      <c r="O76" s="10">
        <f>bkrcast_outbkr!M76</f>
        <v/>
      </c>
      <c r="P76" s="10">
        <f>soundcast!M76</f>
        <v/>
      </c>
      <c r="Q76" s="53">
        <f>F76</f>
        <v/>
      </c>
    </row>
    <row r="77" spans="1:24">
      <c r="A77" t="n">
        <v>66</v>
      </c>
      <c r="B77" s="49" t="n">
        <v>0</v>
      </c>
      <c r="C77" s="49" t="n">
        <v>0</v>
      </c>
      <c r="D77" s="49" t="n">
        <v>0</v>
      </c>
      <c r="E77" s="49" t="n">
        <v>0</v>
      </c>
      <c r="F77" s="10">
        <f>bkrcast_all!F77</f>
        <v/>
      </c>
      <c r="H77" s="11" t="n">
        <v>66</v>
      </c>
      <c r="I77" s="51" t="n">
        <v>35.00133750217126</v>
      </c>
      <c r="J77" s="51" t="n">
        <v>0</v>
      </c>
      <c r="K77" s="51" t="n">
        <v>0</v>
      </c>
      <c r="L77" s="49">
        <f>SUM(I77:K77)</f>
        <v/>
      </c>
      <c r="M77" s="10">
        <f>bkrcast_all!M77</f>
        <v/>
      </c>
      <c r="N77" s="10">
        <f>bkrcast_inbkr!M77</f>
        <v/>
      </c>
      <c r="O77" s="10">
        <f>bkrcast_outbkr!M77</f>
        <v/>
      </c>
      <c r="P77" s="10">
        <f>soundcast!M77</f>
        <v/>
      </c>
      <c r="Q77" s="53">
        <f>F77</f>
        <v/>
      </c>
    </row>
    <row r="78" spans="1:24">
      <c r="A78" t="n">
        <v>67</v>
      </c>
      <c r="B78" s="49" t="n">
        <v>0</v>
      </c>
      <c r="C78" s="49" t="n">
        <v>0</v>
      </c>
      <c r="D78" s="49" t="n">
        <v>0</v>
      </c>
      <c r="E78" s="49" t="n">
        <v>0</v>
      </c>
      <c r="F78" s="10">
        <f>bkrcast_all!F78</f>
        <v/>
      </c>
      <c r="H78" s="11" t="n">
        <v>67</v>
      </c>
      <c r="I78" s="51" t="n">
        <v>1.99891067538126</v>
      </c>
      <c r="J78" s="51" t="n">
        <v>0</v>
      </c>
      <c r="K78" s="51" t="n">
        <v>0</v>
      </c>
      <c r="L78" s="49">
        <f>SUM(I78:K78)</f>
        <v/>
      </c>
      <c r="M78" s="10">
        <f>bkrcast_all!M78</f>
        <v/>
      </c>
      <c r="N78" s="10">
        <f>bkrcast_inbkr!M78</f>
        <v/>
      </c>
      <c r="O78" s="10">
        <f>bkrcast_outbkr!M78</f>
        <v/>
      </c>
      <c r="P78" s="10">
        <f>soundcast!M78</f>
        <v/>
      </c>
      <c r="Q78" s="53">
        <f>F78</f>
        <v/>
      </c>
    </row>
    <row r="79" spans="1:24">
      <c r="A79" t="n">
        <v>68</v>
      </c>
      <c r="B79" s="49" t="n">
        <v>0</v>
      </c>
      <c r="C79" s="49" t="n">
        <v>0</v>
      </c>
      <c r="D79" s="49" t="n">
        <v>0</v>
      </c>
      <c r="E79" s="49" t="n">
        <v>0</v>
      </c>
      <c r="F79" s="10">
        <f>bkrcast_all!F79</f>
        <v/>
      </c>
      <c r="H79" s="11" t="n">
        <v>68</v>
      </c>
      <c r="I79" s="51" t="n">
        <v>14.97291159772912</v>
      </c>
      <c r="J79" s="51" t="n">
        <v>0</v>
      </c>
      <c r="K79" s="51" t="n">
        <v>0.25</v>
      </c>
      <c r="L79" s="49">
        <f>SUM(I79:K79)</f>
        <v/>
      </c>
      <c r="M79" s="10">
        <f>bkrcast_all!M79</f>
        <v/>
      </c>
      <c r="N79" s="10">
        <f>bkrcast_inbkr!M79</f>
        <v/>
      </c>
      <c r="O79" s="10">
        <f>bkrcast_outbkr!M79</f>
        <v/>
      </c>
      <c r="P79" s="10">
        <f>soundcast!M79</f>
        <v/>
      </c>
      <c r="Q79" s="53">
        <f>F79</f>
        <v/>
      </c>
    </row>
    <row r="80" spans="1:24">
      <c r="A80" t="n">
        <v>69</v>
      </c>
      <c r="B80" s="49" t="n">
        <v>0</v>
      </c>
      <c r="C80" s="49" t="n">
        <v>0</v>
      </c>
      <c r="D80" s="49" t="n">
        <v>0</v>
      </c>
      <c r="E80" s="49" t="n">
        <v>0</v>
      </c>
      <c r="F80" s="10">
        <f>bkrcast_all!F80</f>
        <v/>
      </c>
      <c r="H80" s="11" t="n">
        <v>69</v>
      </c>
      <c r="I80" s="51" t="n">
        <v>0</v>
      </c>
      <c r="J80" s="51" t="n">
        <v>0</v>
      </c>
      <c r="K80" s="51" t="n">
        <v>0</v>
      </c>
      <c r="L80" s="49">
        <f>SUM(I80:K80)</f>
        <v/>
      </c>
      <c r="M80" s="10">
        <f>bkrcast_all!M80</f>
        <v/>
      </c>
      <c r="N80" s="10">
        <f>bkrcast_inbkr!M80</f>
        <v/>
      </c>
      <c r="O80" s="10">
        <f>bkrcast_outbkr!M80</f>
        <v/>
      </c>
      <c r="P80" s="10">
        <f>soundcast!M80</f>
        <v/>
      </c>
      <c r="Q80" s="53">
        <f>F80</f>
        <v/>
      </c>
    </row>
    <row r="81" spans="1:24">
      <c r="A81" t="n">
        <v>70</v>
      </c>
      <c r="B81" s="49" t="n">
        <v>0</v>
      </c>
      <c r="C81" s="49" t="n">
        <v>0</v>
      </c>
      <c r="D81" s="49" t="n">
        <v>0</v>
      </c>
      <c r="E81" s="49" t="n">
        <v>0</v>
      </c>
      <c r="F81" s="10">
        <f>bkrcast_all!F81</f>
        <v/>
      </c>
      <c r="H81" s="11" t="n">
        <v>70</v>
      </c>
      <c r="I81" s="51" t="n">
        <v>0</v>
      </c>
      <c r="J81" s="51" t="n">
        <v>0</v>
      </c>
      <c r="K81" s="51" t="n">
        <v>0</v>
      </c>
      <c r="L81" s="49">
        <f>SUM(I81:K81)</f>
        <v/>
      </c>
      <c r="M81" s="10">
        <f>bkrcast_all!M81</f>
        <v/>
      </c>
      <c r="N81" s="10">
        <f>bkrcast_inbkr!M81</f>
        <v/>
      </c>
      <c r="O81" s="10">
        <f>bkrcast_outbkr!M81</f>
        <v/>
      </c>
      <c r="P81" s="10">
        <f>soundcast!M81</f>
        <v/>
      </c>
      <c r="Q81" s="53">
        <f>F81</f>
        <v/>
      </c>
    </row>
    <row r="82" spans="1:24">
      <c r="A82" t="n">
        <v>71</v>
      </c>
      <c r="B82" s="49" t="n">
        <v>0</v>
      </c>
      <c r="C82" s="49" t="n">
        <v>0</v>
      </c>
      <c r="D82" s="49" t="n">
        <v>0</v>
      </c>
      <c r="E82" s="49" t="n">
        <v>0</v>
      </c>
      <c r="F82" s="10">
        <f>bkrcast_all!F82</f>
        <v/>
      </c>
      <c r="H82" s="11" t="n">
        <v>71</v>
      </c>
      <c r="I82" s="51" t="n">
        <v>0</v>
      </c>
      <c r="J82" s="51" t="n">
        <v>0</v>
      </c>
      <c r="K82" s="51" t="n">
        <v>0</v>
      </c>
      <c r="L82" s="49">
        <f>SUM(I82:K82)</f>
        <v/>
      </c>
      <c r="M82" s="10">
        <f>bkrcast_all!M82</f>
        <v/>
      </c>
      <c r="N82" s="10">
        <f>bkrcast_inbkr!M82</f>
        <v/>
      </c>
      <c r="O82" s="10">
        <f>bkrcast_outbkr!M82</f>
        <v/>
      </c>
      <c r="P82" s="10">
        <f>soundcast!M82</f>
        <v/>
      </c>
      <c r="Q82" s="53">
        <f>F82</f>
        <v/>
      </c>
    </row>
    <row r="83" spans="1:24">
      <c r="A83" t="n">
        <v>72</v>
      </c>
      <c r="B83" s="49" t="n">
        <v>0</v>
      </c>
      <c r="C83" s="49" t="n">
        <v>0</v>
      </c>
      <c r="D83" s="49" t="n">
        <v>0</v>
      </c>
      <c r="E83" s="49" t="n">
        <v>0</v>
      </c>
      <c r="F83" s="10">
        <f>bkrcast_all!F83</f>
        <v/>
      </c>
      <c r="H83" s="11" t="n">
        <v>72</v>
      </c>
      <c r="I83" s="51" t="n">
        <v>9.983606557377049</v>
      </c>
      <c r="J83" s="51" t="n">
        <v>0</v>
      </c>
      <c r="K83" s="51" t="n">
        <v>0</v>
      </c>
      <c r="L83" s="49">
        <f>SUM(I83:K83)</f>
        <v/>
      </c>
      <c r="M83" s="10">
        <f>bkrcast_all!M83</f>
        <v/>
      </c>
      <c r="N83" s="10">
        <f>bkrcast_inbkr!M83</f>
        <v/>
      </c>
      <c r="O83" s="10">
        <f>bkrcast_outbkr!M83</f>
        <v/>
      </c>
      <c r="P83" s="10">
        <f>soundcast!M83</f>
        <v/>
      </c>
      <c r="Q83" s="53">
        <f>F83</f>
        <v/>
      </c>
    </row>
    <row r="84" spans="1:24">
      <c r="A84" t="n">
        <v>73</v>
      </c>
      <c r="B84" s="49" t="n">
        <v>0</v>
      </c>
      <c r="C84" s="49" t="n">
        <v>0</v>
      </c>
      <c r="D84" s="49" t="n">
        <v>0</v>
      </c>
      <c r="E84" s="49" t="n">
        <v>0</v>
      </c>
      <c r="F84" s="10">
        <f>bkrcast_all!F84</f>
        <v/>
      </c>
      <c r="H84" s="11" t="n">
        <v>73</v>
      </c>
      <c r="I84" s="51" t="n">
        <v>0</v>
      </c>
      <c r="J84" s="51" t="n">
        <v>0</v>
      </c>
      <c r="K84" s="51" t="n">
        <v>0</v>
      </c>
      <c r="L84" s="49">
        <f>SUM(I84:K84)</f>
        <v/>
      </c>
      <c r="M84" s="10">
        <f>bkrcast_all!M84</f>
        <v/>
      </c>
      <c r="N84" s="10">
        <f>bkrcast_inbkr!M84</f>
        <v/>
      </c>
      <c r="O84" s="10">
        <f>bkrcast_outbkr!M84</f>
        <v/>
      </c>
      <c r="P84" s="10">
        <f>soundcast!M84</f>
        <v/>
      </c>
      <c r="Q84" s="53">
        <f>F84</f>
        <v/>
      </c>
    </row>
    <row r="85" spans="1:24">
      <c r="A85" t="n">
        <v>74</v>
      </c>
      <c r="B85" s="49" t="n">
        <v>0</v>
      </c>
      <c r="C85" s="49" t="n">
        <v>0</v>
      </c>
      <c r="D85" s="49" t="n">
        <v>0</v>
      </c>
      <c r="E85" s="49" t="n">
        <v>0</v>
      </c>
      <c r="F85" s="10">
        <f>bkrcast_all!F85</f>
        <v/>
      </c>
      <c r="H85" s="11" t="n">
        <v>74</v>
      </c>
      <c r="I85" s="51" t="n">
        <v>0</v>
      </c>
      <c r="J85" s="51" t="n">
        <v>0</v>
      </c>
      <c r="K85" s="51" t="n">
        <v>0</v>
      </c>
      <c r="L85" s="49">
        <f>SUM(I85:K85)</f>
        <v/>
      </c>
      <c r="M85" s="10">
        <f>bkrcast_all!M85</f>
        <v/>
      </c>
      <c r="N85" s="10">
        <f>bkrcast_inbkr!M85</f>
        <v/>
      </c>
      <c r="O85" s="10">
        <f>bkrcast_outbkr!M85</f>
        <v/>
      </c>
      <c r="P85" s="10">
        <f>soundcast!M85</f>
        <v/>
      </c>
      <c r="Q85" s="53">
        <f>F85</f>
        <v/>
      </c>
    </row>
    <row r="86" spans="1:24">
      <c r="A86" t="n">
        <v>75</v>
      </c>
      <c r="B86" s="49" t="n">
        <v>0</v>
      </c>
      <c r="C86" s="49" t="n">
        <v>0</v>
      </c>
      <c r="D86" s="49" t="n">
        <v>0</v>
      </c>
      <c r="E86" s="49" t="n">
        <v>0</v>
      </c>
      <c r="F86" s="10">
        <f>bkrcast_all!F86</f>
        <v/>
      </c>
      <c r="H86" s="11" t="n">
        <v>75</v>
      </c>
      <c r="I86" s="51" t="n">
        <v>15.22065679063504</v>
      </c>
      <c r="J86" s="51" t="n">
        <v>0</v>
      </c>
      <c r="K86" s="51" t="n">
        <v>0</v>
      </c>
      <c r="L86" s="49">
        <f>SUM(I86:K86)</f>
        <v/>
      </c>
      <c r="M86" s="10">
        <f>bkrcast_all!M86</f>
        <v/>
      </c>
      <c r="N86" s="10">
        <f>bkrcast_inbkr!M86</f>
        <v/>
      </c>
      <c r="O86" s="10">
        <f>bkrcast_outbkr!M86</f>
        <v/>
      </c>
      <c r="P86" s="10">
        <f>soundcast!M86</f>
        <v/>
      </c>
      <c r="Q86" s="53">
        <f>F86</f>
        <v/>
      </c>
    </row>
    <row r="87" spans="1:24">
      <c r="A87" t="n">
        <v>76</v>
      </c>
      <c r="B87" s="49" t="n">
        <v>0</v>
      </c>
      <c r="C87" s="49" t="n">
        <v>0</v>
      </c>
      <c r="D87" s="49" t="n">
        <v>0</v>
      </c>
      <c r="E87" s="49" t="n">
        <v>0</v>
      </c>
      <c r="F87" s="10">
        <f>bkrcast_all!F87</f>
        <v/>
      </c>
      <c r="H87" s="11" t="n">
        <v>76</v>
      </c>
      <c r="I87" s="51" t="n">
        <v>10.0714285714286</v>
      </c>
      <c r="J87" s="51" t="n">
        <v>0</v>
      </c>
      <c r="K87" s="51" t="n">
        <v>0</v>
      </c>
      <c r="L87" s="49">
        <f>SUM(I87:K87)</f>
        <v/>
      </c>
      <c r="M87" s="10">
        <f>bkrcast_all!M87</f>
        <v/>
      </c>
      <c r="N87" s="10">
        <f>bkrcast_inbkr!M87</f>
        <v/>
      </c>
      <c r="O87" s="10">
        <f>bkrcast_outbkr!M87</f>
        <v/>
      </c>
      <c r="P87" s="10">
        <f>soundcast!M87</f>
        <v/>
      </c>
      <c r="Q87" s="53">
        <f>F87</f>
        <v/>
      </c>
    </row>
    <row r="88" spans="1:24">
      <c r="A88" t="n">
        <v>77</v>
      </c>
      <c r="B88" s="49" t="n">
        <v>0</v>
      </c>
      <c r="C88" s="49" t="n">
        <v>0</v>
      </c>
      <c r="D88" s="49" t="n">
        <v>0</v>
      </c>
      <c r="E88" s="49" t="n">
        <v>0</v>
      </c>
      <c r="F88" s="10">
        <f>bkrcast_all!F88</f>
        <v/>
      </c>
      <c r="H88" s="11" t="n">
        <v>77</v>
      </c>
      <c r="I88" s="51" t="n">
        <v>0</v>
      </c>
      <c r="J88" s="51" t="n">
        <v>0</v>
      </c>
      <c r="K88" s="51" t="n">
        <v>0</v>
      </c>
      <c r="L88" s="49">
        <f>SUM(I88:K88)</f>
        <v/>
      </c>
      <c r="M88" s="10">
        <f>bkrcast_all!M88</f>
        <v/>
      </c>
      <c r="N88" s="10">
        <f>bkrcast_inbkr!M88</f>
        <v/>
      </c>
      <c r="O88" s="10">
        <f>bkrcast_outbkr!M88</f>
        <v/>
      </c>
      <c r="P88" s="10">
        <f>soundcast!M88</f>
        <v/>
      </c>
      <c r="Q88" s="53">
        <f>F88</f>
        <v/>
      </c>
    </row>
    <row r="89" spans="1:24">
      <c r="A89" t="n">
        <v>78</v>
      </c>
      <c r="B89" s="49" t="n">
        <v>0</v>
      </c>
      <c r="C89" s="49" t="n">
        <v>0</v>
      </c>
      <c r="D89" s="49" t="n">
        <v>0</v>
      </c>
      <c r="E89" s="49" t="n">
        <v>0</v>
      </c>
      <c r="F89" s="10">
        <f>bkrcast_all!F89</f>
        <v/>
      </c>
      <c r="H89" s="11" t="n">
        <v>78</v>
      </c>
      <c r="I89" s="51" t="n">
        <v>0</v>
      </c>
      <c r="J89" s="51" t="n">
        <v>0</v>
      </c>
      <c r="K89" s="51" t="n">
        <v>0</v>
      </c>
      <c r="L89" s="49">
        <f>SUM(I89:K89)</f>
        <v/>
      </c>
      <c r="M89" s="10">
        <f>bkrcast_all!M89</f>
        <v/>
      </c>
      <c r="N89" s="10">
        <f>bkrcast_inbkr!M89</f>
        <v/>
      </c>
      <c r="O89" s="10">
        <f>bkrcast_outbkr!M89</f>
        <v/>
      </c>
      <c r="P89" s="10">
        <f>soundcast!M89</f>
        <v/>
      </c>
      <c r="Q89" s="53">
        <f>F89</f>
        <v/>
      </c>
    </row>
    <row r="90" spans="1:24">
      <c r="A90" t="n">
        <v>79</v>
      </c>
      <c r="B90" s="49" t="n">
        <v>0</v>
      </c>
      <c r="C90" s="49" t="n">
        <v>0</v>
      </c>
      <c r="D90" s="49" t="n">
        <v>0</v>
      </c>
      <c r="E90" s="49" t="n">
        <v>0</v>
      </c>
      <c r="F90" s="10">
        <f>bkrcast_all!F90</f>
        <v/>
      </c>
      <c r="H90" s="11" t="n">
        <v>79</v>
      </c>
      <c r="I90" s="51" t="n">
        <v>0</v>
      </c>
      <c r="J90" s="51" t="n">
        <v>0</v>
      </c>
      <c r="K90" s="51" t="n">
        <v>0</v>
      </c>
      <c r="L90" s="49">
        <f>SUM(I90:K90)</f>
        <v/>
      </c>
      <c r="M90" s="10">
        <f>bkrcast_all!M90</f>
        <v/>
      </c>
      <c r="N90" s="10">
        <f>bkrcast_inbkr!M90</f>
        <v/>
      </c>
      <c r="O90" s="10">
        <f>bkrcast_outbkr!M90</f>
        <v/>
      </c>
      <c r="P90" s="10">
        <f>soundcast!M90</f>
        <v/>
      </c>
      <c r="Q90" s="53">
        <f>F90</f>
        <v/>
      </c>
    </row>
    <row r="91" spans="1:24">
      <c r="A91" t="n">
        <v>80</v>
      </c>
      <c r="B91" s="49" t="n">
        <v>0</v>
      </c>
      <c r="C91" s="49" t="n">
        <v>0</v>
      </c>
      <c r="D91" s="49" t="n">
        <v>0</v>
      </c>
      <c r="E91" s="49" t="n">
        <v>0</v>
      </c>
      <c r="F91" s="10">
        <f>bkrcast_all!F91</f>
        <v/>
      </c>
      <c r="H91" s="11" t="n">
        <v>80</v>
      </c>
      <c r="I91" s="51" t="n">
        <v>0</v>
      </c>
      <c r="J91" s="51" t="n">
        <v>0</v>
      </c>
      <c r="K91" s="51" t="n">
        <v>0</v>
      </c>
      <c r="L91" s="49">
        <f>SUM(I91:K91)</f>
        <v/>
      </c>
      <c r="M91" s="10">
        <f>bkrcast_all!M91</f>
        <v/>
      </c>
      <c r="N91" s="10">
        <f>bkrcast_inbkr!M91</f>
        <v/>
      </c>
      <c r="O91" s="10">
        <f>bkrcast_outbkr!M91</f>
        <v/>
      </c>
      <c r="P91" s="10">
        <f>soundcast!M91</f>
        <v/>
      </c>
      <c r="Q91" s="53">
        <f>F91</f>
        <v/>
      </c>
    </row>
    <row r="92" spans="1:24">
      <c r="A92" t="n">
        <v>81</v>
      </c>
      <c r="B92" s="49" t="n">
        <v>0</v>
      </c>
      <c r="C92" s="49" t="n">
        <v>0</v>
      </c>
      <c r="D92" s="49" t="n">
        <v>0</v>
      </c>
      <c r="E92" s="49" t="n">
        <v>0</v>
      </c>
      <c r="F92" s="10">
        <f>bkrcast_all!F92</f>
        <v/>
      </c>
      <c r="H92" s="11" t="n">
        <v>81</v>
      </c>
      <c r="I92" s="51" t="n">
        <v>0</v>
      </c>
      <c r="J92" s="51" t="n">
        <v>0</v>
      </c>
      <c r="K92" s="51" t="n">
        <v>0</v>
      </c>
      <c r="L92" s="49">
        <f>SUM(I92:K92)</f>
        <v/>
      </c>
      <c r="M92" s="10">
        <f>bkrcast_all!M92</f>
        <v/>
      </c>
      <c r="N92" s="10">
        <f>bkrcast_inbkr!M92</f>
        <v/>
      </c>
      <c r="O92" s="10">
        <f>bkrcast_outbkr!M92</f>
        <v/>
      </c>
      <c r="P92" s="10">
        <f>soundcast!M92</f>
        <v/>
      </c>
      <c r="Q92" s="53">
        <f>F92</f>
        <v/>
      </c>
    </row>
    <row r="93" spans="1:24">
      <c r="A93" t="n">
        <v>82</v>
      </c>
      <c r="B93" s="49" t="n">
        <v>0</v>
      </c>
      <c r="C93" s="49" t="n">
        <v>0</v>
      </c>
      <c r="D93" s="49" t="n">
        <v>0</v>
      </c>
      <c r="E93" s="49" t="n">
        <v>0</v>
      </c>
      <c r="F93" s="10">
        <f>bkrcast_all!F93</f>
        <v/>
      </c>
      <c r="H93" s="11" t="n">
        <v>82</v>
      </c>
      <c r="I93" s="51" t="n">
        <v>0</v>
      </c>
      <c r="J93" s="51" t="n">
        <v>0</v>
      </c>
      <c r="K93" s="51" t="n">
        <v>0</v>
      </c>
      <c r="L93" s="49">
        <f>SUM(I93:K93)</f>
        <v/>
      </c>
      <c r="M93" s="10">
        <f>bkrcast_all!M93</f>
        <v/>
      </c>
      <c r="N93" s="10">
        <f>bkrcast_inbkr!M93</f>
        <v/>
      </c>
      <c r="O93" s="10">
        <f>bkrcast_outbkr!M93</f>
        <v/>
      </c>
      <c r="P93" s="10">
        <f>soundcast!M93</f>
        <v/>
      </c>
      <c r="Q93" s="53">
        <f>F93</f>
        <v/>
      </c>
    </row>
    <row r="94" spans="1:24">
      <c r="A94" t="n">
        <v>83</v>
      </c>
      <c r="B94" s="49" t="n">
        <v>0</v>
      </c>
      <c r="C94" s="49" t="n">
        <v>0</v>
      </c>
      <c r="D94" s="49" t="n">
        <v>0</v>
      </c>
      <c r="E94" s="49" t="n">
        <v>0</v>
      </c>
      <c r="F94" s="10">
        <f>bkrcast_all!F94</f>
        <v/>
      </c>
      <c r="H94" s="11" t="n">
        <v>83</v>
      </c>
      <c r="I94" s="51" t="n">
        <v>9.94047619047619</v>
      </c>
      <c r="J94" s="51" t="n">
        <v>0</v>
      </c>
      <c r="K94" s="51" t="n">
        <v>0</v>
      </c>
      <c r="L94" s="49">
        <f>SUM(I94:K94)</f>
        <v/>
      </c>
      <c r="M94" s="10">
        <f>bkrcast_all!M94</f>
        <v/>
      </c>
      <c r="N94" s="10">
        <f>bkrcast_inbkr!M94</f>
        <v/>
      </c>
      <c r="O94" s="10">
        <f>bkrcast_outbkr!M94</f>
        <v/>
      </c>
      <c r="P94" s="10">
        <f>soundcast!M94</f>
        <v/>
      </c>
      <c r="Q94" s="53">
        <f>F94</f>
        <v/>
      </c>
    </row>
    <row r="95" spans="1:24">
      <c r="A95" t="n">
        <v>84</v>
      </c>
      <c r="B95" s="49" t="n">
        <v>0</v>
      </c>
      <c r="C95" s="49" t="n">
        <v>0</v>
      </c>
      <c r="D95" s="49" t="n">
        <v>0</v>
      </c>
      <c r="E95" s="49" t="n">
        <v>0</v>
      </c>
      <c r="F95" s="10">
        <f>bkrcast_all!F95</f>
        <v/>
      </c>
      <c r="H95" s="11" t="n">
        <v>84</v>
      </c>
      <c r="I95" s="51" t="n">
        <v>0</v>
      </c>
      <c r="J95" s="51" t="n">
        <v>0</v>
      </c>
      <c r="K95" s="51" t="n">
        <v>0</v>
      </c>
      <c r="L95" s="49">
        <f>SUM(I95:K95)</f>
        <v/>
      </c>
      <c r="M95" s="10">
        <f>bkrcast_all!M95</f>
        <v/>
      </c>
      <c r="N95" s="10">
        <f>bkrcast_inbkr!M95</f>
        <v/>
      </c>
      <c r="O95" s="10">
        <f>bkrcast_outbkr!M95</f>
        <v/>
      </c>
      <c r="P95" s="10">
        <f>soundcast!M95</f>
        <v/>
      </c>
      <c r="Q95" s="53">
        <f>F95</f>
        <v/>
      </c>
    </row>
    <row r="96" spans="1:24">
      <c r="A96" t="n">
        <v>85</v>
      </c>
      <c r="B96" s="49" t="n">
        <v>0</v>
      </c>
      <c r="C96" s="49" t="n">
        <v>0</v>
      </c>
      <c r="D96" s="49" t="n">
        <v>0</v>
      </c>
      <c r="E96" s="49" t="n">
        <v>0</v>
      </c>
      <c r="F96" s="10">
        <f>bkrcast_all!F96</f>
        <v/>
      </c>
      <c r="H96" s="11" t="n">
        <v>85</v>
      </c>
      <c r="I96" s="51" t="n">
        <v>0.25</v>
      </c>
      <c r="J96" s="51" t="n">
        <v>0</v>
      </c>
      <c r="K96" s="51" t="n">
        <v>0</v>
      </c>
      <c r="L96" s="49">
        <f>SUM(I96:K96)</f>
        <v/>
      </c>
      <c r="M96" s="10">
        <f>bkrcast_all!M96</f>
        <v/>
      </c>
      <c r="N96" s="10">
        <f>bkrcast_inbkr!M96</f>
        <v/>
      </c>
      <c r="O96" s="10">
        <f>bkrcast_outbkr!M96</f>
        <v/>
      </c>
      <c r="P96" s="10">
        <f>soundcast!M96</f>
        <v/>
      </c>
      <c r="Q96" s="53">
        <f>F96</f>
        <v/>
      </c>
    </row>
    <row r="97" spans="1:24">
      <c r="A97" t="n">
        <v>86</v>
      </c>
      <c r="B97" s="49" t="n">
        <v>0</v>
      </c>
      <c r="C97" s="49" t="n">
        <v>0</v>
      </c>
      <c r="D97" s="49" t="n">
        <v>0</v>
      </c>
      <c r="E97" s="49" t="n">
        <v>0</v>
      </c>
      <c r="F97" s="10">
        <f>bkrcast_all!F97</f>
        <v/>
      </c>
      <c r="H97" s="11" t="n">
        <v>86</v>
      </c>
      <c r="I97" s="51" t="n">
        <v>0</v>
      </c>
      <c r="J97" s="51" t="n">
        <v>0</v>
      </c>
      <c r="K97" s="51" t="n">
        <v>0</v>
      </c>
      <c r="L97" s="49">
        <f>SUM(I97:K97)</f>
        <v/>
      </c>
      <c r="M97" s="10">
        <f>bkrcast_all!M97</f>
        <v/>
      </c>
      <c r="N97" s="10">
        <f>bkrcast_inbkr!M97</f>
        <v/>
      </c>
      <c r="O97" s="10">
        <f>bkrcast_outbkr!M97</f>
        <v/>
      </c>
      <c r="P97" s="10">
        <f>soundcast!M97</f>
        <v/>
      </c>
      <c r="Q97" s="53">
        <f>F97</f>
        <v/>
      </c>
    </row>
    <row r="98" spans="1:24">
      <c r="A98" t="n">
        <v>87</v>
      </c>
      <c r="B98" s="49" t="n">
        <v>0</v>
      </c>
      <c r="C98" s="49" t="n">
        <v>0</v>
      </c>
      <c r="D98" s="49" t="n">
        <v>0</v>
      </c>
      <c r="E98" s="49" t="n">
        <v>0</v>
      </c>
      <c r="F98" s="10">
        <f>bkrcast_all!F98</f>
        <v/>
      </c>
      <c r="H98" s="11" t="n">
        <v>87</v>
      </c>
      <c r="I98" s="51" t="n">
        <v>0</v>
      </c>
      <c r="J98" s="51" t="n">
        <v>0</v>
      </c>
      <c r="K98" s="51" t="n">
        <v>0</v>
      </c>
      <c r="L98" s="49">
        <f>SUM(I98:K98)</f>
        <v/>
      </c>
      <c r="M98" s="10">
        <f>bkrcast_all!M98</f>
        <v/>
      </c>
      <c r="N98" s="10">
        <f>bkrcast_inbkr!M98</f>
        <v/>
      </c>
      <c r="O98" s="10">
        <f>bkrcast_outbkr!M98</f>
        <v/>
      </c>
      <c r="P98" s="10">
        <f>soundcast!M98</f>
        <v/>
      </c>
      <c r="Q98" s="53">
        <f>F98</f>
        <v/>
      </c>
    </row>
    <row r="99" spans="1:24">
      <c r="A99" t="n">
        <v>88</v>
      </c>
      <c r="B99" s="49" t="n">
        <v>0</v>
      </c>
      <c r="C99" s="49" t="n">
        <v>0</v>
      </c>
      <c r="D99" s="49" t="n">
        <v>0</v>
      </c>
      <c r="E99" s="49" t="n">
        <v>0</v>
      </c>
      <c r="F99" s="10">
        <f>bkrcast_all!F99</f>
        <v/>
      </c>
      <c r="H99" s="11" t="n">
        <v>88</v>
      </c>
      <c r="I99" s="51" t="n">
        <v>0</v>
      </c>
      <c r="J99" s="51" t="n">
        <v>0</v>
      </c>
      <c r="K99" s="51" t="n">
        <v>0</v>
      </c>
      <c r="L99" s="49">
        <f>SUM(I99:K99)</f>
        <v/>
      </c>
      <c r="M99" s="10">
        <f>bkrcast_all!M99</f>
        <v/>
      </c>
      <c r="N99" s="10">
        <f>bkrcast_inbkr!M99</f>
        <v/>
      </c>
      <c r="O99" s="10">
        <f>bkrcast_outbkr!M99</f>
        <v/>
      </c>
      <c r="P99" s="10">
        <f>soundcast!M99</f>
        <v/>
      </c>
      <c r="Q99" s="53">
        <f>F99</f>
        <v/>
      </c>
    </row>
    <row r="100" spans="1:24">
      <c r="A100" t="n">
        <v>89</v>
      </c>
      <c r="B100" s="49" t="n">
        <v>0</v>
      </c>
      <c r="C100" s="49" t="n">
        <v>0</v>
      </c>
      <c r="D100" s="49" t="n">
        <v>0</v>
      </c>
      <c r="E100" s="49" t="n">
        <v>0</v>
      </c>
      <c r="F100" s="10">
        <f>bkrcast_all!F100</f>
        <v/>
      </c>
      <c r="H100" s="11" t="n">
        <v>89</v>
      </c>
      <c r="I100" s="51" t="n">
        <v>0</v>
      </c>
      <c r="J100" s="51" t="n">
        <v>0</v>
      </c>
      <c r="K100" s="51" t="n">
        <v>0</v>
      </c>
      <c r="L100" s="49">
        <f>SUM(I100:K100)</f>
        <v/>
      </c>
      <c r="M100" s="10">
        <f>bkrcast_all!M100</f>
        <v/>
      </c>
      <c r="N100" s="10">
        <f>bkrcast_inbkr!M100</f>
        <v/>
      </c>
      <c r="O100" s="10">
        <f>bkrcast_outbkr!M100</f>
        <v/>
      </c>
      <c r="P100" s="10">
        <f>soundcast!M100</f>
        <v/>
      </c>
      <c r="Q100" s="53">
        <f>F100</f>
        <v/>
      </c>
    </row>
    <row customHeight="1" ht="15.75" r="101" s="52" spans="1:24">
      <c r="A101" s="1" t="n">
        <v>90</v>
      </c>
      <c r="B101" s="50" t="n">
        <v>0</v>
      </c>
      <c r="C101" s="50" t="n">
        <v>0</v>
      </c>
      <c r="D101" s="50" t="n">
        <v>0</v>
      </c>
      <c r="E101" s="50" t="n">
        <v>0</v>
      </c>
      <c r="F101" s="10">
        <f>bkrcast_all!F101</f>
        <v/>
      </c>
      <c r="H101" s="12" t="n">
        <v>90</v>
      </c>
      <c r="I101" s="50" t="n">
        <v>0</v>
      </c>
      <c r="J101" s="50" t="n">
        <v>0</v>
      </c>
      <c r="K101" s="50" t="n">
        <v>0</v>
      </c>
      <c r="L101" s="50">
        <f>SUM(I101:K101)</f>
        <v/>
      </c>
      <c r="M101" s="10">
        <f>bkrcast_all!M101</f>
        <v/>
      </c>
      <c r="N101" s="10">
        <f>bkrcast_inbkr!M101</f>
        <v/>
      </c>
      <c r="O101" s="10">
        <f>bkrcast_outbkr!M101</f>
        <v/>
      </c>
      <c r="P101" s="10">
        <f>soundcast!M101</f>
        <v/>
      </c>
      <c r="Q101" s="53">
        <f>F101</f>
        <v/>
      </c>
    </row>
    <row r="102" spans="1:24">
      <c r="B102" s="49" t="n"/>
      <c r="C102" s="49" t="n"/>
      <c r="D102" s="49" t="n"/>
      <c r="E102" s="49" t="n">
        <v>181346.2511604663</v>
      </c>
      <c r="F102" s="10">
        <f>bkrcast_all!F102</f>
        <v/>
      </c>
      <c r="I102" s="49" t="n"/>
      <c r="J102" s="49" t="n"/>
      <c r="K102" s="49" t="n"/>
      <c r="L102" s="49">
        <f>SUM(L11:L101)</f>
        <v/>
      </c>
      <c r="M102" s="10">
        <f>L102/$L$102</f>
        <v/>
      </c>
      <c r="N102" s="10" t="n">
        <v>1</v>
      </c>
      <c r="O102" s="10" t="n">
        <v>1</v>
      </c>
      <c r="P102" s="10" t="n">
        <v>1</v>
      </c>
    </row>
  </sheetData>
  <pageMargins bottom="0.75" footer="0.3" header="0.3" left="0.7" right="0.7" top="0.75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R102"/>
  <sheetViews>
    <sheetView workbookViewId="0">
      <selection activeCell="D34" sqref="D34"/>
    </sheetView>
  </sheetViews>
  <sheetFormatPr baseColWidth="10" defaultRowHeight="15" outlineLevelCol="0"/>
  <cols>
    <col collapsed="1" customWidth="1" max="1" min="1" style="52" width="13.5703125"/>
    <col collapsed="1" customWidth="1" max="2" min="2" style="52" width="10.5703125"/>
    <col collapsed="1" customWidth="1" max="4" min="3" style="52" width="9.28515625"/>
    <col collapsed="1" customWidth="1" max="5" min="5" style="52" width="10.5703125"/>
    <col collapsed="1" customWidth="1" max="9" min="9" style="52" width="10.5703125"/>
    <col collapsed="1" customWidth="1" max="11" min="10" style="52" width="9.5703125"/>
    <col collapsed="1" customWidth="1" max="12" min="12" style="52" width="10.5703125"/>
  </cols>
  <sheetData>
    <row r="1" spans="1:18">
      <c r="A1" t="s">
        <v>0</v>
      </c>
    </row>
    <row r="2" spans="1:18">
      <c r="A2" t="s">
        <v>1</v>
      </c>
    </row>
    <row r="3" spans="1:18">
      <c r="A3" t="s">
        <v>2</v>
      </c>
    </row>
    <row r="4" spans="1:18">
      <c r="A4" t="s">
        <v>3</v>
      </c>
    </row>
    <row r="5" spans="1:18">
      <c r="A5" t="s">
        <v>4</v>
      </c>
    </row>
    <row r="7" spans="1:18">
      <c r="A7" t="s">
        <v>5</v>
      </c>
    </row>
    <row customHeight="1" ht="15.75" r="9" s="52" spans="1:18">
      <c r="A9" s="3" t="s">
        <v>6</v>
      </c>
      <c r="B9" s="1" t="n"/>
      <c r="C9" s="1" t="n"/>
      <c r="D9" s="1" t="n"/>
      <c r="E9" s="1" t="n"/>
      <c r="F9" s="1" t="n"/>
      <c r="H9" s="3" t="s">
        <v>7</v>
      </c>
      <c r="I9" s="1" t="n"/>
      <c r="J9" s="1" t="n"/>
      <c r="K9" s="1" t="n"/>
      <c r="L9" s="1" t="n"/>
      <c r="M9" s="1" t="n"/>
      <c r="P9" s="7" t="s">
        <v>20</v>
      </c>
    </row>
    <row r="10" spans="1:18">
      <c r="A10" s="2" t="s">
        <v>9</v>
      </c>
      <c r="B10" s="17" t="s">
        <v>10</v>
      </c>
      <c r="C10" s="17" t="s">
        <v>11</v>
      </c>
      <c r="D10" s="17" t="s">
        <v>12</v>
      </c>
      <c r="E10" s="17" t="s">
        <v>13</v>
      </c>
      <c r="F10" s="9" t="s">
        <v>14</v>
      </c>
      <c r="H10" s="2" t="s">
        <v>9</v>
      </c>
      <c r="I10" s="17" t="s">
        <v>10</v>
      </c>
      <c r="J10" s="17" t="s">
        <v>11</v>
      </c>
      <c r="K10" s="17" t="s">
        <v>12</v>
      </c>
      <c r="L10" s="17" t="s">
        <v>13</v>
      </c>
      <c r="M10" s="9" t="s">
        <v>21</v>
      </c>
      <c r="P10" s="2" t="n"/>
      <c r="Q10" s="17" t="s">
        <v>14</v>
      </c>
      <c r="R10" s="17" t="s">
        <v>21</v>
      </c>
    </row>
    <row r="11" spans="1:18">
      <c r="A11" t="n">
        <v>0</v>
      </c>
      <c r="B11" s="49" t="n">
        <v>82124.0039136897</v>
      </c>
      <c r="C11" s="49" t="n">
        <v>1732.7144668347</v>
      </c>
      <c r="D11" s="49" t="n">
        <v>992.7625674935999</v>
      </c>
      <c r="E11" s="49" t="n">
        <v>84849.480948018</v>
      </c>
      <c r="F11" s="10" t="n">
        <v>0.32572519681531</v>
      </c>
      <c r="H11" s="11" t="n">
        <v>0</v>
      </c>
      <c r="I11" s="51" t="n">
        <v>26541</v>
      </c>
      <c r="J11" s="51" t="n">
        <v>22203</v>
      </c>
      <c r="K11" s="51" t="n">
        <v>9294</v>
      </c>
      <c r="L11" s="49" t="n">
        <v>58038</v>
      </c>
      <c r="M11" s="10" t="n">
        <v>0.3234017418826374</v>
      </c>
      <c r="P11" t="s">
        <v>10</v>
      </c>
      <c r="Q11" s="5" t="n">
        <v>2.505919755669253</v>
      </c>
      <c r="R11" s="5" t="n">
        <v>5.668088812237418</v>
      </c>
    </row>
    <row r="12" spans="1:18">
      <c r="A12" t="n">
        <v>1</v>
      </c>
      <c r="B12" s="49" t="n">
        <v>59588.21126732555</v>
      </c>
      <c r="C12" s="49" t="n">
        <v>1405.623795402548</v>
      </c>
      <c r="D12" s="49" t="n">
        <v>991.3475860719273</v>
      </c>
      <c r="E12" s="49" t="n">
        <v>61985.18264880003</v>
      </c>
      <c r="F12" s="10" t="n">
        <v>0.2379523786395649</v>
      </c>
      <c r="H12" s="11" t="n">
        <v>1</v>
      </c>
      <c r="I12" s="51" t="n">
        <v>17258</v>
      </c>
      <c r="J12" s="51" t="n">
        <v>9967</v>
      </c>
      <c r="K12" s="51" t="n">
        <v>3911</v>
      </c>
      <c r="L12" s="49" t="n">
        <v>31136</v>
      </c>
      <c r="M12" s="10" t="n">
        <v>0.1734973058213205</v>
      </c>
      <c r="P12" t="s">
        <v>11</v>
      </c>
      <c r="Q12" s="5" t="n">
        <v>3.033031225889374</v>
      </c>
      <c r="R12" s="5" t="n">
        <v>2.868584409765313</v>
      </c>
    </row>
    <row r="13" spans="1:18">
      <c r="A13" t="n">
        <v>2</v>
      </c>
      <c r="B13" s="49" t="n">
        <v>39934.99247009906</v>
      </c>
      <c r="C13" s="49" t="n">
        <v>1082.872161554742</v>
      </c>
      <c r="D13" s="49" t="n">
        <v>918.2389923725835</v>
      </c>
      <c r="E13" s="49" t="n">
        <v>41936.10362402639</v>
      </c>
      <c r="F13" s="10" t="n">
        <v>0.160986790419751</v>
      </c>
      <c r="H13" s="11" t="n">
        <v>2</v>
      </c>
      <c r="I13" s="51" t="n">
        <v>12192</v>
      </c>
      <c r="J13" s="51" t="n">
        <v>6360</v>
      </c>
      <c r="K13" s="51" t="n">
        <v>2631</v>
      </c>
      <c r="L13" s="49" t="n">
        <v>21183</v>
      </c>
      <c r="M13" s="10" t="n">
        <v>0.118036787937212</v>
      </c>
      <c r="P13" s="4" t="s">
        <v>12</v>
      </c>
      <c r="Q13" s="8" t="n">
        <v>1.934463824464156</v>
      </c>
      <c r="R13" s="8" t="n">
        <v>2.643972326756247</v>
      </c>
    </row>
    <row customHeight="1" ht="15.75" r="14" s="52" spans="1:18">
      <c r="A14" t="n">
        <v>3</v>
      </c>
      <c r="B14" s="49" t="n">
        <v>24899.53511054424</v>
      </c>
      <c r="C14" s="49" t="n">
        <v>779.9297584983456</v>
      </c>
      <c r="D14" s="49" t="n">
        <v>755.2499418958279</v>
      </c>
      <c r="E14" s="49" t="n">
        <v>26434.71481093841</v>
      </c>
      <c r="F14" s="10" t="n">
        <v>0.1014791438715411</v>
      </c>
      <c r="H14" s="11" t="n">
        <v>3</v>
      </c>
      <c r="I14" s="51" t="n">
        <v>8488</v>
      </c>
      <c r="J14" s="51" t="n">
        <v>3834</v>
      </c>
      <c r="K14" s="51" t="n">
        <v>1473</v>
      </c>
      <c r="L14" s="49" t="n">
        <v>13795</v>
      </c>
      <c r="M14" s="10" t="n">
        <v>0.07686906904564222</v>
      </c>
      <c r="P14" s="1" t="s">
        <v>13</v>
      </c>
      <c r="Q14" s="6" t="n">
        <v>2.505392979926509</v>
      </c>
      <c r="R14" s="6" t="n">
        <v>4.472355808838548</v>
      </c>
    </row>
    <row r="15" spans="1:18">
      <c r="A15" t="n">
        <v>4</v>
      </c>
      <c r="B15" s="49" t="n">
        <v>14675.3382274198</v>
      </c>
      <c r="C15" s="49" t="n">
        <v>520.0287434399543</v>
      </c>
      <c r="D15" s="49" t="n">
        <v>543.5682449996193</v>
      </c>
      <c r="E15" s="49" t="n">
        <v>15738.93521585937</v>
      </c>
      <c r="F15" s="10" t="n">
        <v>0.0604195537034568</v>
      </c>
      <c r="H15" s="11" t="n">
        <v>4</v>
      </c>
      <c r="I15" s="51" t="n">
        <v>6579</v>
      </c>
      <c r="J15" s="51" t="n">
        <v>2603</v>
      </c>
      <c r="K15" s="51" t="n">
        <v>1103</v>
      </c>
      <c r="L15" s="49" t="n">
        <v>10285</v>
      </c>
      <c r="M15" s="10" t="n">
        <v>0.05731050200322076</v>
      </c>
    </row>
    <row r="16" spans="1:18">
      <c r="A16" t="n">
        <v>5</v>
      </c>
      <c r="B16" s="49" t="n">
        <v>8358.709206353069</v>
      </c>
      <c r="C16" s="49" t="n">
        <v>320.4372500714323</v>
      </c>
      <c r="D16" s="49" t="n">
        <v>344.5342430961018</v>
      </c>
      <c r="E16" s="49" t="n">
        <v>9023.680699520603</v>
      </c>
      <c r="F16" s="10" t="n">
        <v>0.03464063821027441</v>
      </c>
      <c r="H16" s="11" t="n">
        <v>5</v>
      </c>
      <c r="I16" s="51" t="n">
        <v>4748</v>
      </c>
      <c r="J16" s="51" t="n">
        <v>2030</v>
      </c>
      <c r="K16" s="51" t="n">
        <v>726</v>
      </c>
      <c r="L16" s="49" t="n">
        <v>7504</v>
      </c>
      <c r="M16" s="10" t="n">
        <v>0.04181409888499451</v>
      </c>
    </row>
    <row r="17" spans="1:18">
      <c r="A17" t="n">
        <v>6</v>
      </c>
      <c r="B17" s="49" t="n">
        <v>4711.335966089855</v>
      </c>
      <c r="C17" s="49" t="n">
        <v>183.7451128908089</v>
      </c>
      <c r="D17" s="49" t="n">
        <v>197.7553106106296</v>
      </c>
      <c r="E17" s="49" t="n">
        <v>5092.836389591293</v>
      </c>
      <c r="F17" s="10" t="n">
        <v>0.01955068100374215</v>
      </c>
      <c r="H17" s="11" t="n">
        <v>6</v>
      </c>
      <c r="I17" s="51" t="n">
        <v>3550</v>
      </c>
      <c r="J17" s="51" t="n">
        <v>1434</v>
      </c>
      <c r="K17" s="51" t="n">
        <v>497</v>
      </c>
      <c r="L17" s="49" t="n">
        <v>5481</v>
      </c>
      <c r="M17" s="10" t="n">
        <v>0.03054145468931968</v>
      </c>
    </row>
    <row r="18" spans="1:18">
      <c r="A18" t="n">
        <v>7</v>
      </c>
      <c r="B18" s="49" t="n">
        <v>2699.740779688622</v>
      </c>
      <c r="C18" s="49" t="n">
        <v>100.6501711968213</v>
      </c>
      <c r="D18" s="49" t="n">
        <v>108.6644677509598</v>
      </c>
      <c r="E18" s="49" t="n">
        <v>2909.055418636403</v>
      </c>
      <c r="F18" s="10" t="n">
        <v>0.0111674536861633</v>
      </c>
      <c r="H18" s="11" t="n">
        <v>7</v>
      </c>
      <c r="I18" s="51" t="n">
        <v>2796</v>
      </c>
      <c r="J18" s="51" t="n">
        <v>1003</v>
      </c>
      <c r="K18" s="51" t="n">
        <v>372</v>
      </c>
      <c r="L18" s="49" t="n">
        <v>4171</v>
      </c>
      <c r="M18" s="10" t="n">
        <v>0.02324181855667805</v>
      </c>
    </row>
    <row r="19" spans="1:18">
      <c r="A19" t="n">
        <v>8</v>
      </c>
      <c r="B19" s="49" t="n">
        <v>1647.718480947164</v>
      </c>
      <c r="C19" s="49" t="n">
        <v>57.47681861978644</v>
      </c>
      <c r="D19" s="49" t="n">
        <v>61.77019094652493</v>
      </c>
      <c r="E19" s="49" t="n">
        <v>1766.965490513476</v>
      </c>
      <c r="F19" s="10" t="n">
        <v>0.006783131443266736</v>
      </c>
      <c r="H19" s="11" t="n">
        <v>8</v>
      </c>
      <c r="I19" s="51" t="n">
        <v>2345</v>
      </c>
      <c r="J19" s="51" t="n">
        <v>741</v>
      </c>
      <c r="K19" s="51" t="n">
        <v>266</v>
      </c>
      <c r="L19" s="49" t="n">
        <v>3352</v>
      </c>
      <c r="M19" s="10" t="n">
        <v>0.01867815291344637</v>
      </c>
    </row>
    <row r="20" spans="1:18">
      <c r="A20" t="n">
        <v>9</v>
      </c>
      <c r="B20" s="49" t="n">
        <v>1149.702420881481</v>
      </c>
      <c r="C20" s="49" t="n">
        <v>40.62105508563744</v>
      </c>
      <c r="D20" s="49" t="n">
        <v>38.25262385853878</v>
      </c>
      <c r="E20" s="49" t="n">
        <v>1228.576099825657</v>
      </c>
      <c r="F20" s="10" t="n">
        <v>0.004716330464808176</v>
      </c>
      <c r="H20" s="11" t="n">
        <v>9</v>
      </c>
      <c r="I20" s="51" t="n">
        <v>1952</v>
      </c>
      <c r="J20" s="51" t="n">
        <v>501</v>
      </c>
      <c r="K20" s="51" t="n">
        <v>175</v>
      </c>
      <c r="L20" s="49" t="n">
        <v>2628</v>
      </c>
      <c r="M20" s="10" t="n">
        <v>0.01464385019586428</v>
      </c>
    </row>
    <row r="21" spans="1:18">
      <c r="A21" t="n">
        <v>10</v>
      </c>
      <c r="B21" s="49" t="n">
        <v>947.2326060236538</v>
      </c>
      <c r="C21" s="49" t="n">
        <v>37.54666028904565</v>
      </c>
      <c r="D21" s="49" t="n">
        <v>25.06367063682423</v>
      </c>
      <c r="E21" s="49" t="n">
        <v>1009.842936949524</v>
      </c>
      <c r="F21" s="10" t="n">
        <v>0.003876644685569145</v>
      </c>
      <c r="H21" s="11" t="n">
        <v>10</v>
      </c>
      <c r="I21" s="51" t="n">
        <v>1765</v>
      </c>
      <c r="J21" s="51" t="n">
        <v>408</v>
      </c>
      <c r="K21" s="51" t="n">
        <v>159</v>
      </c>
      <c r="L21" s="49" t="n">
        <v>2332</v>
      </c>
      <c r="M21" s="10" t="n">
        <v>0.01299446676436663</v>
      </c>
    </row>
    <row r="22" spans="1:18">
      <c r="A22" t="n">
        <v>11</v>
      </c>
      <c r="B22" s="49" t="n">
        <v>866.6089729900007</v>
      </c>
      <c r="C22" s="49" t="n">
        <v>37.80721319357123</v>
      </c>
      <c r="D22" s="49" t="n">
        <v>15.95693242062146</v>
      </c>
      <c r="E22" s="49" t="n">
        <v>920.3731186041933</v>
      </c>
      <c r="F22" s="10" t="n">
        <v>0.003533182664777095</v>
      </c>
      <c r="H22" s="11" t="n">
        <v>11</v>
      </c>
      <c r="I22" s="51" t="n">
        <v>1605</v>
      </c>
      <c r="J22" s="51" t="n">
        <v>357</v>
      </c>
      <c r="K22" s="51" t="n">
        <v>108</v>
      </c>
      <c r="L22" s="49" t="n">
        <v>2070</v>
      </c>
      <c r="M22" s="10" t="n">
        <v>0.01153453953783831</v>
      </c>
    </row>
    <row r="23" spans="1:18">
      <c r="A23" t="n">
        <v>12</v>
      </c>
      <c r="B23" s="49" t="n">
        <v>806.5000572576066</v>
      </c>
      <c r="C23" s="49" t="n">
        <v>35.1770420052861</v>
      </c>
      <c r="D23" s="49" t="n">
        <v>9.111501498172185</v>
      </c>
      <c r="E23" s="49" t="n">
        <v>850.7886007610649</v>
      </c>
      <c r="F23" s="10" t="n">
        <v>0.003266057509543238</v>
      </c>
      <c r="H23" s="11" t="n">
        <v>12</v>
      </c>
      <c r="I23" s="51" t="n">
        <v>1502</v>
      </c>
      <c r="J23" s="51" t="n">
        <v>270</v>
      </c>
      <c r="K23" s="51" t="n">
        <v>92</v>
      </c>
      <c r="L23" s="49" t="n">
        <v>1864</v>
      </c>
      <c r="M23" s="10" t="n">
        <v>0.0103866578253771</v>
      </c>
    </row>
    <row r="24" spans="1:18">
      <c r="A24" t="n">
        <v>13</v>
      </c>
      <c r="B24" s="49" t="n">
        <v>728.1855391743456</v>
      </c>
      <c r="C24" s="49" t="n">
        <v>28.97713230758322</v>
      </c>
      <c r="D24" s="49" t="n">
        <v>4.4149706656231</v>
      </c>
      <c r="E24" s="49" t="n">
        <v>761.577642147552</v>
      </c>
      <c r="F24" s="10" t="n">
        <v>0.002923589214772276</v>
      </c>
      <c r="H24" s="11" t="n">
        <v>13</v>
      </c>
      <c r="I24" s="51" t="n">
        <v>1324</v>
      </c>
      <c r="J24" s="51" t="n">
        <v>275</v>
      </c>
      <c r="K24" s="51" t="n">
        <v>71</v>
      </c>
      <c r="L24" s="49" t="n">
        <v>1670</v>
      </c>
      <c r="M24" s="10" t="n">
        <v>0.009305643008787425</v>
      </c>
    </row>
    <row r="25" spans="1:18">
      <c r="A25" t="n">
        <v>14</v>
      </c>
      <c r="B25" s="49" t="n">
        <v>629.8283129324718</v>
      </c>
      <c r="C25" s="49" t="n">
        <v>22.91824743457952</v>
      </c>
      <c r="D25" s="49" t="n">
        <v>1.745488674421784</v>
      </c>
      <c r="E25" s="49" t="n">
        <v>654.4920490414731</v>
      </c>
      <c r="F25" s="10" t="n">
        <v>0.00251250271782681</v>
      </c>
      <c r="H25" s="11" t="n">
        <v>14</v>
      </c>
      <c r="I25" s="51" t="n">
        <v>1237</v>
      </c>
      <c r="J25" s="51" t="n">
        <v>205</v>
      </c>
      <c r="K25" s="51" t="n">
        <v>72</v>
      </c>
      <c r="L25" s="49" t="n">
        <v>1514</v>
      </c>
      <c r="M25" s="10" t="n">
        <v>0.008436373362457582</v>
      </c>
    </row>
    <row r="26" spans="1:18">
      <c r="A26" t="n">
        <v>15</v>
      </c>
      <c r="B26" s="49" t="n">
        <v>520.6170310116552</v>
      </c>
      <c r="C26" s="49" t="n">
        <v>21.90580053746016</v>
      </c>
      <c r="D26" s="49" t="n">
        <v>0.5435465759455891</v>
      </c>
      <c r="E26" s="49" t="n">
        <v>543.066378125061</v>
      </c>
      <c r="F26" s="10" t="n">
        <v>0.002084755273953094</v>
      </c>
      <c r="H26" s="11" t="n">
        <v>15</v>
      </c>
      <c r="I26" s="51" t="n">
        <v>1130</v>
      </c>
      <c r="J26" s="51" t="n">
        <v>169</v>
      </c>
      <c r="K26" s="51" t="n">
        <v>64</v>
      </c>
      <c r="L26" s="49" t="n">
        <v>1363</v>
      </c>
      <c r="M26" s="10" t="n">
        <v>0.007594964922740874</v>
      </c>
    </row>
    <row r="27" spans="1:18">
      <c r="A27" t="n">
        <v>16</v>
      </c>
      <c r="B27" s="49" t="n">
        <v>410.1283663813879</v>
      </c>
      <c r="C27" s="49" t="n">
        <v>28.51938255878476</v>
      </c>
      <c r="D27" s="49" t="n">
        <v>0.1278073227519608</v>
      </c>
      <c r="E27" s="49" t="n">
        <v>438.7755562629246</v>
      </c>
      <c r="F27" s="10" t="n">
        <v>0.001684397509856856</v>
      </c>
      <c r="H27" s="11" t="n">
        <v>16</v>
      </c>
      <c r="I27" s="51" t="n">
        <v>972</v>
      </c>
      <c r="J27" s="51" t="n">
        <v>166</v>
      </c>
      <c r="K27" s="51" t="n">
        <v>53</v>
      </c>
      <c r="L27" s="49" t="n">
        <v>1191</v>
      </c>
      <c r="M27" s="10" t="n">
        <v>0.006636539415248995</v>
      </c>
    </row>
    <row r="28" spans="1:18">
      <c r="A28" t="n">
        <v>17</v>
      </c>
      <c r="B28" s="49" t="n">
        <v>308.2943189218672</v>
      </c>
      <c r="C28" s="49" t="n">
        <v>40.82708019452624</v>
      </c>
      <c r="D28" s="49" t="n">
        <v>0.02130122045866013</v>
      </c>
      <c r="E28" s="49" t="n">
        <v>349.142700336852</v>
      </c>
      <c r="F28" s="10" t="n">
        <v>0.001340309610774425</v>
      </c>
      <c r="H28" s="11" t="n">
        <v>17</v>
      </c>
      <c r="I28" s="51" t="n">
        <v>812</v>
      </c>
      <c r="J28" s="51" t="n">
        <v>119</v>
      </c>
      <c r="K28" s="51" t="n">
        <v>42</v>
      </c>
      <c r="L28" s="49" t="n">
        <v>973</v>
      </c>
      <c r="M28" s="10" t="n">
        <v>0.005421790806916266</v>
      </c>
    </row>
    <row r="29" spans="1:18">
      <c r="A29" t="n">
        <v>18</v>
      </c>
      <c r="B29" s="49" t="n">
        <v>225.1025710417282</v>
      </c>
      <c r="C29" s="49" t="n">
        <v>52.81101424112508</v>
      </c>
      <c r="D29" s="49" t="n">
        <v>0.00224223373249054</v>
      </c>
      <c r="E29" s="49" t="n">
        <v>277.9158275165858</v>
      </c>
      <c r="F29" s="10" t="n">
        <v>0.001066879686292815</v>
      </c>
      <c r="H29" s="11" t="n">
        <v>18</v>
      </c>
      <c r="I29" s="51" t="n">
        <v>759</v>
      </c>
      <c r="J29" s="51" t="n">
        <v>109</v>
      </c>
      <c r="K29" s="51" t="n">
        <v>26</v>
      </c>
      <c r="L29" s="49" t="n">
        <v>894</v>
      </c>
      <c r="M29" s="10" t="n">
        <v>0.004981583742428717</v>
      </c>
    </row>
    <row r="30" spans="1:18">
      <c r="A30" t="n">
        <v>19</v>
      </c>
      <c r="B30" s="49" t="n">
        <v>168.4087656874511</v>
      </c>
      <c r="C30" s="49" t="n">
        <v>57.71226865325315</v>
      </c>
      <c r="D30" s="49" t="n">
        <v>0.000112111686624527</v>
      </c>
      <c r="E30" s="49" t="n">
        <v>226.1211464523909</v>
      </c>
      <c r="F30" s="10" t="n">
        <v>0.0008680472067640742</v>
      </c>
      <c r="H30" s="11" t="n">
        <v>19</v>
      </c>
      <c r="I30" s="51" t="n">
        <v>656</v>
      </c>
      <c r="J30" s="51" t="n">
        <v>105</v>
      </c>
      <c r="K30" s="51" t="n">
        <v>36</v>
      </c>
      <c r="L30" s="49" t="n">
        <v>797</v>
      </c>
      <c r="M30" s="10" t="n">
        <v>0.004441076334133879</v>
      </c>
    </row>
    <row r="31" spans="1:18">
      <c r="A31" t="n">
        <v>20</v>
      </c>
      <c r="B31" s="49" t="n">
        <v>143.0122259167903</v>
      </c>
      <c r="C31" s="49" t="n">
        <v>52.39805842109303</v>
      </c>
      <c r="D31" s="49" t="n">
        <v>0</v>
      </c>
      <c r="E31" s="49" t="n">
        <v>195.4102843378833</v>
      </c>
      <c r="F31" s="10" t="n">
        <v>0.0007501525361679841</v>
      </c>
      <c r="H31" s="11" t="n">
        <v>20</v>
      </c>
      <c r="I31" s="51" t="n">
        <v>638</v>
      </c>
      <c r="J31" s="51" t="n">
        <v>95</v>
      </c>
      <c r="K31" s="51" t="n">
        <v>25</v>
      </c>
      <c r="L31" s="49" t="n">
        <v>758</v>
      </c>
      <c r="M31" s="10" t="n">
        <v>0.004223758922551418</v>
      </c>
    </row>
    <row r="32" spans="1:18">
      <c r="A32" t="n">
        <v>21</v>
      </c>
      <c r="B32" s="49" t="n">
        <v>149.5108816476307</v>
      </c>
      <c r="C32" s="49" t="n">
        <v>39.28993869230666</v>
      </c>
      <c r="D32" s="49" t="n">
        <v>0</v>
      </c>
      <c r="E32" s="49" t="n">
        <v>188.8008203399374</v>
      </c>
      <c r="F32" s="10" t="n">
        <v>0.000724779735562479</v>
      </c>
      <c r="H32" s="11" t="n">
        <v>21</v>
      </c>
      <c r="I32" s="51" t="n">
        <v>585</v>
      </c>
      <c r="J32" s="51" t="n">
        <v>80</v>
      </c>
      <c r="K32" s="51" t="n">
        <v>20</v>
      </c>
      <c r="L32" s="49" t="n">
        <v>685</v>
      </c>
      <c r="M32" s="10" t="n">
        <v>0.003816985305999632</v>
      </c>
    </row>
    <row r="33" spans="1:18">
      <c r="A33" t="n">
        <v>22</v>
      </c>
      <c r="B33" s="49" t="n">
        <v>180.2761762386295</v>
      </c>
      <c r="C33" s="49" t="n">
        <v>24.17772845256059</v>
      </c>
      <c r="D33" s="49" t="n">
        <v>0</v>
      </c>
      <c r="E33" s="49" t="n">
        <v>204.4539046911901</v>
      </c>
      <c r="F33" s="10" t="n">
        <v>0.0007848697198984119</v>
      </c>
      <c r="H33" s="11" t="n">
        <v>22</v>
      </c>
      <c r="I33" s="51" t="n">
        <v>474</v>
      </c>
      <c r="J33" s="51" t="n">
        <v>64</v>
      </c>
      <c r="K33" s="51" t="n">
        <v>22</v>
      </c>
      <c r="L33" s="49" t="n">
        <v>560</v>
      </c>
      <c r="M33" s="10" t="n">
        <v>0.003120455140671232</v>
      </c>
    </row>
    <row r="34" spans="1:18">
      <c r="A34" t="n">
        <v>23</v>
      </c>
      <c r="B34" s="49" t="n">
        <v>216.8565616926032</v>
      </c>
      <c r="C34" s="49" t="n">
        <v>12.08883745717815</v>
      </c>
      <c r="D34" s="49" t="n">
        <v>0</v>
      </c>
      <c r="E34" s="49" t="n">
        <v>228.9453991497814</v>
      </c>
      <c r="F34" s="10" t="n">
        <v>0.0008788891147573274</v>
      </c>
      <c r="H34" s="11" t="n">
        <v>23</v>
      </c>
      <c r="I34" s="51" t="n">
        <v>469</v>
      </c>
      <c r="J34" s="51" t="n">
        <v>43</v>
      </c>
      <c r="K34" s="51" t="n">
        <v>17</v>
      </c>
      <c r="L34" s="49" t="n">
        <v>529</v>
      </c>
      <c r="M34" s="10" t="n">
        <v>0.002947715659669789</v>
      </c>
    </row>
    <row r="35" spans="1:18">
      <c r="A35" t="n">
        <v>24</v>
      </c>
      <c r="B35" s="49" t="n">
        <v>236.2594056548159</v>
      </c>
      <c r="C35" s="49" t="n">
        <v>4.835534982871263</v>
      </c>
      <c r="D35" s="49" t="n">
        <v>0</v>
      </c>
      <c r="E35" s="49" t="n">
        <v>241.0949406376872</v>
      </c>
      <c r="F35" s="10" t="n">
        <v>0.0009255294919069337</v>
      </c>
      <c r="H35" s="11" t="n">
        <v>24</v>
      </c>
      <c r="I35" s="51" t="n">
        <v>411</v>
      </c>
      <c r="J35" s="51" t="n">
        <v>41</v>
      </c>
      <c r="K35" s="51" t="n">
        <v>9</v>
      </c>
      <c r="L35" s="49" t="n">
        <v>461</v>
      </c>
      <c r="M35" s="10" t="n">
        <v>0.00256880324973114</v>
      </c>
    </row>
    <row r="36" spans="1:18">
      <c r="A36" t="n">
        <v>25</v>
      </c>
      <c r="B36" s="49" t="n">
        <v>224.6048007446109</v>
      </c>
      <c r="C36" s="49" t="n">
        <v>1.511104682147269</v>
      </c>
      <c r="D36" s="49" t="n">
        <v>0</v>
      </c>
      <c r="E36" s="49" t="n">
        <v>226.1159054267581</v>
      </c>
      <c r="F36" s="10" t="n">
        <v>0.0008680270872054552</v>
      </c>
      <c r="H36" s="11" t="n">
        <v>25</v>
      </c>
      <c r="I36" s="51" t="n">
        <v>342</v>
      </c>
      <c r="J36" s="51" t="n">
        <v>45</v>
      </c>
      <c r="K36" s="51" t="n">
        <v>13</v>
      </c>
      <c r="L36" s="49" t="n">
        <v>400</v>
      </c>
      <c r="M36" s="10" t="n">
        <v>0.00222889652905088</v>
      </c>
    </row>
    <row r="37" spans="1:18">
      <c r="A37" t="n">
        <v>26</v>
      </c>
      <c r="B37" s="49" t="n">
        <v>186.2471257140401</v>
      </c>
      <c r="C37" s="49" t="n">
        <v>0.355554042858181</v>
      </c>
      <c r="D37" s="49" t="n">
        <v>0</v>
      </c>
      <c r="E37" s="49" t="n">
        <v>186.6026797568983</v>
      </c>
      <c r="F37" s="10" t="n">
        <v>0.0007163413837182673</v>
      </c>
      <c r="H37" s="11" t="n">
        <v>26</v>
      </c>
      <c r="I37" s="51" t="n">
        <v>255</v>
      </c>
      <c r="J37" s="51" t="n">
        <v>41</v>
      </c>
      <c r="K37" s="51" t="n">
        <v>15</v>
      </c>
      <c r="L37" s="49" t="n">
        <v>311</v>
      </c>
      <c r="M37" s="10" t="n">
        <v>0.001732967051337059</v>
      </c>
    </row>
    <row r="38" spans="1:18">
      <c r="A38" t="n">
        <v>27</v>
      </c>
      <c r="B38" s="49" t="n">
        <v>139.5732567319521</v>
      </c>
      <c r="C38" s="49" t="n">
        <v>0.05925900714303017</v>
      </c>
      <c r="D38" s="49" t="n">
        <v>0</v>
      </c>
      <c r="E38" s="49" t="n">
        <v>139.6325157390952</v>
      </c>
      <c r="F38" s="10" t="n">
        <v>0.0005360295450575301</v>
      </c>
      <c r="H38" s="11" t="n">
        <v>27</v>
      </c>
      <c r="I38" s="51" t="n">
        <v>253</v>
      </c>
      <c r="J38" s="51" t="n">
        <v>29</v>
      </c>
      <c r="K38" s="51" t="n">
        <v>11</v>
      </c>
      <c r="L38" s="49" t="n">
        <v>293</v>
      </c>
      <c r="M38" s="10" t="n">
        <v>0.00163266670752977</v>
      </c>
    </row>
    <row r="39" spans="1:18">
      <c r="A39" t="n">
        <v>28</v>
      </c>
      <c r="B39" s="49" t="n">
        <v>104.1620032948498</v>
      </c>
      <c r="C39" s="49" t="n">
        <v>0.006237790225582122</v>
      </c>
      <c r="D39" s="49" t="n">
        <v>0</v>
      </c>
      <c r="E39" s="49" t="n">
        <v>104.1682410850754</v>
      </c>
      <c r="F39" s="10" t="n">
        <v>0.00039988719377232</v>
      </c>
      <c r="H39" s="11" t="n">
        <v>28</v>
      </c>
      <c r="I39" s="51" t="n">
        <v>269</v>
      </c>
      <c r="J39" s="51" t="n">
        <v>27</v>
      </c>
      <c r="K39" s="51" t="n">
        <v>9</v>
      </c>
      <c r="L39" s="49" t="n">
        <v>305</v>
      </c>
      <c r="M39" s="10" t="n">
        <v>0.001699533603401296</v>
      </c>
    </row>
    <row r="40" spans="1:18">
      <c r="A40" t="n">
        <v>29</v>
      </c>
      <c r="B40" s="49" t="n">
        <v>91.00438792463791</v>
      </c>
      <c r="C40" s="49" t="n">
        <v>0.0003118895112791062</v>
      </c>
      <c r="D40" s="49" t="n">
        <v>0</v>
      </c>
      <c r="E40" s="49" t="n">
        <v>91.00469981414919</v>
      </c>
      <c r="F40" s="10" t="n">
        <v>0.0003493542143910354</v>
      </c>
      <c r="H40" s="11" t="n">
        <v>29</v>
      </c>
      <c r="I40" s="51" t="n">
        <v>245</v>
      </c>
      <c r="J40" s="51" t="n">
        <v>30</v>
      </c>
      <c r="K40" s="51" t="n">
        <v>7</v>
      </c>
      <c r="L40" s="49" t="n">
        <v>282</v>
      </c>
      <c r="M40" s="10" t="n">
        <v>0.00157137205298087</v>
      </c>
    </row>
    <row r="41" spans="1:18">
      <c r="A41" t="n">
        <v>30</v>
      </c>
      <c r="B41" s="49" t="n">
        <v>101.1284884519488</v>
      </c>
      <c r="C41" s="49" t="n">
        <v>0</v>
      </c>
      <c r="D41" s="49" t="n">
        <v>0</v>
      </c>
      <c r="E41" s="49" t="n">
        <v>101.1284884519488</v>
      </c>
      <c r="F41" s="10" t="n">
        <v>0.0003882180119030565</v>
      </c>
      <c r="H41" s="11" t="n">
        <v>30</v>
      </c>
      <c r="I41" s="51" t="n">
        <v>211</v>
      </c>
      <c r="J41" s="51" t="n">
        <v>27</v>
      </c>
      <c r="K41" s="51" t="n">
        <v>8</v>
      </c>
      <c r="L41" s="49" t="n">
        <v>246</v>
      </c>
      <c r="M41" s="10" t="n">
        <v>0.001370771365366291</v>
      </c>
    </row>
    <row r="42" spans="1:18">
      <c r="A42" t="n">
        <v>31</v>
      </c>
      <c r="B42" s="49" t="n">
        <v>128.4788188716203</v>
      </c>
      <c r="C42" s="49" t="n">
        <v>0</v>
      </c>
      <c r="D42" s="49" t="n">
        <v>0</v>
      </c>
      <c r="E42" s="49" t="n">
        <v>128.4788188716203</v>
      </c>
      <c r="F42" s="10" t="n">
        <v>0.0004932120750296075</v>
      </c>
      <c r="H42" s="11" t="n">
        <v>31</v>
      </c>
      <c r="I42" s="51" t="n">
        <v>176</v>
      </c>
      <c r="J42" s="51" t="n">
        <v>13</v>
      </c>
      <c r="K42" s="51" t="n">
        <v>8</v>
      </c>
      <c r="L42" s="49" t="n">
        <v>197</v>
      </c>
      <c r="M42" s="10" t="n">
        <v>0.001097731540557558</v>
      </c>
    </row>
    <row r="43" spans="1:18">
      <c r="A43" t="n">
        <v>32</v>
      </c>
      <c r="B43" s="49" t="n">
        <v>161.7449176564964</v>
      </c>
      <c r="C43" s="49" t="n">
        <v>0</v>
      </c>
      <c r="D43" s="49" t="n">
        <v>0</v>
      </c>
      <c r="E43" s="49" t="n">
        <v>161.7449176564964</v>
      </c>
      <c r="F43" s="10" t="n">
        <v>0.0006209159390122241</v>
      </c>
      <c r="H43" s="11" t="n">
        <v>32</v>
      </c>
      <c r="I43" s="51" t="n">
        <v>158</v>
      </c>
      <c r="J43" s="51" t="n">
        <v>18</v>
      </c>
      <c r="K43" s="51" t="n">
        <v>6</v>
      </c>
      <c r="L43" s="49" t="n">
        <v>182</v>
      </c>
      <c r="M43" s="10" t="n">
        <v>0.001014147920718151</v>
      </c>
    </row>
    <row r="44" spans="1:18">
      <c r="A44" t="n">
        <v>33</v>
      </c>
      <c r="B44" s="49" t="n">
        <v>185.8778203069855</v>
      </c>
      <c r="C44" s="49" t="n">
        <v>0</v>
      </c>
      <c r="D44" s="49" t="n">
        <v>0</v>
      </c>
      <c r="E44" s="49" t="n">
        <v>185.8778203069855</v>
      </c>
      <c r="F44" s="10" t="n">
        <v>0.0007135587504676182</v>
      </c>
      <c r="H44" s="11" t="n">
        <v>33</v>
      </c>
      <c r="I44" s="51" t="n">
        <v>142</v>
      </c>
      <c r="J44" s="51" t="n">
        <v>16</v>
      </c>
      <c r="K44" s="51" t="n">
        <v>1</v>
      </c>
      <c r="L44" s="49" t="n">
        <v>159</v>
      </c>
      <c r="M44" s="10" t="n">
        <v>0.0008859863702977248</v>
      </c>
    </row>
    <row r="45" spans="1:18">
      <c r="A45" t="n">
        <v>34</v>
      </c>
      <c r="B45" s="49" t="n">
        <v>187.2678632680132</v>
      </c>
      <c r="C45" s="49" t="n">
        <v>0</v>
      </c>
      <c r="D45" s="49" t="n">
        <v>0</v>
      </c>
      <c r="E45" s="49" t="n">
        <v>187.2678632680132</v>
      </c>
      <c r="F45" s="10" t="n">
        <v>0.0007188949294519051</v>
      </c>
      <c r="H45" s="11" t="n">
        <v>34</v>
      </c>
      <c r="I45" s="51" t="n">
        <v>138</v>
      </c>
      <c r="J45" s="51" t="n">
        <v>18</v>
      </c>
      <c r="K45" s="51" t="n">
        <v>1</v>
      </c>
      <c r="L45" s="49" t="n">
        <v>157</v>
      </c>
      <c r="M45" s="10" t="n">
        <v>0.0008748418876524704</v>
      </c>
    </row>
    <row r="46" spans="1:18">
      <c r="A46" t="n">
        <v>35</v>
      </c>
      <c r="B46" s="49" t="n">
        <v>161.7152977704696</v>
      </c>
      <c r="C46" s="49" t="n">
        <v>0</v>
      </c>
      <c r="D46" s="49" t="n">
        <v>0</v>
      </c>
      <c r="E46" s="49" t="n">
        <v>161.7152977704696</v>
      </c>
      <c r="F46" s="10" t="n">
        <v>0.0006208022324450426</v>
      </c>
      <c r="H46" s="11" t="n">
        <v>35</v>
      </c>
      <c r="I46" s="51" t="n">
        <v>132</v>
      </c>
      <c r="J46" s="51" t="n">
        <v>7</v>
      </c>
      <c r="K46" s="51" t="n">
        <v>5</v>
      </c>
      <c r="L46" s="49" t="n">
        <v>144</v>
      </c>
      <c r="M46" s="10" t="n">
        <v>0.0008024027504583168</v>
      </c>
    </row>
    <row r="47" spans="1:18">
      <c r="A47" t="n">
        <v>36</v>
      </c>
      <c r="B47" s="49" t="n">
        <v>118.1645031976188</v>
      </c>
      <c r="C47" s="49" t="n">
        <v>0</v>
      </c>
      <c r="D47" s="49" t="n">
        <v>0</v>
      </c>
      <c r="E47" s="49" t="n">
        <v>118.1645031976188</v>
      </c>
      <c r="F47" s="10" t="n">
        <v>0.0004536168710826604</v>
      </c>
      <c r="H47" s="11" t="n">
        <v>36</v>
      </c>
      <c r="I47" s="51" t="n">
        <v>135</v>
      </c>
      <c r="J47" s="51" t="n">
        <v>15</v>
      </c>
      <c r="K47" s="51" t="n">
        <v>0</v>
      </c>
      <c r="L47" s="49" t="n">
        <v>150</v>
      </c>
      <c r="M47" s="10" t="n">
        <v>0.0008358361983940801</v>
      </c>
    </row>
    <row r="48" spans="1:18">
      <c r="A48" t="n">
        <v>37</v>
      </c>
      <c r="B48" s="49" t="n">
        <v>73.53277543065617</v>
      </c>
      <c r="C48" s="49" t="n">
        <v>0</v>
      </c>
      <c r="D48" s="49" t="n">
        <v>0</v>
      </c>
      <c r="E48" s="49" t="n">
        <v>73.53277543065617</v>
      </c>
      <c r="F48" s="10" t="n">
        <v>0.0002822819595584805</v>
      </c>
      <c r="H48" s="11" t="n">
        <v>37</v>
      </c>
      <c r="I48" s="51" t="n">
        <v>113</v>
      </c>
      <c r="J48" s="51" t="n">
        <v>7</v>
      </c>
      <c r="K48" s="51" t="n">
        <v>4</v>
      </c>
      <c r="L48" s="49" t="n">
        <v>124</v>
      </c>
      <c r="M48" s="10" t="n">
        <v>0.0006909579240057728</v>
      </c>
    </row>
    <row r="49" spans="1:18">
      <c r="A49" t="n">
        <v>38</v>
      </c>
      <c r="B49" s="49" t="n">
        <v>42.92292267353547</v>
      </c>
      <c r="C49" s="49" t="n">
        <v>0</v>
      </c>
      <c r="D49" s="49" t="n">
        <v>0</v>
      </c>
      <c r="E49" s="49" t="n">
        <v>42.92292267353547</v>
      </c>
      <c r="F49" s="10" t="n">
        <v>0.0001647750496469273</v>
      </c>
      <c r="H49" s="11" t="n">
        <v>38</v>
      </c>
      <c r="I49" s="51" t="n">
        <v>109</v>
      </c>
      <c r="J49" s="51" t="n">
        <v>8</v>
      </c>
      <c r="K49" s="51" t="n">
        <v>1</v>
      </c>
      <c r="L49" s="49" t="n">
        <v>118</v>
      </c>
      <c r="M49" s="10" t="n">
        <v>0.0006575244760700096</v>
      </c>
    </row>
    <row r="50" spans="1:18">
      <c r="A50" t="n">
        <v>39</v>
      </c>
      <c r="B50" s="49" t="n">
        <v>33.26208917009636</v>
      </c>
      <c r="C50" s="49" t="n">
        <v>0</v>
      </c>
      <c r="D50" s="49" t="n">
        <v>0</v>
      </c>
      <c r="E50" s="49" t="n">
        <v>33.26208917009636</v>
      </c>
      <c r="F50" s="10" t="n">
        <v>0.0001276884716366802</v>
      </c>
      <c r="H50" s="11" t="n">
        <v>39</v>
      </c>
      <c r="I50" s="51" t="n">
        <v>97</v>
      </c>
      <c r="J50" s="51" t="n">
        <v>6</v>
      </c>
      <c r="K50" s="51" t="n">
        <v>2</v>
      </c>
      <c r="L50" s="49" t="n">
        <v>105</v>
      </c>
      <c r="M50" s="10" t="n">
        <v>0.000585085338875856</v>
      </c>
    </row>
    <row r="51" spans="1:18">
      <c r="A51" t="n">
        <v>40</v>
      </c>
      <c r="B51" s="49" t="n">
        <v>42.8539589914586</v>
      </c>
      <c r="C51" s="49" t="n">
        <v>0</v>
      </c>
      <c r="D51" s="49" t="n">
        <v>0</v>
      </c>
      <c r="E51" s="49" t="n">
        <v>42.8539589914586</v>
      </c>
      <c r="F51" s="10" t="n">
        <v>0.0001645103077926859</v>
      </c>
      <c r="H51" s="11" t="n">
        <v>40</v>
      </c>
      <c r="I51" s="51" t="n">
        <v>85</v>
      </c>
      <c r="J51" s="51" t="n">
        <v>6</v>
      </c>
      <c r="K51" s="51" t="n">
        <v>2</v>
      </c>
      <c r="L51" s="49" t="n">
        <v>93</v>
      </c>
      <c r="M51" s="10" t="n">
        <v>0.0005182184430043296</v>
      </c>
    </row>
    <row r="52" spans="1:18">
      <c r="A52" t="n">
        <v>41</v>
      </c>
      <c r="B52" s="49" t="n">
        <v>63.56213732138399</v>
      </c>
      <c r="C52" s="49" t="n">
        <v>0</v>
      </c>
      <c r="D52" s="49" t="n">
        <v>0</v>
      </c>
      <c r="E52" s="49" t="n">
        <v>63.56213732138399</v>
      </c>
      <c r="F52" s="10" t="n">
        <v>0.0002440060853370864</v>
      </c>
      <c r="H52" s="11" t="n">
        <v>41</v>
      </c>
      <c r="I52" s="51" t="n">
        <v>92</v>
      </c>
      <c r="J52" s="51" t="n">
        <v>4</v>
      </c>
      <c r="K52" s="51" t="n">
        <v>4</v>
      </c>
      <c r="L52" s="49" t="n">
        <v>100</v>
      </c>
      <c r="M52" s="10" t="n">
        <v>0.00055722413226272</v>
      </c>
    </row>
    <row r="53" spans="1:18">
      <c r="A53" t="n">
        <v>42</v>
      </c>
      <c r="B53" s="49" t="n">
        <v>83.55069217598418</v>
      </c>
      <c r="C53" s="49" t="n">
        <v>0</v>
      </c>
      <c r="D53" s="49" t="n">
        <v>0</v>
      </c>
      <c r="E53" s="49" t="n">
        <v>83.55069217598418</v>
      </c>
      <c r="F53" s="10" t="n">
        <v>0.0003207393297992065</v>
      </c>
      <c r="H53" s="11" t="n">
        <v>42</v>
      </c>
      <c r="I53" s="51" t="n">
        <v>68</v>
      </c>
      <c r="J53" s="51" t="n">
        <v>7</v>
      </c>
      <c r="K53" s="51" t="n">
        <v>2</v>
      </c>
      <c r="L53" s="49" t="n">
        <v>77</v>
      </c>
      <c r="M53" s="10" t="n">
        <v>0.0004290625818422944</v>
      </c>
    </row>
    <row r="54" spans="1:18">
      <c r="A54" t="n">
        <v>43</v>
      </c>
      <c r="B54" s="49" t="n">
        <v>91.7354519051521</v>
      </c>
      <c r="C54" s="49" t="n">
        <v>0</v>
      </c>
      <c r="D54" s="49" t="n">
        <v>0</v>
      </c>
      <c r="E54" s="49" t="n">
        <v>91.7354519051521</v>
      </c>
      <c r="F54" s="10" t="n">
        <v>0.0003521594686601917</v>
      </c>
      <c r="H54" s="11" t="n">
        <v>43</v>
      </c>
      <c r="I54" s="51" t="n">
        <v>82</v>
      </c>
      <c r="J54" s="51" t="n">
        <v>3</v>
      </c>
      <c r="K54" s="51" t="n">
        <v>3</v>
      </c>
      <c r="L54" s="49" t="n">
        <v>88</v>
      </c>
      <c r="M54" s="10" t="n">
        <v>0.0004903572363911936</v>
      </c>
    </row>
    <row r="55" spans="1:18">
      <c r="A55" t="n">
        <v>44</v>
      </c>
      <c r="B55" s="49" t="n">
        <v>83.38038268755369</v>
      </c>
      <c r="C55" s="49" t="n">
        <v>0</v>
      </c>
      <c r="D55" s="49" t="n">
        <v>0</v>
      </c>
      <c r="E55" s="49" t="n">
        <v>83.38038268755369</v>
      </c>
      <c r="F55" s="10" t="n">
        <v>0.0003200855356802711</v>
      </c>
      <c r="H55" s="11" t="n">
        <v>44</v>
      </c>
      <c r="I55" s="51" t="n">
        <v>66</v>
      </c>
      <c r="J55" s="51" t="n">
        <v>4</v>
      </c>
      <c r="K55" s="51" t="n">
        <v>3</v>
      </c>
      <c r="L55" s="49" t="n">
        <v>73</v>
      </c>
      <c r="M55" s="10" t="n">
        <v>0.0004067736165517856</v>
      </c>
    </row>
    <row r="56" spans="1:18">
      <c r="A56" t="n">
        <v>45</v>
      </c>
      <c r="B56" s="49" t="n">
        <v>62.53461118436196</v>
      </c>
      <c r="C56" s="49" t="n">
        <v>0</v>
      </c>
      <c r="D56" s="49" t="n">
        <v>0</v>
      </c>
      <c r="E56" s="49" t="n">
        <v>62.53461118436196</v>
      </c>
      <c r="F56" s="10" t="n">
        <v>0.0002400615573390964</v>
      </c>
      <c r="H56" s="11" t="n">
        <v>45</v>
      </c>
      <c r="I56" s="51" t="n">
        <v>51</v>
      </c>
      <c r="J56" s="51" t="n">
        <v>5</v>
      </c>
      <c r="K56" s="51" t="n">
        <v>0</v>
      </c>
      <c r="L56" s="49" t="n">
        <v>56</v>
      </c>
      <c r="M56" s="10" t="n">
        <v>0.0003120455140671232</v>
      </c>
    </row>
    <row r="57" spans="1:18">
      <c r="A57" t="n">
        <v>46</v>
      </c>
      <c r="B57" s="49" t="n">
        <v>38.48283765191506</v>
      </c>
      <c r="C57" s="49" t="n">
        <v>0</v>
      </c>
      <c r="D57" s="49" t="n">
        <v>0</v>
      </c>
      <c r="E57" s="49" t="n">
        <v>38.48283765191506</v>
      </c>
      <c r="F57" s="10" t="n">
        <v>0.0001477301891317516</v>
      </c>
      <c r="H57" s="11" t="n">
        <v>46</v>
      </c>
      <c r="I57" s="51" t="n">
        <v>39</v>
      </c>
      <c r="J57" s="51" t="n">
        <v>4</v>
      </c>
      <c r="K57" s="51" t="n">
        <v>0</v>
      </c>
      <c r="L57" s="49" t="n">
        <v>43</v>
      </c>
      <c r="M57" s="10" t="n">
        <v>0.0002396063768729696</v>
      </c>
    </row>
    <row r="58" spans="1:18">
      <c r="A58" t="n">
        <v>47</v>
      </c>
      <c r="B58" s="49" t="n">
        <v>19.24141882595753</v>
      </c>
      <c r="C58" s="49" t="n">
        <v>0</v>
      </c>
      <c r="D58" s="49" t="n">
        <v>0</v>
      </c>
      <c r="E58" s="49" t="n">
        <v>19.24141882595753</v>
      </c>
      <c r="F58" s="10" t="n">
        <v>7.386509456587581e-05</v>
      </c>
      <c r="H58" s="11" t="n">
        <v>47</v>
      </c>
      <c r="I58" s="51" t="n">
        <v>49</v>
      </c>
      <c r="J58" s="51" t="n">
        <v>3</v>
      </c>
      <c r="K58" s="51" t="n">
        <v>0</v>
      </c>
      <c r="L58" s="49" t="n">
        <v>52</v>
      </c>
      <c r="M58" s="10" t="n">
        <v>0.0002897565487766144</v>
      </c>
    </row>
    <row r="59" spans="1:18">
      <c r="A59" t="n">
        <v>48</v>
      </c>
      <c r="B59" s="49" t="n">
        <v>7.69656753038301</v>
      </c>
      <c r="C59" s="49" t="n">
        <v>0</v>
      </c>
      <c r="D59" s="49" t="n">
        <v>0</v>
      </c>
      <c r="E59" s="49" t="n">
        <v>7.69656753038301</v>
      </c>
      <c r="F59" s="10" t="n">
        <v>2.954603782635032e-05</v>
      </c>
      <c r="H59" s="11" t="n">
        <v>48</v>
      </c>
      <c r="I59" s="51" t="n">
        <v>44</v>
      </c>
      <c r="J59" s="51" t="n">
        <v>4</v>
      </c>
      <c r="K59" s="51" t="n">
        <v>3</v>
      </c>
      <c r="L59" s="49" t="n">
        <v>51</v>
      </c>
      <c r="M59" s="10" t="n">
        <v>0.0002841843074539872</v>
      </c>
    </row>
    <row r="60" spans="1:18">
      <c r="A60" t="n">
        <v>49</v>
      </c>
      <c r="B60" s="49" t="n">
        <v>2.405177353244691</v>
      </c>
      <c r="C60" s="49" t="n">
        <v>0</v>
      </c>
      <c r="D60" s="49" t="n">
        <v>0</v>
      </c>
      <c r="E60" s="49" t="n">
        <v>2.405177353244691</v>
      </c>
      <c r="F60" s="10" t="n">
        <v>9.233136820734478e-06</v>
      </c>
      <c r="H60" s="11" t="n">
        <v>49</v>
      </c>
      <c r="I60" s="51" t="n">
        <v>39</v>
      </c>
      <c r="J60" s="51" t="n">
        <v>1</v>
      </c>
      <c r="K60" s="51" t="n">
        <v>4</v>
      </c>
      <c r="L60" s="49" t="n">
        <v>44</v>
      </c>
      <c r="M60" s="10" t="n">
        <v>0.0002451786181955968</v>
      </c>
    </row>
    <row r="61" spans="1:18">
      <c r="A61" t="n">
        <v>50</v>
      </c>
      <c r="B61" s="49" t="n">
        <v>0.5659240831163979</v>
      </c>
      <c r="C61" s="49" t="n">
        <v>0</v>
      </c>
      <c r="D61" s="49" t="n">
        <v>0</v>
      </c>
      <c r="E61" s="49" t="n">
        <v>0.5659240831163979</v>
      </c>
      <c r="F61" s="10" t="n">
        <v>2.172502781349289e-06</v>
      </c>
      <c r="H61" s="11" t="n">
        <v>50</v>
      </c>
      <c r="I61" s="51" t="n">
        <v>46</v>
      </c>
      <c r="J61" s="51" t="n">
        <v>4</v>
      </c>
      <c r="K61" s="51" t="n">
        <v>1</v>
      </c>
      <c r="L61" s="49" t="n">
        <v>51</v>
      </c>
      <c r="M61" s="10" t="n">
        <v>0.0002841843074539872</v>
      </c>
    </row>
    <row r="62" spans="1:18">
      <c r="A62" t="n">
        <v>51</v>
      </c>
      <c r="B62" s="49" t="n">
        <v>0.09432068051939964</v>
      </c>
      <c r="C62" s="49" t="n">
        <v>0</v>
      </c>
      <c r="D62" s="49" t="n">
        <v>0</v>
      </c>
      <c r="E62" s="49" t="n">
        <v>0.09432068051939964</v>
      </c>
      <c r="F62" s="10" t="n">
        <v>3.620837968915481e-07</v>
      </c>
      <c r="H62" s="11" t="n">
        <v>51</v>
      </c>
      <c r="I62" s="51" t="n">
        <v>34</v>
      </c>
      <c r="J62" s="51" t="n">
        <v>1</v>
      </c>
      <c r="K62" s="51" t="n">
        <v>1</v>
      </c>
      <c r="L62" s="49" t="n">
        <v>36</v>
      </c>
      <c r="M62" s="10" t="n">
        <v>0.0002006006876145792</v>
      </c>
    </row>
    <row r="63" spans="1:18">
      <c r="A63" t="n">
        <v>52</v>
      </c>
      <c r="B63" s="49" t="n">
        <v>0.009928492686252595</v>
      </c>
      <c r="C63" s="49" t="n">
        <v>0</v>
      </c>
      <c r="D63" s="49" t="n">
        <v>0</v>
      </c>
      <c r="E63" s="49" t="n">
        <v>0.009928492686252595</v>
      </c>
      <c r="F63" s="10" t="n">
        <v>3.811408388332085e-08</v>
      </c>
      <c r="H63" s="11" t="n">
        <v>52</v>
      </c>
      <c r="I63" s="51" t="n">
        <v>34</v>
      </c>
      <c r="J63" s="51" t="n">
        <v>3</v>
      </c>
      <c r="K63" s="51" t="n">
        <v>0</v>
      </c>
      <c r="L63" s="49" t="n">
        <v>37</v>
      </c>
      <c r="M63" s="10" t="n">
        <v>0.0002061729289372064</v>
      </c>
    </row>
    <row r="64" spans="1:18">
      <c r="A64" t="n">
        <v>53</v>
      </c>
      <c r="B64" s="49" t="n">
        <v>0.0004964246343126297</v>
      </c>
      <c r="C64" s="49" t="n">
        <v>0</v>
      </c>
      <c r="D64" s="49" t="n">
        <v>0</v>
      </c>
      <c r="E64" s="49" t="n">
        <v>0.0004964246343126297</v>
      </c>
      <c r="F64" s="10" t="n">
        <v>1.905704194166043e-09</v>
      </c>
      <c r="H64" s="11" t="n">
        <v>53</v>
      </c>
      <c r="I64" s="51" t="n">
        <v>24</v>
      </c>
      <c r="J64" s="51" t="n">
        <v>3</v>
      </c>
      <c r="K64" s="51" t="n">
        <v>1</v>
      </c>
      <c r="L64" s="49" t="n">
        <v>28</v>
      </c>
      <c r="M64" s="10" t="n">
        <v>0.0001560227570335616</v>
      </c>
    </row>
    <row r="65" spans="1:18">
      <c r="A65" t="n">
        <v>54</v>
      </c>
      <c r="B65" s="49" t="n">
        <v>0</v>
      </c>
      <c r="C65" s="49" t="n">
        <v>0</v>
      </c>
      <c r="D65" s="49" t="n">
        <v>0</v>
      </c>
      <c r="E65" s="49" t="n">
        <v>0</v>
      </c>
      <c r="F65" s="10" t="n">
        <v>0</v>
      </c>
      <c r="H65" s="11" t="n">
        <v>54</v>
      </c>
      <c r="I65" s="51" t="n">
        <v>21</v>
      </c>
      <c r="J65" s="51" t="n">
        <v>4</v>
      </c>
      <c r="K65" s="51" t="n">
        <v>2</v>
      </c>
      <c r="L65" s="49" t="n">
        <v>27</v>
      </c>
      <c r="M65" s="10" t="n">
        <v>0.0001504505157109344</v>
      </c>
    </row>
    <row r="66" spans="1:18">
      <c r="A66" t="n">
        <v>55</v>
      </c>
      <c r="B66" s="49" t="n">
        <v>0</v>
      </c>
      <c r="C66" s="49" t="n">
        <v>0</v>
      </c>
      <c r="D66" s="49" t="n">
        <v>0</v>
      </c>
      <c r="E66" s="49" t="n">
        <v>0</v>
      </c>
      <c r="F66" s="10" t="n">
        <v>0</v>
      </c>
      <c r="H66" s="11" t="n">
        <v>55</v>
      </c>
      <c r="I66" s="51" t="n">
        <v>31</v>
      </c>
      <c r="J66" s="51" t="n">
        <v>1</v>
      </c>
      <c r="K66" s="51" t="n">
        <v>1</v>
      </c>
      <c r="L66" s="49" t="n">
        <v>33</v>
      </c>
      <c r="M66" s="10" t="n">
        <v>0.0001838839636466976</v>
      </c>
    </row>
    <row r="67" spans="1:18">
      <c r="A67" t="n">
        <v>56</v>
      </c>
      <c r="B67" s="49" t="n">
        <v>0</v>
      </c>
      <c r="C67" s="49" t="n">
        <v>0</v>
      </c>
      <c r="D67" s="49" t="n">
        <v>0</v>
      </c>
      <c r="E67" s="49" t="n">
        <v>0</v>
      </c>
      <c r="F67" s="10" t="n">
        <v>0</v>
      </c>
      <c r="H67" s="11" t="n">
        <v>56</v>
      </c>
      <c r="I67" s="51" t="n">
        <v>21</v>
      </c>
      <c r="J67" s="51" t="n">
        <v>0</v>
      </c>
      <c r="K67" s="51" t="n">
        <v>1</v>
      </c>
      <c r="L67" s="49" t="n">
        <v>22</v>
      </c>
      <c r="M67" s="10" t="n">
        <v>0.0001225893090977984</v>
      </c>
    </row>
    <row r="68" spans="1:18">
      <c r="A68" t="n">
        <v>57</v>
      </c>
      <c r="B68" s="49" t="n">
        <v>0</v>
      </c>
      <c r="C68" s="49" t="n">
        <v>0</v>
      </c>
      <c r="D68" s="49" t="n">
        <v>0</v>
      </c>
      <c r="E68" s="49" t="n">
        <v>0</v>
      </c>
      <c r="F68" s="10" t="n">
        <v>0</v>
      </c>
      <c r="H68" s="11" t="n">
        <v>57</v>
      </c>
      <c r="I68" s="51" t="n">
        <v>10</v>
      </c>
      <c r="J68" s="51" t="n">
        <v>0</v>
      </c>
      <c r="K68" s="51" t="n">
        <v>0</v>
      </c>
      <c r="L68" s="49" t="n">
        <v>10</v>
      </c>
      <c r="M68" s="10" t="n">
        <v>5.572241322627201e-05</v>
      </c>
    </row>
    <row r="69" spans="1:18">
      <c r="A69" t="n">
        <v>58</v>
      </c>
      <c r="B69" s="49" t="n">
        <v>0</v>
      </c>
      <c r="C69" s="49" t="n">
        <v>0</v>
      </c>
      <c r="D69" s="49" t="n">
        <v>0</v>
      </c>
      <c r="E69" s="49" t="n">
        <v>0</v>
      </c>
      <c r="F69" s="10" t="n">
        <v>0</v>
      </c>
      <c r="H69" s="11" t="n">
        <v>58</v>
      </c>
      <c r="I69" s="51" t="n">
        <v>17</v>
      </c>
      <c r="J69" s="51" t="n">
        <v>0</v>
      </c>
      <c r="K69" s="51" t="n">
        <v>1</v>
      </c>
      <c r="L69" s="49" t="n">
        <v>18</v>
      </c>
      <c r="M69" s="10" t="n">
        <v>0.0001003003438072896</v>
      </c>
    </row>
    <row r="70" spans="1:18">
      <c r="A70" t="n">
        <v>59</v>
      </c>
      <c r="B70" s="49" t="n">
        <v>0</v>
      </c>
      <c r="C70" s="49" t="n">
        <v>0</v>
      </c>
      <c r="D70" s="49" t="n">
        <v>0</v>
      </c>
      <c r="E70" s="49" t="n">
        <v>0</v>
      </c>
      <c r="F70" s="10" t="n">
        <v>0</v>
      </c>
      <c r="H70" s="11" t="n">
        <v>59</v>
      </c>
      <c r="I70" s="51" t="n">
        <v>13</v>
      </c>
      <c r="J70" s="51" t="n">
        <v>0</v>
      </c>
      <c r="K70" s="51" t="n">
        <v>0</v>
      </c>
      <c r="L70" s="49" t="n">
        <v>13</v>
      </c>
      <c r="M70" s="10" t="n">
        <v>7.243913719415361e-05</v>
      </c>
    </row>
    <row r="71" spans="1:18">
      <c r="A71" t="n">
        <v>60</v>
      </c>
      <c r="B71" s="49" t="n">
        <v>0</v>
      </c>
      <c r="C71" s="49" t="n">
        <v>0</v>
      </c>
      <c r="D71" s="49" t="n">
        <v>0</v>
      </c>
      <c r="E71" s="49" t="n">
        <v>0</v>
      </c>
      <c r="F71" s="10" t="n">
        <v>0</v>
      </c>
      <c r="H71" s="11" t="n">
        <v>60</v>
      </c>
      <c r="I71" s="51" t="n">
        <v>14</v>
      </c>
      <c r="J71" s="51" t="n">
        <v>0</v>
      </c>
      <c r="K71" s="51" t="n">
        <v>1</v>
      </c>
      <c r="L71" s="49" t="n">
        <v>15</v>
      </c>
      <c r="M71" s="10" t="n">
        <v>8.358361983940801e-05</v>
      </c>
    </row>
    <row r="72" spans="1:18">
      <c r="A72" t="n">
        <v>61</v>
      </c>
      <c r="B72" s="49" t="n">
        <v>0</v>
      </c>
      <c r="C72" s="49" t="n">
        <v>0</v>
      </c>
      <c r="D72" s="49" t="n">
        <v>0</v>
      </c>
      <c r="E72" s="49" t="n">
        <v>0</v>
      </c>
      <c r="F72" s="10" t="n">
        <v>0</v>
      </c>
      <c r="H72" s="11" t="n">
        <v>61</v>
      </c>
      <c r="I72" s="51" t="n">
        <v>12</v>
      </c>
      <c r="J72" s="51" t="n">
        <v>0</v>
      </c>
      <c r="K72" s="51" t="n">
        <v>1</v>
      </c>
      <c r="L72" s="49" t="n">
        <v>13</v>
      </c>
      <c r="M72" s="10" t="n">
        <v>7.243913719415361e-05</v>
      </c>
    </row>
    <row r="73" spans="1:18">
      <c r="A73" t="n">
        <v>62</v>
      </c>
      <c r="B73" s="49" t="n">
        <v>0</v>
      </c>
      <c r="C73" s="49" t="n">
        <v>0</v>
      </c>
      <c r="D73" s="49" t="n">
        <v>0</v>
      </c>
      <c r="E73" s="49" t="n">
        <v>0</v>
      </c>
      <c r="F73" s="10" t="n">
        <v>0</v>
      </c>
      <c r="H73" s="11" t="n">
        <v>62</v>
      </c>
      <c r="I73" s="51" t="n">
        <v>9</v>
      </c>
      <c r="J73" s="51" t="n">
        <v>0</v>
      </c>
      <c r="K73" s="51" t="n">
        <v>0</v>
      </c>
      <c r="L73" s="49" t="n">
        <v>9</v>
      </c>
      <c r="M73" s="10" t="n">
        <v>5.01501719036448e-05</v>
      </c>
    </row>
    <row r="74" spans="1:18">
      <c r="A74" t="n">
        <v>63</v>
      </c>
      <c r="B74" s="49" t="n">
        <v>0</v>
      </c>
      <c r="C74" s="49" t="n">
        <v>0</v>
      </c>
      <c r="D74" s="49" t="n">
        <v>0</v>
      </c>
      <c r="E74" s="49" t="n">
        <v>0</v>
      </c>
      <c r="F74" s="10" t="n">
        <v>0</v>
      </c>
      <c r="H74" s="11" t="n">
        <v>63</v>
      </c>
      <c r="I74" s="51" t="n">
        <v>8</v>
      </c>
      <c r="J74" s="51" t="n">
        <v>1</v>
      </c>
      <c r="K74" s="51" t="n">
        <v>0</v>
      </c>
      <c r="L74" s="49" t="n">
        <v>9</v>
      </c>
      <c r="M74" s="10" t="n">
        <v>5.01501719036448e-05</v>
      </c>
    </row>
    <row r="75" spans="1:18">
      <c r="A75" t="n">
        <v>64</v>
      </c>
      <c r="B75" s="49" t="n">
        <v>0</v>
      </c>
      <c r="C75" s="49" t="n">
        <v>0</v>
      </c>
      <c r="D75" s="49" t="n">
        <v>0</v>
      </c>
      <c r="E75" s="49" t="n">
        <v>0</v>
      </c>
      <c r="F75" s="10" t="n">
        <v>0</v>
      </c>
      <c r="H75" s="11" t="n">
        <v>64</v>
      </c>
      <c r="I75" s="51" t="n">
        <v>5</v>
      </c>
      <c r="J75" s="51" t="n">
        <v>0</v>
      </c>
      <c r="K75" s="51" t="n">
        <v>0</v>
      </c>
      <c r="L75" s="49" t="n">
        <v>5</v>
      </c>
      <c r="M75" s="10" t="n">
        <v>2.7861206613136e-05</v>
      </c>
    </row>
    <row r="76" spans="1:18">
      <c r="A76" t="n">
        <v>65</v>
      </c>
      <c r="B76" s="49" t="n">
        <v>0</v>
      </c>
      <c r="C76" s="49" t="n">
        <v>0</v>
      </c>
      <c r="D76" s="49" t="n">
        <v>0</v>
      </c>
      <c r="E76" s="49" t="n">
        <v>0</v>
      </c>
      <c r="F76" s="10" t="n">
        <v>0</v>
      </c>
      <c r="H76" s="11" t="n">
        <v>65</v>
      </c>
      <c r="I76" s="51" t="n">
        <v>9</v>
      </c>
      <c r="J76" s="51" t="n">
        <v>0</v>
      </c>
      <c r="K76" s="51" t="n">
        <v>1</v>
      </c>
      <c r="L76" s="49" t="n">
        <v>10</v>
      </c>
      <c r="M76" s="10" t="n">
        <v>5.572241322627201e-05</v>
      </c>
    </row>
    <row r="77" spans="1:18">
      <c r="A77" t="n">
        <v>66</v>
      </c>
      <c r="B77" s="49" t="n">
        <v>0</v>
      </c>
      <c r="C77" s="49" t="n">
        <v>0</v>
      </c>
      <c r="D77" s="49" t="n">
        <v>0</v>
      </c>
      <c r="E77" s="49" t="n">
        <v>0</v>
      </c>
      <c r="F77" s="10" t="n">
        <v>0</v>
      </c>
      <c r="H77" s="11" t="n">
        <v>66</v>
      </c>
      <c r="I77" s="51" t="n">
        <v>4</v>
      </c>
      <c r="J77" s="51" t="n">
        <v>0</v>
      </c>
      <c r="K77" s="51" t="n">
        <v>0</v>
      </c>
      <c r="L77" s="49" t="n">
        <v>4</v>
      </c>
      <c r="M77" s="10" t="n">
        <v>2.22889652905088e-05</v>
      </c>
    </row>
    <row r="78" spans="1:18">
      <c r="A78" t="n">
        <v>67</v>
      </c>
      <c r="B78" s="49" t="n">
        <v>0</v>
      </c>
      <c r="C78" s="49" t="n">
        <v>0</v>
      </c>
      <c r="D78" s="49" t="n">
        <v>0</v>
      </c>
      <c r="E78" s="49" t="n">
        <v>0</v>
      </c>
      <c r="F78" s="10" t="n">
        <v>0</v>
      </c>
      <c r="H78" s="11" t="n">
        <v>67</v>
      </c>
      <c r="I78" s="51" t="n">
        <v>7</v>
      </c>
      <c r="J78" s="51" t="n">
        <v>0</v>
      </c>
      <c r="K78" s="51" t="n">
        <v>0</v>
      </c>
      <c r="L78" s="49" t="n">
        <v>7</v>
      </c>
      <c r="M78" s="10" t="n">
        <v>3.90056892583904e-05</v>
      </c>
    </row>
    <row r="79" spans="1:18">
      <c r="A79" t="n">
        <v>68</v>
      </c>
      <c r="B79" s="49" t="n">
        <v>0</v>
      </c>
      <c r="C79" s="49" t="n">
        <v>0</v>
      </c>
      <c r="D79" s="49" t="n">
        <v>0</v>
      </c>
      <c r="E79" s="49" t="n">
        <v>0</v>
      </c>
      <c r="F79" s="10" t="n">
        <v>0</v>
      </c>
      <c r="H79" s="11" t="n">
        <v>68</v>
      </c>
      <c r="I79" s="51" t="n">
        <v>5</v>
      </c>
      <c r="J79" s="51" t="n">
        <v>0</v>
      </c>
      <c r="K79" s="51" t="n">
        <v>0</v>
      </c>
      <c r="L79" s="49" t="n">
        <v>5</v>
      </c>
      <c r="M79" s="10" t="n">
        <v>2.7861206613136e-05</v>
      </c>
    </row>
    <row r="80" spans="1:18">
      <c r="A80" t="n">
        <v>69</v>
      </c>
      <c r="B80" s="49" t="n">
        <v>0</v>
      </c>
      <c r="C80" s="49" t="n">
        <v>0</v>
      </c>
      <c r="D80" s="49" t="n">
        <v>0</v>
      </c>
      <c r="E80" s="49" t="n">
        <v>0</v>
      </c>
      <c r="F80" s="10" t="n">
        <v>0</v>
      </c>
      <c r="H80" s="11" t="n">
        <v>69</v>
      </c>
      <c r="I80" s="51" t="n">
        <v>5</v>
      </c>
      <c r="J80" s="51" t="n">
        <v>0</v>
      </c>
      <c r="K80" s="51" t="n">
        <v>0</v>
      </c>
      <c r="L80" s="49" t="n">
        <v>5</v>
      </c>
      <c r="M80" s="10" t="n">
        <v>2.7861206613136e-05</v>
      </c>
    </row>
    <row r="81" spans="1:18">
      <c r="A81" t="n">
        <v>70</v>
      </c>
      <c r="B81" s="49" t="n">
        <v>0</v>
      </c>
      <c r="C81" s="49" t="n">
        <v>0</v>
      </c>
      <c r="D81" s="49" t="n">
        <v>0</v>
      </c>
      <c r="E81" s="49" t="n">
        <v>0</v>
      </c>
      <c r="F81" s="10" t="n">
        <v>0</v>
      </c>
      <c r="H81" s="11" t="n">
        <v>70</v>
      </c>
      <c r="I81" s="51" t="n">
        <v>4</v>
      </c>
      <c r="J81" s="51" t="n">
        <v>0</v>
      </c>
      <c r="K81" s="51" t="n">
        <v>0</v>
      </c>
      <c r="L81" s="49" t="n">
        <v>4</v>
      </c>
      <c r="M81" s="10" t="n">
        <v>2.22889652905088e-05</v>
      </c>
    </row>
    <row r="82" spans="1:18">
      <c r="A82" t="n">
        <v>71</v>
      </c>
      <c r="B82" s="49" t="n">
        <v>0</v>
      </c>
      <c r="C82" s="49" t="n">
        <v>0</v>
      </c>
      <c r="D82" s="49" t="n">
        <v>0</v>
      </c>
      <c r="E82" s="49" t="n">
        <v>0</v>
      </c>
      <c r="F82" s="10" t="n">
        <v>0</v>
      </c>
      <c r="H82" s="11" t="n">
        <v>71</v>
      </c>
      <c r="I82" s="51" t="n">
        <v>2</v>
      </c>
      <c r="J82" s="51" t="n">
        <v>0</v>
      </c>
      <c r="K82" s="51" t="n">
        <v>0</v>
      </c>
      <c r="L82" s="49" t="n">
        <v>2</v>
      </c>
      <c r="M82" s="10" t="n">
        <v>1.11444826452544e-05</v>
      </c>
    </row>
    <row r="83" spans="1:18">
      <c r="A83" t="n">
        <v>72</v>
      </c>
      <c r="B83" s="49" t="n">
        <v>0</v>
      </c>
      <c r="C83" s="49" t="n">
        <v>0</v>
      </c>
      <c r="D83" s="49" t="n">
        <v>0</v>
      </c>
      <c r="E83" s="49" t="n">
        <v>0</v>
      </c>
      <c r="F83" s="10" t="n">
        <v>0</v>
      </c>
      <c r="H83" s="11" t="n">
        <v>72</v>
      </c>
      <c r="I83" s="51" t="n">
        <v>3</v>
      </c>
      <c r="J83" s="51" t="n">
        <v>1</v>
      </c>
      <c r="K83" s="51" t="n">
        <v>0</v>
      </c>
      <c r="L83" s="49" t="n">
        <v>4</v>
      </c>
      <c r="M83" s="10" t="n">
        <v>2.22889652905088e-05</v>
      </c>
    </row>
    <row r="84" spans="1:18">
      <c r="A84" t="n">
        <v>73</v>
      </c>
      <c r="B84" s="49" t="n">
        <v>0</v>
      </c>
      <c r="C84" s="49" t="n">
        <v>0</v>
      </c>
      <c r="D84" s="49" t="n">
        <v>0</v>
      </c>
      <c r="E84" s="49" t="n">
        <v>0</v>
      </c>
      <c r="F84" s="10" t="n">
        <v>0</v>
      </c>
      <c r="H84" s="11" t="n">
        <v>73</v>
      </c>
      <c r="I84" s="51" t="n">
        <v>1</v>
      </c>
      <c r="J84" s="51" t="n">
        <v>0</v>
      </c>
      <c r="K84" s="51" t="n">
        <v>0</v>
      </c>
      <c r="L84" s="49" t="n">
        <v>1</v>
      </c>
      <c r="M84" s="10" t="n">
        <v>5.5722413226272e-06</v>
      </c>
    </row>
    <row r="85" spans="1:18">
      <c r="A85" t="n">
        <v>74</v>
      </c>
      <c r="B85" s="49" t="n">
        <v>0</v>
      </c>
      <c r="C85" s="49" t="n">
        <v>0</v>
      </c>
      <c r="D85" s="49" t="n">
        <v>0</v>
      </c>
      <c r="E85" s="49" t="n">
        <v>0</v>
      </c>
      <c r="F85" s="10" t="n">
        <v>0</v>
      </c>
      <c r="H85" s="11" t="n">
        <v>74</v>
      </c>
      <c r="I85" s="51" t="n">
        <v>1</v>
      </c>
      <c r="J85" s="51" t="n">
        <v>0</v>
      </c>
      <c r="K85" s="51" t="n">
        <v>0</v>
      </c>
      <c r="L85" s="49" t="n">
        <v>1</v>
      </c>
      <c r="M85" s="10" t="n">
        <v>5.5722413226272e-06</v>
      </c>
    </row>
    <row r="86" spans="1:18">
      <c r="A86" t="n">
        <v>75</v>
      </c>
      <c r="B86" s="49" t="n">
        <v>0</v>
      </c>
      <c r="C86" s="49" t="n">
        <v>0</v>
      </c>
      <c r="D86" s="49" t="n">
        <v>0</v>
      </c>
      <c r="E86" s="49" t="n">
        <v>0</v>
      </c>
      <c r="F86" s="10" t="n">
        <v>0</v>
      </c>
      <c r="H86" s="11" t="n">
        <v>75</v>
      </c>
      <c r="I86" s="51" t="n">
        <v>1</v>
      </c>
      <c r="J86" s="51" t="n">
        <v>0</v>
      </c>
      <c r="K86" s="51" t="n">
        <v>0</v>
      </c>
      <c r="L86" s="49" t="n">
        <v>1</v>
      </c>
      <c r="M86" s="10" t="n">
        <v>5.5722413226272e-06</v>
      </c>
    </row>
    <row r="87" spans="1:18">
      <c r="A87" t="n">
        <v>76</v>
      </c>
      <c r="B87" s="49" t="n">
        <v>0</v>
      </c>
      <c r="C87" s="49" t="n">
        <v>0</v>
      </c>
      <c r="D87" s="49" t="n">
        <v>0</v>
      </c>
      <c r="E87" s="49" t="n">
        <v>0</v>
      </c>
      <c r="F87" s="10" t="n">
        <v>0</v>
      </c>
      <c r="H87" s="11" t="n">
        <v>76</v>
      </c>
      <c r="I87" s="51" t="n">
        <v>0</v>
      </c>
      <c r="J87" s="51" t="n">
        <v>0</v>
      </c>
      <c r="K87" s="51" t="n">
        <v>0</v>
      </c>
      <c r="L87" s="49" t="n">
        <v>0</v>
      </c>
      <c r="M87" s="10" t="n">
        <v>0</v>
      </c>
    </row>
    <row r="88" spans="1:18">
      <c r="A88" t="n">
        <v>77</v>
      </c>
      <c r="B88" s="49" t="n">
        <v>0</v>
      </c>
      <c r="C88" s="49" t="n">
        <v>0</v>
      </c>
      <c r="D88" s="49" t="n">
        <v>0</v>
      </c>
      <c r="E88" s="49" t="n">
        <v>0</v>
      </c>
      <c r="F88" s="10" t="n">
        <v>0</v>
      </c>
      <c r="H88" s="11" t="n">
        <v>77</v>
      </c>
      <c r="I88" s="51" t="n">
        <v>0</v>
      </c>
      <c r="J88" s="51" t="n">
        <v>0</v>
      </c>
      <c r="K88" s="51" t="n">
        <v>0</v>
      </c>
      <c r="L88" s="49" t="n">
        <v>0</v>
      </c>
      <c r="M88" s="10" t="n">
        <v>0</v>
      </c>
    </row>
    <row r="89" spans="1:18">
      <c r="A89" t="n">
        <v>78</v>
      </c>
      <c r="B89" s="49" t="n">
        <v>0</v>
      </c>
      <c r="C89" s="49" t="n">
        <v>0</v>
      </c>
      <c r="D89" s="49" t="n">
        <v>0</v>
      </c>
      <c r="E89" s="49" t="n">
        <v>0</v>
      </c>
      <c r="F89" s="10" t="n">
        <v>0</v>
      </c>
      <c r="H89" s="11" t="n">
        <v>78</v>
      </c>
      <c r="I89" s="51" t="n">
        <v>0</v>
      </c>
      <c r="J89" s="51" t="n">
        <v>0</v>
      </c>
      <c r="K89" s="51" t="n">
        <v>0</v>
      </c>
      <c r="L89" s="49" t="n">
        <v>0</v>
      </c>
      <c r="M89" s="10" t="n">
        <v>0</v>
      </c>
    </row>
    <row r="90" spans="1:18">
      <c r="A90" t="n">
        <v>79</v>
      </c>
      <c r="B90" s="49" t="n">
        <v>0</v>
      </c>
      <c r="C90" s="49" t="n">
        <v>0</v>
      </c>
      <c r="D90" s="49" t="n">
        <v>0</v>
      </c>
      <c r="E90" s="49" t="n">
        <v>0</v>
      </c>
      <c r="F90" s="10" t="n">
        <v>0</v>
      </c>
      <c r="H90" s="11" t="n">
        <v>79</v>
      </c>
      <c r="I90" s="51" t="n">
        <v>2</v>
      </c>
      <c r="J90" s="51" t="n">
        <v>0</v>
      </c>
      <c r="K90" s="51" t="n">
        <v>0</v>
      </c>
      <c r="L90" s="49" t="n">
        <v>2</v>
      </c>
      <c r="M90" s="10" t="n">
        <v>1.11444826452544e-05</v>
      </c>
    </row>
    <row r="91" spans="1:18">
      <c r="A91" t="n">
        <v>80</v>
      </c>
      <c r="B91" s="49" t="n">
        <v>0</v>
      </c>
      <c r="C91" s="49" t="n">
        <v>0</v>
      </c>
      <c r="D91" s="49" t="n">
        <v>0</v>
      </c>
      <c r="E91" s="49" t="n">
        <v>0</v>
      </c>
      <c r="F91" s="10" t="n">
        <v>0</v>
      </c>
      <c r="H91" s="11" t="n">
        <v>80</v>
      </c>
      <c r="I91" s="51" t="n">
        <v>0</v>
      </c>
      <c r="J91" s="51" t="n">
        <v>1</v>
      </c>
      <c r="K91" s="51" t="n">
        <v>0</v>
      </c>
      <c r="L91" s="49" t="n">
        <v>1</v>
      </c>
      <c r="M91" s="10" t="n">
        <v>5.5722413226272e-06</v>
      </c>
    </row>
    <row r="92" spans="1:18">
      <c r="A92" t="n">
        <v>81</v>
      </c>
      <c r="B92" s="49" t="n">
        <v>0</v>
      </c>
      <c r="C92" s="49" t="n">
        <v>0</v>
      </c>
      <c r="D92" s="49" t="n">
        <v>0</v>
      </c>
      <c r="E92" s="49" t="n">
        <v>0</v>
      </c>
      <c r="F92" s="10" t="n">
        <v>0</v>
      </c>
      <c r="H92" s="11" t="n">
        <v>81</v>
      </c>
      <c r="I92" s="51" t="n">
        <v>1</v>
      </c>
      <c r="J92" s="51" t="n">
        <v>0</v>
      </c>
      <c r="K92" s="51" t="n">
        <v>0</v>
      </c>
      <c r="L92" s="49" t="n">
        <v>1</v>
      </c>
      <c r="M92" s="10" t="n">
        <v>5.5722413226272e-06</v>
      </c>
    </row>
    <row r="93" spans="1:18">
      <c r="A93" t="n">
        <v>82</v>
      </c>
      <c r="B93" s="49" t="n">
        <v>0</v>
      </c>
      <c r="C93" s="49" t="n">
        <v>0</v>
      </c>
      <c r="D93" s="49" t="n">
        <v>0</v>
      </c>
      <c r="E93" s="49" t="n">
        <v>0</v>
      </c>
      <c r="F93" s="10" t="n">
        <v>0</v>
      </c>
      <c r="H93" s="11" t="n">
        <v>82</v>
      </c>
      <c r="I93" s="51" t="n">
        <v>0</v>
      </c>
      <c r="J93" s="51" t="n">
        <v>0</v>
      </c>
      <c r="K93" s="51" t="n">
        <v>0</v>
      </c>
      <c r="L93" s="49" t="n">
        <v>0</v>
      </c>
      <c r="M93" s="10" t="n">
        <v>0</v>
      </c>
    </row>
    <row r="94" spans="1:18">
      <c r="A94" t="n">
        <v>83</v>
      </c>
      <c r="B94" s="49" t="n">
        <v>0</v>
      </c>
      <c r="C94" s="49" t="n">
        <v>0</v>
      </c>
      <c r="D94" s="49" t="n">
        <v>0</v>
      </c>
      <c r="E94" s="49" t="n">
        <v>0</v>
      </c>
      <c r="F94" s="10" t="n">
        <v>0</v>
      </c>
      <c r="H94" s="11" t="n">
        <v>83</v>
      </c>
      <c r="I94" s="51" t="n">
        <v>0</v>
      </c>
      <c r="J94" s="51" t="n">
        <v>0</v>
      </c>
      <c r="K94" s="51" t="n">
        <v>0</v>
      </c>
      <c r="L94" s="49" t="n">
        <v>0</v>
      </c>
      <c r="M94" s="10" t="n">
        <v>0</v>
      </c>
    </row>
    <row r="95" spans="1:18">
      <c r="A95" t="n">
        <v>84</v>
      </c>
      <c r="B95" s="49" t="n">
        <v>0</v>
      </c>
      <c r="C95" s="49" t="n">
        <v>0</v>
      </c>
      <c r="D95" s="49" t="n">
        <v>0</v>
      </c>
      <c r="E95" s="49" t="n">
        <v>0</v>
      </c>
      <c r="F95" s="10" t="n">
        <v>0</v>
      </c>
      <c r="H95" s="11" t="n">
        <v>84</v>
      </c>
      <c r="I95" s="51" t="n">
        <v>0</v>
      </c>
      <c r="J95" s="51" t="n">
        <v>0</v>
      </c>
      <c r="K95" s="51" t="n">
        <v>0</v>
      </c>
      <c r="L95" s="49" t="n">
        <v>0</v>
      </c>
      <c r="M95" s="10" t="n">
        <v>0</v>
      </c>
    </row>
    <row r="96" spans="1:18">
      <c r="A96" t="n">
        <v>85</v>
      </c>
      <c r="B96" s="49" t="n">
        <v>0</v>
      </c>
      <c r="C96" s="49" t="n">
        <v>0</v>
      </c>
      <c r="D96" s="49" t="n">
        <v>0</v>
      </c>
      <c r="E96" s="49" t="n">
        <v>0</v>
      </c>
      <c r="F96" s="10" t="n">
        <v>0</v>
      </c>
      <c r="H96" s="11" t="n">
        <v>85</v>
      </c>
      <c r="I96" s="51" t="n">
        <v>0</v>
      </c>
      <c r="J96" s="51" t="n">
        <v>0</v>
      </c>
      <c r="K96" s="51" t="n">
        <v>0</v>
      </c>
      <c r="L96" s="49" t="n">
        <v>0</v>
      </c>
      <c r="M96" s="10" t="n">
        <v>0</v>
      </c>
    </row>
    <row r="97" spans="1:18">
      <c r="A97" t="n">
        <v>86</v>
      </c>
      <c r="B97" s="49" t="n">
        <v>0</v>
      </c>
      <c r="C97" s="49" t="n">
        <v>0</v>
      </c>
      <c r="D97" s="49" t="n">
        <v>0</v>
      </c>
      <c r="E97" s="49" t="n">
        <v>0</v>
      </c>
      <c r="F97" s="10" t="n">
        <v>0</v>
      </c>
      <c r="H97" s="11" t="n">
        <v>86</v>
      </c>
      <c r="I97" s="51" t="n">
        <v>1</v>
      </c>
      <c r="J97" s="51" t="n">
        <v>0</v>
      </c>
      <c r="K97" s="51" t="n">
        <v>0</v>
      </c>
      <c r="L97" s="49" t="n">
        <v>1</v>
      </c>
      <c r="M97" s="10" t="n">
        <v>5.5722413226272e-06</v>
      </c>
    </row>
    <row r="98" spans="1:18">
      <c r="A98" t="n">
        <v>87</v>
      </c>
      <c r="B98" s="49" t="n">
        <v>0</v>
      </c>
      <c r="C98" s="49" t="n">
        <v>0</v>
      </c>
      <c r="D98" s="49" t="n">
        <v>0</v>
      </c>
      <c r="E98" s="49" t="n">
        <v>0</v>
      </c>
      <c r="F98" s="10" t="n">
        <v>0</v>
      </c>
      <c r="H98" s="11" t="n">
        <v>87</v>
      </c>
      <c r="I98" s="51" t="n">
        <v>0</v>
      </c>
      <c r="J98" s="51" t="n">
        <v>0</v>
      </c>
      <c r="K98" s="51" t="n">
        <v>0</v>
      </c>
      <c r="L98" s="49" t="n">
        <v>0</v>
      </c>
      <c r="M98" s="10" t="n">
        <v>0</v>
      </c>
    </row>
    <row r="99" spans="1:18">
      <c r="A99" t="n">
        <v>88</v>
      </c>
      <c r="B99" s="49" t="n">
        <v>0</v>
      </c>
      <c r="C99" s="49" t="n">
        <v>0</v>
      </c>
      <c r="D99" s="49" t="n">
        <v>0</v>
      </c>
      <c r="E99" s="49" t="n">
        <v>0</v>
      </c>
      <c r="F99" s="10" t="n">
        <v>0</v>
      </c>
      <c r="H99" s="11" t="n">
        <v>88</v>
      </c>
      <c r="I99" s="51" t="n">
        <v>2</v>
      </c>
      <c r="J99" s="51" t="n">
        <v>0</v>
      </c>
      <c r="K99" s="51" t="n">
        <v>0</v>
      </c>
      <c r="L99" s="49" t="n">
        <v>2</v>
      </c>
      <c r="M99" s="10" t="n">
        <v>1.11444826452544e-05</v>
      </c>
    </row>
    <row r="100" spans="1:18">
      <c r="A100" t="n">
        <v>89</v>
      </c>
      <c r="B100" s="49" t="n">
        <v>0</v>
      </c>
      <c r="C100" s="49" t="n">
        <v>0</v>
      </c>
      <c r="D100" s="49" t="n">
        <v>0</v>
      </c>
      <c r="E100" s="49" t="n">
        <v>0</v>
      </c>
      <c r="F100" s="10" t="n">
        <v>0</v>
      </c>
      <c r="H100" s="11" t="n">
        <v>89</v>
      </c>
      <c r="I100" s="51" t="n">
        <v>0</v>
      </c>
      <c r="J100" s="51" t="n">
        <v>0</v>
      </c>
      <c r="K100" s="51" t="n">
        <v>0</v>
      </c>
      <c r="L100" s="49" t="n">
        <v>0</v>
      </c>
      <c r="M100" s="10" t="n">
        <v>0</v>
      </c>
    </row>
    <row customHeight="1" ht="15.75" r="101" s="52" spans="1:18">
      <c r="A101" s="1" t="n">
        <v>90</v>
      </c>
      <c r="B101" s="50" t="n">
        <v>0</v>
      </c>
      <c r="C101" s="50" t="n">
        <v>0</v>
      </c>
      <c r="D101" s="50" t="n">
        <v>0</v>
      </c>
      <c r="E101" s="50" t="n">
        <v>0</v>
      </c>
      <c r="F101" s="10" t="n">
        <v>0</v>
      </c>
      <c r="H101" s="12" t="n">
        <v>90</v>
      </c>
      <c r="I101" s="50" t="n">
        <v>0</v>
      </c>
      <c r="J101" s="50" t="n">
        <v>0</v>
      </c>
      <c r="K101" s="50" t="n">
        <v>0</v>
      </c>
      <c r="L101" s="50" t="n">
        <v>0</v>
      </c>
      <c r="M101" s="10" t="n">
        <v>0</v>
      </c>
    </row>
    <row r="102" spans="1:18">
      <c r="B102" s="49" t="n"/>
      <c r="C102" s="49" t="n"/>
      <c r="D102" s="49" t="n"/>
      <c r="E102" s="49" t="n">
        <v>260494.0660950115</v>
      </c>
      <c r="F102" s="10" t="n">
        <v>1</v>
      </c>
      <c r="I102" s="49" t="n"/>
      <c r="J102" s="49" t="n"/>
      <c r="K102" s="49" t="n"/>
      <c r="L102" s="49" t="n">
        <v>179461</v>
      </c>
      <c r="M102" s="10" t="n">
        <v>1</v>
      </c>
    </row>
  </sheetData>
  <pageMargins bottom="0.75" footer="0.3" header="0.3" left="0.7" right="0.7" top="0.7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T103"/>
  <sheetViews>
    <sheetView workbookViewId="0">
      <selection activeCell="G21" sqref="G21"/>
    </sheetView>
  </sheetViews>
  <sheetFormatPr baseColWidth="10" defaultRowHeight="15" outlineLevelCol="0"/>
  <cols>
    <col bestFit="1" collapsed="1" customWidth="1" max="1" min="1" style="52" width="12.7109375"/>
    <col collapsed="1" customWidth="1" max="2" min="2" style="13" width="12.42578125"/>
    <col bestFit="1" collapsed="1" customWidth="1" max="3" min="3" style="52" width="10.28515625"/>
    <col collapsed="1" customWidth="1" hidden="1" max="4" min="4" style="52" width="12.7109375"/>
    <col bestFit="1" collapsed="1" customWidth="1" max="5" min="5" style="13" width="12.140625"/>
    <col bestFit="1" customWidth="1" max="6" min="6" style="13" width="15.7109375"/>
    <col bestFit="1" customWidth="1" max="7" min="7" style="13" width="17.42578125"/>
    <col customWidth="1" max="8" min="8" style="13" width="18.85546875"/>
    <col collapsed="1" customWidth="1" max="11" min="9" style="52" width="9.140625"/>
    <col collapsed="1" customWidth="1" max="12" min="12" style="52" width="13"/>
    <col bestFit="1" collapsed="1" customWidth="1" max="13" min="13" style="15" width="19.5703125"/>
    <col collapsed="1" customWidth="1" max="14" min="14" style="15" width="19.5703125"/>
    <col collapsed="1" customWidth="1" max="15" min="15" style="52" width="92.42578125"/>
    <col collapsed="1" customWidth="1" max="22" min="16" style="52" width="9.140625"/>
    <col collapsed="1" customWidth="1" max="16384" min="23" style="52" width="9.140625"/>
  </cols>
  <sheetData>
    <row r="1" spans="1:20">
      <c r="A1" s="7" t="s">
        <v>22</v>
      </c>
      <c r="D1" s="7" t="s">
        <v>23</v>
      </c>
      <c r="K1" s="14" t="s">
        <v>24</v>
      </c>
      <c r="Q1" s="14" t="n"/>
    </row>
    <row customHeight="1" ht="15.75" r="2" s="52" spans="1:20">
      <c r="A2" s="14" t="s">
        <v>25</v>
      </c>
      <c r="M2" s="15" t="s">
        <v>26</v>
      </c>
      <c r="N2" s="15" t="s">
        <v>27</v>
      </c>
      <c r="S2" s="16" t="n"/>
      <c r="T2" s="16" t="n"/>
    </row>
    <row r="3" spans="1:20">
      <c r="A3" s="17" t="s">
        <v>9</v>
      </c>
      <c r="B3" s="18" t="s">
        <v>14</v>
      </c>
      <c r="C3" s="18">
        <f>H3</f>
        <v/>
      </c>
      <c r="D3" s="17" t="s">
        <v>9</v>
      </c>
      <c r="E3" s="17" t="s">
        <v>15</v>
      </c>
      <c r="F3" s="17" t="s">
        <v>16</v>
      </c>
      <c r="G3" s="17" t="s">
        <v>17</v>
      </c>
      <c r="H3" s="17" t="s">
        <v>18</v>
      </c>
      <c r="I3" s="19" t="n"/>
      <c r="K3" t="n">
        <v>1</v>
      </c>
      <c r="L3" t="s">
        <v>28</v>
      </c>
      <c r="M3" s="15">
        <f>#REF!</f>
        <v/>
      </c>
      <c r="N3" s="48">
        <f>M3</f>
        <v/>
      </c>
      <c r="O3" t="s">
        <v>29</v>
      </c>
    </row>
    <row r="4" spans="1:20">
      <c r="A4" s="20" t="s">
        <v>30</v>
      </c>
      <c r="B4" s="21">
        <f>TLFD!E11</f>
        <v/>
      </c>
      <c r="C4" s="21">
        <f>H4</f>
        <v/>
      </c>
      <c r="D4" s="20" t="s">
        <v>30</v>
      </c>
      <c r="E4" s="21">
        <f>TLFD!L11</f>
        <v/>
      </c>
      <c r="F4" s="21" t="n">
        <v>20693.25</v>
      </c>
      <c r="G4" s="21" t="n">
        <v>126283.4668663759</v>
      </c>
      <c r="H4" s="21" t="n">
        <v>148882</v>
      </c>
      <c r="I4" s="26" t="n"/>
      <c r="K4" t="n">
        <v>2</v>
      </c>
      <c r="L4" t="s">
        <v>31</v>
      </c>
      <c r="M4" s="15">
        <f>#REF!</f>
        <v/>
      </c>
      <c r="N4" s="48">
        <f>M4</f>
        <v/>
      </c>
      <c r="O4" t="s">
        <v>32</v>
      </c>
    </row>
    <row r="5" spans="1:20">
      <c r="A5" s="22" t="s">
        <v>33</v>
      </c>
      <c r="B5" s="23">
        <f>TLFD!E12+TLFD!E13+(TLFD!E14/2)</f>
        <v/>
      </c>
      <c r="C5" s="23">
        <f>H5</f>
        <v/>
      </c>
      <c r="D5" s="22" t="s">
        <v>33</v>
      </c>
      <c r="E5" s="23">
        <f>TLFD!L12+TLFD!L13+(TLFD!L14/2)</f>
        <v/>
      </c>
      <c r="F5" s="23" t="n">
        <v>14260.25</v>
      </c>
      <c r="G5" s="23" t="n">
        <v>84821.51623385469</v>
      </c>
      <c r="H5" s="23" t="n">
        <v>173133.5</v>
      </c>
      <c r="I5" s="26" t="n"/>
      <c r="K5" t="n">
        <v>3</v>
      </c>
      <c r="L5" t="s">
        <v>34</v>
      </c>
      <c r="M5" s="15">
        <f>#REF!</f>
        <v/>
      </c>
      <c r="N5" s="48">
        <f>M5</f>
        <v/>
      </c>
      <c r="O5" t="s">
        <v>35</v>
      </c>
    </row>
    <row r="6" spans="1:20">
      <c r="A6" s="22" t="s">
        <v>36</v>
      </c>
      <c r="B6" s="23">
        <f>(TLFD!E14/2)+SUM(TLFD!E15:E20)</f>
        <v/>
      </c>
      <c r="C6" s="23">
        <f>H6</f>
        <v/>
      </c>
      <c r="D6" s="22" t="s">
        <v>36</v>
      </c>
      <c r="E6" s="23">
        <f>(TLFD!L14/2)+SUM(TLFD!L15:L20)</f>
        <v/>
      </c>
      <c r="F6" s="23" t="n">
        <v>16573.5</v>
      </c>
      <c r="G6" s="23" t="n">
        <v>146755.4401286212</v>
      </c>
      <c r="H6" s="23" t="n">
        <v>120538.5</v>
      </c>
      <c r="I6" s="26" t="n"/>
      <c r="K6" t="n">
        <v>4</v>
      </c>
      <c r="L6" t="s">
        <v>37</v>
      </c>
      <c r="M6" s="15">
        <f>#REF!</f>
        <v/>
      </c>
      <c r="N6" s="48">
        <f>M6</f>
        <v/>
      </c>
      <c r="O6" t="s">
        <v>38</v>
      </c>
    </row>
    <row r="7" spans="1:20">
      <c r="A7" s="24" t="s">
        <v>39</v>
      </c>
      <c r="B7" s="25">
        <f>SUM(TLFD!E21:E101)</f>
        <v/>
      </c>
      <c r="C7" s="25">
        <f>H7</f>
        <v/>
      </c>
      <c r="D7" s="24" t="s">
        <v>39</v>
      </c>
      <c r="E7" s="25">
        <f>SUM(TLFD!L21:L101)</f>
        <v/>
      </c>
      <c r="F7" s="25" t="n">
        <v>8947.75</v>
      </c>
      <c r="G7" s="25" t="n">
        <v>62241.39096771451</v>
      </c>
      <c r="H7" s="25" t="n">
        <v>66699</v>
      </c>
      <c r="I7" s="26" t="n"/>
      <c r="K7" t="n">
        <v>5</v>
      </c>
      <c r="L7" t="s">
        <v>40</v>
      </c>
      <c r="M7" s="15">
        <f>#REF!</f>
        <v/>
      </c>
      <c r="N7" s="48">
        <f>M7</f>
        <v/>
      </c>
      <c r="O7" t="s">
        <v>41</v>
      </c>
    </row>
    <row customHeight="1" ht="15.75" r="8" s="52" spans="1:20">
      <c r="A8" s="27" t="s">
        <v>13</v>
      </c>
      <c r="B8" s="28">
        <f>SUM(B4:B7)</f>
        <v/>
      </c>
      <c r="C8" s="28">
        <f>H8</f>
        <v/>
      </c>
      <c r="D8" s="27" t="s">
        <v>13</v>
      </c>
      <c r="E8" s="28">
        <f>SUM(E4:E7)</f>
        <v/>
      </c>
      <c r="F8" s="28" t="n">
        <v>60474.75</v>
      </c>
      <c r="G8" s="28" t="n">
        <v>420101.8141965662</v>
      </c>
      <c r="H8" s="28" t="n">
        <v>509253</v>
      </c>
      <c r="K8" t="n">
        <v>6</v>
      </c>
      <c r="L8" t="s">
        <v>42</v>
      </c>
      <c r="M8" s="15">
        <f>#REF!</f>
        <v/>
      </c>
      <c r="N8" s="48">
        <f>M8</f>
        <v/>
      </c>
      <c r="O8" t="s">
        <v>43</v>
      </c>
    </row>
    <row r="9" spans="1:20">
      <c r="C9" s="13" t="n"/>
      <c r="K9" t="n">
        <v>7</v>
      </c>
      <c r="L9" t="s">
        <v>44</v>
      </c>
      <c r="M9" s="15">
        <f>#REF!</f>
        <v/>
      </c>
      <c r="N9" s="48">
        <f>M9</f>
        <v/>
      </c>
      <c r="O9" t="s">
        <v>45</v>
      </c>
    </row>
    <row customHeight="1" ht="15.75" r="10" s="52" spans="1:20">
      <c r="A10" s="29" t="s">
        <v>46</v>
      </c>
      <c r="C10" s="13" t="n"/>
      <c r="I10" s="19" t="n"/>
      <c r="K10" t="n">
        <v>8</v>
      </c>
      <c r="L10" t="s">
        <v>47</v>
      </c>
      <c r="M10" s="15">
        <f>#REF!</f>
        <v/>
      </c>
      <c r="N10" s="48">
        <f>M10</f>
        <v/>
      </c>
      <c r="O10" t="s">
        <v>48</v>
      </c>
    </row>
    <row r="11" spans="1:20">
      <c r="A11" s="17" t="s">
        <v>9</v>
      </c>
      <c r="B11" s="18" t="s">
        <v>14</v>
      </c>
      <c r="C11" s="18">
        <f>H11</f>
        <v/>
      </c>
      <c r="D11" s="17" t="s">
        <v>9</v>
      </c>
      <c r="E11" s="17" t="s">
        <v>15</v>
      </c>
      <c r="F11" s="17" t="s">
        <v>16</v>
      </c>
      <c r="G11" s="17" t="s">
        <v>17</v>
      </c>
      <c r="H11" s="17" t="s">
        <v>18</v>
      </c>
      <c r="I11" s="32" t="n"/>
      <c r="K11" t="n">
        <v>9</v>
      </c>
      <c r="L11" t="s">
        <v>49</v>
      </c>
      <c r="M11" s="15">
        <f>#REF!</f>
        <v/>
      </c>
      <c r="N11" s="48">
        <f>M11</f>
        <v/>
      </c>
      <c r="O11" t="s">
        <v>50</v>
      </c>
    </row>
    <row r="12" spans="1:20">
      <c r="A12" s="20" t="s">
        <v>30</v>
      </c>
      <c r="B12" s="30">
        <f>B4/B$8</f>
        <v/>
      </c>
      <c r="C12" s="30">
        <f>H12</f>
        <v/>
      </c>
      <c r="D12" s="20" t="s">
        <v>30</v>
      </c>
      <c r="E12" s="30">
        <f>E4/E$8</f>
        <v/>
      </c>
      <c r="F12" s="30" t="n">
        <v>0.3421800007441122</v>
      </c>
      <c r="G12" s="30" t="n">
        <v>0.3006020507383185</v>
      </c>
      <c r="H12" s="30" t="n">
        <v>0.2923537023836875</v>
      </c>
      <c r="I12" s="32" t="n"/>
      <c r="K12" t="n">
        <v>10</v>
      </c>
      <c r="L12" t="s">
        <v>51</v>
      </c>
      <c r="M12" s="15">
        <f>#REF!</f>
        <v/>
      </c>
      <c r="N12" s="48">
        <f>M12</f>
        <v/>
      </c>
      <c r="O12" t="s">
        <v>52</v>
      </c>
    </row>
    <row r="13" spans="1:20">
      <c r="A13" s="22" t="s">
        <v>33</v>
      </c>
      <c r="B13" s="31">
        <f>B5/B$8</f>
        <v/>
      </c>
      <c r="C13" s="31">
        <f>H13</f>
        <v/>
      </c>
      <c r="D13" s="22" t="s">
        <v>33</v>
      </c>
      <c r="E13" s="31">
        <f>E5/E$8</f>
        <v/>
      </c>
      <c r="F13" s="31" t="n">
        <v>0.2358050260645972</v>
      </c>
      <c r="G13" s="31" t="n">
        <v>0.2019070457862069</v>
      </c>
      <c r="H13" s="31" t="n">
        <v>0.3399754149705549</v>
      </c>
      <c r="I13" s="32" t="n"/>
      <c r="K13" t="n">
        <v>11</v>
      </c>
      <c r="L13" t="s">
        <v>53</v>
      </c>
      <c r="M13" s="15">
        <f>#REF!</f>
        <v/>
      </c>
      <c r="N13" s="48">
        <f>M13</f>
        <v/>
      </c>
      <c r="O13" t="s">
        <v>54</v>
      </c>
    </row>
    <row r="14" spans="1:20">
      <c r="A14" s="22" t="s">
        <v>36</v>
      </c>
      <c r="B14" s="31">
        <f>B6/B$8</f>
        <v/>
      </c>
      <c r="C14" s="31">
        <f>H14</f>
        <v/>
      </c>
      <c r="D14" s="22" t="s">
        <v>36</v>
      </c>
      <c r="E14" s="31">
        <f>E6/E$8</f>
        <v/>
      </c>
      <c r="F14" s="31" t="n">
        <v>0.2740565277243808</v>
      </c>
      <c r="G14" s="31" t="n">
        <v>0.3493330311112489</v>
      </c>
      <c r="H14" s="31" t="n">
        <v>0.2366966910356935</v>
      </c>
      <c r="I14" s="32" t="n"/>
      <c r="K14" t="n">
        <v>12</v>
      </c>
      <c r="L14" t="s">
        <v>55</v>
      </c>
      <c r="M14" s="15">
        <f>#REF!</f>
        <v/>
      </c>
      <c r="N14" s="48">
        <f>M14</f>
        <v/>
      </c>
      <c r="O14" t="s">
        <v>56</v>
      </c>
    </row>
    <row r="15" spans="1:20">
      <c r="A15" s="24" t="s">
        <v>39</v>
      </c>
      <c r="B15" s="31">
        <f>B7/B$8</f>
        <v/>
      </c>
      <c r="C15" s="31">
        <f>H15</f>
        <v/>
      </c>
      <c r="D15" s="24" t="s">
        <v>39</v>
      </c>
      <c r="E15" s="31">
        <f>E7/E$8</f>
        <v/>
      </c>
      <c r="F15" s="31" t="n">
        <v>0.1479584454669098</v>
      </c>
      <c r="G15" s="31" t="n">
        <v>0.1481578723642257</v>
      </c>
      <c r="H15" s="31" t="n">
        <v>0.1309741916100642</v>
      </c>
      <c r="K15" t="n">
        <v>13</v>
      </c>
      <c r="L15" t="s">
        <v>57</v>
      </c>
      <c r="M15" s="15">
        <f>#REF!</f>
        <v/>
      </c>
      <c r="N15" s="48">
        <f>M15</f>
        <v/>
      </c>
      <c r="O15" t="s">
        <v>58</v>
      </c>
    </row>
    <row customHeight="1" ht="15.75" r="16" s="52" spans="1:20">
      <c r="A16" s="27" t="s">
        <v>13</v>
      </c>
      <c r="B16" s="33">
        <f>B8/B$8</f>
        <v/>
      </c>
      <c r="C16" s="33">
        <f>H16</f>
        <v/>
      </c>
      <c r="D16" s="27" t="s">
        <v>13</v>
      </c>
      <c r="E16" s="33">
        <f>E8/E$8</f>
        <v/>
      </c>
      <c r="F16" s="33" t="n">
        <v>1</v>
      </c>
      <c r="G16" s="33" t="n">
        <v>1</v>
      </c>
      <c r="H16" s="33" t="n">
        <v>1</v>
      </c>
      <c r="K16" t="n">
        <v>14</v>
      </c>
      <c r="L16" t="s">
        <v>59</v>
      </c>
      <c r="M16" s="15">
        <f>#REF!</f>
        <v/>
      </c>
      <c r="N16" s="48">
        <f>M16</f>
        <v/>
      </c>
      <c r="O16" t="s">
        <v>60</v>
      </c>
    </row>
    <row r="17" spans="1:20">
      <c r="K17" t="n">
        <v>15</v>
      </c>
      <c r="L17" t="s">
        <v>61</v>
      </c>
      <c r="M17" s="15">
        <f>#REF!</f>
        <v/>
      </c>
      <c r="N17" s="48">
        <f>M17</f>
        <v/>
      </c>
      <c r="O17" t="s">
        <v>62</v>
      </c>
    </row>
    <row r="18" spans="1:20">
      <c r="K18" t="n">
        <v>16</v>
      </c>
      <c r="L18" t="s">
        <v>63</v>
      </c>
      <c r="M18" s="15">
        <f>#REF!</f>
        <v/>
      </c>
      <c r="N18" s="48">
        <f>M18</f>
        <v/>
      </c>
      <c r="O18" t="s">
        <v>64</v>
      </c>
    </row>
    <row r="19" spans="1:20">
      <c r="A19" s="34" t="s">
        <v>65</v>
      </c>
      <c r="K19" t="n">
        <v>17</v>
      </c>
      <c r="L19" t="s">
        <v>66</v>
      </c>
      <c r="M19" s="15">
        <f>#REF!</f>
        <v/>
      </c>
      <c r="N19" s="48">
        <f>M19</f>
        <v/>
      </c>
      <c r="O19" t="s">
        <v>67</v>
      </c>
    </row>
    <row r="20" spans="1:20">
      <c r="A20" s="34" t="s">
        <v>68</v>
      </c>
      <c r="K20" t="n">
        <v>18</v>
      </c>
      <c r="L20" t="s">
        <v>69</v>
      </c>
      <c r="M20" s="15">
        <f>#REF!</f>
        <v/>
      </c>
      <c r="N20" s="48">
        <f>M20</f>
        <v/>
      </c>
      <c r="O20" t="s">
        <v>70</v>
      </c>
    </row>
    <row customHeight="1" ht="15.75" r="21" s="52" spans="1:20">
      <c r="A21" s="35" t="n"/>
      <c r="J21" t="s">
        <v>71</v>
      </c>
      <c r="K21" t="n">
        <v>19</v>
      </c>
      <c r="L21" t="s">
        <v>72</v>
      </c>
      <c r="M21" s="15">
        <f>#REF!</f>
        <v/>
      </c>
      <c r="N21" s="48">
        <f>M21</f>
        <v/>
      </c>
      <c r="O21" t="s">
        <v>73</v>
      </c>
    </row>
    <row r="22" spans="1:20">
      <c r="A22" s="36" t="s">
        <v>74</v>
      </c>
      <c r="B22" s="37" t="n"/>
      <c r="J22" t="s">
        <v>71</v>
      </c>
      <c r="K22" t="n">
        <v>20</v>
      </c>
      <c r="L22" t="s">
        <v>75</v>
      </c>
      <c r="M22" s="15">
        <f>#REF!</f>
        <v/>
      </c>
      <c r="N22" s="48">
        <f>M22</f>
        <v/>
      </c>
      <c r="O22" s="47" t="s">
        <v>76</v>
      </c>
    </row>
    <row r="23" spans="1:20">
      <c r="A23" s="20" t="s">
        <v>30</v>
      </c>
      <c r="B23" s="38" t="n"/>
      <c r="J23" t="s">
        <v>71</v>
      </c>
      <c r="K23" t="n">
        <v>21</v>
      </c>
      <c r="L23" t="s">
        <v>77</v>
      </c>
      <c r="M23" s="15">
        <f>#REF!</f>
        <v/>
      </c>
      <c r="N23" s="48">
        <f>M23</f>
        <v/>
      </c>
      <c r="O23" t="s">
        <v>78</v>
      </c>
    </row>
    <row r="24" spans="1:20">
      <c r="A24" s="22" t="s">
        <v>33</v>
      </c>
      <c r="B24" s="38" t="n"/>
      <c r="J24" t="s">
        <v>71</v>
      </c>
      <c r="K24" t="n">
        <v>22</v>
      </c>
      <c r="L24" t="s">
        <v>79</v>
      </c>
      <c r="M24" s="15">
        <f>#REF!</f>
        <v/>
      </c>
      <c r="N24" s="48">
        <f>M24</f>
        <v/>
      </c>
      <c r="O24" t="s">
        <v>80</v>
      </c>
    </row>
    <row r="25" spans="1:20">
      <c r="A25" s="22" t="s">
        <v>36</v>
      </c>
      <c r="B25" s="38" t="n"/>
      <c r="J25" t="s">
        <v>71</v>
      </c>
      <c r="K25" t="n">
        <v>23</v>
      </c>
      <c r="L25" t="s">
        <v>81</v>
      </c>
      <c r="M25" s="15">
        <f>#REF!</f>
        <v/>
      </c>
      <c r="N25" s="48">
        <f>M25</f>
        <v/>
      </c>
      <c r="O25" t="s">
        <v>82</v>
      </c>
    </row>
    <row customHeight="1" ht="15.75" r="26" s="52" spans="1:20">
      <c r="A26" s="39" t="s">
        <v>39</v>
      </c>
      <c r="B26" s="40" t="n"/>
      <c r="J26" t="s">
        <v>71</v>
      </c>
      <c r="K26" t="n">
        <v>24</v>
      </c>
      <c r="L26" t="s">
        <v>83</v>
      </c>
      <c r="M26" s="15">
        <f>#REF!</f>
        <v/>
      </c>
      <c r="N26" s="48">
        <f>M26</f>
        <v/>
      </c>
      <c r="O26" s="47" t="s">
        <v>84</v>
      </c>
    </row>
    <row r="27" spans="1:20">
      <c r="A27" s="35" t="n"/>
      <c r="B27" s="41" t="n"/>
      <c r="J27" t="s">
        <v>85</v>
      </c>
      <c r="K27" t="n">
        <v>25</v>
      </c>
      <c r="L27" t="s">
        <v>86</v>
      </c>
      <c r="M27" s="15">
        <f>#REF!</f>
        <v/>
      </c>
      <c r="N27" s="48">
        <f>M27</f>
        <v/>
      </c>
      <c r="O27" s="47" t="s">
        <v>87</v>
      </c>
    </row>
    <row r="28" spans="1:20">
      <c r="A28" s="35" t="n"/>
      <c r="B28" s="41" t="n"/>
      <c r="J28" t="s">
        <v>85</v>
      </c>
      <c r="K28" t="n">
        <v>26</v>
      </c>
      <c r="L28" t="s">
        <v>88</v>
      </c>
      <c r="M28" s="15">
        <f>#REF!</f>
        <v/>
      </c>
      <c r="N28" s="48">
        <f>M28</f>
        <v/>
      </c>
      <c r="O28" t="s">
        <v>76</v>
      </c>
    </row>
    <row r="29" spans="1:20">
      <c r="A29" s="34" t="s">
        <v>65</v>
      </c>
      <c r="B29" s="42" t="n"/>
      <c r="J29" t="s">
        <v>85</v>
      </c>
      <c r="K29" t="n">
        <v>27</v>
      </c>
      <c r="L29" t="s">
        <v>89</v>
      </c>
      <c r="M29" s="15">
        <f>#REF!</f>
        <v/>
      </c>
      <c r="N29" s="48">
        <f>M29</f>
        <v/>
      </c>
      <c r="O29" t="s">
        <v>78</v>
      </c>
    </row>
    <row r="30" spans="1:20">
      <c r="A30" s="34" t="s">
        <v>90</v>
      </c>
      <c r="B30" s="42" t="n"/>
      <c r="J30" t="s">
        <v>85</v>
      </c>
      <c r="K30" t="n">
        <v>28</v>
      </c>
      <c r="L30" t="s">
        <v>91</v>
      </c>
      <c r="M30" s="15">
        <f>#REF!</f>
        <v/>
      </c>
      <c r="N30" s="48">
        <f>M30</f>
        <v/>
      </c>
      <c r="O30" t="s">
        <v>80</v>
      </c>
    </row>
    <row customHeight="1" ht="15.75" r="31" s="52" spans="1:20">
      <c r="A31" s="35" t="n"/>
      <c r="B31" s="41" t="n"/>
      <c r="J31" t="s">
        <v>85</v>
      </c>
      <c r="K31" t="n">
        <v>29</v>
      </c>
      <c r="L31" t="s">
        <v>92</v>
      </c>
      <c r="M31" s="15">
        <f>#REF!</f>
        <v/>
      </c>
      <c r="N31" s="48">
        <f>M31</f>
        <v/>
      </c>
      <c r="O31" t="s">
        <v>82</v>
      </c>
    </row>
    <row r="32" spans="1:20">
      <c r="A32" s="36" t="s">
        <v>74</v>
      </c>
      <c r="B32" s="37" t="n"/>
      <c r="J32" t="s">
        <v>85</v>
      </c>
      <c r="K32" t="n">
        <v>30</v>
      </c>
      <c r="L32" t="s">
        <v>93</v>
      </c>
      <c r="M32" s="15">
        <f>#REF!</f>
        <v/>
      </c>
      <c r="N32" s="48">
        <f>M32</f>
        <v/>
      </c>
      <c r="O32" t="s">
        <v>94</v>
      </c>
    </row>
    <row r="33" spans="1:20">
      <c r="A33" s="20" t="s">
        <v>30</v>
      </c>
      <c r="B33" s="38">
        <f>LN(B12/E12)-LN(B12/E12)</f>
        <v/>
      </c>
      <c r="J33" t="s">
        <v>85</v>
      </c>
      <c r="K33" t="n">
        <v>31</v>
      </c>
      <c r="L33" t="s">
        <v>95</v>
      </c>
      <c r="M33" s="15">
        <f>#REF!</f>
        <v/>
      </c>
      <c r="N33" s="48">
        <f>M33</f>
        <v/>
      </c>
      <c r="O33" s="47" t="s">
        <v>96</v>
      </c>
    </row>
    <row r="34" spans="1:20">
      <c r="A34" s="22" t="s">
        <v>33</v>
      </c>
      <c r="B34" s="38">
        <f>LN(B13/E13)-LN(B12/E12)</f>
        <v/>
      </c>
      <c r="J34" t="s">
        <v>85</v>
      </c>
      <c r="K34" t="n">
        <v>32</v>
      </c>
      <c r="L34" t="s">
        <v>97</v>
      </c>
      <c r="M34" s="15">
        <f>#REF!</f>
        <v/>
      </c>
      <c r="N34" s="48">
        <f>M34</f>
        <v/>
      </c>
      <c r="O34" s="47" t="s">
        <v>98</v>
      </c>
    </row>
    <row r="35" spans="1:20">
      <c r="A35" s="22" t="s">
        <v>36</v>
      </c>
      <c r="B35" s="38">
        <f>LN(B14/E14)-LN(B13/E13)-LN(B12/E12)</f>
        <v/>
      </c>
      <c r="E35" s="43" t="n"/>
      <c r="F35" s="43" t="n"/>
      <c r="G35" s="43" t="n"/>
      <c r="H35" s="43" t="n"/>
      <c r="J35" t="s">
        <v>85</v>
      </c>
      <c r="K35" t="n">
        <v>33</v>
      </c>
      <c r="L35" t="s">
        <v>99</v>
      </c>
      <c r="M35" s="15">
        <f>#REF!</f>
        <v/>
      </c>
      <c r="N35" s="48">
        <f>M35</f>
        <v/>
      </c>
      <c r="O35" s="47" t="s">
        <v>100</v>
      </c>
    </row>
    <row customHeight="1" ht="15.75" r="36" s="52" spans="1:20">
      <c r="A36" s="39" t="s">
        <v>39</v>
      </c>
      <c r="B36" s="40">
        <f>LN(B15/E15)-LN(B14/E14)-LN(B13/E13)-LN(B12/E12)</f>
        <v/>
      </c>
      <c r="E36" s="44" t="n"/>
      <c r="F36" s="44" t="n"/>
      <c r="G36" s="44" t="n"/>
      <c r="H36" s="44" t="n"/>
      <c r="J36" t="s">
        <v>85</v>
      </c>
      <c r="K36" t="n">
        <v>34</v>
      </c>
      <c r="L36" t="s">
        <v>101</v>
      </c>
      <c r="M36" s="15">
        <f>#REF!</f>
        <v/>
      </c>
      <c r="N36" s="48">
        <f>M36</f>
        <v/>
      </c>
      <c r="O36" s="47" t="s">
        <v>102</v>
      </c>
    </row>
    <row r="37" spans="1:20">
      <c r="A37" s="35" t="n"/>
      <c r="B37" s="38" t="n"/>
      <c r="J37" t="s">
        <v>103</v>
      </c>
      <c r="K37" t="n">
        <v>35</v>
      </c>
      <c r="L37" t="s">
        <v>104</v>
      </c>
      <c r="M37" s="15">
        <f>#REF!</f>
        <v/>
      </c>
      <c r="N37" s="48">
        <f>M37</f>
        <v/>
      </c>
      <c r="O37" s="47" t="s">
        <v>105</v>
      </c>
    </row>
    <row r="38" spans="1:20">
      <c r="A38" s="35" t="n"/>
      <c r="B38" s="38" t="n"/>
      <c r="J38" t="s">
        <v>103</v>
      </c>
      <c r="K38" t="n">
        <v>36</v>
      </c>
      <c r="L38" t="s">
        <v>106</v>
      </c>
      <c r="M38" s="15">
        <f>#REF!</f>
        <v/>
      </c>
      <c r="N38" s="48">
        <f>M38</f>
        <v/>
      </c>
      <c r="O38" s="47" t="s">
        <v>76</v>
      </c>
    </row>
    <row r="39" spans="1:20">
      <c r="A39" s="34" t="s">
        <v>65</v>
      </c>
      <c r="B39" s="45" t="n"/>
      <c r="J39" t="s">
        <v>103</v>
      </c>
      <c r="K39" t="n">
        <v>37</v>
      </c>
      <c r="L39" t="s">
        <v>107</v>
      </c>
      <c r="M39" s="15">
        <f>#REF!</f>
        <v/>
      </c>
      <c r="N39" s="48">
        <f>M39</f>
        <v/>
      </c>
      <c r="O39" s="47" t="s">
        <v>78</v>
      </c>
    </row>
    <row r="40" spans="1:20">
      <c r="A40" s="34" t="s">
        <v>108</v>
      </c>
      <c r="B40" s="45" t="n"/>
      <c r="J40" t="s">
        <v>103</v>
      </c>
      <c r="K40" t="n">
        <v>38</v>
      </c>
      <c r="L40" t="s">
        <v>109</v>
      </c>
      <c r="M40" s="15">
        <f>#REF!</f>
        <v/>
      </c>
      <c r="N40" s="48">
        <f>M40</f>
        <v/>
      </c>
      <c r="O40" s="47" t="s">
        <v>80</v>
      </c>
    </row>
    <row customHeight="1" ht="15.75" r="41" s="52" spans="1:20">
      <c r="A41" s="35" t="n"/>
      <c r="B41" s="38" t="n"/>
      <c r="J41" t="s">
        <v>103</v>
      </c>
      <c r="K41" t="n">
        <v>39</v>
      </c>
      <c r="L41" t="s">
        <v>110</v>
      </c>
      <c r="M41" s="15">
        <f>#REF!</f>
        <v/>
      </c>
      <c r="N41" s="48">
        <f>M41</f>
        <v/>
      </c>
      <c r="O41" s="47" t="s">
        <v>82</v>
      </c>
    </row>
    <row r="42" spans="1:20">
      <c r="A42" s="36" t="s">
        <v>74</v>
      </c>
      <c r="B42" s="46" t="n"/>
      <c r="J42" t="s">
        <v>103</v>
      </c>
      <c r="K42" t="n">
        <v>40</v>
      </c>
      <c r="L42" t="s">
        <v>111</v>
      </c>
      <c r="M42" s="15">
        <f>#REF!</f>
        <v/>
      </c>
      <c r="N42" s="48">
        <f>M42</f>
        <v/>
      </c>
      <c r="O42" s="47" t="s">
        <v>94</v>
      </c>
    </row>
    <row r="43" spans="1:20">
      <c r="A43" s="20" t="s">
        <v>30</v>
      </c>
      <c r="B43" s="38">
        <f>B23+B33</f>
        <v/>
      </c>
      <c r="J43" t="s">
        <v>103</v>
      </c>
      <c r="K43" t="n">
        <v>41</v>
      </c>
      <c r="L43" t="s">
        <v>112</v>
      </c>
      <c r="M43" s="15">
        <f>#REF!</f>
        <v/>
      </c>
      <c r="N43" s="48">
        <f>M43</f>
        <v/>
      </c>
      <c r="O43" s="47" t="s">
        <v>96</v>
      </c>
    </row>
    <row r="44" spans="1:20">
      <c r="A44" s="22" t="s">
        <v>33</v>
      </c>
      <c r="B44" s="38">
        <f>B24+B34</f>
        <v/>
      </c>
      <c r="J44" t="s">
        <v>113</v>
      </c>
      <c r="K44" t="n">
        <v>42</v>
      </c>
      <c r="L44" t="s">
        <v>114</v>
      </c>
      <c r="M44" s="15">
        <f>#REF!</f>
        <v/>
      </c>
      <c r="N44" s="48">
        <f>M44</f>
        <v/>
      </c>
      <c r="O44" s="47" t="s">
        <v>115</v>
      </c>
    </row>
    <row r="45" spans="1:20">
      <c r="A45" s="22" t="s">
        <v>36</v>
      </c>
      <c r="B45" s="38">
        <f>B25+B35</f>
        <v/>
      </c>
      <c r="J45" t="s">
        <v>113</v>
      </c>
      <c r="K45" t="n">
        <v>43</v>
      </c>
      <c r="L45" t="s">
        <v>116</v>
      </c>
      <c r="M45" s="15">
        <f>#REF!</f>
        <v/>
      </c>
      <c r="N45" s="48">
        <f>M45</f>
        <v/>
      </c>
      <c r="O45" s="47" t="s">
        <v>76</v>
      </c>
    </row>
    <row customHeight="1" ht="15.75" r="46" s="52" spans="1:20">
      <c r="A46" s="39" t="s">
        <v>39</v>
      </c>
      <c r="B46" s="40">
        <f>B26+B36</f>
        <v/>
      </c>
      <c r="J46" t="s">
        <v>113</v>
      </c>
      <c r="K46" t="n">
        <v>44</v>
      </c>
      <c r="L46" t="s">
        <v>117</v>
      </c>
      <c r="M46" s="15">
        <f>#REF!</f>
        <v/>
      </c>
      <c r="N46" s="48">
        <f>M46</f>
        <v/>
      </c>
      <c r="O46" s="47" t="s">
        <v>118</v>
      </c>
    </row>
    <row r="47" spans="1:20">
      <c r="J47" t="s">
        <v>113</v>
      </c>
      <c r="K47" t="n">
        <v>45</v>
      </c>
      <c r="L47" t="s">
        <v>119</v>
      </c>
      <c r="M47" s="15">
        <f>#REF!</f>
        <v/>
      </c>
      <c r="N47" s="48">
        <f>M47</f>
        <v/>
      </c>
      <c r="O47" s="47" t="s">
        <v>120</v>
      </c>
    </row>
    <row r="48" spans="1:20">
      <c r="J48" t="s">
        <v>113</v>
      </c>
      <c r="K48" t="n">
        <v>46</v>
      </c>
      <c r="L48" t="s">
        <v>121</v>
      </c>
      <c r="M48" s="15">
        <f>#REF!</f>
        <v/>
      </c>
      <c r="N48" s="48">
        <f>M48</f>
        <v/>
      </c>
      <c r="O48" s="47" t="s">
        <v>122</v>
      </c>
    </row>
    <row r="49" spans="1:20">
      <c r="J49" t="s">
        <v>113</v>
      </c>
      <c r="K49" t="n">
        <v>47</v>
      </c>
      <c r="L49" t="s">
        <v>123</v>
      </c>
      <c r="M49" s="15">
        <f>#REF!</f>
        <v/>
      </c>
      <c r="N49" s="48">
        <f>M49</f>
        <v/>
      </c>
      <c r="O49" s="47" t="s">
        <v>124</v>
      </c>
    </row>
    <row r="50" spans="1:20">
      <c r="J50" t="s">
        <v>125</v>
      </c>
      <c r="K50" t="n">
        <v>48</v>
      </c>
      <c r="L50" t="s">
        <v>126</v>
      </c>
      <c r="M50" s="15">
        <f>#REF!</f>
        <v/>
      </c>
      <c r="N50" s="48">
        <f>M50</f>
        <v/>
      </c>
      <c r="O50" s="47" t="s">
        <v>127</v>
      </c>
    </row>
    <row r="51" spans="1:20">
      <c r="J51" t="s">
        <v>125</v>
      </c>
      <c r="K51" t="n">
        <v>49</v>
      </c>
      <c r="L51" t="s">
        <v>128</v>
      </c>
      <c r="M51" s="15">
        <f>#REF!</f>
        <v/>
      </c>
      <c r="N51" s="48">
        <f>M51</f>
        <v/>
      </c>
      <c r="O51" s="47" t="s">
        <v>76</v>
      </c>
    </row>
    <row r="52" spans="1:20">
      <c r="J52" t="s">
        <v>125</v>
      </c>
      <c r="K52" t="n">
        <v>50</v>
      </c>
      <c r="L52" t="s">
        <v>129</v>
      </c>
      <c r="M52" s="15">
        <f>#REF!</f>
        <v/>
      </c>
      <c r="N52" s="48">
        <f>M52</f>
        <v/>
      </c>
      <c r="O52" s="47" t="s">
        <v>78</v>
      </c>
    </row>
    <row r="53" spans="1:20">
      <c r="J53" t="s">
        <v>125</v>
      </c>
      <c r="K53" t="n">
        <v>51</v>
      </c>
      <c r="L53" t="s">
        <v>130</v>
      </c>
      <c r="M53" s="15">
        <f>#REF!</f>
        <v/>
      </c>
      <c r="N53" s="48">
        <f>M53</f>
        <v/>
      </c>
      <c r="O53" s="47" t="s">
        <v>80</v>
      </c>
    </row>
    <row r="54" spans="1:20">
      <c r="J54" t="s">
        <v>125</v>
      </c>
      <c r="K54" t="n">
        <v>52</v>
      </c>
      <c r="L54" t="s">
        <v>131</v>
      </c>
      <c r="M54" s="15">
        <f>#REF!</f>
        <v/>
      </c>
      <c r="N54" s="48">
        <f>M54</f>
        <v/>
      </c>
      <c r="O54" s="47" t="s">
        <v>82</v>
      </c>
    </row>
    <row r="55" spans="1:20">
      <c r="J55" t="s">
        <v>125</v>
      </c>
      <c r="K55" t="n">
        <v>53</v>
      </c>
      <c r="L55" t="s">
        <v>132</v>
      </c>
      <c r="M55" s="15">
        <f>#REF!</f>
        <v/>
      </c>
      <c r="N55" s="48">
        <f>M55</f>
        <v/>
      </c>
      <c r="O55" s="47" t="s">
        <v>94</v>
      </c>
    </row>
    <row r="56" spans="1:20">
      <c r="J56" t="s">
        <v>125</v>
      </c>
      <c r="K56" t="n">
        <v>54</v>
      </c>
      <c r="L56" t="s">
        <v>133</v>
      </c>
      <c r="M56" s="15">
        <f>#REF!</f>
        <v/>
      </c>
      <c r="N56" s="48">
        <f>M56</f>
        <v/>
      </c>
      <c r="O56" s="47" t="s">
        <v>134</v>
      </c>
    </row>
    <row r="57" spans="1:20">
      <c r="J57" t="s">
        <v>125</v>
      </c>
      <c r="K57" t="n">
        <v>55</v>
      </c>
      <c r="L57" t="s">
        <v>135</v>
      </c>
      <c r="M57" s="15">
        <f>#REF!</f>
        <v/>
      </c>
      <c r="N57" s="48">
        <f>M57</f>
        <v/>
      </c>
      <c r="O57" s="47" t="s">
        <v>98</v>
      </c>
    </row>
    <row r="58" spans="1:20">
      <c r="J58" t="s">
        <v>125</v>
      </c>
      <c r="K58" t="n">
        <v>56</v>
      </c>
      <c r="L58" t="s">
        <v>136</v>
      </c>
      <c r="M58" s="15">
        <f>#REF!</f>
        <v/>
      </c>
      <c r="N58" s="48">
        <f>M58</f>
        <v/>
      </c>
      <c r="O58" s="47" t="s">
        <v>102</v>
      </c>
    </row>
    <row r="59" spans="1:20">
      <c r="K59" t="n">
        <v>57</v>
      </c>
      <c r="L59" t="s">
        <v>137</v>
      </c>
      <c r="M59" s="15">
        <f>#REF!</f>
        <v/>
      </c>
      <c r="N59" s="48">
        <f>M59</f>
        <v/>
      </c>
      <c r="O59" s="47" t="s">
        <v>105</v>
      </c>
    </row>
    <row r="60" spans="1:20">
      <c r="J60" t="s">
        <v>71</v>
      </c>
      <c r="K60" t="n">
        <v>70</v>
      </c>
      <c r="L60" t="s">
        <v>138</v>
      </c>
      <c r="M60" s="15">
        <f>#REF!</f>
        <v/>
      </c>
      <c r="N60" s="48">
        <f>M60</f>
        <v/>
      </c>
      <c r="O60" s="47" t="n"/>
    </row>
    <row r="61" spans="1:20">
      <c r="J61" t="s">
        <v>71</v>
      </c>
      <c r="K61" t="n">
        <v>71</v>
      </c>
      <c r="L61" t="s">
        <v>139</v>
      </c>
      <c r="M61" s="15">
        <f>#REF!</f>
        <v/>
      </c>
      <c r="N61" s="48">
        <f>M61</f>
        <v/>
      </c>
      <c r="O61" t="s">
        <v>140</v>
      </c>
    </row>
    <row r="62" spans="1:20">
      <c r="J62" t="s">
        <v>71</v>
      </c>
      <c r="K62" t="n">
        <v>72</v>
      </c>
      <c r="L62" t="s">
        <v>141</v>
      </c>
      <c r="M62" s="15">
        <f>#REF!</f>
        <v/>
      </c>
      <c r="N62" s="48">
        <f>M62</f>
        <v/>
      </c>
      <c r="O62" t="s">
        <v>142</v>
      </c>
    </row>
    <row r="63" spans="1:20">
      <c r="J63" t="s">
        <v>71</v>
      </c>
      <c r="K63" t="n">
        <v>73</v>
      </c>
      <c r="L63" t="s">
        <v>143</v>
      </c>
      <c r="M63" s="15">
        <f>#REF!</f>
        <v/>
      </c>
      <c r="N63" s="48">
        <f>M63</f>
        <v/>
      </c>
      <c r="O63" t="s">
        <v>144</v>
      </c>
    </row>
    <row r="64" spans="1:20">
      <c r="J64" t="s">
        <v>71</v>
      </c>
      <c r="K64" t="n">
        <v>74</v>
      </c>
      <c r="L64" t="s">
        <v>145</v>
      </c>
      <c r="M64" s="15">
        <f>#REF!</f>
        <v/>
      </c>
      <c r="N64" s="48">
        <f>M64</f>
        <v/>
      </c>
      <c r="O64" t="s">
        <v>146</v>
      </c>
    </row>
    <row r="65" spans="1:20">
      <c r="J65" t="s">
        <v>71</v>
      </c>
      <c r="K65" t="n">
        <v>75</v>
      </c>
      <c r="L65" t="s">
        <v>147</v>
      </c>
      <c r="M65" s="15">
        <f>#REF!</f>
        <v/>
      </c>
      <c r="N65" s="48">
        <f>M65</f>
        <v/>
      </c>
      <c r="O65" t="s">
        <v>148</v>
      </c>
    </row>
    <row r="66" spans="1:20">
      <c r="J66" t="s">
        <v>71</v>
      </c>
      <c r="K66" t="n">
        <v>76</v>
      </c>
      <c r="L66" t="s">
        <v>149</v>
      </c>
      <c r="M66" s="15">
        <f>#REF!</f>
        <v/>
      </c>
      <c r="N66" s="48">
        <f>M66</f>
        <v/>
      </c>
      <c r="O66" t="s">
        <v>150</v>
      </c>
    </row>
    <row r="67" spans="1:20">
      <c r="J67" t="s">
        <v>71</v>
      </c>
      <c r="K67" t="n">
        <v>77</v>
      </c>
      <c r="L67" t="s">
        <v>151</v>
      </c>
      <c r="M67" s="15">
        <f>#REF!</f>
        <v/>
      </c>
      <c r="N67" s="48">
        <f>M67</f>
        <v/>
      </c>
      <c r="O67" t="s">
        <v>152</v>
      </c>
    </row>
    <row r="68" spans="1:20">
      <c r="J68" t="s">
        <v>71</v>
      </c>
      <c r="K68" t="n">
        <v>78</v>
      </c>
      <c r="L68" t="s">
        <v>153</v>
      </c>
      <c r="M68" s="15">
        <f>#REF!</f>
        <v/>
      </c>
      <c r="N68" s="48">
        <f>M68</f>
        <v/>
      </c>
      <c r="O68" t="s">
        <v>154</v>
      </c>
    </row>
    <row r="69" spans="1:20">
      <c r="J69" t="s">
        <v>71</v>
      </c>
      <c r="K69" t="n">
        <v>79</v>
      </c>
      <c r="L69" t="s">
        <v>155</v>
      </c>
      <c r="M69" s="15">
        <f>#REF!</f>
        <v/>
      </c>
      <c r="N69" s="48">
        <f>M69</f>
        <v/>
      </c>
      <c r="O69" t="s">
        <v>156</v>
      </c>
    </row>
    <row r="70" spans="1:20">
      <c r="J70" t="s">
        <v>71</v>
      </c>
      <c r="K70" t="n">
        <v>80</v>
      </c>
      <c r="L70" t="s">
        <v>157</v>
      </c>
      <c r="M70" s="15">
        <f>#REF!</f>
        <v/>
      </c>
      <c r="N70" s="48">
        <f>M70</f>
        <v/>
      </c>
      <c r="O70" t="s">
        <v>158</v>
      </c>
    </row>
    <row r="71" spans="1:20">
      <c r="J71" t="s">
        <v>71</v>
      </c>
      <c r="K71" t="n">
        <v>81</v>
      </c>
      <c r="L71" t="s">
        <v>159</v>
      </c>
      <c r="M71" s="15">
        <f>#REF!</f>
        <v/>
      </c>
      <c r="N71" s="48">
        <f>M71</f>
        <v/>
      </c>
      <c r="O71" t="s">
        <v>160</v>
      </c>
    </row>
    <row r="72" spans="1:20">
      <c r="J72" t="s">
        <v>71</v>
      </c>
      <c r="K72" t="n">
        <v>82</v>
      </c>
      <c r="L72" t="s">
        <v>161</v>
      </c>
      <c r="M72" s="15">
        <f>#REF!</f>
        <v/>
      </c>
      <c r="N72" s="48">
        <f>M72</f>
        <v/>
      </c>
      <c r="O72" t="s">
        <v>160</v>
      </c>
    </row>
    <row r="73" spans="1:20">
      <c r="J73" t="s">
        <v>71</v>
      </c>
      <c r="K73" t="n">
        <v>83</v>
      </c>
      <c r="L73" t="s">
        <v>162</v>
      </c>
      <c r="M73" s="15">
        <f>#REF!</f>
        <v/>
      </c>
      <c r="N73" s="48">
        <f>M73</f>
        <v/>
      </c>
      <c r="O73" t="s">
        <v>163</v>
      </c>
    </row>
    <row r="74" spans="1:20">
      <c r="J74" t="s">
        <v>71</v>
      </c>
      <c r="K74" t="n">
        <v>84</v>
      </c>
      <c r="L74" t="s">
        <v>164</v>
      </c>
      <c r="M74" s="15">
        <f>#REF!</f>
        <v/>
      </c>
      <c r="N74" s="48">
        <f>M74</f>
        <v/>
      </c>
      <c r="O74" t="s">
        <v>165</v>
      </c>
    </row>
    <row r="75" spans="1:20">
      <c r="J75" t="s">
        <v>71</v>
      </c>
      <c r="K75" t="n">
        <v>85</v>
      </c>
      <c r="L75" t="s">
        <v>166</v>
      </c>
      <c r="M75" s="15">
        <f>#REF!</f>
        <v/>
      </c>
      <c r="N75" s="48">
        <f>M75</f>
        <v/>
      </c>
      <c r="O75" t="s">
        <v>167</v>
      </c>
    </row>
    <row r="76" spans="1:20">
      <c r="J76" t="s">
        <v>71</v>
      </c>
      <c r="K76" t="n">
        <v>86</v>
      </c>
      <c r="L76" t="s">
        <v>168</v>
      </c>
      <c r="M76" s="15">
        <f>#REF!</f>
        <v/>
      </c>
      <c r="N76" s="48">
        <f>M76</f>
        <v/>
      </c>
      <c r="O76" t="s">
        <v>169</v>
      </c>
    </row>
    <row r="77" spans="1:20">
      <c r="J77" t="s">
        <v>71</v>
      </c>
      <c r="K77" t="n">
        <v>87</v>
      </c>
      <c r="L77" t="s">
        <v>170</v>
      </c>
      <c r="M77" s="15">
        <f>#REF!</f>
        <v/>
      </c>
      <c r="N77" s="48">
        <f>M77</f>
        <v/>
      </c>
      <c r="O77" t="s">
        <v>171</v>
      </c>
    </row>
    <row r="78" spans="1:20">
      <c r="J78" t="s">
        <v>85</v>
      </c>
      <c r="K78" t="n">
        <v>88</v>
      </c>
      <c r="L78" t="s">
        <v>172</v>
      </c>
      <c r="M78" s="15">
        <f>#REF!</f>
        <v/>
      </c>
      <c r="N78" s="48">
        <f>M78</f>
        <v/>
      </c>
      <c r="O78" t="s">
        <v>173</v>
      </c>
    </row>
    <row r="79" spans="1:20">
      <c r="J79" t="s">
        <v>85</v>
      </c>
      <c r="K79" t="n">
        <v>89</v>
      </c>
      <c r="L79" t="s">
        <v>174</v>
      </c>
      <c r="M79" s="15">
        <f>#REF!</f>
        <v/>
      </c>
      <c r="N79" s="48">
        <f>M79</f>
        <v/>
      </c>
      <c r="O79" t="s">
        <v>175</v>
      </c>
    </row>
    <row r="80" spans="1:20">
      <c r="J80" t="s">
        <v>85</v>
      </c>
      <c r="K80" t="n">
        <v>90</v>
      </c>
      <c r="L80" t="s">
        <v>176</v>
      </c>
      <c r="M80" s="15">
        <f>#REF!</f>
        <v/>
      </c>
      <c r="N80" s="48">
        <f>M80</f>
        <v/>
      </c>
      <c r="O80" t="s">
        <v>177</v>
      </c>
    </row>
    <row r="81" spans="1:20">
      <c r="J81" t="s">
        <v>85</v>
      </c>
      <c r="K81" t="n">
        <v>91</v>
      </c>
      <c r="L81" t="s">
        <v>178</v>
      </c>
      <c r="M81" s="15">
        <f>#REF!</f>
        <v/>
      </c>
      <c r="N81" s="48">
        <f>M81</f>
        <v/>
      </c>
      <c r="O81" t="s">
        <v>179</v>
      </c>
    </row>
    <row r="82" spans="1:20">
      <c r="J82" t="s">
        <v>85</v>
      </c>
      <c r="K82" t="n">
        <v>92</v>
      </c>
      <c r="L82" t="s">
        <v>180</v>
      </c>
      <c r="M82" s="15">
        <f>#REF!</f>
        <v/>
      </c>
      <c r="N82" s="48">
        <f>M82</f>
        <v/>
      </c>
      <c r="O82" t="s">
        <v>181</v>
      </c>
    </row>
    <row r="83" spans="1:20">
      <c r="J83" t="s">
        <v>85</v>
      </c>
      <c r="K83" t="n">
        <v>93</v>
      </c>
      <c r="L83" t="s">
        <v>182</v>
      </c>
      <c r="M83" s="15">
        <f>#REF!</f>
        <v/>
      </c>
      <c r="N83" s="48">
        <f>M83</f>
        <v/>
      </c>
      <c r="O83" t="s">
        <v>183</v>
      </c>
    </row>
    <row r="84" spans="1:20">
      <c r="J84" t="s">
        <v>85</v>
      </c>
      <c r="K84" t="n">
        <v>94</v>
      </c>
      <c r="L84" t="s">
        <v>184</v>
      </c>
      <c r="M84" s="15">
        <f>#REF!</f>
        <v/>
      </c>
      <c r="N84" s="48">
        <f>M84</f>
        <v/>
      </c>
      <c r="O84" t="s">
        <v>185</v>
      </c>
    </row>
    <row r="85" spans="1:20">
      <c r="J85" t="s">
        <v>85</v>
      </c>
      <c r="K85" t="n">
        <v>95</v>
      </c>
      <c r="L85" t="s">
        <v>186</v>
      </c>
      <c r="M85" s="15">
        <f>#REF!</f>
        <v/>
      </c>
      <c r="N85" s="48">
        <f>M85</f>
        <v/>
      </c>
      <c r="O85" t="s">
        <v>187</v>
      </c>
    </row>
    <row r="86" spans="1:20">
      <c r="J86" t="s">
        <v>85</v>
      </c>
      <c r="K86" t="n">
        <v>96</v>
      </c>
      <c r="L86" t="s">
        <v>188</v>
      </c>
      <c r="M86" s="15">
        <f>#REF!</f>
        <v/>
      </c>
      <c r="N86" s="48">
        <f>M86</f>
        <v/>
      </c>
      <c r="O86" t="s">
        <v>189</v>
      </c>
    </row>
    <row r="87" spans="1:20">
      <c r="J87" t="s">
        <v>103</v>
      </c>
      <c r="K87" t="n">
        <v>97</v>
      </c>
      <c r="L87" t="s">
        <v>190</v>
      </c>
      <c r="M87" s="15">
        <f>#REF!</f>
        <v/>
      </c>
      <c r="N87" s="48">
        <f>M87</f>
        <v/>
      </c>
      <c r="O87" t="s">
        <v>191</v>
      </c>
    </row>
    <row r="88" spans="1:20">
      <c r="J88" t="s">
        <v>103</v>
      </c>
      <c r="K88" t="n">
        <v>98</v>
      </c>
      <c r="L88" t="s">
        <v>192</v>
      </c>
      <c r="M88" s="15">
        <f>#REF!</f>
        <v/>
      </c>
      <c r="N88" s="48">
        <f>M88</f>
        <v/>
      </c>
      <c r="O88" t="s">
        <v>177</v>
      </c>
    </row>
    <row r="89" spans="1:20">
      <c r="J89" t="s">
        <v>103</v>
      </c>
      <c r="K89" t="n">
        <v>99</v>
      </c>
      <c r="L89" t="s">
        <v>193</v>
      </c>
      <c r="M89" s="15">
        <f>#REF!</f>
        <v/>
      </c>
      <c r="N89" s="48">
        <f>M89</f>
        <v/>
      </c>
      <c r="O89" t="s">
        <v>179</v>
      </c>
    </row>
    <row r="90" spans="1:20">
      <c r="J90" t="s">
        <v>103</v>
      </c>
      <c r="K90" t="n">
        <v>100</v>
      </c>
      <c r="L90" t="s">
        <v>194</v>
      </c>
      <c r="M90" s="15">
        <f>#REF!</f>
        <v/>
      </c>
      <c r="N90" s="48">
        <f>M90</f>
        <v/>
      </c>
      <c r="O90" t="s">
        <v>181</v>
      </c>
    </row>
    <row r="91" spans="1:20">
      <c r="J91" t="s">
        <v>113</v>
      </c>
      <c r="K91" t="n">
        <v>101</v>
      </c>
      <c r="L91" t="s">
        <v>195</v>
      </c>
      <c r="M91" s="15">
        <f>#REF!</f>
        <v/>
      </c>
      <c r="N91" s="48">
        <f>M91</f>
        <v/>
      </c>
      <c r="O91" t="s">
        <v>183</v>
      </c>
    </row>
    <row r="92" spans="1:20">
      <c r="J92" t="s">
        <v>113</v>
      </c>
      <c r="K92" t="n">
        <v>102</v>
      </c>
      <c r="L92" t="s">
        <v>196</v>
      </c>
      <c r="M92" s="15">
        <f>#REF!</f>
        <v/>
      </c>
      <c r="N92" s="48">
        <f>M92</f>
        <v/>
      </c>
      <c r="O92" t="s">
        <v>177</v>
      </c>
    </row>
    <row r="93" spans="1:20">
      <c r="J93" t="s">
        <v>113</v>
      </c>
      <c r="K93" t="n">
        <v>103</v>
      </c>
      <c r="L93" t="s">
        <v>197</v>
      </c>
      <c r="M93" s="15">
        <f>#REF!</f>
        <v/>
      </c>
      <c r="N93" s="48">
        <f>M93</f>
        <v/>
      </c>
      <c r="O93" t="s">
        <v>179</v>
      </c>
    </row>
    <row r="94" spans="1:20">
      <c r="J94" t="s">
        <v>113</v>
      </c>
      <c r="K94" t="n">
        <v>104</v>
      </c>
      <c r="L94" t="s">
        <v>198</v>
      </c>
      <c r="M94" s="15">
        <f>#REF!</f>
        <v/>
      </c>
      <c r="N94" s="48">
        <f>M94</f>
        <v/>
      </c>
      <c r="O94" t="s">
        <v>181</v>
      </c>
    </row>
    <row r="95" spans="1:20">
      <c r="J95" t="s">
        <v>125</v>
      </c>
      <c r="K95" t="n">
        <v>105</v>
      </c>
      <c r="L95" t="s">
        <v>199</v>
      </c>
      <c r="M95" s="15">
        <f>#REF!</f>
        <v/>
      </c>
      <c r="N95" s="48">
        <f>M95</f>
        <v/>
      </c>
      <c r="O95" t="s">
        <v>183</v>
      </c>
    </row>
    <row r="96" spans="1:20">
      <c r="J96" t="s">
        <v>125</v>
      </c>
      <c r="K96" t="n">
        <v>106</v>
      </c>
      <c r="L96" t="s">
        <v>200</v>
      </c>
      <c r="M96" s="15">
        <f>#REF!</f>
        <v/>
      </c>
      <c r="N96" s="48">
        <f>M96</f>
        <v/>
      </c>
      <c r="O96" t="s">
        <v>177</v>
      </c>
    </row>
    <row r="97" spans="1:20">
      <c r="J97" t="s">
        <v>125</v>
      </c>
      <c r="K97" t="n">
        <v>107</v>
      </c>
      <c r="L97" t="s">
        <v>201</v>
      </c>
      <c r="M97" s="15">
        <f>#REF!</f>
        <v/>
      </c>
      <c r="N97" s="48">
        <f>M97</f>
        <v/>
      </c>
      <c r="O97" t="s">
        <v>202</v>
      </c>
    </row>
    <row r="98" spans="1:20">
      <c r="J98" t="s">
        <v>125</v>
      </c>
      <c r="K98" t="n">
        <v>108</v>
      </c>
      <c r="L98" t="s">
        <v>203</v>
      </c>
      <c r="M98" s="15">
        <f>#REF!</f>
        <v/>
      </c>
      <c r="N98" s="48">
        <f>M98</f>
        <v/>
      </c>
      <c r="O98" t="s">
        <v>179</v>
      </c>
    </row>
    <row r="99" spans="1:20">
      <c r="J99" t="s">
        <v>125</v>
      </c>
      <c r="K99" t="n">
        <v>109</v>
      </c>
      <c r="L99" t="s">
        <v>204</v>
      </c>
      <c r="M99" s="15">
        <f>#REF!</f>
        <v/>
      </c>
      <c r="N99" s="48">
        <f>M99</f>
        <v/>
      </c>
      <c r="O99" t="s">
        <v>181</v>
      </c>
    </row>
    <row r="100" spans="1:20">
      <c r="J100" t="s">
        <v>125</v>
      </c>
      <c r="K100" t="n">
        <v>110</v>
      </c>
      <c r="L100" t="s">
        <v>205</v>
      </c>
      <c r="M100" s="15">
        <f>#REF!</f>
        <v/>
      </c>
      <c r="N100" s="48">
        <f>M100</f>
        <v/>
      </c>
      <c r="O100" t="s">
        <v>183</v>
      </c>
    </row>
    <row r="101" spans="1:20">
      <c r="J101" t="s">
        <v>125</v>
      </c>
      <c r="K101" t="n">
        <v>111</v>
      </c>
      <c r="L101" t="s">
        <v>206</v>
      </c>
      <c r="M101" s="15">
        <f>#REF!</f>
        <v/>
      </c>
      <c r="N101" s="48">
        <f>M101</f>
        <v/>
      </c>
      <c r="O101" t="s">
        <v>189</v>
      </c>
    </row>
    <row r="102" spans="1:20">
      <c r="J102" t="s">
        <v>125</v>
      </c>
      <c r="K102" t="n">
        <v>112</v>
      </c>
      <c r="L102" t="s">
        <v>207</v>
      </c>
      <c r="M102" s="15">
        <f>#REF!</f>
        <v/>
      </c>
      <c r="N102" s="48">
        <f>M102</f>
        <v/>
      </c>
      <c r="O102" t="s">
        <v>208</v>
      </c>
    </row>
    <row r="103" spans="1:20">
      <c r="J103" t="s">
        <v>125</v>
      </c>
      <c r="K103" t="n">
        <v>113</v>
      </c>
      <c r="L103" t="s">
        <v>209</v>
      </c>
      <c r="M103" s="15">
        <f>#REF!</f>
        <v/>
      </c>
      <c r="N103" s="48">
        <f>M103</f>
        <v/>
      </c>
      <c r="O103" t="s">
        <v>191</v>
      </c>
    </row>
  </sheetData>
  <pageMargins bottom="0.75" footer="0.3" header="0.3" left="0.7" right="0.7" top="0.75"/>
  <pageSetup orientation="portrait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R102"/>
  <sheetViews>
    <sheetView workbookViewId="0">
      <selection activeCell="D34" sqref="D34"/>
    </sheetView>
  </sheetViews>
  <sheetFormatPr baseColWidth="10" defaultRowHeight="15" outlineLevelCol="0"/>
  <cols>
    <col collapsed="1" customWidth="1" max="1" min="1" style="52" width="13.5703125"/>
    <col collapsed="1" customWidth="1" max="2" min="2" style="52" width="10.5703125"/>
    <col collapsed="1" customWidth="1" max="4" min="3" style="52" width="9.28515625"/>
    <col collapsed="1" customWidth="1" max="5" min="5" style="52" width="10.5703125"/>
    <col collapsed="1" customWidth="1" max="9" min="9" style="52" width="10.5703125"/>
    <col collapsed="1" customWidth="1" max="11" min="10" style="52" width="9.5703125"/>
    <col collapsed="1" customWidth="1" max="12" min="12" style="52" width="10.5703125"/>
  </cols>
  <sheetData>
    <row r="1" spans="1:18">
      <c r="A1" t="s">
        <v>0</v>
      </c>
    </row>
    <row r="2" spans="1:18">
      <c r="A2" t="s">
        <v>1</v>
      </c>
    </row>
    <row r="3" spans="1:18">
      <c r="A3" t="s">
        <v>2</v>
      </c>
    </row>
    <row r="4" spans="1:18">
      <c r="A4" t="s">
        <v>3</v>
      </c>
    </row>
    <row r="5" spans="1:18">
      <c r="A5" t="s">
        <v>4</v>
      </c>
    </row>
    <row r="7" spans="1:18">
      <c r="A7" t="s">
        <v>5</v>
      </c>
    </row>
    <row customHeight="1" ht="15.75" r="9" s="52" spans="1:18">
      <c r="A9" s="3" t="s">
        <v>6</v>
      </c>
      <c r="B9" s="1" t="n"/>
      <c r="C9" s="1" t="n"/>
      <c r="D9" s="1" t="n"/>
      <c r="E9" s="1" t="n"/>
      <c r="F9" s="1" t="n"/>
      <c r="H9" s="3" t="s">
        <v>7</v>
      </c>
      <c r="I9" s="1" t="n"/>
      <c r="J9" s="1" t="n"/>
      <c r="K9" s="1" t="n"/>
      <c r="L9" s="1" t="n"/>
      <c r="M9" s="1" t="n"/>
      <c r="P9" s="7" t="s">
        <v>20</v>
      </c>
    </row>
    <row r="10" spans="1:18">
      <c r="A10" s="2" t="s">
        <v>9</v>
      </c>
      <c r="B10" s="17" t="s">
        <v>10</v>
      </c>
      <c r="C10" s="17" t="s">
        <v>11</v>
      </c>
      <c r="D10" s="17" t="s">
        <v>12</v>
      </c>
      <c r="E10" s="17" t="s">
        <v>13</v>
      </c>
      <c r="F10" s="9" t="s">
        <v>14</v>
      </c>
      <c r="H10" s="2" t="s">
        <v>9</v>
      </c>
      <c r="I10" s="17" t="s">
        <v>10</v>
      </c>
      <c r="J10" s="17" t="s">
        <v>11</v>
      </c>
      <c r="K10" s="17" t="s">
        <v>12</v>
      </c>
      <c r="L10" s="17" t="s">
        <v>13</v>
      </c>
      <c r="M10" s="9" t="s">
        <v>21</v>
      </c>
      <c r="P10" s="2" t="n"/>
      <c r="Q10" s="17" t="s">
        <v>14</v>
      </c>
      <c r="R10" s="17" t="s">
        <v>21</v>
      </c>
    </row>
    <row r="11" spans="1:18">
      <c r="A11" t="n">
        <v>0</v>
      </c>
      <c r="B11" s="49" t="n">
        <v>33529.2496428338</v>
      </c>
      <c r="C11" s="49" t="n">
        <v>623.8512507065</v>
      </c>
      <c r="D11" s="49" t="n">
        <v>1693.8448047706</v>
      </c>
      <c r="E11" s="49" t="n">
        <v>35846.9456983109</v>
      </c>
      <c r="F11" s="10" t="n">
        <v>0.1947746639811521</v>
      </c>
      <c r="H11" s="11" t="n">
        <v>0</v>
      </c>
      <c r="I11" s="51" t="n">
        <v>63246</v>
      </c>
      <c r="J11" s="51" t="n">
        <v>5749</v>
      </c>
      <c r="K11" s="51" t="n">
        <v>5634</v>
      </c>
      <c r="L11" s="49" t="n">
        <v>74629</v>
      </c>
      <c r="M11" s="10" t="n">
        <v>0.3323417425575026</v>
      </c>
      <c r="P11" t="s">
        <v>10</v>
      </c>
      <c r="Q11" s="5" t="n">
        <v>3.996223974169072</v>
      </c>
      <c r="R11" s="5" t="n">
        <v>5.035941735138128</v>
      </c>
    </row>
    <row r="12" spans="1:18">
      <c r="A12" t="n">
        <v>1</v>
      </c>
      <c r="B12" s="49" t="n">
        <v>19741.0888088627</v>
      </c>
      <c r="C12" s="49" t="n">
        <v>1282.9672045295</v>
      </c>
      <c r="D12" s="49" t="n">
        <v>1270.553164984</v>
      </c>
      <c r="E12" s="49" t="n">
        <v>22294.6091783762</v>
      </c>
      <c r="F12" s="10" t="n">
        <v>0.1211379359305903</v>
      </c>
      <c r="H12" s="11" t="n">
        <v>1</v>
      </c>
      <c r="I12" s="51" t="n">
        <v>20000</v>
      </c>
      <c r="J12" s="51" t="n">
        <v>2305</v>
      </c>
      <c r="K12" s="51" t="n">
        <v>1919</v>
      </c>
      <c r="L12" s="49" t="n">
        <v>24224</v>
      </c>
      <c r="M12" s="10" t="n">
        <v>0.1078755761394758</v>
      </c>
      <c r="P12" t="s">
        <v>11</v>
      </c>
      <c r="Q12" s="5" t="n">
        <v>4.367656827552512</v>
      </c>
      <c r="R12" s="5" t="n">
        <v>4.86352975749729</v>
      </c>
    </row>
    <row r="13" spans="1:18">
      <c r="A13" t="n">
        <v>2</v>
      </c>
      <c r="B13" s="49" t="n">
        <v>9929.634844345701</v>
      </c>
      <c r="C13" s="49" t="n">
        <v>371.518941673</v>
      </c>
      <c r="D13" s="49" t="n">
        <v>0</v>
      </c>
      <c r="E13" s="49" t="n">
        <v>10301.1537860187</v>
      </c>
      <c r="F13" s="10" t="n">
        <v>0.05597140086008798</v>
      </c>
      <c r="H13" s="11" t="n">
        <v>2</v>
      </c>
      <c r="I13" s="51" t="n">
        <v>12339</v>
      </c>
      <c r="J13" s="51" t="n">
        <v>1342</v>
      </c>
      <c r="K13" s="51" t="n">
        <v>1173</v>
      </c>
      <c r="L13" s="49" t="n">
        <v>14854</v>
      </c>
      <c r="M13" s="10" t="n">
        <v>0.06614860501881499</v>
      </c>
      <c r="P13" s="4" t="s">
        <v>12</v>
      </c>
      <c r="Q13" s="8" t="n">
        <v>4.455458028041579</v>
      </c>
      <c r="R13" s="8" t="n">
        <v>4.672031150562573</v>
      </c>
    </row>
    <row customHeight="1" ht="15.75" r="14" s="52" spans="1:18">
      <c r="A14" t="n">
        <v>3</v>
      </c>
      <c r="B14" s="49" t="n">
        <v>25599.561736635</v>
      </c>
      <c r="C14" s="49" t="n">
        <v>764.363108539</v>
      </c>
      <c r="D14" s="49" t="n">
        <v>0</v>
      </c>
      <c r="E14" s="49" t="n">
        <v>26363.924845174</v>
      </c>
      <c r="F14" s="10" t="n">
        <v>0.1432485949056763</v>
      </c>
      <c r="H14" s="11" t="n">
        <v>3</v>
      </c>
      <c r="I14" s="51" t="n">
        <v>6543</v>
      </c>
      <c r="J14" s="51" t="n">
        <v>769</v>
      </c>
      <c r="K14" s="51" t="n">
        <v>647</v>
      </c>
      <c r="L14" s="49" t="n">
        <v>7959</v>
      </c>
      <c r="M14" s="10" t="n">
        <v>0.03544343256663178</v>
      </c>
      <c r="P14" s="1" t="s">
        <v>13</v>
      </c>
      <c r="Q14" s="6" t="n">
        <v>4.024516630604764</v>
      </c>
      <c r="R14" s="6" t="n">
        <v>4.99272005108223</v>
      </c>
    </row>
    <row r="15" spans="1:18">
      <c r="A15" t="n">
        <v>4</v>
      </c>
      <c r="B15" s="49" t="n">
        <v>34768.3191834659</v>
      </c>
      <c r="C15" s="49" t="n">
        <v>1001.4134433272</v>
      </c>
      <c r="D15" s="49" t="n">
        <v>295.6132959603</v>
      </c>
      <c r="E15" s="49" t="n">
        <v>36065.3459227534</v>
      </c>
      <c r="F15" s="10" t="n">
        <v>0.1959613433341772</v>
      </c>
      <c r="H15" s="11" t="n">
        <v>4</v>
      </c>
      <c r="I15" s="51" t="n">
        <v>20369</v>
      </c>
      <c r="J15" s="51" t="n">
        <v>2484</v>
      </c>
      <c r="K15" s="51" t="n">
        <v>2063</v>
      </c>
      <c r="L15" s="49" t="n">
        <v>24916</v>
      </c>
      <c r="M15" s="10" t="n">
        <v>0.1109572265146623</v>
      </c>
    </row>
    <row r="16" spans="1:18">
      <c r="A16" t="n">
        <v>5</v>
      </c>
      <c r="B16" s="49" t="n">
        <v>17811.0833723785</v>
      </c>
      <c r="C16" s="49" t="n">
        <v>1762.380686484</v>
      </c>
      <c r="D16" s="49" t="n">
        <v>86.29215148919999</v>
      </c>
      <c r="E16" s="49" t="n">
        <v>19659.7562103517</v>
      </c>
      <c r="F16" s="10" t="n">
        <v>0.1068214414151065</v>
      </c>
      <c r="H16" s="11" t="n">
        <v>5</v>
      </c>
      <c r="I16" s="51" t="n">
        <v>13097</v>
      </c>
      <c r="J16" s="51" t="n">
        <v>1524</v>
      </c>
      <c r="K16" s="51" t="n">
        <v>1405</v>
      </c>
      <c r="L16" s="49" t="n">
        <v>16026</v>
      </c>
      <c r="M16" s="10" t="n">
        <v>0.07136781634788804</v>
      </c>
    </row>
    <row r="17" spans="1:18">
      <c r="A17" t="n">
        <v>6</v>
      </c>
      <c r="B17" s="49" t="n">
        <v>8332.574327730899</v>
      </c>
      <c r="C17" s="49" t="n">
        <v>321.1044334949</v>
      </c>
      <c r="D17" s="49" t="n">
        <v>0</v>
      </c>
      <c r="E17" s="49" t="n">
        <v>8653.678761225799</v>
      </c>
      <c r="F17" s="10" t="n">
        <v>0.04701983223630708</v>
      </c>
      <c r="H17" s="11" t="n">
        <v>6</v>
      </c>
      <c r="I17" s="51" t="n">
        <v>10791</v>
      </c>
      <c r="J17" s="51" t="n">
        <v>1267</v>
      </c>
      <c r="K17" s="51" t="n">
        <v>1121</v>
      </c>
      <c r="L17" s="49" t="n">
        <v>13179</v>
      </c>
      <c r="M17" s="10" t="n">
        <v>0.05868940794014829</v>
      </c>
    </row>
    <row r="18" spans="1:18">
      <c r="A18" t="n">
        <v>7</v>
      </c>
      <c r="B18" s="49" t="n">
        <v>1104.0112126568</v>
      </c>
      <c r="C18" s="49" t="n">
        <v>92.3910074567</v>
      </c>
      <c r="D18" s="49" t="n">
        <v>0</v>
      </c>
      <c r="E18" s="49" t="n">
        <v>1196.4022201135</v>
      </c>
      <c r="F18" s="10" t="n">
        <v>0.006500660959237362</v>
      </c>
      <c r="H18" s="11" t="n">
        <v>7</v>
      </c>
      <c r="I18" s="51" t="n">
        <v>5425</v>
      </c>
      <c r="J18" s="51" t="n">
        <v>600</v>
      </c>
      <c r="K18" s="51" t="n">
        <v>547</v>
      </c>
      <c r="L18" s="49" t="n">
        <v>6572</v>
      </c>
      <c r="M18" s="10" t="n">
        <v>0.02926677206029703</v>
      </c>
    </row>
    <row r="19" spans="1:18">
      <c r="A19" t="n">
        <v>8</v>
      </c>
      <c r="B19" s="49" t="n">
        <v>4243.7919333589</v>
      </c>
      <c r="C19" s="49" t="n">
        <v>0</v>
      </c>
      <c r="D19" s="49" t="n">
        <v>2144.3964313735</v>
      </c>
      <c r="E19" s="49" t="n">
        <v>6388.188364732399</v>
      </c>
      <c r="F19" s="10" t="n">
        <v>0.03471027218499366</v>
      </c>
      <c r="H19" s="11" t="n">
        <v>8</v>
      </c>
      <c r="I19" s="51" t="n">
        <v>6613</v>
      </c>
      <c r="J19" s="51" t="n">
        <v>654</v>
      </c>
      <c r="K19" s="51" t="n">
        <v>589</v>
      </c>
      <c r="L19" s="49" t="n">
        <v>7856</v>
      </c>
      <c r="M19" s="10" t="n">
        <v>0.03498474761194362</v>
      </c>
    </row>
    <row r="20" spans="1:18">
      <c r="A20" t="n">
        <v>9</v>
      </c>
      <c r="B20" s="49" t="n">
        <v>1584.759641761</v>
      </c>
      <c r="C20" s="49" t="n">
        <v>0</v>
      </c>
      <c r="D20" s="49" t="n">
        <v>0</v>
      </c>
      <c r="E20" s="49" t="n">
        <v>1584.759641761</v>
      </c>
      <c r="F20" s="10" t="n">
        <v>0.008610804092283778</v>
      </c>
      <c r="H20" s="11" t="n">
        <v>9</v>
      </c>
      <c r="I20" s="51" t="n">
        <v>3656</v>
      </c>
      <c r="J20" s="51" t="n">
        <v>433</v>
      </c>
      <c r="K20" s="51" t="n">
        <v>380</v>
      </c>
      <c r="L20" s="49" t="n">
        <v>4469</v>
      </c>
      <c r="M20" s="10" t="n">
        <v>0.01990158313108147</v>
      </c>
    </row>
    <row r="21" spans="1:18">
      <c r="A21" t="n">
        <v>10</v>
      </c>
      <c r="B21" s="49" t="n">
        <v>6599.1783360809</v>
      </c>
      <c r="C21" s="49" t="n">
        <v>0</v>
      </c>
      <c r="D21" s="49" t="n">
        <v>0</v>
      </c>
      <c r="E21" s="49" t="n">
        <v>6599.1783360809</v>
      </c>
      <c r="F21" s="10" t="n">
        <v>0.03585668786901478</v>
      </c>
      <c r="H21" s="11" t="n">
        <v>10</v>
      </c>
      <c r="I21" s="51" t="n">
        <v>2235</v>
      </c>
      <c r="J21" s="51" t="n">
        <v>246</v>
      </c>
      <c r="K21" s="51" t="n">
        <v>189</v>
      </c>
      <c r="L21" s="49" t="n">
        <v>2670</v>
      </c>
      <c r="M21" s="10" t="n">
        <v>0.01189018280599408</v>
      </c>
    </row>
    <row r="22" spans="1:18">
      <c r="A22" t="n">
        <v>11</v>
      </c>
      <c r="B22" s="49" t="n">
        <v>0</v>
      </c>
      <c r="C22" s="49" t="n">
        <v>0</v>
      </c>
      <c r="D22" s="49" t="n">
        <v>0</v>
      </c>
      <c r="E22" s="49" t="n">
        <v>0</v>
      </c>
      <c r="F22" s="10" t="n">
        <v>0</v>
      </c>
      <c r="H22" s="11" t="n">
        <v>11</v>
      </c>
      <c r="I22" s="51" t="n">
        <v>2399</v>
      </c>
      <c r="J22" s="51" t="n">
        <v>240</v>
      </c>
      <c r="K22" s="51" t="n">
        <v>203</v>
      </c>
      <c r="L22" s="49" t="n">
        <v>2842</v>
      </c>
      <c r="M22" s="10" t="n">
        <v>0.01265614214780343</v>
      </c>
    </row>
    <row r="23" spans="1:18">
      <c r="A23" t="n">
        <v>12</v>
      </c>
      <c r="B23" s="49" t="n">
        <v>1326.075297753</v>
      </c>
      <c r="C23" s="49" t="n">
        <v>0</v>
      </c>
      <c r="D23" s="49" t="n">
        <v>0</v>
      </c>
      <c r="E23" s="49" t="n">
        <v>1326.075297753</v>
      </c>
      <c r="F23" s="10" t="n">
        <v>0.007205240655850834</v>
      </c>
      <c r="H23" s="11" t="n">
        <v>12</v>
      </c>
      <c r="I23" s="51" t="n">
        <v>2517</v>
      </c>
      <c r="J23" s="51" t="n">
        <v>227</v>
      </c>
      <c r="K23" s="51" t="n">
        <v>186</v>
      </c>
      <c r="L23" s="49" t="n">
        <v>2930</v>
      </c>
      <c r="M23" s="10" t="n">
        <v>0.01304802832268264</v>
      </c>
    </row>
    <row r="24" spans="1:18">
      <c r="A24" t="n">
        <v>13</v>
      </c>
      <c r="B24" s="49" t="n">
        <v>1459.395501922</v>
      </c>
      <c r="C24" s="49" t="n">
        <v>0</v>
      </c>
      <c r="D24" s="49" t="n">
        <v>0</v>
      </c>
      <c r="E24" s="49" t="n">
        <v>1459.395501922</v>
      </c>
      <c r="F24" s="10" t="n">
        <v>0.007929637043410825</v>
      </c>
      <c r="H24" s="11" t="n">
        <v>13</v>
      </c>
      <c r="I24" s="51" t="n">
        <v>2670</v>
      </c>
      <c r="J24" s="51" t="n">
        <v>231</v>
      </c>
      <c r="K24" s="51" t="n">
        <v>223</v>
      </c>
      <c r="L24" s="49" t="n">
        <v>3124</v>
      </c>
      <c r="M24" s="10" t="n">
        <v>0.0139119592082118</v>
      </c>
    </row>
    <row r="25" spans="1:18">
      <c r="A25" t="n">
        <v>14</v>
      </c>
      <c r="B25" s="49" t="n">
        <v>424.8588006925</v>
      </c>
      <c r="C25" s="49" t="n">
        <v>209.4327097914</v>
      </c>
      <c r="D25" s="49" t="n">
        <v>0</v>
      </c>
      <c r="E25" s="49" t="n">
        <v>634.2915104839</v>
      </c>
      <c r="F25" s="10" t="n">
        <v>0.003446427956801364</v>
      </c>
      <c r="H25" s="11" t="n">
        <v>14</v>
      </c>
      <c r="I25" s="51" t="n">
        <v>1503</v>
      </c>
      <c r="J25" s="51" t="n">
        <v>163</v>
      </c>
      <c r="K25" s="51" t="n">
        <v>125</v>
      </c>
      <c r="L25" s="49" t="n">
        <v>1791</v>
      </c>
      <c r="M25" s="10" t="n">
        <v>0.007975774309189285</v>
      </c>
    </row>
    <row r="26" spans="1:18">
      <c r="A26" t="n">
        <v>15</v>
      </c>
      <c r="B26" s="49" t="n">
        <v>0</v>
      </c>
      <c r="C26" s="49" t="n">
        <v>0</v>
      </c>
      <c r="D26" s="49" t="n">
        <v>0</v>
      </c>
      <c r="E26" s="49" t="n">
        <v>0</v>
      </c>
      <c r="F26" s="10" t="n">
        <v>0</v>
      </c>
      <c r="H26" s="11" t="n">
        <v>15</v>
      </c>
      <c r="I26" s="51" t="n">
        <v>1628</v>
      </c>
      <c r="J26" s="51" t="n">
        <v>161</v>
      </c>
      <c r="K26" s="51" t="n">
        <v>139</v>
      </c>
      <c r="L26" s="49" t="n">
        <v>1928</v>
      </c>
      <c r="M26" s="10" t="n">
        <v>0.008585869831444413</v>
      </c>
    </row>
    <row r="27" spans="1:18">
      <c r="A27" t="n">
        <v>16</v>
      </c>
      <c r="B27" s="49" t="n">
        <v>0</v>
      </c>
      <c r="C27" s="49" t="n">
        <v>0</v>
      </c>
      <c r="D27" s="49" t="n">
        <v>383.206555392</v>
      </c>
      <c r="E27" s="49" t="n">
        <v>383.206555392</v>
      </c>
      <c r="F27" s="10" t="n">
        <v>0.00208215586036298</v>
      </c>
      <c r="H27" s="11" t="n">
        <v>16</v>
      </c>
      <c r="I27" s="51" t="n">
        <v>1509</v>
      </c>
      <c r="J27" s="51" t="n">
        <v>156</v>
      </c>
      <c r="K27" s="51" t="n">
        <v>123</v>
      </c>
      <c r="L27" s="49" t="n">
        <v>1788</v>
      </c>
      <c r="M27" s="10" t="n">
        <v>0.007962414553227494</v>
      </c>
    </row>
    <row r="28" spans="1:18">
      <c r="A28" t="n">
        <v>17</v>
      </c>
      <c r="B28" s="49" t="n">
        <v>241.8854556355</v>
      </c>
      <c r="C28" s="49" t="n">
        <v>0</v>
      </c>
      <c r="D28" s="49" t="n">
        <v>0</v>
      </c>
      <c r="E28" s="49" t="n">
        <v>241.8854556355</v>
      </c>
      <c r="F28" s="10" t="n">
        <v>0.001314286543122483</v>
      </c>
      <c r="H28" s="11" t="n">
        <v>17</v>
      </c>
      <c r="I28" s="51" t="n">
        <v>1325</v>
      </c>
      <c r="J28" s="51" t="n">
        <v>96</v>
      </c>
      <c r="K28" s="51" t="n">
        <v>93</v>
      </c>
      <c r="L28" s="49" t="n">
        <v>1514</v>
      </c>
      <c r="M28" s="10" t="n">
        <v>0.006742223508717241</v>
      </c>
    </row>
    <row r="29" spans="1:18">
      <c r="A29" t="n">
        <v>18</v>
      </c>
      <c r="B29" s="49" t="n">
        <v>264.4327433284</v>
      </c>
      <c r="C29" s="49" t="n">
        <v>0</v>
      </c>
      <c r="D29" s="49" t="n">
        <v>0</v>
      </c>
      <c r="E29" s="49" t="n">
        <v>264.4327433284</v>
      </c>
      <c r="F29" s="10" t="n">
        <v>0.001436797409767334</v>
      </c>
      <c r="H29" s="11" t="n">
        <v>18</v>
      </c>
      <c r="I29" s="51" t="n">
        <v>1072</v>
      </c>
      <c r="J29" s="51" t="n">
        <v>121</v>
      </c>
      <c r="K29" s="51" t="n">
        <v>88</v>
      </c>
      <c r="L29" s="49" t="n">
        <v>1281</v>
      </c>
      <c r="M29" s="10" t="n">
        <v>0.005704615795684799</v>
      </c>
    </row>
    <row r="30" spans="1:18">
      <c r="A30" t="n">
        <v>19</v>
      </c>
      <c r="B30" s="49" t="n">
        <v>1149.5167104721</v>
      </c>
      <c r="C30" s="49" t="n">
        <v>0</v>
      </c>
      <c r="D30" s="49" t="n">
        <v>0</v>
      </c>
      <c r="E30" s="49" t="n">
        <v>1149.5167104721</v>
      </c>
      <c r="F30" s="10" t="n">
        <v>0.006245908170454606</v>
      </c>
      <c r="H30" s="11" t="n">
        <v>19</v>
      </c>
      <c r="I30" s="51" t="n">
        <v>870</v>
      </c>
      <c r="J30" s="51" t="n">
        <v>70</v>
      </c>
      <c r="K30" s="51" t="n">
        <v>67</v>
      </c>
      <c r="L30" s="49" t="n">
        <v>1007</v>
      </c>
      <c r="M30" s="10" t="n">
        <v>0.004484424751174545</v>
      </c>
    </row>
    <row r="31" spans="1:18">
      <c r="A31" t="n">
        <v>20</v>
      </c>
      <c r="B31" s="49" t="n">
        <v>137.2863313454</v>
      </c>
      <c r="C31" s="49" t="n">
        <v>0</v>
      </c>
      <c r="D31" s="49" t="n">
        <v>0</v>
      </c>
      <c r="E31" s="49" t="n">
        <v>137.2863313454</v>
      </c>
      <c r="F31" s="10" t="n">
        <v>0.0007459463710534586</v>
      </c>
      <c r="H31" s="11" t="n">
        <v>20</v>
      </c>
      <c r="I31" s="51" t="n">
        <v>884</v>
      </c>
      <c r="J31" s="51" t="n">
        <v>71</v>
      </c>
      <c r="K31" s="51" t="n">
        <v>72</v>
      </c>
      <c r="L31" s="49" t="n">
        <v>1027</v>
      </c>
      <c r="M31" s="10" t="n">
        <v>0.004573489790919819</v>
      </c>
    </row>
    <row r="32" spans="1:18">
      <c r="A32" t="n">
        <v>21</v>
      </c>
      <c r="B32" s="49" t="n">
        <v>0</v>
      </c>
      <c r="C32" s="49" t="n">
        <v>327.039856179</v>
      </c>
      <c r="D32" s="49" t="n">
        <v>0</v>
      </c>
      <c r="E32" s="49" t="n">
        <v>327.039856179</v>
      </c>
      <c r="F32" s="10" t="n">
        <v>0.001776973654374982</v>
      </c>
      <c r="H32" s="11" t="n">
        <v>21</v>
      </c>
      <c r="I32" s="51" t="n">
        <v>720</v>
      </c>
      <c r="J32" s="51" t="n">
        <v>65</v>
      </c>
      <c r="K32" s="51" t="n">
        <v>62</v>
      </c>
      <c r="L32" s="49" t="n">
        <v>847</v>
      </c>
      <c r="M32" s="10" t="n">
        <v>0.003771904433212353</v>
      </c>
    </row>
    <row r="33" spans="1:18">
      <c r="A33" t="n">
        <v>22</v>
      </c>
      <c r="B33" s="49" t="n">
        <v>1093.57177535</v>
      </c>
      <c r="C33" s="49" t="n">
        <v>0</v>
      </c>
      <c r="D33" s="49" t="n">
        <v>0</v>
      </c>
      <c r="E33" s="49" t="n">
        <v>1093.57177535</v>
      </c>
      <c r="F33" s="10" t="n">
        <v>0.00594193092141473</v>
      </c>
      <c r="H33" s="11" t="n">
        <v>22</v>
      </c>
      <c r="I33" s="51" t="n">
        <v>627</v>
      </c>
      <c r="J33" s="51" t="n">
        <v>48</v>
      </c>
      <c r="K33" s="51" t="n">
        <v>50</v>
      </c>
      <c r="L33" s="49" t="n">
        <v>725</v>
      </c>
      <c r="M33" s="10" t="n">
        <v>0.003228607690766182</v>
      </c>
    </row>
    <row r="34" spans="1:18">
      <c r="A34" t="n">
        <v>23</v>
      </c>
      <c r="B34" s="49" t="n">
        <v>0</v>
      </c>
      <c r="C34" s="49" t="n">
        <v>0</v>
      </c>
      <c r="D34" s="49" t="n">
        <v>0</v>
      </c>
      <c r="E34" s="49" t="n">
        <v>0</v>
      </c>
      <c r="F34" s="10" t="n">
        <v>0</v>
      </c>
      <c r="H34" s="11" t="n">
        <v>23</v>
      </c>
      <c r="I34" s="51" t="n">
        <v>622</v>
      </c>
      <c r="J34" s="51" t="n">
        <v>63</v>
      </c>
      <c r="K34" s="51" t="n">
        <v>39</v>
      </c>
      <c r="L34" s="49" t="n">
        <v>724</v>
      </c>
      <c r="M34" s="10" t="n">
        <v>0.003224154438778918</v>
      </c>
    </row>
    <row r="35" spans="1:18">
      <c r="A35" t="n">
        <v>24</v>
      </c>
      <c r="B35" s="49" t="n">
        <v>66.5041244869</v>
      </c>
      <c r="C35" s="49" t="n">
        <v>0</v>
      </c>
      <c r="D35" s="49" t="n">
        <v>0</v>
      </c>
      <c r="E35" s="49" t="n">
        <v>66.5041244869</v>
      </c>
      <c r="F35" s="10" t="n">
        <v>0.0003613506882653887</v>
      </c>
      <c r="H35" s="11" t="n">
        <v>24</v>
      </c>
      <c r="I35" s="51" t="n">
        <v>503</v>
      </c>
      <c r="J35" s="51" t="n">
        <v>51</v>
      </c>
      <c r="K35" s="51" t="n">
        <v>46</v>
      </c>
      <c r="L35" s="49" t="n">
        <v>600</v>
      </c>
      <c r="M35" s="10" t="n">
        <v>0.00267195119235822</v>
      </c>
    </row>
    <row r="36" spans="1:18">
      <c r="A36" t="n">
        <v>25</v>
      </c>
      <c r="B36" s="49" t="n">
        <v>0</v>
      </c>
      <c r="C36" s="49" t="n">
        <v>0</v>
      </c>
      <c r="D36" s="49" t="n">
        <v>0</v>
      </c>
      <c r="E36" s="49" t="n">
        <v>0</v>
      </c>
      <c r="F36" s="10" t="n">
        <v>0</v>
      </c>
      <c r="H36" s="11" t="n">
        <v>25</v>
      </c>
      <c r="I36" s="51" t="n">
        <v>494</v>
      </c>
      <c r="J36" s="51" t="n">
        <v>41</v>
      </c>
      <c r="K36" s="51" t="n">
        <v>33</v>
      </c>
      <c r="L36" s="49" t="n">
        <v>568</v>
      </c>
      <c r="M36" s="10" t="n">
        <v>0.002529447128765781</v>
      </c>
    </row>
    <row r="37" spans="1:18">
      <c r="A37" t="n">
        <v>26</v>
      </c>
      <c r="B37" s="49" t="n">
        <v>0</v>
      </c>
      <c r="C37" s="49" t="n">
        <v>0</v>
      </c>
      <c r="D37" s="49" t="n">
        <v>0</v>
      </c>
      <c r="E37" s="49" t="n">
        <v>0</v>
      </c>
      <c r="F37" s="10" t="n">
        <v>0</v>
      </c>
      <c r="H37" s="11" t="n">
        <v>26</v>
      </c>
      <c r="I37" s="51" t="n">
        <v>418</v>
      </c>
      <c r="J37" s="51" t="n">
        <v>27</v>
      </c>
      <c r="K37" s="51" t="n">
        <v>29</v>
      </c>
      <c r="L37" s="49" t="n">
        <v>474</v>
      </c>
      <c r="M37" s="10" t="n">
        <v>0.002110841441962994</v>
      </c>
    </row>
    <row r="38" spans="1:18">
      <c r="A38" t="n">
        <v>27</v>
      </c>
      <c r="B38" s="49" t="n">
        <v>0</v>
      </c>
      <c r="C38" s="49" t="n">
        <v>0</v>
      </c>
      <c r="D38" s="49" t="n">
        <v>0</v>
      </c>
      <c r="E38" s="49" t="n">
        <v>0</v>
      </c>
      <c r="F38" s="10" t="n">
        <v>0</v>
      </c>
      <c r="H38" s="11" t="n">
        <v>27</v>
      </c>
      <c r="I38" s="51" t="n">
        <v>370</v>
      </c>
      <c r="J38" s="51" t="n">
        <v>36</v>
      </c>
      <c r="K38" s="51" t="n">
        <v>22</v>
      </c>
      <c r="L38" s="49" t="n">
        <v>428</v>
      </c>
      <c r="M38" s="10" t="n">
        <v>0.001905991850548863</v>
      </c>
    </row>
    <row r="39" spans="1:18">
      <c r="A39" t="n">
        <v>28</v>
      </c>
      <c r="B39" s="49" t="n">
        <v>83.3978248895</v>
      </c>
      <c r="C39" s="49" t="n">
        <v>0</v>
      </c>
      <c r="D39" s="49" t="n">
        <v>0</v>
      </c>
      <c r="E39" s="49" t="n">
        <v>83.3978248895</v>
      </c>
      <c r="F39" s="10" t="n">
        <v>0.0004531427434939522</v>
      </c>
      <c r="H39" s="11" t="n">
        <v>28</v>
      </c>
      <c r="I39" s="51" t="n">
        <v>307</v>
      </c>
      <c r="J39" s="51" t="n">
        <v>23</v>
      </c>
      <c r="K39" s="51" t="n">
        <v>22</v>
      </c>
      <c r="L39" s="49" t="n">
        <v>352</v>
      </c>
      <c r="M39" s="10" t="n">
        <v>0.001567544699516822</v>
      </c>
    </row>
    <row r="40" spans="1:18">
      <c r="A40" t="n">
        <v>29</v>
      </c>
      <c r="B40" s="49" t="n">
        <v>181.889208126</v>
      </c>
      <c r="C40" s="49" t="n">
        <v>0</v>
      </c>
      <c r="D40" s="49" t="n">
        <v>0</v>
      </c>
      <c r="E40" s="49" t="n">
        <v>181.889208126</v>
      </c>
      <c r="F40" s="10" t="n">
        <v>0.0009882964560690266</v>
      </c>
      <c r="H40" s="11" t="n">
        <v>29</v>
      </c>
      <c r="I40" s="51" t="n">
        <v>344</v>
      </c>
      <c r="J40" s="51" t="n">
        <v>19</v>
      </c>
      <c r="K40" s="51" t="n">
        <v>25</v>
      </c>
      <c r="L40" s="49" t="n">
        <v>388</v>
      </c>
      <c r="M40" s="10" t="n">
        <v>0.001727861771058315</v>
      </c>
    </row>
    <row r="41" spans="1:18">
      <c r="A41" t="n">
        <v>30</v>
      </c>
      <c r="B41" s="49" t="n">
        <v>0</v>
      </c>
      <c r="C41" s="49" t="n">
        <v>0</v>
      </c>
      <c r="D41" s="49" t="n">
        <v>0</v>
      </c>
      <c r="E41" s="49" t="n">
        <v>0</v>
      </c>
      <c r="F41" s="10" t="n">
        <v>0</v>
      </c>
      <c r="H41" s="11" t="n">
        <v>30</v>
      </c>
      <c r="I41" s="51" t="n">
        <v>241</v>
      </c>
      <c r="J41" s="51" t="n">
        <v>15</v>
      </c>
      <c r="K41" s="51" t="n">
        <v>14</v>
      </c>
      <c r="L41" s="49" t="n">
        <v>270</v>
      </c>
      <c r="M41" s="10" t="n">
        <v>0.001202378036561199</v>
      </c>
    </row>
    <row r="42" spans="1:18">
      <c r="A42" t="n">
        <v>31</v>
      </c>
      <c r="B42" s="49" t="n">
        <v>0</v>
      </c>
      <c r="C42" s="49" t="n">
        <v>0</v>
      </c>
      <c r="D42" s="49" t="n">
        <v>0</v>
      </c>
      <c r="E42" s="49" t="n">
        <v>0</v>
      </c>
      <c r="F42" s="10" t="n">
        <v>0</v>
      </c>
      <c r="H42" s="11" t="n">
        <v>31</v>
      </c>
      <c r="I42" s="51" t="n">
        <v>229</v>
      </c>
      <c r="J42" s="51" t="n">
        <v>27</v>
      </c>
      <c r="K42" s="51" t="n">
        <v>12</v>
      </c>
      <c r="L42" s="49" t="n">
        <v>268</v>
      </c>
      <c r="M42" s="10" t="n">
        <v>0.001193471532586671</v>
      </c>
    </row>
    <row r="43" spans="1:18">
      <c r="A43" t="n">
        <v>32</v>
      </c>
      <c r="B43" s="49" t="n">
        <v>0</v>
      </c>
      <c r="C43" s="49" t="n">
        <v>0</v>
      </c>
      <c r="D43" s="49" t="n">
        <v>0</v>
      </c>
      <c r="E43" s="49" t="n">
        <v>0</v>
      </c>
      <c r="F43" s="10" t="n">
        <v>0</v>
      </c>
      <c r="H43" s="11" t="n">
        <v>32</v>
      </c>
      <c r="I43" s="51" t="n">
        <v>212</v>
      </c>
      <c r="J43" s="51" t="n">
        <v>16</v>
      </c>
      <c r="K43" s="51" t="n">
        <v>12</v>
      </c>
      <c r="L43" s="49" t="n">
        <v>240</v>
      </c>
      <c r="M43" s="10" t="n">
        <v>0.001068780476943288</v>
      </c>
    </row>
    <row r="44" spans="1:18">
      <c r="A44" t="n">
        <v>33</v>
      </c>
      <c r="B44" s="49" t="n">
        <v>275.309933567</v>
      </c>
      <c r="C44" s="49" t="n">
        <v>0</v>
      </c>
      <c r="D44" s="49" t="n">
        <v>0</v>
      </c>
      <c r="E44" s="49" t="n">
        <v>275.309933567</v>
      </c>
      <c r="F44" s="10" t="n">
        <v>0.001495898709264719</v>
      </c>
      <c r="H44" s="11" t="n">
        <v>33</v>
      </c>
      <c r="I44" s="51" t="n">
        <v>154</v>
      </c>
      <c r="J44" s="51" t="n">
        <v>16</v>
      </c>
      <c r="K44" s="51" t="n">
        <v>7</v>
      </c>
      <c r="L44" s="49" t="n">
        <v>177</v>
      </c>
      <c r="M44" s="10" t="n">
        <v>0.0007882256017456748</v>
      </c>
    </row>
    <row r="45" spans="1:18">
      <c r="A45" t="n">
        <v>34</v>
      </c>
      <c r="B45" s="49" t="n">
        <v>944.880646246</v>
      </c>
      <c r="C45" s="49" t="n">
        <v>0</v>
      </c>
      <c r="D45" s="49" t="n">
        <v>0</v>
      </c>
      <c r="E45" s="49" t="n">
        <v>944.880646246</v>
      </c>
      <c r="F45" s="10" t="n">
        <v>0.005134016491216165</v>
      </c>
      <c r="H45" s="11" t="n">
        <v>34</v>
      </c>
      <c r="I45" s="51" t="n">
        <v>129</v>
      </c>
      <c r="J45" s="51" t="n">
        <v>6</v>
      </c>
      <c r="K45" s="51" t="n">
        <v>10</v>
      </c>
      <c r="L45" s="49" t="n">
        <v>145</v>
      </c>
      <c r="M45" s="10" t="n">
        <v>0.0006457215381532364</v>
      </c>
    </row>
    <row r="46" spans="1:18">
      <c r="A46" t="n">
        <v>35</v>
      </c>
      <c r="B46" s="49" t="n">
        <v>0</v>
      </c>
      <c r="C46" s="49" t="n">
        <v>0</v>
      </c>
      <c r="D46" s="49" t="n">
        <v>0</v>
      </c>
      <c r="E46" s="49" t="n">
        <v>0</v>
      </c>
      <c r="F46" s="10" t="n">
        <v>0</v>
      </c>
      <c r="H46" s="11" t="n">
        <v>35</v>
      </c>
      <c r="I46" s="51" t="n">
        <v>152</v>
      </c>
      <c r="J46" s="51" t="n">
        <v>9</v>
      </c>
      <c r="K46" s="51" t="n">
        <v>5</v>
      </c>
      <c r="L46" s="49" t="n">
        <v>166</v>
      </c>
      <c r="M46" s="10" t="n">
        <v>0.0007392398298857741</v>
      </c>
    </row>
    <row r="47" spans="1:18">
      <c r="A47" t="n">
        <v>36</v>
      </c>
      <c r="B47" s="49" t="n">
        <v>0</v>
      </c>
      <c r="C47" s="49" t="n">
        <v>0</v>
      </c>
      <c r="D47" s="49" t="n">
        <v>0</v>
      </c>
      <c r="E47" s="49" t="n">
        <v>0</v>
      </c>
      <c r="F47" s="10" t="n">
        <v>0</v>
      </c>
      <c r="H47" s="11" t="n">
        <v>36</v>
      </c>
      <c r="I47" s="51" t="n">
        <v>187</v>
      </c>
      <c r="J47" s="51" t="n">
        <v>12</v>
      </c>
      <c r="K47" s="51" t="n">
        <v>5</v>
      </c>
      <c r="L47" s="49" t="n">
        <v>204</v>
      </c>
      <c r="M47" s="10" t="n">
        <v>0.0009084634054017947</v>
      </c>
    </row>
    <row r="48" spans="1:18">
      <c r="A48" t="n">
        <v>37</v>
      </c>
      <c r="B48" s="49" t="n">
        <v>0</v>
      </c>
      <c r="C48" s="49" t="n">
        <v>0</v>
      </c>
      <c r="D48" s="49" t="n">
        <v>0</v>
      </c>
      <c r="E48" s="49" t="n">
        <v>0</v>
      </c>
      <c r="F48" s="10" t="n">
        <v>0</v>
      </c>
      <c r="H48" s="11" t="n">
        <v>37</v>
      </c>
      <c r="I48" s="51" t="n">
        <v>123</v>
      </c>
      <c r="J48" s="51" t="n">
        <v>13</v>
      </c>
      <c r="K48" s="51" t="n">
        <v>7</v>
      </c>
      <c r="L48" s="49" t="n">
        <v>143</v>
      </c>
      <c r="M48" s="10" t="n">
        <v>0.000636815034178709</v>
      </c>
    </row>
    <row r="49" spans="1:18">
      <c r="A49" t="n">
        <v>38</v>
      </c>
      <c r="B49" s="49" t="n">
        <v>520.538957349</v>
      </c>
      <c r="C49" s="49" t="n">
        <v>0</v>
      </c>
      <c r="D49" s="49" t="n">
        <v>0</v>
      </c>
      <c r="E49" s="49" t="n">
        <v>520.538957349</v>
      </c>
      <c r="F49" s="10" t="n">
        <v>0.002828352556450246</v>
      </c>
      <c r="H49" s="11" t="n">
        <v>38</v>
      </c>
      <c r="I49" s="51" t="n">
        <v>152</v>
      </c>
      <c r="J49" s="51" t="n">
        <v>14</v>
      </c>
      <c r="K49" s="51" t="n">
        <v>9</v>
      </c>
      <c r="L49" s="49" t="n">
        <v>175</v>
      </c>
      <c r="M49" s="10" t="n">
        <v>0.0007793190977711474</v>
      </c>
    </row>
    <row r="50" spans="1:18">
      <c r="A50" t="n">
        <v>39</v>
      </c>
      <c r="B50" s="49" t="n">
        <v>0</v>
      </c>
      <c r="C50" s="49" t="n">
        <v>0</v>
      </c>
      <c r="D50" s="49" t="n">
        <v>0</v>
      </c>
      <c r="E50" s="49" t="n">
        <v>0</v>
      </c>
      <c r="F50" s="10" t="n">
        <v>0</v>
      </c>
      <c r="H50" s="11" t="n">
        <v>39</v>
      </c>
      <c r="I50" s="51" t="n">
        <v>113</v>
      </c>
      <c r="J50" s="51" t="n">
        <v>9</v>
      </c>
      <c r="K50" s="51" t="n">
        <v>5</v>
      </c>
      <c r="L50" s="49" t="n">
        <v>127</v>
      </c>
      <c r="M50" s="10" t="n">
        <v>0.0005655630023824898</v>
      </c>
    </row>
    <row r="51" spans="1:18">
      <c r="A51" t="n">
        <v>40</v>
      </c>
      <c r="B51" s="49" t="n">
        <v>0</v>
      </c>
      <c r="C51" s="49" t="n">
        <v>0</v>
      </c>
      <c r="D51" s="49" t="n">
        <v>0</v>
      </c>
      <c r="E51" s="49" t="n">
        <v>0</v>
      </c>
      <c r="F51" s="10" t="n">
        <v>0</v>
      </c>
      <c r="H51" s="11" t="n">
        <v>40</v>
      </c>
      <c r="I51" s="51" t="n">
        <v>116</v>
      </c>
      <c r="J51" s="51" t="n">
        <v>6</v>
      </c>
      <c r="K51" s="51" t="n">
        <v>7</v>
      </c>
      <c r="L51" s="49" t="n">
        <v>129</v>
      </c>
      <c r="M51" s="10" t="n">
        <v>0.0005744695063570172</v>
      </c>
    </row>
    <row r="52" spans="1:18">
      <c r="A52" t="n">
        <v>41</v>
      </c>
      <c r="B52" s="49" t="n">
        <v>0</v>
      </c>
      <c r="C52" s="49" t="n">
        <v>0</v>
      </c>
      <c r="D52" s="49" t="n">
        <v>0</v>
      </c>
      <c r="E52" s="49" t="n">
        <v>0</v>
      </c>
      <c r="F52" s="10" t="n">
        <v>0</v>
      </c>
      <c r="H52" s="11" t="n">
        <v>41</v>
      </c>
      <c r="I52" s="51" t="n">
        <v>87</v>
      </c>
      <c r="J52" s="51" t="n">
        <v>7</v>
      </c>
      <c r="K52" s="51" t="n">
        <v>10</v>
      </c>
      <c r="L52" s="49" t="n">
        <v>104</v>
      </c>
      <c r="M52" s="10" t="n">
        <v>0.0004631382066754247</v>
      </c>
    </row>
    <row r="53" spans="1:18">
      <c r="A53" t="n">
        <v>42</v>
      </c>
      <c r="B53" s="49" t="n">
        <v>0</v>
      </c>
      <c r="C53" s="49" t="n">
        <v>0</v>
      </c>
      <c r="D53" s="49" t="n">
        <v>0</v>
      </c>
      <c r="E53" s="49" t="n">
        <v>0</v>
      </c>
      <c r="F53" s="10" t="n">
        <v>0</v>
      </c>
      <c r="H53" s="11" t="n">
        <v>42</v>
      </c>
      <c r="I53" s="51" t="n">
        <v>83</v>
      </c>
      <c r="J53" s="51" t="n">
        <v>5</v>
      </c>
      <c r="K53" s="51" t="n">
        <v>3</v>
      </c>
      <c r="L53" s="49" t="n">
        <v>91</v>
      </c>
      <c r="M53" s="10" t="n">
        <v>0.0004052459308409967</v>
      </c>
    </row>
    <row r="54" spans="1:18">
      <c r="A54" t="n">
        <v>43</v>
      </c>
      <c r="B54" s="49" t="n">
        <v>0</v>
      </c>
      <c r="C54" s="49" t="n">
        <v>0</v>
      </c>
      <c r="D54" s="49" t="n">
        <v>0</v>
      </c>
      <c r="E54" s="49" t="n">
        <v>0</v>
      </c>
      <c r="F54" s="10" t="n">
        <v>0</v>
      </c>
      <c r="H54" s="11" t="n">
        <v>43</v>
      </c>
      <c r="I54" s="51" t="n">
        <v>50</v>
      </c>
      <c r="J54" s="51" t="n">
        <v>6</v>
      </c>
      <c r="K54" s="51" t="n">
        <v>4</v>
      </c>
      <c r="L54" s="49" t="n">
        <v>60</v>
      </c>
      <c r="M54" s="10" t="n">
        <v>0.000267195119235822</v>
      </c>
    </row>
    <row r="55" spans="1:18">
      <c r="A55" t="n">
        <v>44</v>
      </c>
      <c r="B55" s="49" t="n">
        <v>0</v>
      </c>
      <c r="C55" s="49" t="n">
        <v>0</v>
      </c>
      <c r="D55" s="49" t="n">
        <v>0</v>
      </c>
      <c r="E55" s="49" t="n">
        <v>0</v>
      </c>
      <c r="F55" s="10" t="n">
        <v>0</v>
      </c>
      <c r="H55" s="11" t="n">
        <v>44</v>
      </c>
      <c r="I55" s="51" t="n">
        <v>52</v>
      </c>
      <c r="J55" s="51" t="n">
        <v>1</v>
      </c>
      <c r="K55" s="51" t="n">
        <v>3</v>
      </c>
      <c r="L55" s="49" t="n">
        <v>56</v>
      </c>
      <c r="M55" s="10" t="n">
        <v>0.0002493821112867672</v>
      </c>
    </row>
    <row r="56" spans="1:18">
      <c r="A56" t="n">
        <v>45</v>
      </c>
      <c r="B56" s="49" t="n">
        <v>0</v>
      </c>
      <c r="C56" s="49" t="n">
        <v>0</v>
      </c>
      <c r="D56" s="49" t="n">
        <v>0</v>
      </c>
      <c r="E56" s="49" t="n">
        <v>0</v>
      </c>
      <c r="F56" s="10" t="n">
        <v>0</v>
      </c>
      <c r="H56" s="11" t="n">
        <v>45</v>
      </c>
      <c r="I56" s="51" t="n">
        <v>61</v>
      </c>
      <c r="J56" s="51" t="n">
        <v>5</v>
      </c>
      <c r="K56" s="51" t="n">
        <v>3</v>
      </c>
      <c r="L56" s="49" t="n">
        <v>69</v>
      </c>
      <c r="M56" s="10" t="n">
        <v>0.0003072743871211952</v>
      </c>
    </row>
    <row r="57" spans="1:18">
      <c r="A57" t="n">
        <v>46</v>
      </c>
      <c r="B57" s="49" t="n">
        <v>0</v>
      </c>
      <c r="C57" s="49" t="n">
        <v>0</v>
      </c>
      <c r="D57" s="49" t="n">
        <v>0</v>
      </c>
      <c r="E57" s="49" t="n">
        <v>0</v>
      </c>
      <c r="F57" s="10" t="n">
        <v>0</v>
      </c>
      <c r="H57" s="11" t="n">
        <v>46</v>
      </c>
      <c r="I57" s="51" t="n">
        <v>46</v>
      </c>
      <c r="J57" s="51" t="n">
        <v>5</v>
      </c>
      <c r="K57" s="51" t="n">
        <v>1</v>
      </c>
      <c r="L57" s="49" t="n">
        <v>52</v>
      </c>
      <c r="M57" s="10" t="n">
        <v>0.0002315691033377124</v>
      </c>
    </row>
    <row r="58" spans="1:18">
      <c r="A58" t="n">
        <v>47</v>
      </c>
      <c r="B58" s="49" t="n">
        <v>0</v>
      </c>
      <c r="C58" s="49" t="n">
        <v>0</v>
      </c>
      <c r="D58" s="49" t="n">
        <v>0</v>
      </c>
      <c r="E58" s="49" t="n">
        <v>0</v>
      </c>
      <c r="F58" s="10" t="n">
        <v>0</v>
      </c>
      <c r="H58" s="11" t="n">
        <v>47</v>
      </c>
      <c r="I58" s="51" t="n">
        <v>55</v>
      </c>
      <c r="J58" s="51" t="n">
        <v>4</v>
      </c>
      <c r="K58" s="51" t="n">
        <v>4</v>
      </c>
      <c r="L58" s="49" t="n">
        <v>63</v>
      </c>
      <c r="M58" s="10" t="n">
        <v>0.0002805548751976131</v>
      </c>
    </row>
    <row r="59" spans="1:18">
      <c r="A59" t="n">
        <v>48</v>
      </c>
      <c r="B59" s="49" t="n">
        <v>0</v>
      </c>
      <c r="C59" s="49" t="n">
        <v>0</v>
      </c>
      <c r="D59" s="49" t="n">
        <v>0</v>
      </c>
      <c r="E59" s="49" t="n">
        <v>0</v>
      </c>
      <c r="F59" s="10" t="n">
        <v>0</v>
      </c>
      <c r="H59" s="11" t="n">
        <v>48</v>
      </c>
      <c r="I59" s="51" t="n">
        <v>41</v>
      </c>
      <c r="J59" s="51" t="n">
        <v>1</v>
      </c>
      <c r="K59" s="51" t="n">
        <v>1</v>
      </c>
      <c r="L59" s="49" t="n">
        <v>43</v>
      </c>
      <c r="M59" s="10" t="n">
        <v>0.0001914898354523391</v>
      </c>
    </row>
    <row r="60" spans="1:18">
      <c r="A60" t="n">
        <v>49</v>
      </c>
      <c r="B60" s="49" t="n">
        <v>0</v>
      </c>
      <c r="C60" s="49" t="n">
        <v>0</v>
      </c>
      <c r="D60" s="49" t="n">
        <v>0</v>
      </c>
      <c r="E60" s="49" t="n">
        <v>0</v>
      </c>
      <c r="F60" s="10" t="n">
        <v>0</v>
      </c>
      <c r="H60" s="11" t="n">
        <v>49</v>
      </c>
      <c r="I60" s="51" t="n">
        <v>32</v>
      </c>
      <c r="J60" s="51" t="n">
        <v>0</v>
      </c>
      <c r="K60" s="51" t="n">
        <v>0</v>
      </c>
      <c r="L60" s="49" t="n">
        <v>32</v>
      </c>
      <c r="M60" s="10" t="n">
        <v>0.0001425040635924384</v>
      </c>
    </row>
    <row r="61" spans="1:18">
      <c r="A61" t="n">
        <v>50</v>
      </c>
      <c r="B61" s="49" t="n">
        <v>0</v>
      </c>
      <c r="C61" s="49" t="n">
        <v>0</v>
      </c>
      <c r="D61" s="49" t="n">
        <v>0</v>
      </c>
      <c r="E61" s="49" t="n">
        <v>0</v>
      </c>
      <c r="F61" s="10" t="n">
        <v>0</v>
      </c>
      <c r="H61" s="11" t="n">
        <v>50</v>
      </c>
      <c r="I61" s="51" t="n">
        <v>28</v>
      </c>
      <c r="J61" s="51" t="n">
        <v>0</v>
      </c>
      <c r="K61" s="51" t="n">
        <v>1</v>
      </c>
      <c r="L61" s="49" t="n">
        <v>29</v>
      </c>
      <c r="M61" s="10" t="n">
        <v>0.0001291443076306473</v>
      </c>
    </row>
    <row r="62" spans="1:18">
      <c r="A62" t="n">
        <v>51</v>
      </c>
      <c r="B62" s="49" t="n">
        <v>0</v>
      </c>
      <c r="C62" s="49" t="n">
        <v>0</v>
      </c>
      <c r="D62" s="49" t="n">
        <v>0</v>
      </c>
      <c r="E62" s="49" t="n">
        <v>0</v>
      </c>
      <c r="F62" s="10" t="n">
        <v>0</v>
      </c>
      <c r="H62" s="11" t="n">
        <v>51</v>
      </c>
      <c r="I62" s="51" t="n">
        <v>21</v>
      </c>
      <c r="J62" s="51" t="n">
        <v>0</v>
      </c>
      <c r="K62" s="51" t="n">
        <v>1</v>
      </c>
      <c r="L62" s="49" t="n">
        <v>22</v>
      </c>
      <c r="M62" s="10" t="n">
        <v>9.797154371980139e-05</v>
      </c>
    </row>
    <row r="63" spans="1:18">
      <c r="A63" t="n">
        <v>52</v>
      </c>
      <c r="B63" s="49" t="n">
        <v>0</v>
      </c>
      <c r="C63" s="49" t="n">
        <v>0</v>
      </c>
      <c r="D63" s="49" t="n">
        <v>0</v>
      </c>
      <c r="E63" s="49" t="n">
        <v>0</v>
      </c>
      <c r="F63" s="10" t="n">
        <v>0</v>
      </c>
      <c r="H63" s="11" t="n">
        <v>52</v>
      </c>
      <c r="I63" s="51" t="n">
        <v>26</v>
      </c>
      <c r="J63" s="51" t="n">
        <v>5</v>
      </c>
      <c r="K63" s="51" t="n">
        <v>1</v>
      </c>
      <c r="L63" s="49" t="n">
        <v>32</v>
      </c>
      <c r="M63" s="10" t="n">
        <v>0.0001425040635924384</v>
      </c>
    </row>
    <row r="64" spans="1:18">
      <c r="A64" t="n">
        <v>53</v>
      </c>
      <c r="B64" s="49" t="n">
        <v>0</v>
      </c>
      <c r="C64" s="49" t="n">
        <v>0</v>
      </c>
      <c r="D64" s="49" t="n">
        <v>0</v>
      </c>
      <c r="E64" s="49" t="n">
        <v>0</v>
      </c>
      <c r="F64" s="10" t="n">
        <v>0</v>
      </c>
      <c r="H64" s="11" t="n">
        <v>53</v>
      </c>
      <c r="I64" s="51" t="n">
        <v>18</v>
      </c>
      <c r="J64" s="51" t="n">
        <v>1</v>
      </c>
      <c r="K64" s="51" t="n">
        <v>0</v>
      </c>
      <c r="L64" s="49" t="n">
        <v>19</v>
      </c>
      <c r="M64" s="10" t="n">
        <v>8.461178775801029e-05</v>
      </c>
    </row>
    <row r="65" spans="1:18">
      <c r="A65" t="n">
        <v>54</v>
      </c>
      <c r="B65" s="49" t="n">
        <v>0</v>
      </c>
      <c r="C65" s="49" t="n">
        <v>0</v>
      </c>
      <c r="D65" s="49" t="n">
        <v>0</v>
      </c>
      <c r="E65" s="49" t="n">
        <v>0</v>
      </c>
      <c r="F65" s="10" t="n">
        <v>0</v>
      </c>
      <c r="H65" s="11" t="n">
        <v>54</v>
      </c>
      <c r="I65" s="51" t="n">
        <v>19</v>
      </c>
      <c r="J65" s="51" t="n">
        <v>1</v>
      </c>
      <c r="K65" s="51" t="n">
        <v>2</v>
      </c>
      <c r="L65" s="49" t="n">
        <v>22</v>
      </c>
      <c r="M65" s="10" t="n">
        <v>9.797154371980139e-05</v>
      </c>
    </row>
    <row r="66" spans="1:18">
      <c r="A66" t="n">
        <v>55</v>
      </c>
      <c r="B66" s="49" t="n">
        <v>0</v>
      </c>
      <c r="C66" s="49" t="n">
        <v>0</v>
      </c>
      <c r="D66" s="49" t="n">
        <v>0</v>
      </c>
      <c r="E66" s="49" t="n">
        <v>0</v>
      </c>
      <c r="F66" s="10" t="n">
        <v>0</v>
      </c>
      <c r="H66" s="11" t="n">
        <v>55</v>
      </c>
      <c r="I66" s="51" t="n">
        <v>9</v>
      </c>
      <c r="J66" s="51" t="n">
        <v>1</v>
      </c>
      <c r="K66" s="51" t="n">
        <v>1</v>
      </c>
      <c r="L66" s="49" t="n">
        <v>11</v>
      </c>
      <c r="M66" s="10" t="n">
        <v>4.898577185990069e-05</v>
      </c>
    </row>
    <row r="67" spans="1:18">
      <c r="A67" t="n">
        <v>56</v>
      </c>
      <c r="B67" s="49" t="n">
        <v>0</v>
      </c>
      <c r="C67" s="49" t="n">
        <v>0</v>
      </c>
      <c r="D67" s="49" t="n">
        <v>0</v>
      </c>
      <c r="E67" s="49" t="n">
        <v>0</v>
      </c>
      <c r="F67" s="10" t="n">
        <v>0</v>
      </c>
      <c r="H67" s="11" t="n">
        <v>56</v>
      </c>
      <c r="I67" s="51" t="n">
        <v>11</v>
      </c>
      <c r="J67" s="51" t="n">
        <v>1</v>
      </c>
      <c r="K67" s="51" t="n">
        <v>0</v>
      </c>
      <c r="L67" s="49" t="n">
        <v>12</v>
      </c>
      <c r="M67" s="10" t="n">
        <v>5.343902384716439e-05</v>
      </c>
    </row>
    <row r="68" spans="1:18">
      <c r="A68" t="n">
        <v>57</v>
      </c>
      <c r="B68" s="49" t="n">
        <v>0</v>
      </c>
      <c r="C68" s="49" t="n">
        <v>0</v>
      </c>
      <c r="D68" s="49" t="n">
        <v>0</v>
      </c>
      <c r="E68" s="49" t="n">
        <v>0</v>
      </c>
      <c r="F68" s="10" t="n">
        <v>0</v>
      </c>
      <c r="H68" s="11" t="n">
        <v>57</v>
      </c>
      <c r="I68" s="51" t="n">
        <v>13</v>
      </c>
      <c r="J68" s="51" t="n">
        <v>0</v>
      </c>
      <c r="K68" s="51" t="n">
        <v>0</v>
      </c>
      <c r="L68" s="49" t="n">
        <v>13</v>
      </c>
      <c r="M68" s="10" t="n">
        <v>5.789227583442809e-05</v>
      </c>
    </row>
    <row r="69" spans="1:18">
      <c r="A69" t="n">
        <v>58</v>
      </c>
      <c r="B69" s="49" t="n">
        <v>0</v>
      </c>
      <c r="C69" s="49" t="n">
        <v>0</v>
      </c>
      <c r="D69" s="49" t="n">
        <v>0</v>
      </c>
      <c r="E69" s="49" t="n">
        <v>0</v>
      </c>
      <c r="F69" s="10" t="n">
        <v>0</v>
      </c>
      <c r="H69" s="11" t="n">
        <v>58</v>
      </c>
      <c r="I69" s="51" t="n">
        <v>12</v>
      </c>
      <c r="J69" s="51" t="n">
        <v>1</v>
      </c>
      <c r="K69" s="51" t="n">
        <v>1</v>
      </c>
      <c r="L69" s="49" t="n">
        <v>14</v>
      </c>
      <c r="M69" s="10" t="n">
        <v>6.234552782169179e-05</v>
      </c>
    </row>
    <row r="70" spans="1:18">
      <c r="A70" t="n">
        <v>59</v>
      </c>
      <c r="B70" s="49" t="n">
        <v>0</v>
      </c>
      <c r="C70" s="49" t="n">
        <v>0</v>
      </c>
      <c r="D70" s="49" t="n">
        <v>0</v>
      </c>
      <c r="E70" s="49" t="n">
        <v>0</v>
      </c>
      <c r="F70" s="10" t="n">
        <v>0</v>
      </c>
      <c r="H70" s="11" t="n">
        <v>59</v>
      </c>
      <c r="I70" s="51" t="n">
        <v>14</v>
      </c>
      <c r="J70" s="51" t="n">
        <v>0</v>
      </c>
      <c r="K70" s="51" t="n">
        <v>2</v>
      </c>
      <c r="L70" s="49" t="n">
        <v>16</v>
      </c>
      <c r="M70" s="10" t="n">
        <v>7.125203179621918e-05</v>
      </c>
    </row>
    <row r="71" spans="1:18">
      <c r="A71" t="n">
        <v>60</v>
      </c>
      <c r="B71" s="49" t="n">
        <v>0</v>
      </c>
      <c r="C71" s="49" t="n">
        <v>0</v>
      </c>
      <c r="D71" s="49" t="n">
        <v>0</v>
      </c>
      <c r="E71" s="49" t="n">
        <v>0</v>
      </c>
      <c r="F71" s="10" t="n">
        <v>0</v>
      </c>
      <c r="H71" s="11" t="n">
        <v>60</v>
      </c>
      <c r="I71" s="51" t="n">
        <v>3</v>
      </c>
      <c r="J71" s="51" t="n">
        <v>0</v>
      </c>
      <c r="K71" s="51" t="n">
        <v>0</v>
      </c>
      <c r="L71" s="49" t="n">
        <v>3</v>
      </c>
      <c r="M71" s="10" t="n">
        <v>1.33597559617911e-05</v>
      </c>
    </row>
    <row r="72" spans="1:18">
      <c r="A72" t="n">
        <v>61</v>
      </c>
      <c r="B72" s="49" t="n">
        <v>0</v>
      </c>
      <c r="C72" s="49" t="n">
        <v>0</v>
      </c>
      <c r="D72" s="49" t="n">
        <v>0</v>
      </c>
      <c r="E72" s="49" t="n">
        <v>0</v>
      </c>
      <c r="F72" s="10" t="n">
        <v>0</v>
      </c>
      <c r="H72" s="11" t="n">
        <v>61</v>
      </c>
      <c r="I72" s="51" t="n">
        <v>4</v>
      </c>
      <c r="J72" s="51" t="n">
        <v>0</v>
      </c>
      <c r="K72" s="51" t="n">
        <v>1</v>
      </c>
      <c r="L72" s="49" t="n">
        <v>5</v>
      </c>
      <c r="M72" s="10" t="n">
        <v>2.22662599363185e-05</v>
      </c>
    </row>
    <row r="73" spans="1:18">
      <c r="A73" t="n">
        <v>62</v>
      </c>
      <c r="B73" s="49" t="n">
        <v>0</v>
      </c>
      <c r="C73" s="49" t="n">
        <v>0</v>
      </c>
      <c r="D73" s="49" t="n">
        <v>0</v>
      </c>
      <c r="E73" s="49" t="n">
        <v>0</v>
      </c>
      <c r="F73" s="10" t="n">
        <v>0</v>
      </c>
      <c r="H73" s="11" t="n">
        <v>62</v>
      </c>
      <c r="I73" s="51" t="n">
        <v>4</v>
      </c>
      <c r="J73" s="51" t="n">
        <v>0</v>
      </c>
      <c r="K73" s="51" t="n">
        <v>0</v>
      </c>
      <c r="L73" s="49" t="n">
        <v>4</v>
      </c>
      <c r="M73" s="10" t="n">
        <v>1.78130079490548e-05</v>
      </c>
    </row>
    <row r="74" spans="1:18">
      <c r="A74" t="n">
        <v>63</v>
      </c>
      <c r="B74" s="49" t="n">
        <v>0</v>
      </c>
      <c r="C74" s="49" t="n">
        <v>0</v>
      </c>
      <c r="D74" s="49" t="n">
        <v>0</v>
      </c>
      <c r="E74" s="49" t="n">
        <v>0</v>
      </c>
      <c r="F74" s="10" t="n">
        <v>0</v>
      </c>
      <c r="H74" s="11" t="n">
        <v>63</v>
      </c>
      <c r="I74" s="51" t="n">
        <v>9</v>
      </c>
      <c r="J74" s="51" t="n">
        <v>0</v>
      </c>
      <c r="K74" s="51" t="n">
        <v>0</v>
      </c>
      <c r="L74" s="49" t="n">
        <v>9</v>
      </c>
      <c r="M74" s="10" t="n">
        <v>4.007926788537329e-05</v>
      </c>
    </row>
    <row r="75" spans="1:18">
      <c r="A75" t="n">
        <v>64</v>
      </c>
      <c r="B75" s="49" t="n">
        <v>0</v>
      </c>
      <c r="C75" s="49" t="n">
        <v>0</v>
      </c>
      <c r="D75" s="49" t="n">
        <v>0</v>
      </c>
      <c r="E75" s="49" t="n">
        <v>0</v>
      </c>
      <c r="F75" s="10" t="n">
        <v>0</v>
      </c>
      <c r="H75" s="11" t="n">
        <v>64</v>
      </c>
      <c r="I75" s="51" t="n">
        <v>5</v>
      </c>
      <c r="J75" s="51" t="n">
        <v>0</v>
      </c>
      <c r="K75" s="51" t="n">
        <v>0</v>
      </c>
      <c r="L75" s="49" t="n">
        <v>5</v>
      </c>
      <c r="M75" s="10" t="n">
        <v>2.22662599363185e-05</v>
      </c>
    </row>
    <row r="76" spans="1:18">
      <c r="A76" t="n">
        <v>65</v>
      </c>
      <c r="B76" s="49" t="n">
        <v>0</v>
      </c>
      <c r="C76" s="49" t="n">
        <v>0</v>
      </c>
      <c r="D76" s="49" t="n">
        <v>0</v>
      </c>
      <c r="E76" s="49" t="n">
        <v>0</v>
      </c>
      <c r="F76" s="10" t="n">
        <v>0</v>
      </c>
      <c r="H76" s="11" t="n">
        <v>65</v>
      </c>
      <c r="I76" s="51" t="n">
        <v>5</v>
      </c>
      <c r="J76" s="51" t="n">
        <v>0</v>
      </c>
      <c r="K76" s="51" t="n">
        <v>0</v>
      </c>
      <c r="L76" s="49" t="n">
        <v>5</v>
      </c>
      <c r="M76" s="10" t="n">
        <v>2.22662599363185e-05</v>
      </c>
    </row>
    <row r="77" spans="1:18">
      <c r="A77" t="n">
        <v>66</v>
      </c>
      <c r="B77" s="49" t="n">
        <v>0</v>
      </c>
      <c r="C77" s="49" t="n">
        <v>0</v>
      </c>
      <c r="D77" s="49" t="n">
        <v>0</v>
      </c>
      <c r="E77" s="49" t="n">
        <v>0</v>
      </c>
      <c r="F77" s="10" t="n">
        <v>0</v>
      </c>
      <c r="H77" s="11" t="n">
        <v>66</v>
      </c>
      <c r="I77" s="51" t="n">
        <v>4</v>
      </c>
      <c r="J77" s="51" t="n">
        <v>0</v>
      </c>
      <c r="K77" s="51" t="n">
        <v>0</v>
      </c>
      <c r="L77" s="49" t="n">
        <v>4</v>
      </c>
      <c r="M77" s="10" t="n">
        <v>1.78130079490548e-05</v>
      </c>
    </row>
    <row r="78" spans="1:18">
      <c r="A78" t="n">
        <v>67</v>
      </c>
      <c r="B78" s="49" t="n">
        <v>0</v>
      </c>
      <c r="C78" s="49" t="n">
        <v>0</v>
      </c>
      <c r="D78" s="49" t="n">
        <v>0</v>
      </c>
      <c r="E78" s="49" t="n">
        <v>0</v>
      </c>
      <c r="F78" s="10" t="n">
        <v>0</v>
      </c>
      <c r="H78" s="11" t="n">
        <v>67</v>
      </c>
      <c r="I78" s="51" t="n">
        <v>0</v>
      </c>
      <c r="J78" s="51" t="n">
        <v>0</v>
      </c>
      <c r="K78" s="51" t="n">
        <v>0</v>
      </c>
      <c r="L78" s="49" t="n">
        <v>0</v>
      </c>
      <c r="M78" s="10" t="n">
        <v>0</v>
      </c>
    </row>
    <row r="79" spans="1:18">
      <c r="A79" t="n">
        <v>68</v>
      </c>
      <c r="B79" s="49" t="n">
        <v>0</v>
      </c>
      <c r="C79" s="49" t="n">
        <v>0</v>
      </c>
      <c r="D79" s="49" t="n">
        <v>0</v>
      </c>
      <c r="E79" s="49" t="n">
        <v>0</v>
      </c>
      <c r="F79" s="10" t="n">
        <v>0</v>
      </c>
      <c r="H79" s="11" t="n">
        <v>68</v>
      </c>
      <c r="I79" s="51" t="n">
        <v>6</v>
      </c>
      <c r="J79" s="51" t="n">
        <v>0</v>
      </c>
      <c r="K79" s="51" t="n">
        <v>0</v>
      </c>
      <c r="L79" s="49" t="n">
        <v>6</v>
      </c>
      <c r="M79" s="10" t="n">
        <v>2.67195119235822e-05</v>
      </c>
    </row>
    <row r="80" spans="1:18">
      <c r="A80" t="n">
        <v>69</v>
      </c>
      <c r="B80" s="49" t="n">
        <v>0</v>
      </c>
      <c r="C80" s="49" t="n">
        <v>0</v>
      </c>
      <c r="D80" s="49" t="n">
        <v>0</v>
      </c>
      <c r="E80" s="49" t="n">
        <v>0</v>
      </c>
      <c r="F80" s="10" t="n">
        <v>0</v>
      </c>
      <c r="H80" s="11" t="n">
        <v>69</v>
      </c>
      <c r="I80" s="51" t="n">
        <v>0</v>
      </c>
      <c r="J80" s="51" t="n">
        <v>0</v>
      </c>
      <c r="K80" s="51" t="n">
        <v>0</v>
      </c>
      <c r="L80" s="49" t="n">
        <v>0</v>
      </c>
      <c r="M80" s="10" t="n">
        <v>0</v>
      </c>
    </row>
    <row r="81" spans="1:18">
      <c r="A81" t="n">
        <v>70</v>
      </c>
      <c r="B81" s="49" t="n">
        <v>0</v>
      </c>
      <c r="C81" s="49" t="n">
        <v>0</v>
      </c>
      <c r="D81" s="49" t="n">
        <v>0</v>
      </c>
      <c r="E81" s="49" t="n">
        <v>0</v>
      </c>
      <c r="F81" s="10" t="n">
        <v>0</v>
      </c>
      <c r="H81" s="11" t="n">
        <v>70</v>
      </c>
      <c r="I81" s="51" t="n">
        <v>3</v>
      </c>
      <c r="J81" s="51" t="n">
        <v>0</v>
      </c>
      <c r="K81" s="51" t="n">
        <v>0</v>
      </c>
      <c r="L81" s="49" t="n">
        <v>3</v>
      </c>
      <c r="M81" s="10" t="n">
        <v>1.33597559617911e-05</v>
      </c>
    </row>
    <row r="82" spans="1:18">
      <c r="A82" t="n">
        <v>71</v>
      </c>
      <c r="B82" s="49" t="n">
        <v>0</v>
      </c>
      <c r="C82" s="49" t="n">
        <v>0</v>
      </c>
      <c r="D82" s="49" t="n">
        <v>0</v>
      </c>
      <c r="E82" s="49" t="n">
        <v>0</v>
      </c>
      <c r="F82" s="10" t="n">
        <v>0</v>
      </c>
      <c r="H82" s="11" t="n">
        <v>71</v>
      </c>
      <c r="I82" s="51" t="n">
        <v>2</v>
      </c>
      <c r="J82" s="51" t="n">
        <v>0</v>
      </c>
      <c r="K82" s="51" t="n">
        <v>0</v>
      </c>
      <c r="L82" s="49" t="n">
        <v>2</v>
      </c>
      <c r="M82" s="10" t="n">
        <v>8.906503974527398e-06</v>
      </c>
    </row>
    <row r="83" spans="1:18">
      <c r="A83" t="n">
        <v>72</v>
      </c>
      <c r="B83" s="49" t="n">
        <v>0</v>
      </c>
      <c r="C83" s="49" t="n">
        <v>0</v>
      </c>
      <c r="D83" s="49" t="n">
        <v>0</v>
      </c>
      <c r="E83" s="49" t="n">
        <v>0</v>
      </c>
      <c r="F83" s="10" t="n">
        <v>0</v>
      </c>
      <c r="H83" s="11" t="n">
        <v>72</v>
      </c>
      <c r="I83" s="51" t="n">
        <v>0</v>
      </c>
      <c r="J83" s="51" t="n">
        <v>0</v>
      </c>
      <c r="K83" s="51" t="n">
        <v>0</v>
      </c>
      <c r="L83" s="49" t="n">
        <v>0</v>
      </c>
      <c r="M83" s="10" t="n">
        <v>0</v>
      </c>
    </row>
    <row r="84" spans="1:18">
      <c r="A84" t="n">
        <v>73</v>
      </c>
      <c r="B84" s="49" t="n">
        <v>0</v>
      </c>
      <c r="C84" s="49" t="n">
        <v>0</v>
      </c>
      <c r="D84" s="49" t="n">
        <v>0</v>
      </c>
      <c r="E84" s="49" t="n">
        <v>0</v>
      </c>
      <c r="F84" s="10" t="n">
        <v>0</v>
      </c>
      <c r="H84" s="11" t="n">
        <v>73</v>
      </c>
      <c r="I84" s="51" t="n">
        <v>2</v>
      </c>
      <c r="J84" s="51" t="n">
        <v>0</v>
      </c>
      <c r="K84" s="51" t="n">
        <v>0</v>
      </c>
      <c r="L84" s="49" t="n">
        <v>2</v>
      </c>
      <c r="M84" s="10" t="n">
        <v>8.906503974527398e-06</v>
      </c>
    </row>
    <row r="85" spans="1:18">
      <c r="A85" t="n">
        <v>74</v>
      </c>
      <c r="B85" s="49" t="n">
        <v>0</v>
      </c>
      <c r="C85" s="49" t="n">
        <v>0</v>
      </c>
      <c r="D85" s="49" t="n">
        <v>0</v>
      </c>
      <c r="E85" s="49" t="n">
        <v>0</v>
      </c>
      <c r="F85" s="10" t="n">
        <v>0</v>
      </c>
      <c r="H85" s="11" t="n">
        <v>74</v>
      </c>
      <c r="I85" s="51" t="n">
        <v>2</v>
      </c>
      <c r="J85" s="51" t="n">
        <v>0</v>
      </c>
      <c r="K85" s="51" t="n">
        <v>0</v>
      </c>
      <c r="L85" s="49" t="n">
        <v>2</v>
      </c>
      <c r="M85" s="10" t="n">
        <v>8.906503974527398e-06</v>
      </c>
    </row>
    <row r="86" spans="1:18">
      <c r="A86" t="n">
        <v>75</v>
      </c>
      <c r="B86" s="49" t="n">
        <v>0</v>
      </c>
      <c r="C86" s="49" t="n">
        <v>0</v>
      </c>
      <c r="D86" s="49" t="n">
        <v>0</v>
      </c>
      <c r="E86" s="49" t="n">
        <v>0</v>
      </c>
      <c r="F86" s="10" t="n">
        <v>0</v>
      </c>
      <c r="H86" s="11" t="n">
        <v>75</v>
      </c>
      <c r="I86" s="51" t="n">
        <v>0</v>
      </c>
      <c r="J86" s="51" t="n">
        <v>0</v>
      </c>
      <c r="K86" s="51" t="n">
        <v>0</v>
      </c>
      <c r="L86" s="49" t="n">
        <v>0</v>
      </c>
      <c r="M86" s="10" t="n">
        <v>0</v>
      </c>
    </row>
    <row r="87" spans="1:18">
      <c r="A87" t="n">
        <v>76</v>
      </c>
      <c r="B87" s="49" t="n">
        <v>0</v>
      </c>
      <c r="C87" s="49" t="n">
        <v>0</v>
      </c>
      <c r="D87" s="49" t="n">
        <v>0</v>
      </c>
      <c r="E87" s="49" t="n">
        <v>0</v>
      </c>
      <c r="F87" s="10" t="n">
        <v>0</v>
      </c>
      <c r="H87" s="11" t="n">
        <v>76</v>
      </c>
      <c r="I87" s="51" t="n">
        <v>3</v>
      </c>
      <c r="J87" s="51" t="n">
        <v>0</v>
      </c>
      <c r="K87" s="51" t="n">
        <v>0</v>
      </c>
      <c r="L87" s="49" t="n">
        <v>3</v>
      </c>
      <c r="M87" s="10" t="n">
        <v>1.33597559617911e-05</v>
      </c>
    </row>
    <row r="88" spans="1:18">
      <c r="A88" t="n">
        <v>77</v>
      </c>
      <c r="B88" s="49" t="n">
        <v>0</v>
      </c>
      <c r="C88" s="49" t="n">
        <v>0</v>
      </c>
      <c r="D88" s="49" t="n">
        <v>0</v>
      </c>
      <c r="E88" s="49" t="n">
        <v>0</v>
      </c>
      <c r="F88" s="10" t="n">
        <v>0</v>
      </c>
      <c r="H88" s="11" t="n">
        <v>77</v>
      </c>
      <c r="I88" s="51" t="n">
        <v>0</v>
      </c>
      <c r="J88" s="51" t="n">
        <v>0</v>
      </c>
      <c r="K88" s="51" t="n">
        <v>0</v>
      </c>
      <c r="L88" s="49" t="n">
        <v>0</v>
      </c>
      <c r="M88" s="10" t="n">
        <v>0</v>
      </c>
    </row>
    <row r="89" spans="1:18">
      <c r="A89" t="n">
        <v>78</v>
      </c>
      <c r="B89" s="49" t="n">
        <v>0</v>
      </c>
      <c r="C89" s="49" t="n">
        <v>0</v>
      </c>
      <c r="D89" s="49" t="n">
        <v>0</v>
      </c>
      <c r="E89" s="49" t="n">
        <v>0</v>
      </c>
      <c r="F89" s="10" t="n">
        <v>0</v>
      </c>
      <c r="H89" s="11" t="n">
        <v>78</v>
      </c>
      <c r="I89" s="51" t="n">
        <v>1</v>
      </c>
      <c r="J89" s="51" t="n">
        <v>0</v>
      </c>
      <c r="K89" s="51" t="n">
        <v>0</v>
      </c>
      <c r="L89" s="49" t="n">
        <v>1</v>
      </c>
      <c r="M89" s="10" t="n">
        <v>4.453251987263699e-06</v>
      </c>
    </row>
    <row r="90" spans="1:18">
      <c r="A90" t="n">
        <v>79</v>
      </c>
      <c r="B90" s="49" t="n">
        <v>0</v>
      </c>
      <c r="C90" s="49" t="n">
        <v>0</v>
      </c>
      <c r="D90" s="49" t="n">
        <v>0</v>
      </c>
      <c r="E90" s="49" t="n">
        <v>0</v>
      </c>
      <c r="F90" s="10" t="n">
        <v>0</v>
      </c>
      <c r="H90" s="11" t="n">
        <v>79</v>
      </c>
      <c r="I90" s="51" t="n">
        <v>1</v>
      </c>
      <c r="J90" s="51" t="n">
        <v>0</v>
      </c>
      <c r="K90" s="51" t="n">
        <v>0</v>
      </c>
      <c r="L90" s="49" t="n">
        <v>1</v>
      </c>
      <c r="M90" s="10" t="n">
        <v>4.453251987263699e-06</v>
      </c>
    </row>
    <row r="91" spans="1:18">
      <c r="A91" t="n">
        <v>80</v>
      </c>
      <c r="B91" s="49" t="n">
        <v>0</v>
      </c>
      <c r="C91" s="49" t="n">
        <v>0</v>
      </c>
      <c r="D91" s="49" t="n">
        <v>0</v>
      </c>
      <c r="E91" s="49" t="n">
        <v>0</v>
      </c>
      <c r="F91" s="10" t="n">
        <v>0</v>
      </c>
      <c r="H91" s="11" t="n">
        <v>80</v>
      </c>
      <c r="I91" s="51" t="n">
        <v>0</v>
      </c>
      <c r="J91" s="51" t="n">
        <v>0</v>
      </c>
      <c r="K91" s="51" t="n">
        <v>0</v>
      </c>
      <c r="L91" s="49" t="n">
        <v>0</v>
      </c>
      <c r="M91" s="10" t="n">
        <v>0</v>
      </c>
    </row>
    <row r="92" spans="1:18">
      <c r="A92" t="n">
        <v>81</v>
      </c>
      <c r="B92" s="49" t="n">
        <v>0</v>
      </c>
      <c r="C92" s="49" t="n">
        <v>0</v>
      </c>
      <c r="D92" s="49" t="n">
        <v>0</v>
      </c>
      <c r="E92" s="49" t="n">
        <v>0</v>
      </c>
      <c r="F92" s="10" t="n">
        <v>0</v>
      </c>
      <c r="H92" s="11" t="n">
        <v>81</v>
      </c>
      <c r="I92" s="51" t="n">
        <v>0</v>
      </c>
      <c r="J92" s="51" t="n">
        <v>0</v>
      </c>
      <c r="K92" s="51" t="n">
        <v>0</v>
      </c>
      <c r="L92" s="49" t="n">
        <v>0</v>
      </c>
      <c r="M92" s="10" t="n">
        <v>0</v>
      </c>
    </row>
    <row r="93" spans="1:18">
      <c r="A93" t="n">
        <v>82</v>
      </c>
      <c r="B93" s="49" t="n">
        <v>0</v>
      </c>
      <c r="C93" s="49" t="n">
        <v>0</v>
      </c>
      <c r="D93" s="49" t="n">
        <v>0</v>
      </c>
      <c r="E93" s="49" t="n">
        <v>0</v>
      </c>
      <c r="F93" s="10" t="n">
        <v>0</v>
      </c>
      <c r="H93" s="11" t="n">
        <v>82</v>
      </c>
      <c r="I93" s="51" t="n">
        <v>0</v>
      </c>
      <c r="J93" s="51" t="n">
        <v>1</v>
      </c>
      <c r="K93" s="51" t="n">
        <v>0</v>
      </c>
      <c r="L93" s="49" t="n">
        <v>1</v>
      </c>
      <c r="M93" s="10" t="n">
        <v>4.453251987263699e-06</v>
      </c>
    </row>
    <row r="94" spans="1:18">
      <c r="A94" t="n">
        <v>83</v>
      </c>
      <c r="B94" s="49" t="n">
        <v>0</v>
      </c>
      <c r="C94" s="49" t="n">
        <v>0</v>
      </c>
      <c r="D94" s="49" t="n">
        <v>0</v>
      </c>
      <c r="E94" s="49" t="n">
        <v>0</v>
      </c>
      <c r="F94" s="10" t="n">
        <v>0</v>
      </c>
      <c r="H94" s="11" t="n">
        <v>83</v>
      </c>
      <c r="I94" s="51" t="n">
        <v>1</v>
      </c>
      <c r="J94" s="51" t="n">
        <v>0</v>
      </c>
      <c r="K94" s="51" t="n">
        <v>0</v>
      </c>
      <c r="L94" s="49" t="n">
        <v>1</v>
      </c>
      <c r="M94" s="10" t="n">
        <v>4.453251987263699e-06</v>
      </c>
    </row>
    <row r="95" spans="1:18">
      <c r="A95" t="n">
        <v>84</v>
      </c>
      <c r="B95" s="49" t="n">
        <v>0</v>
      </c>
      <c r="C95" s="49" t="n">
        <v>0</v>
      </c>
      <c r="D95" s="49" t="n">
        <v>0</v>
      </c>
      <c r="E95" s="49" t="n">
        <v>0</v>
      </c>
      <c r="F95" s="10" t="n">
        <v>0</v>
      </c>
      <c r="H95" s="11" t="n">
        <v>84</v>
      </c>
      <c r="I95" s="51" t="n">
        <v>0</v>
      </c>
      <c r="J95" s="51" t="n">
        <v>0</v>
      </c>
      <c r="K95" s="51" t="n">
        <v>0</v>
      </c>
      <c r="L95" s="49" t="n">
        <v>0</v>
      </c>
      <c r="M95" s="10" t="n">
        <v>0</v>
      </c>
    </row>
    <row r="96" spans="1:18">
      <c r="A96" t="n">
        <v>85</v>
      </c>
      <c r="B96" s="49" t="n">
        <v>0</v>
      </c>
      <c r="C96" s="49" t="n">
        <v>0</v>
      </c>
      <c r="D96" s="49" t="n">
        <v>0</v>
      </c>
      <c r="E96" s="49" t="n">
        <v>0</v>
      </c>
      <c r="F96" s="10" t="n">
        <v>0</v>
      </c>
      <c r="H96" s="11" t="n">
        <v>85</v>
      </c>
      <c r="I96" s="51" t="n">
        <v>1</v>
      </c>
      <c r="J96" s="51" t="n">
        <v>0</v>
      </c>
      <c r="K96" s="51" t="n">
        <v>0</v>
      </c>
      <c r="L96" s="49" t="n">
        <v>1</v>
      </c>
      <c r="M96" s="10" t="n">
        <v>4.453251987263699e-06</v>
      </c>
    </row>
    <row r="97" spans="1:18">
      <c r="A97" t="n">
        <v>86</v>
      </c>
      <c r="B97" s="49" t="n">
        <v>0</v>
      </c>
      <c r="C97" s="49" t="n">
        <v>0</v>
      </c>
      <c r="D97" s="49" t="n">
        <v>0</v>
      </c>
      <c r="E97" s="49" t="n">
        <v>0</v>
      </c>
      <c r="F97" s="10" t="n">
        <v>0</v>
      </c>
      <c r="H97" s="11" t="n">
        <v>86</v>
      </c>
      <c r="I97" s="51" t="n">
        <v>0</v>
      </c>
      <c r="J97" s="51" t="n">
        <v>0</v>
      </c>
      <c r="K97" s="51" t="n">
        <v>0</v>
      </c>
      <c r="L97" s="49" t="n">
        <v>0</v>
      </c>
      <c r="M97" s="10" t="n">
        <v>0</v>
      </c>
    </row>
    <row r="98" spans="1:18">
      <c r="A98" t="n">
        <v>87</v>
      </c>
      <c r="B98" s="49" t="n">
        <v>0</v>
      </c>
      <c r="C98" s="49" t="n">
        <v>0</v>
      </c>
      <c r="D98" s="49" t="n">
        <v>0</v>
      </c>
      <c r="E98" s="49" t="n">
        <v>0</v>
      </c>
      <c r="F98" s="10" t="n">
        <v>0</v>
      </c>
      <c r="H98" s="11" t="n">
        <v>87</v>
      </c>
      <c r="I98" s="51" t="n">
        <v>0</v>
      </c>
      <c r="J98" s="51" t="n">
        <v>0</v>
      </c>
      <c r="K98" s="51" t="n">
        <v>0</v>
      </c>
      <c r="L98" s="49" t="n">
        <v>0</v>
      </c>
      <c r="M98" s="10" t="n">
        <v>0</v>
      </c>
    </row>
    <row r="99" spans="1:18">
      <c r="A99" t="n">
        <v>88</v>
      </c>
      <c r="B99" s="49" t="n">
        <v>0</v>
      </c>
      <c r="C99" s="49" t="n">
        <v>0</v>
      </c>
      <c r="D99" s="49" t="n">
        <v>0</v>
      </c>
      <c r="E99" s="49" t="n">
        <v>0</v>
      </c>
      <c r="F99" s="10" t="n">
        <v>0</v>
      </c>
      <c r="H99" s="11" t="n">
        <v>88</v>
      </c>
      <c r="I99" s="51" t="n">
        <v>0</v>
      </c>
      <c r="J99" s="51" t="n">
        <v>0</v>
      </c>
      <c r="K99" s="51" t="n">
        <v>0</v>
      </c>
      <c r="L99" s="49" t="n">
        <v>0</v>
      </c>
      <c r="M99" s="10" t="n">
        <v>0</v>
      </c>
    </row>
    <row r="100" spans="1:18">
      <c r="A100" t="n">
        <v>89</v>
      </c>
      <c r="B100" s="49" t="n">
        <v>0</v>
      </c>
      <c r="C100" s="49" t="n">
        <v>0</v>
      </c>
      <c r="D100" s="49" t="n">
        <v>0</v>
      </c>
      <c r="E100" s="49" t="n">
        <v>0</v>
      </c>
      <c r="F100" s="10" t="n">
        <v>0</v>
      </c>
      <c r="H100" s="11" t="n">
        <v>89</v>
      </c>
      <c r="I100" s="51" t="n">
        <v>0</v>
      </c>
      <c r="J100" s="51" t="n">
        <v>0</v>
      </c>
      <c r="K100" s="51" t="n">
        <v>0</v>
      </c>
      <c r="L100" s="49" t="n">
        <v>0</v>
      </c>
      <c r="M100" s="10" t="n">
        <v>0</v>
      </c>
    </row>
    <row customHeight="1" ht="15.75" r="101" s="52" spans="1:18">
      <c r="A101" s="1" t="n">
        <v>90</v>
      </c>
      <c r="B101" s="50" t="n">
        <v>0</v>
      </c>
      <c r="C101" s="50" t="n">
        <v>0</v>
      </c>
      <c r="D101" s="50" t="n">
        <v>0</v>
      </c>
      <c r="E101" s="50" t="n">
        <v>0</v>
      </c>
      <c r="F101" s="10" t="n">
        <v>0</v>
      </c>
      <c r="H101" s="12" t="n">
        <v>90</v>
      </c>
      <c r="I101" s="50" t="n">
        <v>1</v>
      </c>
      <c r="J101" s="50" t="n">
        <v>0</v>
      </c>
      <c r="K101" s="50" t="n">
        <v>0</v>
      </c>
      <c r="L101" s="50" t="n">
        <v>1</v>
      </c>
      <c r="M101" s="10" t="n">
        <v>4.453251987263699e-06</v>
      </c>
    </row>
    <row r="102" spans="1:18">
      <c r="B102" s="49" t="n"/>
      <c r="C102" s="49" t="n"/>
      <c r="D102" s="49" t="n"/>
      <c r="E102" s="49" t="n">
        <v>184043.1653974242</v>
      </c>
      <c r="F102" s="10" t="n">
        <v>1</v>
      </c>
      <c r="I102" s="49" t="n"/>
      <c r="J102" s="49" t="n"/>
      <c r="K102" s="49" t="n"/>
      <c r="L102" s="49" t="n">
        <v>224555</v>
      </c>
      <c r="M102" s="10" t="n">
        <v>1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R102"/>
  <sheetViews>
    <sheetView workbookViewId="0">
      <selection activeCell="D34" sqref="D34"/>
    </sheetView>
  </sheetViews>
  <sheetFormatPr baseColWidth="10" defaultRowHeight="15" outlineLevelCol="0"/>
  <cols>
    <col collapsed="1" customWidth="1" max="1" min="1" style="52" width="13.5703125"/>
    <col collapsed="1" customWidth="1" max="2" min="2" style="52" width="10.5703125"/>
    <col collapsed="1" customWidth="1" max="4" min="3" style="52" width="9.28515625"/>
    <col collapsed="1" customWidth="1" max="5" min="5" style="52" width="10.5703125"/>
    <col collapsed="1" customWidth="1" max="9" min="9" style="52" width="10.5703125"/>
    <col collapsed="1" customWidth="1" max="11" min="10" style="52" width="9.5703125"/>
    <col collapsed="1" customWidth="1" max="12" min="12" style="52" width="10.5703125"/>
  </cols>
  <sheetData>
    <row r="1" spans="1:18">
      <c r="A1" t="s">
        <v>0</v>
      </c>
    </row>
    <row r="2" spans="1:18">
      <c r="A2" t="s">
        <v>1</v>
      </c>
    </row>
    <row r="3" spans="1:18">
      <c r="A3" t="s">
        <v>2</v>
      </c>
    </row>
    <row r="4" spans="1:18">
      <c r="A4" t="s">
        <v>3</v>
      </c>
    </row>
    <row r="5" spans="1:18">
      <c r="A5" t="s">
        <v>4</v>
      </c>
    </row>
    <row r="7" spans="1:18">
      <c r="A7" t="s">
        <v>5</v>
      </c>
    </row>
    <row customHeight="1" ht="15.75" r="9" s="52" spans="1:18">
      <c r="A9" s="3" t="s">
        <v>6</v>
      </c>
      <c r="B9" s="1" t="n"/>
      <c r="C9" s="1" t="n"/>
      <c r="D9" s="1" t="n"/>
      <c r="E9" s="1" t="n"/>
      <c r="F9" s="1" t="n"/>
      <c r="H9" s="3" t="s">
        <v>7</v>
      </c>
      <c r="I9" s="1" t="n"/>
      <c r="J9" s="1" t="n"/>
      <c r="K9" s="1" t="n"/>
      <c r="L9" s="1" t="n"/>
      <c r="M9" s="1" t="n"/>
      <c r="P9" s="7" t="s">
        <v>20</v>
      </c>
    </row>
    <row r="10" spans="1:18">
      <c r="A10" s="2" t="s">
        <v>9</v>
      </c>
      <c r="B10" s="17" t="s">
        <v>10</v>
      </c>
      <c r="C10" s="17" t="s">
        <v>11</v>
      </c>
      <c r="D10" s="17" t="s">
        <v>12</v>
      </c>
      <c r="E10" s="17" t="s">
        <v>13</v>
      </c>
      <c r="F10" s="9" t="s">
        <v>14</v>
      </c>
      <c r="H10" s="2" t="s">
        <v>9</v>
      </c>
      <c r="I10" s="17" t="s">
        <v>10</v>
      </c>
      <c r="J10" s="17" t="s">
        <v>11</v>
      </c>
      <c r="K10" s="17" t="s">
        <v>12</v>
      </c>
      <c r="L10" s="17" t="s">
        <v>13</v>
      </c>
      <c r="M10" s="9" t="s">
        <v>21</v>
      </c>
      <c r="P10" s="2" t="n"/>
      <c r="Q10" s="17" t="s">
        <v>14</v>
      </c>
      <c r="R10" s="17" t="s">
        <v>21</v>
      </c>
    </row>
    <row r="11" spans="1:18">
      <c r="A11" t="n">
        <v>0</v>
      </c>
      <c r="B11" s="49" t="n">
        <v>8173.3818460509</v>
      </c>
      <c r="C11" s="49" t="n">
        <v>38.3193439039</v>
      </c>
      <c r="D11" s="49" t="n">
        <v>0</v>
      </c>
      <c r="E11" s="49" t="n">
        <v>8211.7011899548</v>
      </c>
      <c r="F11" s="10" t="n">
        <v>0.3672087235650184</v>
      </c>
      <c r="H11" s="11" t="n">
        <v>0</v>
      </c>
      <c r="I11" s="51" t="n">
        <v>25030</v>
      </c>
      <c r="J11" s="51" t="n">
        <v>2153</v>
      </c>
      <c r="K11" s="51" t="n">
        <v>2226</v>
      </c>
      <c r="L11" s="49" t="n">
        <v>29409</v>
      </c>
      <c r="M11" s="10" t="n">
        <v>0.3661661437322576</v>
      </c>
      <c r="P11" t="s">
        <v>10</v>
      </c>
      <c r="Q11" s="5" t="n">
        <v>4.541569439734806</v>
      </c>
      <c r="R11" s="5" t="n">
        <v>5.166773101700607</v>
      </c>
    </row>
    <row r="12" spans="1:18">
      <c r="A12" t="n">
        <v>1</v>
      </c>
      <c r="B12" s="49" t="n">
        <v>3222.796531946</v>
      </c>
      <c r="C12" s="49" t="n">
        <v>282.581394172</v>
      </c>
      <c r="D12" s="49" t="n">
        <v>0</v>
      </c>
      <c r="E12" s="49" t="n">
        <v>3505.377926118</v>
      </c>
      <c r="F12" s="10" t="n">
        <v>0.1567525807487239</v>
      </c>
      <c r="H12" s="11" t="n">
        <v>1</v>
      </c>
      <c r="I12" s="51" t="n">
        <v>7386</v>
      </c>
      <c r="J12" s="51" t="n">
        <v>768</v>
      </c>
      <c r="K12" s="51" t="n">
        <v>694</v>
      </c>
      <c r="L12" s="49" t="n">
        <v>8848</v>
      </c>
      <c r="M12" s="10" t="n">
        <v>0.1101648488470541</v>
      </c>
      <c r="P12" t="s">
        <v>11</v>
      </c>
      <c r="Q12" s="5" t="n">
        <v>1.481210467458019</v>
      </c>
      <c r="R12" s="5" t="n">
        <v>5.161296274773169</v>
      </c>
    </row>
    <row r="13" spans="1:18">
      <c r="A13" t="n">
        <v>2</v>
      </c>
      <c r="B13" s="49" t="n">
        <v>1160.6349405275</v>
      </c>
      <c r="C13" s="49" t="n">
        <v>371.518941673</v>
      </c>
      <c r="D13" s="49" t="n">
        <v>0</v>
      </c>
      <c r="E13" s="49" t="n">
        <v>1532.1538822005</v>
      </c>
      <c r="F13" s="10" t="n">
        <v>0.06851445983887904</v>
      </c>
      <c r="H13" s="11" t="n">
        <v>2</v>
      </c>
      <c r="I13" s="51" t="n">
        <v>4487</v>
      </c>
      <c r="J13" s="51" t="n">
        <v>489</v>
      </c>
      <c r="K13" s="51" t="n">
        <v>452</v>
      </c>
      <c r="L13" s="49" t="n">
        <v>5428</v>
      </c>
      <c r="M13" s="10" t="n">
        <v>0.06758304696449026</v>
      </c>
      <c r="P13" s="4" t="s">
        <v>12</v>
      </c>
      <c r="Q13" s="8" t="n">
        <v>0</v>
      </c>
      <c r="R13" s="8" t="n">
        <v>4.898173723687449</v>
      </c>
    </row>
    <row customHeight="1" ht="15.75" r="14" s="52" spans="1:18">
      <c r="A14" t="n">
        <v>3</v>
      </c>
      <c r="B14" s="49" t="n">
        <v>1498.7073236924</v>
      </c>
      <c r="C14" s="49" t="n">
        <v>0</v>
      </c>
      <c r="D14" s="49" t="n">
        <v>0</v>
      </c>
      <c r="E14" s="49" t="n">
        <v>1498.7073236924</v>
      </c>
      <c r="F14" s="10" t="n">
        <v>0.06701880531208911</v>
      </c>
      <c r="H14" s="11" t="n">
        <v>3</v>
      </c>
      <c r="I14" s="51" t="n">
        <v>2845</v>
      </c>
      <c r="J14" s="51" t="n">
        <v>356</v>
      </c>
      <c r="K14" s="51" t="n">
        <v>332</v>
      </c>
      <c r="L14" s="49" t="n">
        <v>3533</v>
      </c>
      <c r="M14" s="10" t="n">
        <v>0.04398874445938543</v>
      </c>
      <c r="P14" s="1" t="s">
        <v>13</v>
      </c>
      <c r="Q14" s="6" t="n">
        <v>4.446810187257477</v>
      </c>
      <c r="R14" s="6" t="n">
        <v>5.144773508876836</v>
      </c>
    </row>
    <row r="15" spans="1:18">
      <c r="A15" t="n">
        <v>4</v>
      </c>
      <c r="B15" s="49" t="n">
        <v>912.4050225668</v>
      </c>
      <c r="C15" s="49" t="n">
        <v>0</v>
      </c>
      <c r="D15" s="49" t="n">
        <v>0</v>
      </c>
      <c r="E15" s="49" t="n">
        <v>912.4050225668</v>
      </c>
      <c r="F15" s="10" t="n">
        <v>0.04080069110660256</v>
      </c>
      <c r="H15" s="11" t="n">
        <v>4</v>
      </c>
      <c r="I15" s="51" t="n">
        <v>5520</v>
      </c>
      <c r="J15" s="51" t="n">
        <v>580</v>
      </c>
      <c r="K15" s="51" t="n">
        <v>614</v>
      </c>
      <c r="L15" s="49" t="n">
        <v>6714</v>
      </c>
      <c r="M15" s="10" t="n">
        <v>0.08359480053787539</v>
      </c>
    </row>
    <row r="16" spans="1:18">
      <c r="A16" t="n">
        <v>5</v>
      </c>
      <c r="B16" s="49" t="n">
        <v>1696.329204124</v>
      </c>
      <c r="C16" s="49" t="n">
        <v>0</v>
      </c>
      <c r="D16" s="49" t="n">
        <v>0</v>
      </c>
      <c r="E16" s="49" t="n">
        <v>1696.329204124</v>
      </c>
      <c r="F16" s="10" t="n">
        <v>0.0758560092949347</v>
      </c>
      <c r="H16" s="11" t="n">
        <v>5</v>
      </c>
      <c r="I16" s="51" t="n">
        <v>3715</v>
      </c>
      <c r="J16" s="51" t="n">
        <v>396</v>
      </c>
      <c r="K16" s="51" t="n">
        <v>395</v>
      </c>
      <c r="L16" s="49" t="n">
        <v>4506</v>
      </c>
      <c r="M16" s="10" t="n">
        <v>0.05610339160316749</v>
      </c>
    </row>
    <row r="17" spans="1:18">
      <c r="A17" t="n">
        <v>6</v>
      </c>
      <c r="B17" s="49" t="n">
        <v>578.830834063</v>
      </c>
      <c r="C17" s="49" t="n">
        <v>0</v>
      </c>
      <c r="D17" s="49" t="n">
        <v>0</v>
      </c>
      <c r="E17" s="49" t="n">
        <v>578.830834063</v>
      </c>
      <c r="F17" s="10" t="n">
        <v>0.02588400707959993</v>
      </c>
      <c r="H17" s="11" t="n">
        <v>6</v>
      </c>
      <c r="I17" s="51" t="n">
        <v>2862</v>
      </c>
      <c r="J17" s="51" t="n">
        <v>311</v>
      </c>
      <c r="K17" s="51" t="n">
        <v>322</v>
      </c>
      <c r="L17" s="49" t="n">
        <v>3495</v>
      </c>
      <c r="M17" s="10" t="n">
        <v>0.04351561332735694</v>
      </c>
    </row>
    <row r="18" spans="1:18">
      <c r="A18" t="n">
        <v>7</v>
      </c>
      <c r="B18" s="49" t="n">
        <v>0</v>
      </c>
      <c r="C18" s="49" t="n">
        <v>0</v>
      </c>
      <c r="D18" s="49" t="n">
        <v>0</v>
      </c>
      <c r="E18" s="49" t="n">
        <v>0</v>
      </c>
      <c r="F18" s="10" t="n">
        <v>0</v>
      </c>
      <c r="H18" s="11" t="n">
        <v>7</v>
      </c>
      <c r="I18" s="51" t="n">
        <v>1702</v>
      </c>
      <c r="J18" s="51" t="n">
        <v>200</v>
      </c>
      <c r="K18" s="51" t="n">
        <v>179</v>
      </c>
      <c r="L18" s="49" t="n">
        <v>2081</v>
      </c>
      <c r="M18" s="10" t="n">
        <v>0.02591015488819164</v>
      </c>
    </row>
    <row r="19" spans="1:18">
      <c r="A19" t="n">
        <v>8</v>
      </c>
      <c r="B19" s="49" t="n">
        <v>0</v>
      </c>
      <c r="C19" s="49" t="n">
        <v>0</v>
      </c>
      <c r="D19" s="49" t="n">
        <v>0</v>
      </c>
      <c r="E19" s="49" t="n">
        <v>0</v>
      </c>
      <c r="F19" s="10" t="n">
        <v>0</v>
      </c>
      <c r="H19" s="11" t="n">
        <v>8</v>
      </c>
      <c r="I19" s="51" t="n">
        <v>1582</v>
      </c>
      <c r="J19" s="51" t="n">
        <v>181</v>
      </c>
      <c r="K19" s="51" t="n">
        <v>169</v>
      </c>
      <c r="L19" s="49" t="n">
        <v>1932</v>
      </c>
      <c r="M19" s="10" t="n">
        <v>0.02405498281786942</v>
      </c>
    </row>
    <row r="20" spans="1:18">
      <c r="A20" t="n">
        <v>9</v>
      </c>
      <c r="B20" s="49" t="n">
        <v>344.737652501</v>
      </c>
      <c r="C20" s="49" t="n">
        <v>0</v>
      </c>
      <c r="D20" s="49" t="n">
        <v>0</v>
      </c>
      <c r="E20" s="49" t="n">
        <v>344.737652501</v>
      </c>
      <c r="F20" s="10" t="n">
        <v>0.01541588891404729</v>
      </c>
      <c r="H20" s="11" t="n">
        <v>9</v>
      </c>
      <c r="I20" s="51" t="n">
        <v>1057</v>
      </c>
      <c r="J20" s="51" t="n">
        <v>114</v>
      </c>
      <c r="K20" s="51" t="n">
        <v>108</v>
      </c>
      <c r="L20" s="49" t="n">
        <v>1279</v>
      </c>
      <c r="M20" s="10" t="n">
        <v>0.01592459783853778</v>
      </c>
    </row>
    <row r="21" spans="1:18">
      <c r="A21" t="n">
        <v>10</v>
      </c>
      <c r="B21" s="49" t="n">
        <v>134.8705071</v>
      </c>
      <c r="C21" s="49" t="n">
        <v>0</v>
      </c>
      <c r="D21" s="49" t="n">
        <v>0</v>
      </c>
      <c r="E21" s="49" t="n">
        <v>134.8705071</v>
      </c>
      <c r="F21" s="10" t="n">
        <v>0.006031104348918761</v>
      </c>
      <c r="H21" s="11" t="n">
        <v>10</v>
      </c>
      <c r="I21" s="51" t="n">
        <v>871</v>
      </c>
      <c r="J21" s="51" t="n">
        <v>87</v>
      </c>
      <c r="K21" s="51" t="n">
        <v>95</v>
      </c>
      <c r="L21" s="49" t="n">
        <v>1053</v>
      </c>
      <c r="M21" s="10" t="n">
        <v>0.01311071268489467</v>
      </c>
    </row>
    <row r="22" spans="1:18">
      <c r="A22" t="n">
        <v>11</v>
      </c>
      <c r="B22" s="49" t="n">
        <v>0</v>
      </c>
      <c r="C22" s="49" t="n">
        <v>0</v>
      </c>
      <c r="D22" s="49" t="n">
        <v>0</v>
      </c>
      <c r="E22" s="49" t="n">
        <v>0</v>
      </c>
      <c r="F22" s="10" t="n">
        <v>0</v>
      </c>
      <c r="H22" s="11" t="n">
        <v>11</v>
      </c>
      <c r="I22" s="51" t="n">
        <v>987</v>
      </c>
      <c r="J22" s="51" t="n">
        <v>106</v>
      </c>
      <c r="K22" s="51" t="n">
        <v>85</v>
      </c>
      <c r="L22" s="49" t="n">
        <v>1178</v>
      </c>
      <c r="M22" s="10" t="n">
        <v>0.01466706509288311</v>
      </c>
    </row>
    <row r="23" spans="1:18">
      <c r="A23" t="n">
        <v>12</v>
      </c>
      <c r="B23" s="49" t="n">
        <v>0</v>
      </c>
      <c r="C23" s="49" t="n">
        <v>0</v>
      </c>
      <c r="D23" s="49" t="n">
        <v>0</v>
      </c>
      <c r="E23" s="49" t="n">
        <v>0</v>
      </c>
      <c r="F23" s="10" t="n">
        <v>0</v>
      </c>
      <c r="H23" s="11" t="n">
        <v>12</v>
      </c>
      <c r="I23" s="51" t="n">
        <v>1028</v>
      </c>
      <c r="J23" s="51" t="n">
        <v>93</v>
      </c>
      <c r="K23" s="51" t="n">
        <v>93</v>
      </c>
      <c r="L23" s="49" t="n">
        <v>1214</v>
      </c>
      <c r="M23" s="10" t="n">
        <v>0.01511529458638378</v>
      </c>
    </row>
    <row r="24" spans="1:18">
      <c r="A24" t="n">
        <v>13</v>
      </c>
      <c r="B24" s="49" t="n">
        <v>1345.57431748</v>
      </c>
      <c r="C24" s="49" t="n">
        <v>0</v>
      </c>
      <c r="D24" s="49" t="n">
        <v>0</v>
      </c>
      <c r="E24" s="49" t="n">
        <v>1345.57431748</v>
      </c>
      <c r="F24" s="10" t="n">
        <v>0.06017104326544807</v>
      </c>
      <c r="H24" s="11" t="n">
        <v>13</v>
      </c>
      <c r="I24" s="51" t="n">
        <v>890</v>
      </c>
      <c r="J24" s="51" t="n">
        <v>87</v>
      </c>
      <c r="K24" s="51" t="n">
        <v>100</v>
      </c>
      <c r="L24" s="49" t="n">
        <v>1077</v>
      </c>
      <c r="M24" s="10" t="n">
        <v>0.01340953234722845</v>
      </c>
    </row>
    <row r="25" spans="1:18">
      <c r="A25" t="n">
        <v>14</v>
      </c>
      <c r="B25" s="49" t="n">
        <v>377.413565254</v>
      </c>
      <c r="C25" s="49" t="n">
        <v>0</v>
      </c>
      <c r="D25" s="49" t="n">
        <v>0</v>
      </c>
      <c r="E25" s="49" t="n">
        <v>377.413565254</v>
      </c>
      <c r="F25" s="10" t="n">
        <v>0.01687708190387855</v>
      </c>
      <c r="H25" s="11" t="n">
        <v>14</v>
      </c>
      <c r="I25" s="51" t="n">
        <v>764</v>
      </c>
      <c r="J25" s="51" t="n">
        <v>82</v>
      </c>
      <c r="K25" s="51" t="n">
        <v>65</v>
      </c>
      <c r="L25" s="49" t="n">
        <v>911</v>
      </c>
      <c r="M25" s="10" t="n">
        <v>0.01134269634941979</v>
      </c>
    </row>
    <row r="26" spans="1:18">
      <c r="A26" t="n">
        <v>15</v>
      </c>
      <c r="B26" s="49" t="n">
        <v>0</v>
      </c>
      <c r="C26" s="49" t="n">
        <v>0</v>
      </c>
      <c r="D26" s="49" t="n">
        <v>0</v>
      </c>
      <c r="E26" s="49" t="n">
        <v>0</v>
      </c>
      <c r="F26" s="10" t="n">
        <v>0</v>
      </c>
      <c r="H26" s="11" t="n">
        <v>15</v>
      </c>
      <c r="I26" s="51" t="n">
        <v>774</v>
      </c>
      <c r="J26" s="51" t="n">
        <v>76</v>
      </c>
      <c r="K26" s="51" t="n">
        <v>75</v>
      </c>
      <c r="L26" s="49" t="n">
        <v>925</v>
      </c>
      <c r="M26" s="10" t="n">
        <v>0.0115170078191145</v>
      </c>
    </row>
    <row r="27" spans="1:18">
      <c r="A27" t="n">
        <v>16</v>
      </c>
      <c r="B27" s="49" t="n">
        <v>0</v>
      </c>
      <c r="C27" s="49" t="n">
        <v>0</v>
      </c>
      <c r="D27" s="49" t="n">
        <v>0</v>
      </c>
      <c r="E27" s="49" t="n">
        <v>0</v>
      </c>
      <c r="F27" s="10" t="n">
        <v>0</v>
      </c>
      <c r="H27" s="11" t="n">
        <v>16</v>
      </c>
      <c r="I27" s="51" t="n">
        <v>764</v>
      </c>
      <c r="J27" s="51" t="n">
        <v>74</v>
      </c>
      <c r="K27" s="51" t="n">
        <v>67</v>
      </c>
      <c r="L27" s="49" t="n">
        <v>905</v>
      </c>
      <c r="M27" s="10" t="n">
        <v>0.01126799143383635</v>
      </c>
    </row>
    <row r="28" spans="1:18">
      <c r="A28" t="n">
        <v>17</v>
      </c>
      <c r="B28" s="49" t="n">
        <v>0</v>
      </c>
      <c r="C28" s="49" t="n">
        <v>0</v>
      </c>
      <c r="D28" s="49" t="n">
        <v>0</v>
      </c>
      <c r="E28" s="49" t="n">
        <v>0</v>
      </c>
      <c r="F28" s="10" t="n">
        <v>0</v>
      </c>
      <c r="H28" s="11" t="n">
        <v>17</v>
      </c>
      <c r="I28" s="51" t="n">
        <v>621</v>
      </c>
      <c r="J28" s="51" t="n">
        <v>53</v>
      </c>
      <c r="K28" s="51" t="n">
        <v>47</v>
      </c>
      <c r="L28" s="49" t="n">
        <v>721</v>
      </c>
      <c r="M28" s="10" t="n">
        <v>0.008977040689277354</v>
      </c>
    </row>
    <row r="29" spans="1:18">
      <c r="A29" t="n">
        <v>18</v>
      </c>
      <c r="B29" s="49" t="n">
        <v>0</v>
      </c>
      <c r="C29" s="49" t="n">
        <v>0</v>
      </c>
      <c r="D29" s="49" t="n">
        <v>0</v>
      </c>
      <c r="E29" s="49" t="n">
        <v>0</v>
      </c>
      <c r="F29" s="10" t="n">
        <v>0</v>
      </c>
      <c r="H29" s="11" t="n">
        <v>18</v>
      </c>
      <c r="I29" s="51" t="n">
        <v>525</v>
      </c>
      <c r="J29" s="51" t="n">
        <v>62</v>
      </c>
      <c r="K29" s="51" t="n">
        <v>46</v>
      </c>
      <c r="L29" s="49" t="n">
        <v>633</v>
      </c>
      <c r="M29" s="10" t="n">
        <v>0.007881368594053488</v>
      </c>
    </row>
    <row r="30" spans="1:18">
      <c r="A30" t="n">
        <v>19</v>
      </c>
      <c r="B30" s="49" t="n">
        <v>1130.816204074</v>
      </c>
      <c r="C30" s="49" t="n">
        <v>0</v>
      </c>
      <c r="D30" s="49" t="n">
        <v>0</v>
      </c>
      <c r="E30" s="49" t="n">
        <v>1130.816204074</v>
      </c>
      <c r="F30" s="10" t="n">
        <v>0.05056754566186773</v>
      </c>
      <c r="H30" s="11" t="n">
        <v>19</v>
      </c>
      <c r="I30" s="51" t="n">
        <v>466</v>
      </c>
      <c r="J30" s="51" t="n">
        <v>36</v>
      </c>
      <c r="K30" s="51" t="n">
        <v>40</v>
      </c>
      <c r="L30" s="49" t="n">
        <v>542</v>
      </c>
      <c r="M30" s="10" t="n">
        <v>0.0067483440410379</v>
      </c>
    </row>
    <row r="31" spans="1:18">
      <c r="A31" t="n">
        <v>20</v>
      </c>
      <c r="B31" s="49" t="n">
        <v>0</v>
      </c>
      <c r="C31" s="49" t="n">
        <v>0</v>
      </c>
      <c r="D31" s="49" t="n">
        <v>0</v>
      </c>
      <c r="E31" s="49" t="n">
        <v>0</v>
      </c>
      <c r="F31" s="10" t="n">
        <v>0</v>
      </c>
      <c r="H31" s="11" t="n">
        <v>20</v>
      </c>
      <c r="I31" s="51" t="n">
        <v>458</v>
      </c>
      <c r="J31" s="51" t="n">
        <v>35</v>
      </c>
      <c r="K31" s="51" t="n">
        <v>41</v>
      </c>
      <c r="L31" s="49" t="n">
        <v>534</v>
      </c>
      <c r="M31" s="10" t="n">
        <v>0.00664873748692664</v>
      </c>
    </row>
    <row r="32" spans="1:18">
      <c r="A32" t="n">
        <v>21</v>
      </c>
      <c r="B32" s="49" t="n">
        <v>0</v>
      </c>
      <c r="C32" s="49" t="n">
        <v>0</v>
      </c>
      <c r="D32" s="49" t="n">
        <v>0</v>
      </c>
      <c r="E32" s="49" t="n">
        <v>0</v>
      </c>
      <c r="F32" s="10" t="n">
        <v>0</v>
      </c>
      <c r="H32" s="11" t="n">
        <v>21</v>
      </c>
      <c r="I32" s="51" t="n">
        <v>315</v>
      </c>
      <c r="J32" s="51" t="n">
        <v>28</v>
      </c>
      <c r="K32" s="51" t="n">
        <v>32</v>
      </c>
      <c r="L32" s="49" t="n">
        <v>375</v>
      </c>
      <c r="M32" s="10" t="n">
        <v>0.004669057223965337</v>
      </c>
    </row>
    <row r="33" spans="1:18">
      <c r="A33" t="n">
        <v>22</v>
      </c>
      <c r="B33" s="49" t="n">
        <v>1093.57177535</v>
      </c>
      <c r="C33" s="49" t="n">
        <v>0</v>
      </c>
      <c r="D33" s="49" t="n">
        <v>0</v>
      </c>
      <c r="E33" s="49" t="n">
        <v>1093.57177535</v>
      </c>
      <c r="F33" s="10" t="n">
        <v>0.04890205895999183</v>
      </c>
      <c r="H33" s="11" t="n">
        <v>22</v>
      </c>
      <c r="I33" s="51" t="n">
        <v>363</v>
      </c>
      <c r="J33" s="51" t="n">
        <v>21</v>
      </c>
      <c r="K33" s="51" t="n">
        <v>29</v>
      </c>
      <c r="L33" s="49" t="n">
        <v>413</v>
      </c>
      <c r="M33" s="10" t="n">
        <v>0.005142188355993824</v>
      </c>
    </row>
    <row r="34" spans="1:18">
      <c r="A34" t="n">
        <v>23</v>
      </c>
      <c r="B34" s="49" t="n">
        <v>0</v>
      </c>
      <c r="C34" s="49" t="n">
        <v>0</v>
      </c>
      <c r="D34" s="49" t="n">
        <v>0</v>
      </c>
      <c r="E34" s="49" t="n">
        <v>0</v>
      </c>
      <c r="F34" s="10" t="n">
        <v>0</v>
      </c>
      <c r="H34" s="11" t="n">
        <v>23</v>
      </c>
      <c r="I34" s="51" t="n">
        <v>302</v>
      </c>
      <c r="J34" s="51" t="n">
        <v>35</v>
      </c>
      <c r="K34" s="51" t="n">
        <v>16</v>
      </c>
      <c r="L34" s="49" t="n">
        <v>353</v>
      </c>
      <c r="M34" s="10" t="n">
        <v>0.00439513920015937</v>
      </c>
    </row>
    <row r="35" spans="1:18">
      <c r="A35" t="n">
        <v>24</v>
      </c>
      <c r="B35" s="49" t="n">
        <v>0</v>
      </c>
      <c r="C35" s="49" t="n">
        <v>0</v>
      </c>
      <c r="D35" s="49" t="n">
        <v>0</v>
      </c>
      <c r="E35" s="49" t="n">
        <v>0</v>
      </c>
      <c r="F35" s="10" t="n">
        <v>0</v>
      </c>
      <c r="H35" s="11" t="n">
        <v>24</v>
      </c>
      <c r="I35" s="51" t="n">
        <v>216</v>
      </c>
      <c r="J35" s="51" t="n">
        <v>23</v>
      </c>
      <c r="K35" s="51" t="n">
        <v>16</v>
      </c>
      <c r="L35" s="49" t="n">
        <v>255</v>
      </c>
      <c r="M35" s="10" t="n">
        <v>0.003174958912296429</v>
      </c>
    </row>
    <row r="36" spans="1:18">
      <c r="A36" t="n">
        <v>25</v>
      </c>
      <c r="B36" s="49" t="n">
        <v>0</v>
      </c>
      <c r="C36" s="49" t="n">
        <v>0</v>
      </c>
      <c r="D36" s="49" t="n">
        <v>0</v>
      </c>
      <c r="E36" s="49" t="n">
        <v>0</v>
      </c>
      <c r="F36" s="10" t="n">
        <v>0</v>
      </c>
      <c r="H36" s="11" t="n">
        <v>25</v>
      </c>
      <c r="I36" s="51" t="n">
        <v>197</v>
      </c>
      <c r="J36" s="51" t="n">
        <v>14</v>
      </c>
      <c r="K36" s="51" t="n">
        <v>12</v>
      </c>
      <c r="L36" s="49" t="n">
        <v>223</v>
      </c>
      <c r="M36" s="10" t="n">
        <v>0.002776532695851387</v>
      </c>
    </row>
    <row r="37" spans="1:18">
      <c r="A37" t="n">
        <v>26</v>
      </c>
      <c r="B37" s="49" t="n">
        <v>0</v>
      </c>
      <c r="C37" s="49" t="n">
        <v>0</v>
      </c>
      <c r="D37" s="49" t="n">
        <v>0</v>
      </c>
      <c r="E37" s="49" t="n">
        <v>0</v>
      </c>
      <c r="F37" s="10" t="n">
        <v>0</v>
      </c>
      <c r="H37" s="11" t="n">
        <v>26</v>
      </c>
      <c r="I37" s="51" t="n">
        <v>169</v>
      </c>
      <c r="J37" s="51" t="n">
        <v>11</v>
      </c>
      <c r="K37" s="51" t="n">
        <v>13</v>
      </c>
      <c r="L37" s="49" t="n">
        <v>193</v>
      </c>
      <c r="M37" s="10" t="n">
        <v>0.00240300811793416</v>
      </c>
    </row>
    <row r="38" spans="1:18">
      <c r="A38" t="n">
        <v>27</v>
      </c>
      <c r="B38" s="49" t="n">
        <v>0</v>
      </c>
      <c r="C38" s="49" t="n">
        <v>0</v>
      </c>
      <c r="D38" s="49" t="n">
        <v>0</v>
      </c>
      <c r="E38" s="49" t="n">
        <v>0</v>
      </c>
      <c r="F38" s="10" t="n">
        <v>0</v>
      </c>
      <c r="H38" s="11" t="n">
        <v>27</v>
      </c>
      <c r="I38" s="51" t="n">
        <v>123</v>
      </c>
      <c r="J38" s="51" t="n">
        <v>16</v>
      </c>
      <c r="K38" s="51" t="n">
        <v>5</v>
      </c>
      <c r="L38" s="49" t="n">
        <v>144</v>
      </c>
      <c r="M38" s="10" t="n">
        <v>0.001792917974002689</v>
      </c>
    </row>
    <row r="39" spans="1:18">
      <c r="A39" t="n">
        <v>28</v>
      </c>
      <c r="B39" s="49" t="n">
        <v>0</v>
      </c>
      <c r="C39" s="49" t="n">
        <v>0</v>
      </c>
      <c r="D39" s="49" t="n">
        <v>0</v>
      </c>
      <c r="E39" s="49" t="n">
        <v>0</v>
      </c>
      <c r="F39" s="10" t="n">
        <v>0</v>
      </c>
      <c r="H39" s="11" t="n">
        <v>28</v>
      </c>
      <c r="I39" s="51" t="n">
        <v>127</v>
      </c>
      <c r="J39" s="51" t="n">
        <v>9</v>
      </c>
      <c r="K39" s="51" t="n">
        <v>9</v>
      </c>
      <c r="L39" s="49" t="n">
        <v>145</v>
      </c>
      <c r="M39" s="10" t="n">
        <v>0.001805368793266597</v>
      </c>
    </row>
    <row r="40" spans="1:18">
      <c r="A40" t="n">
        <v>29</v>
      </c>
      <c r="B40" s="49" t="n">
        <v>0</v>
      </c>
      <c r="C40" s="49" t="n">
        <v>0</v>
      </c>
      <c r="D40" s="49" t="n">
        <v>0</v>
      </c>
      <c r="E40" s="49" t="n">
        <v>0</v>
      </c>
      <c r="F40" s="10" t="n">
        <v>0</v>
      </c>
      <c r="H40" s="11" t="n">
        <v>29</v>
      </c>
      <c r="I40" s="51" t="n">
        <v>144</v>
      </c>
      <c r="J40" s="51" t="n">
        <v>10</v>
      </c>
      <c r="K40" s="51" t="n">
        <v>12</v>
      </c>
      <c r="L40" s="49" t="n">
        <v>166</v>
      </c>
      <c r="M40" s="10" t="n">
        <v>0.002066835997808656</v>
      </c>
    </row>
    <row r="41" spans="1:18">
      <c r="A41" t="n">
        <v>30</v>
      </c>
      <c r="B41" s="49" t="n">
        <v>0</v>
      </c>
      <c r="C41" s="49" t="n">
        <v>0</v>
      </c>
      <c r="D41" s="49" t="n">
        <v>0</v>
      </c>
      <c r="E41" s="49" t="n">
        <v>0</v>
      </c>
      <c r="F41" s="10" t="n">
        <v>0</v>
      </c>
      <c r="H41" s="11" t="n">
        <v>30</v>
      </c>
      <c r="I41" s="51" t="n">
        <v>104</v>
      </c>
      <c r="J41" s="51" t="n">
        <v>8</v>
      </c>
      <c r="K41" s="51" t="n">
        <v>5</v>
      </c>
      <c r="L41" s="49" t="n">
        <v>117</v>
      </c>
      <c r="M41" s="10" t="n">
        <v>0.001456745853877185</v>
      </c>
    </row>
    <row r="42" spans="1:18">
      <c r="A42" t="n">
        <v>31</v>
      </c>
      <c r="B42" s="49" t="n">
        <v>0</v>
      </c>
      <c r="C42" s="49" t="n">
        <v>0</v>
      </c>
      <c r="D42" s="49" t="n">
        <v>0</v>
      </c>
      <c r="E42" s="49" t="n">
        <v>0</v>
      </c>
      <c r="F42" s="10" t="n">
        <v>0</v>
      </c>
      <c r="H42" s="11" t="n">
        <v>31</v>
      </c>
      <c r="I42" s="51" t="n">
        <v>87</v>
      </c>
      <c r="J42" s="51" t="n">
        <v>6</v>
      </c>
      <c r="K42" s="51" t="n">
        <v>4</v>
      </c>
      <c r="L42" s="49" t="n">
        <v>97</v>
      </c>
      <c r="M42" s="10" t="n">
        <v>0.001207729468599034</v>
      </c>
    </row>
    <row r="43" spans="1:18">
      <c r="A43" t="n">
        <v>32</v>
      </c>
      <c r="B43" s="49" t="n">
        <v>0</v>
      </c>
      <c r="C43" s="49" t="n">
        <v>0</v>
      </c>
      <c r="D43" s="49" t="n">
        <v>0</v>
      </c>
      <c r="E43" s="49" t="n">
        <v>0</v>
      </c>
      <c r="F43" s="10" t="n">
        <v>0</v>
      </c>
      <c r="H43" s="11" t="n">
        <v>32</v>
      </c>
      <c r="I43" s="51" t="n">
        <v>83</v>
      </c>
      <c r="J43" s="51" t="n">
        <v>10</v>
      </c>
      <c r="K43" s="51" t="n">
        <v>4</v>
      </c>
      <c r="L43" s="49" t="n">
        <v>97</v>
      </c>
      <c r="M43" s="10" t="n">
        <v>0.001207729468599034</v>
      </c>
    </row>
    <row r="44" spans="1:18">
      <c r="A44" t="n">
        <v>33</v>
      </c>
      <c r="B44" s="49" t="n">
        <v>0</v>
      </c>
      <c r="C44" s="49" t="n">
        <v>0</v>
      </c>
      <c r="D44" s="49" t="n">
        <v>0</v>
      </c>
      <c r="E44" s="49" t="n">
        <v>0</v>
      </c>
      <c r="F44" s="10" t="n">
        <v>0</v>
      </c>
      <c r="H44" s="11" t="n">
        <v>33</v>
      </c>
      <c r="I44" s="51" t="n">
        <v>57</v>
      </c>
      <c r="J44" s="51" t="n">
        <v>8</v>
      </c>
      <c r="K44" s="51" t="n">
        <v>2</v>
      </c>
      <c r="L44" s="49" t="n">
        <v>67</v>
      </c>
      <c r="M44" s="10" t="n">
        <v>0.0008342048906818069</v>
      </c>
    </row>
    <row r="45" spans="1:18">
      <c r="A45" t="n">
        <v>34</v>
      </c>
      <c r="B45" s="49" t="n">
        <v>0</v>
      </c>
      <c r="C45" s="49" t="n">
        <v>0</v>
      </c>
      <c r="D45" s="49" t="n">
        <v>0</v>
      </c>
      <c r="E45" s="49" t="n">
        <v>0</v>
      </c>
      <c r="F45" s="10" t="n">
        <v>0</v>
      </c>
      <c r="H45" s="11" t="n">
        <v>34</v>
      </c>
      <c r="I45" s="51" t="n">
        <v>59</v>
      </c>
      <c r="J45" s="51" t="n">
        <v>1</v>
      </c>
      <c r="K45" s="51" t="n">
        <v>5</v>
      </c>
      <c r="L45" s="49" t="n">
        <v>65</v>
      </c>
      <c r="M45" s="10" t="n">
        <v>0.0008093032521539917</v>
      </c>
    </row>
    <row r="46" spans="1:18">
      <c r="A46" t="n">
        <v>35</v>
      </c>
      <c r="B46" s="49" t="n">
        <v>0</v>
      </c>
      <c r="C46" s="49" t="n">
        <v>0</v>
      </c>
      <c r="D46" s="49" t="n">
        <v>0</v>
      </c>
      <c r="E46" s="49" t="n">
        <v>0</v>
      </c>
      <c r="F46" s="10" t="n">
        <v>0</v>
      </c>
      <c r="H46" s="11" t="n">
        <v>35</v>
      </c>
      <c r="I46" s="51" t="n">
        <v>56</v>
      </c>
      <c r="J46" s="51" t="n">
        <v>3</v>
      </c>
      <c r="K46" s="51" t="n">
        <v>3</v>
      </c>
      <c r="L46" s="49" t="n">
        <v>62</v>
      </c>
      <c r="M46" s="10" t="n">
        <v>0.0007719507943622691</v>
      </c>
    </row>
    <row r="47" spans="1:18">
      <c r="A47" t="n">
        <v>36</v>
      </c>
      <c r="B47" s="49" t="n">
        <v>0</v>
      </c>
      <c r="C47" s="49" t="n">
        <v>0</v>
      </c>
      <c r="D47" s="49" t="n">
        <v>0</v>
      </c>
      <c r="E47" s="49" t="n">
        <v>0</v>
      </c>
      <c r="F47" s="10" t="n">
        <v>0</v>
      </c>
      <c r="H47" s="11" t="n">
        <v>36</v>
      </c>
      <c r="I47" s="51" t="n">
        <v>68</v>
      </c>
      <c r="J47" s="51" t="n">
        <v>5</v>
      </c>
      <c r="K47" s="51" t="n">
        <v>2</v>
      </c>
      <c r="L47" s="49" t="n">
        <v>75</v>
      </c>
      <c r="M47" s="10" t="n">
        <v>0.0009338114447930674</v>
      </c>
    </row>
    <row r="48" spans="1:18">
      <c r="A48" t="n">
        <v>37</v>
      </c>
      <c r="B48" s="49" t="n">
        <v>0</v>
      </c>
      <c r="C48" s="49" t="n">
        <v>0</v>
      </c>
      <c r="D48" s="49" t="n">
        <v>0</v>
      </c>
      <c r="E48" s="49" t="n">
        <v>0</v>
      </c>
      <c r="F48" s="10" t="n">
        <v>0</v>
      </c>
      <c r="H48" s="11" t="n">
        <v>37</v>
      </c>
      <c r="I48" s="51" t="n">
        <v>56</v>
      </c>
      <c r="J48" s="51" t="n">
        <v>7</v>
      </c>
      <c r="K48" s="51" t="n">
        <v>3</v>
      </c>
      <c r="L48" s="49" t="n">
        <v>66</v>
      </c>
      <c r="M48" s="10" t="n">
        <v>0.0008217540714178993</v>
      </c>
    </row>
    <row r="49" spans="1:18">
      <c r="A49" t="n">
        <v>38</v>
      </c>
      <c r="B49" s="49" t="n">
        <v>0</v>
      </c>
      <c r="C49" s="49" t="n">
        <v>0</v>
      </c>
      <c r="D49" s="49" t="n">
        <v>0</v>
      </c>
      <c r="E49" s="49" t="n">
        <v>0</v>
      </c>
      <c r="F49" s="10" t="n">
        <v>0</v>
      </c>
      <c r="H49" s="11" t="n">
        <v>38</v>
      </c>
      <c r="I49" s="51" t="n">
        <v>56</v>
      </c>
      <c r="J49" s="51" t="n">
        <v>8</v>
      </c>
      <c r="K49" s="51" t="n">
        <v>3</v>
      </c>
      <c r="L49" s="49" t="n">
        <v>67</v>
      </c>
      <c r="M49" s="10" t="n">
        <v>0.0008342048906818069</v>
      </c>
    </row>
    <row r="50" spans="1:18">
      <c r="A50" t="n">
        <v>39</v>
      </c>
      <c r="B50" s="49" t="n">
        <v>0</v>
      </c>
      <c r="C50" s="49" t="n">
        <v>0</v>
      </c>
      <c r="D50" s="49" t="n">
        <v>0</v>
      </c>
      <c r="E50" s="49" t="n">
        <v>0</v>
      </c>
      <c r="F50" s="10" t="n">
        <v>0</v>
      </c>
      <c r="H50" s="11" t="n">
        <v>39</v>
      </c>
      <c r="I50" s="51" t="n">
        <v>56</v>
      </c>
      <c r="J50" s="51" t="n">
        <v>2</v>
      </c>
      <c r="K50" s="51" t="n">
        <v>2</v>
      </c>
      <c r="L50" s="49" t="n">
        <v>60</v>
      </c>
      <c r="M50" s="10" t="n">
        <v>0.0007470491558344539</v>
      </c>
    </row>
    <row r="51" spans="1:18">
      <c r="A51" t="n">
        <v>40</v>
      </c>
      <c r="B51" s="49" t="n">
        <v>0</v>
      </c>
      <c r="C51" s="49" t="n">
        <v>0</v>
      </c>
      <c r="D51" s="49" t="n">
        <v>0</v>
      </c>
      <c r="E51" s="49" t="n">
        <v>0</v>
      </c>
      <c r="F51" s="10" t="n">
        <v>0</v>
      </c>
      <c r="H51" s="11" t="n">
        <v>40</v>
      </c>
      <c r="I51" s="51" t="n">
        <v>56</v>
      </c>
      <c r="J51" s="51" t="n">
        <v>3</v>
      </c>
      <c r="K51" s="51" t="n">
        <v>4</v>
      </c>
      <c r="L51" s="49" t="n">
        <v>63</v>
      </c>
      <c r="M51" s="10" t="n">
        <v>0.0007844016136261766</v>
      </c>
    </row>
    <row r="52" spans="1:18">
      <c r="A52" t="n">
        <v>41</v>
      </c>
      <c r="B52" s="49" t="n">
        <v>0</v>
      </c>
      <c r="C52" s="49" t="n">
        <v>0</v>
      </c>
      <c r="D52" s="49" t="n">
        <v>0</v>
      </c>
      <c r="E52" s="49" t="n">
        <v>0</v>
      </c>
      <c r="F52" s="10" t="n">
        <v>0</v>
      </c>
      <c r="H52" s="11" t="n">
        <v>41</v>
      </c>
      <c r="I52" s="51" t="n">
        <v>37</v>
      </c>
      <c r="J52" s="51" t="n">
        <v>4</v>
      </c>
      <c r="K52" s="51" t="n">
        <v>5</v>
      </c>
      <c r="L52" s="49" t="n">
        <v>46</v>
      </c>
      <c r="M52" s="10" t="n">
        <v>0.000572737686139748</v>
      </c>
    </row>
    <row r="53" spans="1:18">
      <c r="A53" t="n">
        <v>42</v>
      </c>
      <c r="B53" s="49" t="n">
        <v>0</v>
      </c>
      <c r="C53" s="49" t="n">
        <v>0</v>
      </c>
      <c r="D53" s="49" t="n">
        <v>0</v>
      </c>
      <c r="E53" s="49" t="n">
        <v>0</v>
      </c>
      <c r="F53" s="10" t="n">
        <v>0</v>
      </c>
      <c r="H53" s="11" t="n">
        <v>42</v>
      </c>
      <c r="I53" s="51" t="n">
        <v>24</v>
      </c>
      <c r="J53" s="51" t="n">
        <v>1</v>
      </c>
      <c r="K53" s="51" t="n">
        <v>1</v>
      </c>
      <c r="L53" s="49" t="n">
        <v>26</v>
      </c>
      <c r="M53" s="10" t="n">
        <v>0.0003237213008615967</v>
      </c>
    </row>
    <row r="54" spans="1:18">
      <c r="A54" t="n">
        <v>43</v>
      </c>
      <c r="B54" s="49" t="n">
        <v>0</v>
      </c>
      <c r="C54" s="49" t="n">
        <v>0</v>
      </c>
      <c r="D54" s="49" t="n">
        <v>0</v>
      </c>
      <c r="E54" s="49" t="n">
        <v>0</v>
      </c>
      <c r="F54" s="10" t="n">
        <v>0</v>
      </c>
      <c r="H54" s="11" t="n">
        <v>43</v>
      </c>
      <c r="I54" s="51" t="n">
        <v>16</v>
      </c>
      <c r="J54" s="51" t="n">
        <v>1</v>
      </c>
      <c r="K54" s="51" t="n">
        <v>3</v>
      </c>
      <c r="L54" s="49" t="n">
        <v>20</v>
      </c>
      <c r="M54" s="10" t="n">
        <v>0.0002490163852781513</v>
      </c>
    </row>
    <row r="55" spans="1:18">
      <c r="A55" t="n">
        <v>44</v>
      </c>
      <c r="B55" s="49" t="n">
        <v>0</v>
      </c>
      <c r="C55" s="49" t="n">
        <v>0</v>
      </c>
      <c r="D55" s="49" t="n">
        <v>0</v>
      </c>
      <c r="E55" s="49" t="n">
        <v>0</v>
      </c>
      <c r="F55" s="10" t="n">
        <v>0</v>
      </c>
      <c r="H55" s="11" t="n">
        <v>44</v>
      </c>
      <c r="I55" s="51" t="n">
        <v>19</v>
      </c>
      <c r="J55" s="51" t="n">
        <v>1</v>
      </c>
      <c r="K55" s="51" t="n">
        <v>1</v>
      </c>
      <c r="L55" s="49" t="n">
        <v>21</v>
      </c>
      <c r="M55" s="10" t="n">
        <v>0.0002614672045420589</v>
      </c>
    </row>
    <row r="56" spans="1:18">
      <c r="A56" t="n">
        <v>45</v>
      </c>
      <c r="B56" s="49" t="n">
        <v>0</v>
      </c>
      <c r="C56" s="49" t="n">
        <v>0</v>
      </c>
      <c r="D56" s="49" t="n">
        <v>0</v>
      </c>
      <c r="E56" s="49" t="n">
        <v>0</v>
      </c>
      <c r="F56" s="10" t="n">
        <v>0</v>
      </c>
      <c r="H56" s="11" t="n">
        <v>45</v>
      </c>
      <c r="I56" s="51" t="n">
        <v>28</v>
      </c>
      <c r="J56" s="51" t="n">
        <v>2</v>
      </c>
      <c r="K56" s="51" t="n">
        <v>1</v>
      </c>
      <c r="L56" s="49" t="n">
        <v>31</v>
      </c>
      <c r="M56" s="10" t="n">
        <v>0.0003859753971811345</v>
      </c>
    </row>
    <row r="57" spans="1:18">
      <c r="A57" t="n">
        <v>46</v>
      </c>
      <c r="B57" s="49" t="n">
        <v>0</v>
      </c>
      <c r="C57" s="49" t="n">
        <v>0</v>
      </c>
      <c r="D57" s="49" t="n">
        <v>0</v>
      </c>
      <c r="E57" s="49" t="n">
        <v>0</v>
      </c>
      <c r="F57" s="10" t="n">
        <v>0</v>
      </c>
      <c r="H57" s="11" t="n">
        <v>46</v>
      </c>
      <c r="I57" s="51" t="n">
        <v>17</v>
      </c>
      <c r="J57" s="51" t="n">
        <v>0</v>
      </c>
      <c r="K57" s="51" t="n">
        <v>0</v>
      </c>
      <c r="L57" s="49" t="n">
        <v>17</v>
      </c>
      <c r="M57" s="10" t="n">
        <v>0.0002116639274864286</v>
      </c>
    </row>
    <row r="58" spans="1:18">
      <c r="A58" t="n">
        <v>47</v>
      </c>
      <c r="B58" s="49" t="n">
        <v>0</v>
      </c>
      <c r="C58" s="49" t="n">
        <v>0</v>
      </c>
      <c r="D58" s="49" t="n">
        <v>0</v>
      </c>
      <c r="E58" s="49" t="n">
        <v>0</v>
      </c>
      <c r="F58" s="10" t="n">
        <v>0</v>
      </c>
      <c r="H58" s="11" t="n">
        <v>47</v>
      </c>
      <c r="I58" s="51" t="n">
        <v>19</v>
      </c>
      <c r="J58" s="51" t="n">
        <v>2</v>
      </c>
      <c r="K58" s="51" t="n">
        <v>3</v>
      </c>
      <c r="L58" s="49" t="n">
        <v>24</v>
      </c>
      <c r="M58" s="10" t="n">
        <v>0.0002988196623337815</v>
      </c>
    </row>
    <row r="59" spans="1:18">
      <c r="A59" t="n">
        <v>48</v>
      </c>
      <c r="B59" s="49" t="n">
        <v>0</v>
      </c>
      <c r="C59" s="49" t="n">
        <v>0</v>
      </c>
      <c r="D59" s="49" t="n">
        <v>0</v>
      </c>
      <c r="E59" s="49" t="n">
        <v>0</v>
      </c>
      <c r="F59" s="10" t="n">
        <v>0</v>
      </c>
      <c r="H59" s="11" t="n">
        <v>48</v>
      </c>
      <c r="I59" s="51" t="n">
        <v>22</v>
      </c>
      <c r="J59" s="51" t="n">
        <v>0</v>
      </c>
      <c r="K59" s="51" t="n">
        <v>1</v>
      </c>
      <c r="L59" s="49" t="n">
        <v>23</v>
      </c>
      <c r="M59" s="10" t="n">
        <v>0.000286368843069874</v>
      </c>
    </row>
    <row r="60" spans="1:18">
      <c r="A60" t="n">
        <v>49</v>
      </c>
      <c r="B60" s="49" t="n">
        <v>0</v>
      </c>
      <c r="C60" s="49" t="n">
        <v>0</v>
      </c>
      <c r="D60" s="49" t="n">
        <v>0</v>
      </c>
      <c r="E60" s="49" t="n">
        <v>0</v>
      </c>
      <c r="F60" s="10" t="n">
        <v>0</v>
      </c>
      <c r="H60" s="11" t="n">
        <v>49</v>
      </c>
      <c r="I60" s="51" t="n">
        <v>13</v>
      </c>
      <c r="J60" s="51" t="n">
        <v>0</v>
      </c>
      <c r="K60" s="51" t="n">
        <v>0</v>
      </c>
      <c r="L60" s="49" t="n">
        <v>13</v>
      </c>
      <c r="M60" s="10" t="n">
        <v>0.0001618606504307984</v>
      </c>
    </row>
    <row r="61" spans="1:18">
      <c r="A61" t="n">
        <v>50</v>
      </c>
      <c r="B61" s="49" t="n">
        <v>0</v>
      </c>
      <c r="C61" s="49" t="n">
        <v>0</v>
      </c>
      <c r="D61" s="49" t="n">
        <v>0</v>
      </c>
      <c r="E61" s="49" t="n">
        <v>0</v>
      </c>
      <c r="F61" s="10" t="n">
        <v>0</v>
      </c>
      <c r="H61" s="11" t="n">
        <v>50</v>
      </c>
      <c r="I61" s="51" t="n">
        <v>8</v>
      </c>
      <c r="J61" s="51" t="n">
        <v>0</v>
      </c>
      <c r="K61" s="51" t="n">
        <v>1</v>
      </c>
      <c r="L61" s="49" t="n">
        <v>9</v>
      </c>
      <c r="M61" s="10" t="n">
        <v>0.0001120573733751681</v>
      </c>
    </row>
    <row r="62" spans="1:18">
      <c r="A62" t="n">
        <v>51</v>
      </c>
      <c r="B62" s="49" t="n">
        <v>0</v>
      </c>
      <c r="C62" s="49" t="n">
        <v>0</v>
      </c>
      <c r="D62" s="49" t="n">
        <v>0</v>
      </c>
      <c r="E62" s="49" t="n">
        <v>0</v>
      </c>
      <c r="F62" s="10" t="n">
        <v>0</v>
      </c>
      <c r="H62" s="11" t="n">
        <v>51</v>
      </c>
      <c r="I62" s="51" t="n">
        <v>10</v>
      </c>
      <c r="J62" s="51" t="n">
        <v>0</v>
      </c>
      <c r="K62" s="51" t="n">
        <v>1</v>
      </c>
      <c r="L62" s="49" t="n">
        <v>11</v>
      </c>
      <c r="M62" s="10" t="n">
        <v>0.0001369590119029832</v>
      </c>
    </row>
    <row r="63" spans="1:18">
      <c r="A63" t="n">
        <v>52</v>
      </c>
      <c r="B63" s="49" t="n">
        <v>0</v>
      </c>
      <c r="C63" s="49" t="n">
        <v>0</v>
      </c>
      <c r="D63" s="49" t="n">
        <v>0</v>
      </c>
      <c r="E63" s="49" t="n">
        <v>0</v>
      </c>
      <c r="F63" s="10" t="n">
        <v>0</v>
      </c>
      <c r="H63" s="11" t="n">
        <v>52</v>
      </c>
      <c r="I63" s="51" t="n">
        <v>9</v>
      </c>
      <c r="J63" s="51" t="n">
        <v>4</v>
      </c>
      <c r="K63" s="51" t="n">
        <v>0</v>
      </c>
      <c r="L63" s="49" t="n">
        <v>13</v>
      </c>
      <c r="M63" s="10" t="n">
        <v>0.0001618606504307984</v>
      </c>
    </row>
    <row r="64" spans="1:18">
      <c r="A64" t="n">
        <v>53</v>
      </c>
      <c r="B64" s="49" t="n">
        <v>0</v>
      </c>
      <c r="C64" s="49" t="n">
        <v>0</v>
      </c>
      <c r="D64" s="49" t="n">
        <v>0</v>
      </c>
      <c r="E64" s="49" t="n">
        <v>0</v>
      </c>
      <c r="F64" s="10" t="n">
        <v>0</v>
      </c>
      <c r="H64" s="11" t="n">
        <v>53</v>
      </c>
      <c r="I64" s="51" t="n">
        <v>5</v>
      </c>
      <c r="J64" s="51" t="n">
        <v>1</v>
      </c>
      <c r="K64" s="51" t="n">
        <v>0</v>
      </c>
      <c r="L64" s="49" t="n">
        <v>6</v>
      </c>
      <c r="M64" s="10" t="n">
        <v>7.470491558344539e-05</v>
      </c>
    </row>
    <row r="65" spans="1:18">
      <c r="A65" t="n">
        <v>54</v>
      </c>
      <c r="B65" s="49" t="n">
        <v>0</v>
      </c>
      <c r="C65" s="49" t="n">
        <v>0</v>
      </c>
      <c r="D65" s="49" t="n">
        <v>0</v>
      </c>
      <c r="E65" s="49" t="n">
        <v>0</v>
      </c>
      <c r="F65" s="10" t="n">
        <v>0</v>
      </c>
      <c r="H65" s="11" t="n">
        <v>54</v>
      </c>
      <c r="I65" s="51" t="n">
        <v>5</v>
      </c>
      <c r="J65" s="51" t="n">
        <v>1</v>
      </c>
      <c r="K65" s="51" t="n">
        <v>0</v>
      </c>
      <c r="L65" s="49" t="n">
        <v>6</v>
      </c>
      <c r="M65" s="10" t="n">
        <v>7.470491558344539e-05</v>
      </c>
    </row>
    <row r="66" spans="1:18">
      <c r="A66" t="n">
        <v>55</v>
      </c>
      <c r="B66" s="49" t="n">
        <v>0</v>
      </c>
      <c r="C66" s="49" t="n">
        <v>0</v>
      </c>
      <c r="D66" s="49" t="n">
        <v>0</v>
      </c>
      <c r="E66" s="49" t="n">
        <v>0</v>
      </c>
      <c r="F66" s="10" t="n">
        <v>0</v>
      </c>
      <c r="H66" s="11" t="n">
        <v>55</v>
      </c>
      <c r="I66" s="51" t="n">
        <v>1</v>
      </c>
      <c r="J66" s="51" t="n">
        <v>0</v>
      </c>
      <c r="K66" s="51" t="n">
        <v>0</v>
      </c>
      <c r="L66" s="49" t="n">
        <v>1</v>
      </c>
      <c r="M66" s="10" t="n">
        <v>1.245081926390756e-05</v>
      </c>
    </row>
    <row r="67" spans="1:18">
      <c r="A67" t="n">
        <v>56</v>
      </c>
      <c r="B67" s="49" t="n">
        <v>0</v>
      </c>
      <c r="C67" s="49" t="n">
        <v>0</v>
      </c>
      <c r="D67" s="49" t="n">
        <v>0</v>
      </c>
      <c r="E67" s="49" t="n">
        <v>0</v>
      </c>
      <c r="F67" s="10" t="n">
        <v>0</v>
      </c>
      <c r="H67" s="11" t="n">
        <v>56</v>
      </c>
      <c r="I67" s="51" t="n">
        <v>2</v>
      </c>
      <c r="J67" s="51" t="n">
        <v>0</v>
      </c>
      <c r="K67" s="51" t="n">
        <v>0</v>
      </c>
      <c r="L67" s="49" t="n">
        <v>2</v>
      </c>
      <c r="M67" s="10" t="n">
        <v>2.490163852781513e-05</v>
      </c>
    </row>
    <row r="68" spans="1:18">
      <c r="A68" t="n">
        <v>57</v>
      </c>
      <c r="B68" s="49" t="n">
        <v>0</v>
      </c>
      <c r="C68" s="49" t="n">
        <v>0</v>
      </c>
      <c r="D68" s="49" t="n">
        <v>0</v>
      </c>
      <c r="E68" s="49" t="n">
        <v>0</v>
      </c>
      <c r="F68" s="10" t="n">
        <v>0</v>
      </c>
      <c r="H68" s="11" t="n">
        <v>57</v>
      </c>
      <c r="I68" s="51" t="n">
        <v>5</v>
      </c>
      <c r="J68" s="51" t="n">
        <v>0</v>
      </c>
      <c r="K68" s="51" t="n">
        <v>0</v>
      </c>
      <c r="L68" s="49" t="n">
        <v>5</v>
      </c>
      <c r="M68" s="10" t="n">
        <v>6.225409631953783e-05</v>
      </c>
    </row>
    <row r="69" spans="1:18">
      <c r="A69" t="n">
        <v>58</v>
      </c>
      <c r="B69" s="49" t="n">
        <v>0</v>
      </c>
      <c r="C69" s="49" t="n">
        <v>0</v>
      </c>
      <c r="D69" s="49" t="n">
        <v>0</v>
      </c>
      <c r="E69" s="49" t="n">
        <v>0</v>
      </c>
      <c r="F69" s="10" t="n">
        <v>0</v>
      </c>
      <c r="H69" s="11" t="n">
        <v>58</v>
      </c>
      <c r="I69" s="51" t="n">
        <v>5</v>
      </c>
      <c r="J69" s="51" t="n">
        <v>1</v>
      </c>
      <c r="K69" s="51" t="n">
        <v>0</v>
      </c>
      <c r="L69" s="49" t="n">
        <v>6</v>
      </c>
      <c r="M69" s="10" t="n">
        <v>7.470491558344539e-05</v>
      </c>
    </row>
    <row r="70" spans="1:18">
      <c r="A70" t="n">
        <v>59</v>
      </c>
      <c r="B70" s="49" t="n">
        <v>0</v>
      </c>
      <c r="C70" s="49" t="n">
        <v>0</v>
      </c>
      <c r="D70" s="49" t="n">
        <v>0</v>
      </c>
      <c r="E70" s="49" t="n">
        <v>0</v>
      </c>
      <c r="F70" s="10" t="n">
        <v>0</v>
      </c>
      <c r="H70" s="11" t="n">
        <v>59</v>
      </c>
      <c r="I70" s="51" t="n">
        <v>3</v>
      </c>
      <c r="J70" s="51" t="n">
        <v>0</v>
      </c>
      <c r="K70" s="51" t="n">
        <v>1</v>
      </c>
      <c r="L70" s="49" t="n">
        <v>4</v>
      </c>
      <c r="M70" s="10" t="n">
        <v>4.980327705563026e-05</v>
      </c>
    </row>
    <row r="71" spans="1:18">
      <c r="A71" t="n">
        <v>60</v>
      </c>
      <c r="B71" s="49" t="n">
        <v>0</v>
      </c>
      <c r="C71" s="49" t="n">
        <v>0</v>
      </c>
      <c r="D71" s="49" t="n">
        <v>0</v>
      </c>
      <c r="E71" s="49" t="n">
        <v>0</v>
      </c>
      <c r="F71" s="10" t="n">
        <v>0</v>
      </c>
      <c r="H71" s="11" t="n">
        <v>60</v>
      </c>
      <c r="I71" s="51" t="n">
        <v>0</v>
      </c>
      <c r="J71" s="51" t="n">
        <v>0</v>
      </c>
      <c r="K71" s="51" t="n">
        <v>0</v>
      </c>
      <c r="L71" s="49" t="n">
        <v>0</v>
      </c>
      <c r="M71" s="10" t="n">
        <v>0</v>
      </c>
    </row>
    <row r="72" spans="1:18">
      <c r="A72" t="n">
        <v>61</v>
      </c>
      <c r="B72" s="49" t="n">
        <v>0</v>
      </c>
      <c r="C72" s="49" t="n">
        <v>0</v>
      </c>
      <c r="D72" s="49" t="n">
        <v>0</v>
      </c>
      <c r="E72" s="49" t="n">
        <v>0</v>
      </c>
      <c r="F72" s="10" t="n">
        <v>0</v>
      </c>
      <c r="H72" s="11" t="n">
        <v>61</v>
      </c>
      <c r="I72" s="51" t="n">
        <v>1</v>
      </c>
      <c r="J72" s="51" t="n">
        <v>0</v>
      </c>
      <c r="K72" s="51" t="n">
        <v>0</v>
      </c>
      <c r="L72" s="49" t="n">
        <v>1</v>
      </c>
      <c r="M72" s="10" t="n">
        <v>1.245081926390756e-05</v>
      </c>
    </row>
    <row r="73" spans="1:18">
      <c r="A73" t="n">
        <v>62</v>
      </c>
      <c r="B73" s="49" t="n">
        <v>0</v>
      </c>
      <c r="C73" s="49" t="n">
        <v>0</v>
      </c>
      <c r="D73" s="49" t="n">
        <v>0</v>
      </c>
      <c r="E73" s="49" t="n">
        <v>0</v>
      </c>
      <c r="F73" s="10" t="n">
        <v>0</v>
      </c>
      <c r="H73" s="11" t="n">
        <v>62</v>
      </c>
      <c r="I73" s="51" t="n">
        <v>2</v>
      </c>
      <c r="J73" s="51" t="n">
        <v>0</v>
      </c>
      <c r="K73" s="51" t="n">
        <v>0</v>
      </c>
      <c r="L73" s="49" t="n">
        <v>2</v>
      </c>
      <c r="M73" s="10" t="n">
        <v>2.490163852781513e-05</v>
      </c>
    </row>
    <row r="74" spans="1:18">
      <c r="A74" t="n">
        <v>63</v>
      </c>
      <c r="B74" s="49" t="n">
        <v>0</v>
      </c>
      <c r="C74" s="49" t="n">
        <v>0</v>
      </c>
      <c r="D74" s="49" t="n">
        <v>0</v>
      </c>
      <c r="E74" s="49" t="n">
        <v>0</v>
      </c>
      <c r="F74" s="10" t="n">
        <v>0</v>
      </c>
      <c r="H74" s="11" t="n">
        <v>63</v>
      </c>
      <c r="I74" s="51" t="n">
        <v>0</v>
      </c>
      <c r="J74" s="51" t="n">
        <v>0</v>
      </c>
      <c r="K74" s="51" t="n">
        <v>0</v>
      </c>
      <c r="L74" s="49" t="n">
        <v>0</v>
      </c>
      <c r="M74" s="10" t="n">
        <v>0</v>
      </c>
    </row>
    <row r="75" spans="1:18">
      <c r="A75" t="n">
        <v>64</v>
      </c>
      <c r="B75" s="49" t="n">
        <v>0</v>
      </c>
      <c r="C75" s="49" t="n">
        <v>0</v>
      </c>
      <c r="D75" s="49" t="n">
        <v>0</v>
      </c>
      <c r="E75" s="49" t="n">
        <v>0</v>
      </c>
      <c r="F75" s="10" t="n">
        <v>0</v>
      </c>
      <c r="H75" s="11" t="n">
        <v>64</v>
      </c>
      <c r="I75" s="51" t="n">
        <v>0</v>
      </c>
      <c r="J75" s="51" t="n">
        <v>0</v>
      </c>
      <c r="K75" s="51" t="n">
        <v>0</v>
      </c>
      <c r="L75" s="49" t="n">
        <v>0</v>
      </c>
      <c r="M75" s="10" t="n">
        <v>0</v>
      </c>
    </row>
    <row r="76" spans="1:18">
      <c r="A76" t="n">
        <v>65</v>
      </c>
      <c r="B76" s="49" t="n">
        <v>0</v>
      </c>
      <c r="C76" s="49" t="n">
        <v>0</v>
      </c>
      <c r="D76" s="49" t="n">
        <v>0</v>
      </c>
      <c r="E76" s="49" t="n">
        <v>0</v>
      </c>
      <c r="F76" s="10" t="n">
        <v>0</v>
      </c>
      <c r="H76" s="11" t="n">
        <v>65</v>
      </c>
      <c r="I76" s="51" t="n">
        <v>3</v>
      </c>
      <c r="J76" s="51" t="n">
        <v>0</v>
      </c>
      <c r="K76" s="51" t="n">
        <v>0</v>
      </c>
      <c r="L76" s="49" t="n">
        <v>3</v>
      </c>
      <c r="M76" s="10" t="n">
        <v>3.735245779172269e-05</v>
      </c>
    </row>
    <row r="77" spans="1:18">
      <c r="A77" t="n">
        <v>66</v>
      </c>
      <c r="B77" s="49" t="n">
        <v>0</v>
      </c>
      <c r="C77" s="49" t="n">
        <v>0</v>
      </c>
      <c r="D77" s="49" t="n">
        <v>0</v>
      </c>
      <c r="E77" s="49" t="n">
        <v>0</v>
      </c>
      <c r="F77" s="10" t="n">
        <v>0</v>
      </c>
      <c r="H77" s="11" t="n">
        <v>66</v>
      </c>
      <c r="I77" s="51" t="n">
        <v>3</v>
      </c>
      <c r="J77" s="51" t="n">
        <v>0</v>
      </c>
      <c r="K77" s="51" t="n">
        <v>0</v>
      </c>
      <c r="L77" s="49" t="n">
        <v>3</v>
      </c>
      <c r="M77" s="10" t="n">
        <v>3.735245779172269e-05</v>
      </c>
    </row>
    <row r="78" spans="1:18">
      <c r="A78" t="n">
        <v>67</v>
      </c>
      <c r="B78" s="49" t="n">
        <v>0</v>
      </c>
      <c r="C78" s="49" t="n">
        <v>0</v>
      </c>
      <c r="D78" s="49" t="n">
        <v>0</v>
      </c>
      <c r="E78" s="49" t="n">
        <v>0</v>
      </c>
      <c r="F78" s="10" t="n">
        <v>0</v>
      </c>
      <c r="H78" s="11" t="n">
        <v>67</v>
      </c>
      <c r="I78" s="51" t="n">
        <v>0</v>
      </c>
      <c r="J78" s="51" t="n">
        <v>0</v>
      </c>
      <c r="K78" s="51" t="n">
        <v>0</v>
      </c>
      <c r="L78" s="49" t="n">
        <v>0</v>
      </c>
      <c r="M78" s="10" t="n">
        <v>0</v>
      </c>
    </row>
    <row r="79" spans="1:18">
      <c r="A79" t="n">
        <v>68</v>
      </c>
      <c r="B79" s="49" t="n">
        <v>0</v>
      </c>
      <c r="C79" s="49" t="n">
        <v>0</v>
      </c>
      <c r="D79" s="49" t="n">
        <v>0</v>
      </c>
      <c r="E79" s="49" t="n">
        <v>0</v>
      </c>
      <c r="F79" s="10" t="n">
        <v>0</v>
      </c>
      <c r="H79" s="11" t="n">
        <v>68</v>
      </c>
      <c r="I79" s="51" t="n">
        <v>1</v>
      </c>
      <c r="J79" s="51" t="n">
        <v>0</v>
      </c>
      <c r="K79" s="51" t="n">
        <v>0</v>
      </c>
      <c r="L79" s="49" t="n">
        <v>1</v>
      </c>
      <c r="M79" s="10" t="n">
        <v>1.245081926390756e-05</v>
      </c>
    </row>
    <row r="80" spans="1:18">
      <c r="A80" t="n">
        <v>69</v>
      </c>
      <c r="B80" s="49" t="n">
        <v>0</v>
      </c>
      <c r="C80" s="49" t="n">
        <v>0</v>
      </c>
      <c r="D80" s="49" t="n">
        <v>0</v>
      </c>
      <c r="E80" s="49" t="n">
        <v>0</v>
      </c>
      <c r="F80" s="10" t="n">
        <v>0</v>
      </c>
      <c r="H80" s="11" t="n">
        <v>69</v>
      </c>
      <c r="I80" s="51" t="n">
        <v>0</v>
      </c>
      <c r="J80" s="51" t="n">
        <v>0</v>
      </c>
      <c r="K80" s="51" t="n">
        <v>0</v>
      </c>
      <c r="L80" s="49" t="n">
        <v>0</v>
      </c>
      <c r="M80" s="10" t="n">
        <v>0</v>
      </c>
    </row>
    <row r="81" spans="1:18">
      <c r="A81" t="n">
        <v>70</v>
      </c>
      <c r="B81" s="49" t="n">
        <v>0</v>
      </c>
      <c r="C81" s="49" t="n">
        <v>0</v>
      </c>
      <c r="D81" s="49" t="n">
        <v>0</v>
      </c>
      <c r="E81" s="49" t="n">
        <v>0</v>
      </c>
      <c r="F81" s="10" t="n">
        <v>0</v>
      </c>
      <c r="H81" s="11" t="n">
        <v>70</v>
      </c>
      <c r="I81" s="51" t="n">
        <v>0</v>
      </c>
      <c r="J81" s="51" t="n">
        <v>0</v>
      </c>
      <c r="K81" s="51" t="n">
        <v>0</v>
      </c>
      <c r="L81" s="49" t="n">
        <v>0</v>
      </c>
      <c r="M81" s="10" t="n">
        <v>0</v>
      </c>
    </row>
    <row r="82" spans="1:18">
      <c r="A82" t="n">
        <v>71</v>
      </c>
      <c r="B82" s="49" t="n">
        <v>0</v>
      </c>
      <c r="C82" s="49" t="n">
        <v>0</v>
      </c>
      <c r="D82" s="49" t="n">
        <v>0</v>
      </c>
      <c r="E82" s="49" t="n">
        <v>0</v>
      </c>
      <c r="F82" s="10" t="n">
        <v>0</v>
      </c>
      <c r="H82" s="11" t="n">
        <v>71</v>
      </c>
      <c r="I82" s="51" t="n">
        <v>0</v>
      </c>
      <c r="J82" s="51" t="n">
        <v>0</v>
      </c>
      <c r="K82" s="51" t="n">
        <v>0</v>
      </c>
      <c r="L82" s="49" t="n">
        <v>0</v>
      </c>
      <c r="M82" s="10" t="n">
        <v>0</v>
      </c>
    </row>
    <row r="83" spans="1:18">
      <c r="A83" t="n">
        <v>72</v>
      </c>
      <c r="B83" s="49" t="n">
        <v>0</v>
      </c>
      <c r="C83" s="49" t="n">
        <v>0</v>
      </c>
      <c r="D83" s="49" t="n">
        <v>0</v>
      </c>
      <c r="E83" s="49" t="n">
        <v>0</v>
      </c>
      <c r="F83" s="10" t="n">
        <v>0</v>
      </c>
      <c r="H83" s="11" t="n">
        <v>72</v>
      </c>
      <c r="I83" s="51" t="n">
        <v>0</v>
      </c>
      <c r="J83" s="51" t="n">
        <v>0</v>
      </c>
      <c r="K83" s="51" t="n">
        <v>0</v>
      </c>
      <c r="L83" s="49" t="n">
        <v>0</v>
      </c>
      <c r="M83" s="10" t="n">
        <v>0</v>
      </c>
    </row>
    <row r="84" spans="1:18">
      <c r="A84" t="n">
        <v>73</v>
      </c>
      <c r="B84" s="49" t="n">
        <v>0</v>
      </c>
      <c r="C84" s="49" t="n">
        <v>0</v>
      </c>
      <c r="D84" s="49" t="n">
        <v>0</v>
      </c>
      <c r="E84" s="49" t="n">
        <v>0</v>
      </c>
      <c r="F84" s="10" t="n">
        <v>0</v>
      </c>
      <c r="H84" s="11" t="n">
        <v>73</v>
      </c>
      <c r="I84" s="51" t="n">
        <v>0</v>
      </c>
      <c r="J84" s="51" t="n">
        <v>0</v>
      </c>
      <c r="K84" s="51" t="n">
        <v>0</v>
      </c>
      <c r="L84" s="49" t="n">
        <v>0</v>
      </c>
      <c r="M84" s="10" t="n">
        <v>0</v>
      </c>
    </row>
    <row r="85" spans="1:18">
      <c r="A85" t="n">
        <v>74</v>
      </c>
      <c r="B85" s="49" t="n">
        <v>0</v>
      </c>
      <c r="C85" s="49" t="n">
        <v>0</v>
      </c>
      <c r="D85" s="49" t="n">
        <v>0</v>
      </c>
      <c r="E85" s="49" t="n">
        <v>0</v>
      </c>
      <c r="F85" s="10" t="n">
        <v>0</v>
      </c>
      <c r="H85" s="11" t="n">
        <v>74</v>
      </c>
      <c r="I85" s="51" t="n">
        <v>0</v>
      </c>
      <c r="J85" s="51" t="n">
        <v>0</v>
      </c>
      <c r="K85" s="51" t="n">
        <v>0</v>
      </c>
      <c r="L85" s="49" t="n">
        <v>0</v>
      </c>
      <c r="M85" s="10" t="n">
        <v>0</v>
      </c>
    </row>
    <row r="86" spans="1:18">
      <c r="A86" t="n">
        <v>75</v>
      </c>
      <c r="B86" s="49" t="n">
        <v>0</v>
      </c>
      <c r="C86" s="49" t="n">
        <v>0</v>
      </c>
      <c r="D86" s="49" t="n">
        <v>0</v>
      </c>
      <c r="E86" s="49" t="n">
        <v>0</v>
      </c>
      <c r="F86" s="10" t="n">
        <v>0</v>
      </c>
      <c r="H86" s="11" t="n">
        <v>75</v>
      </c>
      <c r="I86" s="51" t="n">
        <v>0</v>
      </c>
      <c r="J86" s="51" t="n">
        <v>0</v>
      </c>
      <c r="K86" s="51" t="n">
        <v>0</v>
      </c>
      <c r="L86" s="49" t="n">
        <v>0</v>
      </c>
      <c r="M86" s="10" t="n">
        <v>0</v>
      </c>
    </row>
    <row r="87" spans="1:18">
      <c r="A87" t="n">
        <v>76</v>
      </c>
      <c r="B87" s="49" t="n">
        <v>0</v>
      </c>
      <c r="C87" s="49" t="n">
        <v>0</v>
      </c>
      <c r="D87" s="49" t="n">
        <v>0</v>
      </c>
      <c r="E87" s="49" t="n">
        <v>0</v>
      </c>
      <c r="F87" s="10" t="n">
        <v>0</v>
      </c>
      <c r="H87" s="11" t="n">
        <v>76</v>
      </c>
      <c r="I87" s="51" t="n">
        <v>0</v>
      </c>
      <c r="J87" s="51" t="n">
        <v>0</v>
      </c>
      <c r="K87" s="51" t="n">
        <v>0</v>
      </c>
      <c r="L87" s="49" t="n">
        <v>0</v>
      </c>
      <c r="M87" s="10" t="n">
        <v>0</v>
      </c>
    </row>
    <row r="88" spans="1:18">
      <c r="A88" t="n">
        <v>77</v>
      </c>
      <c r="B88" s="49" t="n">
        <v>0</v>
      </c>
      <c r="C88" s="49" t="n">
        <v>0</v>
      </c>
      <c r="D88" s="49" t="n">
        <v>0</v>
      </c>
      <c r="E88" s="49" t="n">
        <v>0</v>
      </c>
      <c r="F88" s="10" t="n">
        <v>0</v>
      </c>
      <c r="H88" s="11" t="n">
        <v>77</v>
      </c>
      <c r="I88" s="51" t="n">
        <v>0</v>
      </c>
      <c r="J88" s="51" t="n">
        <v>0</v>
      </c>
      <c r="K88" s="51" t="n">
        <v>0</v>
      </c>
      <c r="L88" s="49" t="n">
        <v>0</v>
      </c>
      <c r="M88" s="10" t="n">
        <v>0</v>
      </c>
    </row>
    <row r="89" spans="1:18">
      <c r="A89" t="n">
        <v>78</v>
      </c>
      <c r="B89" s="49" t="n">
        <v>0</v>
      </c>
      <c r="C89" s="49" t="n">
        <v>0</v>
      </c>
      <c r="D89" s="49" t="n">
        <v>0</v>
      </c>
      <c r="E89" s="49" t="n">
        <v>0</v>
      </c>
      <c r="F89" s="10" t="n">
        <v>0</v>
      </c>
      <c r="H89" s="11" t="n">
        <v>78</v>
      </c>
      <c r="I89" s="51" t="n">
        <v>0</v>
      </c>
      <c r="J89" s="51" t="n">
        <v>0</v>
      </c>
      <c r="K89" s="51" t="n">
        <v>0</v>
      </c>
      <c r="L89" s="49" t="n">
        <v>0</v>
      </c>
      <c r="M89" s="10" t="n">
        <v>0</v>
      </c>
    </row>
    <row r="90" spans="1:18">
      <c r="A90" t="n">
        <v>79</v>
      </c>
      <c r="B90" s="49" t="n">
        <v>0</v>
      </c>
      <c r="C90" s="49" t="n">
        <v>0</v>
      </c>
      <c r="D90" s="49" t="n">
        <v>0</v>
      </c>
      <c r="E90" s="49" t="n">
        <v>0</v>
      </c>
      <c r="F90" s="10" t="n">
        <v>0</v>
      </c>
      <c r="H90" s="11" t="n">
        <v>79</v>
      </c>
      <c r="I90" s="51" t="n">
        <v>0</v>
      </c>
      <c r="J90" s="51" t="n">
        <v>0</v>
      </c>
      <c r="K90" s="51" t="n">
        <v>0</v>
      </c>
      <c r="L90" s="49" t="n">
        <v>0</v>
      </c>
      <c r="M90" s="10" t="n">
        <v>0</v>
      </c>
    </row>
    <row r="91" spans="1:18">
      <c r="A91" t="n">
        <v>80</v>
      </c>
      <c r="B91" s="49" t="n">
        <v>0</v>
      </c>
      <c r="C91" s="49" t="n">
        <v>0</v>
      </c>
      <c r="D91" s="49" t="n">
        <v>0</v>
      </c>
      <c r="E91" s="49" t="n">
        <v>0</v>
      </c>
      <c r="F91" s="10" t="n">
        <v>0</v>
      </c>
      <c r="H91" s="11" t="n">
        <v>80</v>
      </c>
      <c r="I91" s="51" t="n">
        <v>0</v>
      </c>
      <c r="J91" s="51" t="n">
        <v>0</v>
      </c>
      <c r="K91" s="51" t="n">
        <v>0</v>
      </c>
      <c r="L91" s="49" t="n">
        <v>0</v>
      </c>
      <c r="M91" s="10" t="n">
        <v>0</v>
      </c>
    </row>
    <row r="92" spans="1:18">
      <c r="A92" t="n">
        <v>81</v>
      </c>
      <c r="B92" s="49" t="n">
        <v>0</v>
      </c>
      <c r="C92" s="49" t="n">
        <v>0</v>
      </c>
      <c r="D92" s="49" t="n">
        <v>0</v>
      </c>
      <c r="E92" s="49" t="n">
        <v>0</v>
      </c>
      <c r="F92" s="10" t="n">
        <v>0</v>
      </c>
      <c r="H92" s="11" t="n">
        <v>81</v>
      </c>
      <c r="I92" s="51" t="n">
        <v>0</v>
      </c>
      <c r="J92" s="51" t="n">
        <v>0</v>
      </c>
      <c r="K92" s="51" t="n">
        <v>0</v>
      </c>
      <c r="L92" s="49" t="n">
        <v>0</v>
      </c>
      <c r="M92" s="10" t="n">
        <v>0</v>
      </c>
    </row>
    <row r="93" spans="1:18">
      <c r="A93" t="n">
        <v>82</v>
      </c>
      <c r="B93" s="49" t="n">
        <v>0</v>
      </c>
      <c r="C93" s="49" t="n">
        <v>0</v>
      </c>
      <c r="D93" s="49" t="n">
        <v>0</v>
      </c>
      <c r="E93" s="49" t="n">
        <v>0</v>
      </c>
      <c r="F93" s="10" t="n">
        <v>0</v>
      </c>
      <c r="H93" s="11" t="n">
        <v>82</v>
      </c>
      <c r="I93" s="51" t="n">
        <v>0</v>
      </c>
      <c r="J93" s="51" t="n">
        <v>0</v>
      </c>
      <c r="K93" s="51" t="n">
        <v>0</v>
      </c>
      <c r="L93" s="49" t="n">
        <v>0</v>
      </c>
      <c r="M93" s="10" t="n">
        <v>0</v>
      </c>
    </row>
    <row r="94" spans="1:18">
      <c r="A94" t="n">
        <v>83</v>
      </c>
      <c r="B94" s="49" t="n">
        <v>0</v>
      </c>
      <c r="C94" s="49" t="n">
        <v>0</v>
      </c>
      <c r="D94" s="49" t="n">
        <v>0</v>
      </c>
      <c r="E94" s="49" t="n">
        <v>0</v>
      </c>
      <c r="F94" s="10" t="n">
        <v>0</v>
      </c>
      <c r="H94" s="11" t="n">
        <v>83</v>
      </c>
      <c r="I94" s="51" t="n">
        <v>0</v>
      </c>
      <c r="J94" s="51" t="n">
        <v>0</v>
      </c>
      <c r="K94" s="51" t="n">
        <v>0</v>
      </c>
      <c r="L94" s="49" t="n">
        <v>0</v>
      </c>
      <c r="M94" s="10" t="n">
        <v>0</v>
      </c>
    </row>
    <row r="95" spans="1:18">
      <c r="A95" t="n">
        <v>84</v>
      </c>
      <c r="B95" s="49" t="n">
        <v>0</v>
      </c>
      <c r="C95" s="49" t="n">
        <v>0</v>
      </c>
      <c r="D95" s="49" t="n">
        <v>0</v>
      </c>
      <c r="E95" s="49" t="n">
        <v>0</v>
      </c>
      <c r="F95" s="10" t="n">
        <v>0</v>
      </c>
      <c r="H95" s="11" t="n">
        <v>84</v>
      </c>
      <c r="I95" s="51" t="n">
        <v>0</v>
      </c>
      <c r="J95" s="51" t="n">
        <v>0</v>
      </c>
      <c r="K95" s="51" t="n">
        <v>0</v>
      </c>
      <c r="L95" s="49" t="n">
        <v>0</v>
      </c>
      <c r="M95" s="10" t="n">
        <v>0</v>
      </c>
    </row>
    <row r="96" spans="1:18">
      <c r="A96" t="n">
        <v>85</v>
      </c>
      <c r="B96" s="49" t="n">
        <v>0</v>
      </c>
      <c r="C96" s="49" t="n">
        <v>0</v>
      </c>
      <c r="D96" s="49" t="n">
        <v>0</v>
      </c>
      <c r="E96" s="49" t="n">
        <v>0</v>
      </c>
      <c r="F96" s="10" t="n">
        <v>0</v>
      </c>
      <c r="H96" s="11" t="n">
        <v>85</v>
      </c>
      <c r="I96" s="51" t="n">
        <v>0</v>
      </c>
      <c r="J96" s="51" t="n">
        <v>0</v>
      </c>
      <c r="K96" s="51" t="n">
        <v>0</v>
      </c>
      <c r="L96" s="49" t="n">
        <v>0</v>
      </c>
      <c r="M96" s="10" t="n">
        <v>0</v>
      </c>
    </row>
    <row r="97" spans="1:18">
      <c r="A97" t="n">
        <v>86</v>
      </c>
      <c r="B97" s="49" t="n">
        <v>0</v>
      </c>
      <c r="C97" s="49" t="n">
        <v>0</v>
      </c>
      <c r="D97" s="49" t="n">
        <v>0</v>
      </c>
      <c r="E97" s="49" t="n">
        <v>0</v>
      </c>
      <c r="F97" s="10" t="n">
        <v>0</v>
      </c>
      <c r="H97" s="11" t="n">
        <v>86</v>
      </c>
      <c r="I97" s="51" t="n">
        <v>0</v>
      </c>
      <c r="J97" s="51" t="n">
        <v>0</v>
      </c>
      <c r="K97" s="51" t="n">
        <v>0</v>
      </c>
      <c r="L97" s="49" t="n">
        <v>0</v>
      </c>
      <c r="M97" s="10" t="n">
        <v>0</v>
      </c>
    </row>
    <row r="98" spans="1:18">
      <c r="A98" t="n">
        <v>87</v>
      </c>
      <c r="B98" s="49" t="n">
        <v>0</v>
      </c>
      <c r="C98" s="49" t="n">
        <v>0</v>
      </c>
      <c r="D98" s="49" t="n">
        <v>0</v>
      </c>
      <c r="E98" s="49" t="n">
        <v>0</v>
      </c>
      <c r="F98" s="10" t="n">
        <v>0</v>
      </c>
      <c r="H98" s="11" t="n">
        <v>87</v>
      </c>
      <c r="I98" s="51" t="n">
        <v>0</v>
      </c>
      <c r="J98" s="51" t="n">
        <v>0</v>
      </c>
      <c r="K98" s="51" t="n">
        <v>0</v>
      </c>
      <c r="L98" s="49" t="n">
        <v>0</v>
      </c>
      <c r="M98" s="10" t="n">
        <v>0</v>
      </c>
    </row>
    <row r="99" spans="1:18">
      <c r="A99" t="n">
        <v>88</v>
      </c>
      <c r="B99" s="49" t="n">
        <v>0</v>
      </c>
      <c r="C99" s="49" t="n">
        <v>0</v>
      </c>
      <c r="D99" s="49" t="n">
        <v>0</v>
      </c>
      <c r="E99" s="49" t="n">
        <v>0</v>
      </c>
      <c r="F99" s="10" t="n">
        <v>0</v>
      </c>
      <c r="H99" s="11" t="n">
        <v>88</v>
      </c>
      <c r="I99" s="51" t="n">
        <v>0</v>
      </c>
      <c r="J99" s="51" t="n">
        <v>0</v>
      </c>
      <c r="K99" s="51" t="n">
        <v>0</v>
      </c>
      <c r="L99" s="49" t="n">
        <v>0</v>
      </c>
      <c r="M99" s="10" t="n">
        <v>0</v>
      </c>
    </row>
    <row r="100" spans="1:18">
      <c r="A100" t="n">
        <v>89</v>
      </c>
      <c r="B100" s="49" t="n">
        <v>0</v>
      </c>
      <c r="C100" s="49" t="n">
        <v>0</v>
      </c>
      <c r="D100" s="49" t="n">
        <v>0</v>
      </c>
      <c r="E100" s="49" t="n">
        <v>0</v>
      </c>
      <c r="F100" s="10" t="n">
        <v>0</v>
      </c>
      <c r="H100" s="11" t="n">
        <v>89</v>
      </c>
      <c r="I100" s="51" t="n">
        <v>0</v>
      </c>
      <c r="J100" s="51" t="n">
        <v>0</v>
      </c>
      <c r="K100" s="51" t="n">
        <v>0</v>
      </c>
      <c r="L100" s="49" t="n">
        <v>0</v>
      </c>
      <c r="M100" s="10" t="n">
        <v>0</v>
      </c>
    </row>
    <row customHeight="1" ht="15.75" r="101" s="52" spans="1:18">
      <c r="A101" s="1" t="n">
        <v>90</v>
      </c>
      <c r="B101" s="50" t="n">
        <v>0</v>
      </c>
      <c r="C101" s="50" t="n">
        <v>0</v>
      </c>
      <c r="D101" s="50" t="n">
        <v>0</v>
      </c>
      <c r="E101" s="50" t="n">
        <v>0</v>
      </c>
      <c r="F101" s="10" t="n">
        <v>0</v>
      </c>
      <c r="H101" s="12" t="n">
        <v>90</v>
      </c>
      <c r="I101" s="50" t="n">
        <v>1</v>
      </c>
      <c r="J101" s="50" t="n">
        <v>0</v>
      </c>
      <c r="K101" s="50" t="n">
        <v>0</v>
      </c>
      <c r="L101" s="50" t="n">
        <v>1</v>
      </c>
      <c r="M101" s="10" t="n">
        <v>1.245081926390756e-05</v>
      </c>
    </row>
    <row r="102" spans="1:18">
      <c r="B102" s="49" t="n"/>
      <c r="C102" s="49" t="n"/>
      <c r="D102" s="49" t="n"/>
      <c r="E102" s="49" t="n">
        <v>22362.4894044785</v>
      </c>
      <c r="F102" s="10" t="n">
        <v>1</v>
      </c>
      <c r="I102" s="49" t="n"/>
      <c r="J102" s="49" t="n"/>
      <c r="K102" s="49" t="n"/>
      <c r="L102" s="49" t="n">
        <v>80316</v>
      </c>
      <c r="M102" s="10" t="n">
        <v>1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R102"/>
  <sheetViews>
    <sheetView workbookViewId="0">
      <selection activeCell="I33" sqref="I33"/>
    </sheetView>
  </sheetViews>
  <sheetFormatPr baseColWidth="10" defaultRowHeight="15" outlineLevelCol="0"/>
  <cols>
    <col collapsed="1" customWidth="1" max="1" min="1" style="52" width="13.5703125"/>
    <col collapsed="1" customWidth="1" max="2" min="2" style="52" width="10.5703125"/>
    <col collapsed="1" customWidth="1" max="4" min="3" style="52" width="9.28515625"/>
    <col collapsed="1" customWidth="1" max="5" min="5" style="52" width="10.5703125"/>
    <col collapsed="1" customWidth="1" max="9" min="9" style="52" width="10.5703125"/>
    <col collapsed="1" customWidth="1" max="11" min="10" style="52" width="9.5703125"/>
    <col collapsed="1" customWidth="1" max="12" min="12" style="52" width="10.5703125"/>
  </cols>
  <sheetData>
    <row r="1" spans="1:18">
      <c r="A1" t="s">
        <v>0</v>
      </c>
    </row>
    <row r="2" spans="1:18">
      <c r="A2" t="s">
        <v>1</v>
      </c>
    </row>
    <row r="3" spans="1:18">
      <c r="A3" t="s">
        <v>2</v>
      </c>
    </row>
    <row r="4" spans="1:18">
      <c r="A4" t="s">
        <v>3</v>
      </c>
    </row>
    <row r="5" spans="1:18">
      <c r="A5" t="s">
        <v>4</v>
      </c>
    </row>
    <row r="6" spans="1:18"/>
    <row r="7" spans="1:18">
      <c r="A7" t="s">
        <v>5</v>
      </c>
    </row>
    <row r="8" spans="1:18"/>
    <row customHeight="1" ht="15.75" r="9" s="52" spans="1:18">
      <c r="A9" s="3" t="s">
        <v>6</v>
      </c>
      <c r="B9" s="1" t="n"/>
      <c r="C9" s="1" t="n"/>
      <c r="D9" s="1" t="n"/>
      <c r="E9" s="1" t="n"/>
      <c r="F9" s="1" t="n"/>
      <c r="H9" s="3" t="s">
        <v>7</v>
      </c>
      <c r="I9" s="1" t="n"/>
      <c r="J9" s="1" t="n"/>
      <c r="K9" s="1" t="n"/>
      <c r="L9" s="1" t="n"/>
      <c r="M9" s="1" t="n"/>
      <c r="P9" s="7" t="s">
        <v>20</v>
      </c>
    </row>
    <row r="10" spans="1:18">
      <c r="A10" s="2" t="s">
        <v>9</v>
      </c>
      <c r="B10" s="17" t="s">
        <v>10</v>
      </c>
      <c r="C10" s="17" t="s">
        <v>11</v>
      </c>
      <c r="D10" s="17" t="s">
        <v>12</v>
      </c>
      <c r="E10" s="17" t="s">
        <v>13</v>
      </c>
      <c r="F10" s="9" t="s">
        <v>14</v>
      </c>
      <c r="H10" s="2" t="s">
        <v>9</v>
      </c>
      <c r="I10" s="17" t="s">
        <v>10</v>
      </c>
      <c r="J10" s="17" t="s">
        <v>11</v>
      </c>
      <c r="K10" s="17" t="s">
        <v>12</v>
      </c>
      <c r="L10" s="17" t="s">
        <v>13</v>
      </c>
      <c r="M10" s="9" t="s">
        <v>21</v>
      </c>
      <c r="P10" s="2" t="n"/>
      <c r="Q10" s="17" t="s">
        <v>14</v>
      </c>
      <c r="R10" s="17" t="s">
        <v>21</v>
      </c>
    </row>
    <row r="11" spans="1:18">
      <c r="A11" t="n">
        <v>0</v>
      </c>
      <c r="B11" s="49" t="n">
        <v>25355.8677967829</v>
      </c>
      <c r="C11" s="49" t="n">
        <v>585.5319068026</v>
      </c>
      <c r="D11" s="49" t="n">
        <v>1693.8448047706</v>
      </c>
      <c r="E11" s="49" t="n">
        <v>27635.2445083561</v>
      </c>
      <c r="F11" s="10" t="n">
        <v>0.1709248451531824</v>
      </c>
      <c r="H11" s="11" t="n">
        <v>0</v>
      </c>
      <c r="I11" s="51" t="n">
        <v>38216</v>
      </c>
      <c r="J11" s="51" t="n">
        <v>3596</v>
      </c>
      <c r="K11" s="51" t="n">
        <v>3408</v>
      </c>
      <c r="L11" s="49" t="n">
        <v>45220</v>
      </c>
      <c r="M11" s="10" t="n">
        <v>0.3135074425086142</v>
      </c>
      <c r="P11" t="s">
        <v>10</v>
      </c>
      <c r="Q11" s="5" t="n">
        <v>3.917304119234497</v>
      </c>
      <c r="R11" s="5" t="n">
        <v>4.962795878302434</v>
      </c>
    </row>
    <row r="12" spans="1:18">
      <c r="A12" t="n">
        <v>1</v>
      </c>
      <c r="B12" s="49" t="n">
        <v>16518.2922769167</v>
      </c>
      <c r="C12" s="49" t="n">
        <v>1000.3858103575</v>
      </c>
      <c r="D12" s="49" t="n">
        <v>1270.553164984</v>
      </c>
      <c r="E12" s="49" t="n">
        <v>18789.2312522582</v>
      </c>
      <c r="F12" s="10" t="n">
        <v>0.1162119785612351</v>
      </c>
      <c r="H12" s="11" t="n">
        <v>1</v>
      </c>
      <c r="I12" s="51" t="n">
        <v>12614</v>
      </c>
      <c r="J12" s="51" t="n">
        <v>1537</v>
      </c>
      <c r="K12" s="51" t="n">
        <v>1225</v>
      </c>
      <c r="L12" s="49" t="n">
        <v>15376</v>
      </c>
      <c r="M12" s="10" t="n">
        <v>0.1066008499781612</v>
      </c>
      <c r="P12" t="s">
        <v>11</v>
      </c>
      <c r="Q12" s="5" t="n">
        <v>4.697244245822938</v>
      </c>
      <c r="R12" s="5" t="n">
        <v>4.711353388365612</v>
      </c>
    </row>
    <row r="13" spans="1:18">
      <c r="A13" t="n">
        <v>2</v>
      </c>
      <c r="B13" s="49" t="n">
        <v>8768.9999038182</v>
      </c>
      <c r="C13" s="49" t="n">
        <v>0</v>
      </c>
      <c r="D13" s="49" t="n">
        <v>0</v>
      </c>
      <c r="E13" s="49" t="n">
        <v>8768.9999038182</v>
      </c>
      <c r="F13" s="10" t="n">
        <v>0.05423653661740503</v>
      </c>
      <c r="H13" s="11" t="n">
        <v>2</v>
      </c>
      <c r="I13" s="51" t="n">
        <v>7852</v>
      </c>
      <c r="J13" s="51" t="n">
        <v>853</v>
      </c>
      <c r="K13" s="51" t="n">
        <v>721</v>
      </c>
      <c r="L13" s="49" t="n">
        <v>9426</v>
      </c>
      <c r="M13" s="10" t="n">
        <v>0.06534987070071201</v>
      </c>
      <c r="P13" s="4" t="s">
        <v>12</v>
      </c>
      <c r="Q13" s="8" t="n">
        <v>4.455458028041579</v>
      </c>
      <c r="R13" s="8" t="n">
        <v>4.539576802151675</v>
      </c>
    </row>
    <row customHeight="1" ht="15.75" r="14" s="52" spans="1:18">
      <c r="A14" t="n">
        <v>3</v>
      </c>
      <c r="B14" s="49" t="n">
        <v>24100.8544129426</v>
      </c>
      <c r="C14" s="49" t="n">
        <v>764.363108539</v>
      </c>
      <c r="D14" s="49" t="n">
        <v>0</v>
      </c>
      <c r="E14" s="49" t="n">
        <v>24865.2175214816</v>
      </c>
      <c r="F14" s="10" t="n">
        <v>0.1537921422506082</v>
      </c>
      <c r="H14" s="11" t="n">
        <v>3</v>
      </c>
      <c r="I14" s="51" t="n">
        <v>3698</v>
      </c>
      <c r="J14" s="51" t="n">
        <v>413</v>
      </c>
      <c r="K14" s="51" t="n">
        <v>315</v>
      </c>
      <c r="L14" s="49" t="n">
        <v>4426</v>
      </c>
      <c r="M14" s="10" t="n">
        <v>0.03068518223226728</v>
      </c>
      <c r="P14" s="1" t="s">
        <v>13</v>
      </c>
      <c r="Q14" s="6" t="n">
        <v>3.96610807232636</v>
      </c>
      <c r="R14" s="6" t="n">
        <v>4.908052759183149</v>
      </c>
    </row>
    <row r="15" spans="1:18">
      <c r="A15" t="n">
        <v>4</v>
      </c>
      <c r="B15" s="49" t="n">
        <v>33855.9141608991</v>
      </c>
      <c r="C15" s="49" t="n">
        <v>1001.4134433272</v>
      </c>
      <c r="D15" s="49" t="n">
        <v>295.6132959603</v>
      </c>
      <c r="E15" s="49" t="n">
        <v>35152.94090018659</v>
      </c>
      <c r="F15" s="10" t="n">
        <v>0.2174220307052671</v>
      </c>
      <c r="H15" s="11" t="n">
        <v>4</v>
      </c>
      <c r="I15" s="51" t="n">
        <v>14849</v>
      </c>
      <c r="J15" s="51" t="n">
        <v>1904</v>
      </c>
      <c r="K15" s="51" t="n">
        <v>1449</v>
      </c>
      <c r="L15" s="49" t="n">
        <v>18202</v>
      </c>
      <c r="M15" s="10" t="n">
        <v>0.1261933319005262</v>
      </c>
    </row>
    <row r="16" spans="1:18">
      <c r="A16" t="n">
        <v>5</v>
      </c>
      <c r="B16" s="49" t="n">
        <v>16114.7541682545</v>
      </c>
      <c r="C16" s="49" t="n">
        <v>1762.380686484</v>
      </c>
      <c r="D16" s="49" t="n">
        <v>86.29215148919999</v>
      </c>
      <c r="E16" s="49" t="n">
        <v>17963.4270062277</v>
      </c>
      <c r="F16" s="10" t="n">
        <v>0.1111043536644507</v>
      </c>
      <c r="H16" s="11" t="n">
        <v>5</v>
      </c>
      <c r="I16" s="51" t="n">
        <v>9382</v>
      </c>
      <c r="J16" s="51" t="n">
        <v>1128</v>
      </c>
      <c r="K16" s="51" t="n">
        <v>1010</v>
      </c>
      <c r="L16" s="49" t="n">
        <v>11520</v>
      </c>
      <c r="M16" s="10" t="n">
        <v>0.07986744223129667</v>
      </c>
    </row>
    <row r="17" spans="1:18">
      <c r="A17" t="n">
        <v>6</v>
      </c>
      <c r="B17" s="49" t="n">
        <v>7753.7434936679</v>
      </c>
      <c r="C17" s="49" t="n">
        <v>321.1044334949</v>
      </c>
      <c r="D17" s="49" t="n">
        <v>0</v>
      </c>
      <c r="E17" s="49" t="n">
        <v>8074.8479271628</v>
      </c>
      <c r="F17" s="10" t="n">
        <v>0.04994318509353037</v>
      </c>
      <c r="H17" s="11" t="n">
        <v>6</v>
      </c>
      <c r="I17" s="51" t="n">
        <v>7929</v>
      </c>
      <c r="J17" s="51" t="n">
        <v>956</v>
      </c>
      <c r="K17" s="51" t="n">
        <v>799</v>
      </c>
      <c r="L17" s="49" t="n">
        <v>9684</v>
      </c>
      <c r="M17" s="10" t="n">
        <v>0.06713856862568376</v>
      </c>
    </row>
    <row r="18" spans="1:18">
      <c r="A18" t="n">
        <v>7</v>
      </c>
      <c r="B18" s="49" t="n">
        <v>1104.0112126568</v>
      </c>
      <c r="C18" s="49" t="n">
        <v>92.3910074567</v>
      </c>
      <c r="D18" s="49" t="n">
        <v>0</v>
      </c>
      <c r="E18" s="49" t="n">
        <v>1196.4022201135</v>
      </c>
      <c r="F18" s="10" t="n">
        <v>0.007399784870801134</v>
      </c>
      <c r="H18" s="11" t="n">
        <v>7</v>
      </c>
      <c r="I18" s="51" t="n">
        <v>3723</v>
      </c>
      <c r="J18" s="51" t="n">
        <v>400</v>
      </c>
      <c r="K18" s="51" t="n">
        <v>368</v>
      </c>
      <c r="L18" s="49" t="n">
        <v>4491</v>
      </c>
      <c r="M18" s="10" t="n">
        <v>0.03113582318235706</v>
      </c>
    </row>
    <row r="19" spans="1:18">
      <c r="A19" t="n">
        <v>8</v>
      </c>
      <c r="B19" s="49" t="n">
        <v>4243.7919333589</v>
      </c>
      <c r="C19" s="49" t="n">
        <v>0</v>
      </c>
      <c r="D19" s="49" t="n">
        <v>2144.3964313735</v>
      </c>
      <c r="E19" s="49" t="n">
        <v>6388.188364732399</v>
      </c>
      <c r="F19" s="10" t="n">
        <v>0.03951114334165155</v>
      </c>
      <c r="H19" s="11" t="n">
        <v>8</v>
      </c>
      <c r="I19" s="51" t="n">
        <v>5031</v>
      </c>
      <c r="J19" s="51" t="n">
        <v>473</v>
      </c>
      <c r="K19" s="51" t="n">
        <v>420</v>
      </c>
      <c r="L19" s="49" t="n">
        <v>5924</v>
      </c>
      <c r="M19" s="10" t="n">
        <v>0.04107072289741332</v>
      </c>
    </row>
    <row r="20" spans="1:18">
      <c r="A20" t="n">
        <v>9</v>
      </c>
      <c r="B20" s="49" t="n">
        <v>1240.02198926</v>
      </c>
      <c r="C20" s="49" t="n">
        <v>0</v>
      </c>
      <c r="D20" s="49" t="n">
        <v>0</v>
      </c>
      <c r="E20" s="49" t="n">
        <v>1240.02198926</v>
      </c>
      <c r="F20" s="10" t="n">
        <v>0.007669574497041955</v>
      </c>
      <c r="H20" s="11" t="n">
        <v>9</v>
      </c>
      <c r="I20" s="51" t="n">
        <v>2599</v>
      </c>
      <c r="J20" s="51" t="n">
        <v>319</v>
      </c>
      <c r="K20" s="51" t="n">
        <v>272</v>
      </c>
      <c r="L20" s="49" t="n">
        <v>3190</v>
      </c>
      <c r="M20" s="10" t="n">
        <v>0.02211607124286774</v>
      </c>
    </row>
    <row r="21" spans="1:18">
      <c r="A21" t="n">
        <v>10</v>
      </c>
      <c r="B21" s="49" t="n">
        <v>6464.3078289809</v>
      </c>
      <c r="C21" s="49" t="n">
        <v>0</v>
      </c>
      <c r="D21" s="49" t="n">
        <v>0</v>
      </c>
      <c r="E21" s="49" t="n">
        <v>6464.3078289809</v>
      </c>
      <c r="F21" s="10" t="n">
        <v>0.03998194459097229</v>
      </c>
      <c r="H21" s="11" t="n">
        <v>10</v>
      </c>
      <c r="I21" s="51" t="n">
        <v>1364</v>
      </c>
      <c r="J21" s="51" t="n">
        <v>159</v>
      </c>
      <c r="K21" s="51" t="n">
        <v>94</v>
      </c>
      <c r="L21" s="49" t="n">
        <v>1617</v>
      </c>
      <c r="M21" s="10" t="n">
        <v>0.01121056025069503</v>
      </c>
    </row>
    <row r="22" spans="1:18">
      <c r="A22" t="n">
        <v>11</v>
      </c>
      <c r="B22" s="49" t="n">
        <v>0</v>
      </c>
      <c r="C22" s="49" t="n">
        <v>0</v>
      </c>
      <c r="D22" s="49" t="n">
        <v>0</v>
      </c>
      <c r="E22" s="49" t="n">
        <v>0</v>
      </c>
      <c r="F22" s="10" t="n">
        <v>0</v>
      </c>
      <c r="H22" s="11" t="n">
        <v>11</v>
      </c>
      <c r="I22" s="51" t="n">
        <v>1412</v>
      </c>
      <c r="J22" s="51" t="n">
        <v>134</v>
      </c>
      <c r="K22" s="51" t="n">
        <v>118</v>
      </c>
      <c r="L22" s="49" t="n">
        <v>1664</v>
      </c>
      <c r="M22" s="10" t="n">
        <v>0.01153640832229841</v>
      </c>
    </row>
    <row r="23" spans="1:18">
      <c r="A23" t="n">
        <v>12</v>
      </c>
      <c r="B23" s="49" t="n">
        <v>1326.075297753</v>
      </c>
      <c r="C23" s="49" t="n">
        <v>0</v>
      </c>
      <c r="D23" s="49" t="n">
        <v>0</v>
      </c>
      <c r="E23" s="49" t="n">
        <v>1326.075297753</v>
      </c>
      <c r="F23" s="10" t="n">
        <v>0.008201816881386974</v>
      </c>
      <c r="H23" s="11" t="n">
        <v>12</v>
      </c>
      <c r="I23" s="51" t="n">
        <v>1489</v>
      </c>
      <c r="J23" s="51" t="n">
        <v>134</v>
      </c>
      <c r="K23" s="51" t="n">
        <v>93</v>
      </c>
      <c r="L23" s="49" t="n">
        <v>1716</v>
      </c>
      <c r="M23" s="10" t="n">
        <v>0.01189692108237023</v>
      </c>
    </row>
    <row r="24" spans="1:18">
      <c r="A24" t="n">
        <v>13</v>
      </c>
      <c r="B24" s="49" t="n">
        <v>113.821184442</v>
      </c>
      <c r="C24" s="49" t="n">
        <v>0</v>
      </c>
      <c r="D24" s="49" t="n">
        <v>0</v>
      </c>
      <c r="E24" s="49" t="n">
        <v>113.821184442</v>
      </c>
      <c r="F24" s="10" t="n">
        <v>0.0007039875590758052</v>
      </c>
      <c r="H24" s="11" t="n">
        <v>13</v>
      </c>
      <c r="I24" s="51" t="n">
        <v>1780</v>
      </c>
      <c r="J24" s="51" t="n">
        <v>144</v>
      </c>
      <c r="K24" s="51" t="n">
        <v>123</v>
      </c>
      <c r="L24" s="49" t="n">
        <v>2047</v>
      </c>
      <c r="M24" s="10" t="n">
        <v>0.01419172345898127</v>
      </c>
    </row>
    <row r="25" spans="1:18">
      <c r="A25" t="n">
        <v>14</v>
      </c>
      <c r="B25" s="49" t="n">
        <v>47.4452354385</v>
      </c>
      <c r="C25" s="49" t="n">
        <v>209.4327097914</v>
      </c>
      <c r="D25" s="49" t="n">
        <v>0</v>
      </c>
      <c r="E25" s="49" t="n">
        <v>256.8779452299</v>
      </c>
      <c r="F25" s="10" t="n">
        <v>0.001588798065398414</v>
      </c>
      <c r="H25" s="11" t="n">
        <v>14</v>
      </c>
      <c r="I25" s="51" t="n">
        <v>739</v>
      </c>
      <c r="J25" s="51" t="n">
        <v>81</v>
      </c>
      <c r="K25" s="51" t="n">
        <v>60</v>
      </c>
      <c r="L25" s="49" t="n">
        <v>880</v>
      </c>
      <c r="M25" s="10" t="n">
        <v>0.006100985170446273</v>
      </c>
    </row>
    <row r="26" spans="1:18">
      <c r="A26" t="n">
        <v>15</v>
      </c>
      <c r="B26" s="49" t="n">
        <v>0</v>
      </c>
      <c r="C26" s="49" t="n">
        <v>0</v>
      </c>
      <c r="D26" s="49" t="n">
        <v>0</v>
      </c>
      <c r="E26" s="49" t="n">
        <v>0</v>
      </c>
      <c r="F26" s="10" t="n">
        <v>0</v>
      </c>
      <c r="H26" s="11" t="n">
        <v>15</v>
      </c>
      <c r="I26" s="51" t="n">
        <v>854</v>
      </c>
      <c r="J26" s="51" t="n">
        <v>85</v>
      </c>
      <c r="K26" s="51" t="n">
        <v>64</v>
      </c>
      <c r="L26" s="49" t="n">
        <v>1003</v>
      </c>
      <c r="M26" s="10" t="n">
        <v>0.006953736506770013</v>
      </c>
    </row>
    <row r="27" spans="1:18">
      <c r="A27" t="n">
        <v>16</v>
      </c>
      <c r="B27" s="49" t="n">
        <v>0</v>
      </c>
      <c r="C27" s="49" t="n">
        <v>0</v>
      </c>
      <c r="D27" s="49" t="n">
        <v>383.206555392</v>
      </c>
      <c r="E27" s="49" t="n">
        <v>383.206555392</v>
      </c>
      <c r="F27" s="10" t="n">
        <v>0.002370144440815671</v>
      </c>
      <c r="H27" s="11" t="n">
        <v>16</v>
      </c>
      <c r="I27" s="51" t="n">
        <v>745</v>
      </c>
      <c r="J27" s="51" t="n">
        <v>82</v>
      </c>
      <c r="K27" s="51" t="n">
        <v>56</v>
      </c>
      <c r="L27" s="49" t="n">
        <v>883</v>
      </c>
      <c r="M27" s="10" t="n">
        <v>0.00612178398352734</v>
      </c>
    </row>
    <row r="28" spans="1:18">
      <c r="A28" t="n">
        <v>17</v>
      </c>
      <c r="B28" s="49" t="n">
        <v>241.8854556355</v>
      </c>
      <c r="C28" s="49" t="n">
        <v>0</v>
      </c>
      <c r="D28" s="49" t="n">
        <v>0</v>
      </c>
      <c r="E28" s="49" t="n">
        <v>241.8854556355</v>
      </c>
      <c r="F28" s="10" t="n">
        <v>0.001496069051851649</v>
      </c>
      <c r="H28" s="11" t="n">
        <v>17</v>
      </c>
      <c r="I28" s="51" t="n">
        <v>704</v>
      </c>
      <c r="J28" s="51" t="n">
        <v>43</v>
      </c>
      <c r="K28" s="51" t="n">
        <v>46</v>
      </c>
      <c r="L28" s="49" t="n">
        <v>793</v>
      </c>
      <c r="M28" s="10" t="n">
        <v>0.005497819591095335</v>
      </c>
    </row>
    <row r="29" spans="1:18">
      <c r="A29" t="n">
        <v>18</v>
      </c>
      <c r="B29" s="49" t="n">
        <v>264.4327433284</v>
      </c>
      <c r="C29" s="49" t="n">
        <v>0</v>
      </c>
      <c r="D29" s="49" t="n">
        <v>0</v>
      </c>
      <c r="E29" s="49" t="n">
        <v>264.4327433284</v>
      </c>
      <c r="F29" s="10" t="n">
        <v>0.001635524726157982</v>
      </c>
      <c r="H29" s="11" t="n">
        <v>18</v>
      </c>
      <c r="I29" s="51" t="n">
        <v>547</v>
      </c>
      <c r="J29" s="51" t="n">
        <v>59</v>
      </c>
      <c r="K29" s="51" t="n">
        <v>42</v>
      </c>
      <c r="L29" s="49" t="n">
        <v>648</v>
      </c>
      <c r="M29" s="10" t="n">
        <v>0.004492543625510438</v>
      </c>
    </row>
    <row r="30" spans="1:18">
      <c r="A30" t="n">
        <v>19</v>
      </c>
      <c r="B30" s="49" t="n">
        <v>18.7005063981</v>
      </c>
      <c r="C30" s="49" t="n">
        <v>0</v>
      </c>
      <c r="D30" s="49" t="n">
        <v>0</v>
      </c>
      <c r="E30" s="49" t="n">
        <v>18.7005063981</v>
      </c>
      <c r="F30" s="10" t="n">
        <v>0.0001156632125840191</v>
      </c>
      <c r="H30" s="11" t="n">
        <v>19</v>
      </c>
      <c r="I30" s="51" t="n">
        <v>404</v>
      </c>
      <c r="J30" s="51" t="n">
        <v>34</v>
      </c>
      <c r="K30" s="51" t="n">
        <v>27</v>
      </c>
      <c r="L30" s="49" t="n">
        <v>465</v>
      </c>
      <c r="M30" s="10" t="n">
        <v>0.00322381602756536</v>
      </c>
    </row>
    <row r="31" spans="1:18">
      <c r="A31" t="n">
        <v>20</v>
      </c>
      <c r="B31" s="49" t="n">
        <v>137.2863313454</v>
      </c>
      <c r="C31" s="49" t="n">
        <v>0</v>
      </c>
      <c r="D31" s="49" t="n">
        <v>0</v>
      </c>
      <c r="E31" s="49" t="n">
        <v>137.2863313454</v>
      </c>
      <c r="F31" s="10" t="n">
        <v>0.0008491202210917892</v>
      </c>
      <c r="H31" s="11" t="n">
        <v>20</v>
      </c>
      <c r="I31" s="51" t="n">
        <v>426</v>
      </c>
      <c r="J31" s="51" t="n">
        <v>36</v>
      </c>
      <c r="K31" s="51" t="n">
        <v>31</v>
      </c>
      <c r="L31" s="49" t="n">
        <v>493</v>
      </c>
      <c r="M31" s="10" t="n">
        <v>0.003417938282988651</v>
      </c>
    </row>
    <row r="32" spans="1:18">
      <c r="A32" t="n">
        <v>21</v>
      </c>
      <c r="B32" s="49" t="n">
        <v>0</v>
      </c>
      <c r="C32" s="49" t="n">
        <v>327.039856179</v>
      </c>
      <c r="D32" s="49" t="n">
        <v>0</v>
      </c>
      <c r="E32" s="49" t="n">
        <v>327.039856179</v>
      </c>
      <c r="F32" s="10" t="n">
        <v>0.002022751662624599</v>
      </c>
      <c r="H32" s="11" t="n">
        <v>21</v>
      </c>
      <c r="I32" s="51" t="n">
        <v>405</v>
      </c>
      <c r="J32" s="51" t="n">
        <v>37</v>
      </c>
      <c r="K32" s="51" t="n">
        <v>30</v>
      </c>
      <c r="L32" s="49" t="n">
        <v>472</v>
      </c>
      <c r="M32" s="10" t="n">
        <v>0.003272346591421183</v>
      </c>
    </row>
    <row r="33" spans="1:18">
      <c r="A33" t="n">
        <v>22</v>
      </c>
      <c r="B33" s="49" t="n">
        <v>0</v>
      </c>
      <c r="C33" s="49" t="n">
        <v>0</v>
      </c>
      <c r="D33" s="49" t="n">
        <v>0</v>
      </c>
      <c r="E33" s="49" t="n">
        <v>0</v>
      </c>
      <c r="F33" s="10" t="n">
        <v>0</v>
      </c>
      <c r="H33" s="11" t="n">
        <v>22</v>
      </c>
      <c r="I33" s="51" t="n">
        <v>264</v>
      </c>
      <c r="J33" s="51" t="n">
        <v>27</v>
      </c>
      <c r="K33" s="51" t="n">
        <v>21</v>
      </c>
      <c r="L33" s="49" t="n">
        <v>312</v>
      </c>
      <c r="M33" s="10" t="n">
        <v>0.002163076560430952</v>
      </c>
    </row>
    <row r="34" spans="1:18">
      <c r="A34" t="n">
        <v>23</v>
      </c>
      <c r="B34" s="49" t="n">
        <v>0</v>
      </c>
      <c r="C34" s="49" t="n">
        <v>0</v>
      </c>
      <c r="D34" s="49" t="n">
        <v>0</v>
      </c>
      <c r="E34" s="49" t="n">
        <v>0</v>
      </c>
      <c r="F34" s="10" t="n">
        <v>0</v>
      </c>
      <c r="H34" s="11" t="n">
        <v>23</v>
      </c>
      <c r="I34" s="51" t="n">
        <v>320</v>
      </c>
      <c r="J34" s="51" t="n">
        <v>28</v>
      </c>
      <c r="K34" s="51" t="n">
        <v>23</v>
      </c>
      <c r="L34" s="49" t="n">
        <v>371</v>
      </c>
      <c r="M34" s="10" t="n">
        <v>0.002572119884358599</v>
      </c>
    </row>
    <row r="35" spans="1:18">
      <c r="A35" t="n">
        <v>24</v>
      </c>
      <c r="B35" s="49" t="n">
        <v>66.5041244869</v>
      </c>
      <c r="C35" s="49" t="n">
        <v>0</v>
      </c>
      <c r="D35" s="49" t="n">
        <v>0</v>
      </c>
      <c r="E35" s="49" t="n">
        <v>66.5041244869</v>
      </c>
      <c r="F35" s="10" t="n">
        <v>0.0004113300744103867</v>
      </c>
      <c r="H35" s="11" t="n">
        <v>24</v>
      </c>
      <c r="I35" s="51" t="n">
        <v>287</v>
      </c>
      <c r="J35" s="51" t="n">
        <v>28</v>
      </c>
      <c r="K35" s="51" t="n">
        <v>30</v>
      </c>
      <c r="L35" s="49" t="n">
        <v>345</v>
      </c>
      <c r="M35" s="10" t="n">
        <v>0.002391863504322687</v>
      </c>
    </row>
    <row r="36" spans="1:18">
      <c r="A36" t="n">
        <v>25</v>
      </c>
      <c r="B36" s="49" t="n">
        <v>0</v>
      </c>
      <c r="C36" s="49" t="n">
        <v>0</v>
      </c>
      <c r="D36" s="49" t="n">
        <v>0</v>
      </c>
      <c r="E36" s="49" t="n">
        <v>0</v>
      </c>
      <c r="F36" s="10" t="n">
        <v>0</v>
      </c>
      <c r="H36" s="11" t="n">
        <v>25</v>
      </c>
      <c r="I36" s="51" t="n">
        <v>297</v>
      </c>
      <c r="J36" s="51" t="n">
        <v>27</v>
      </c>
      <c r="K36" s="51" t="n">
        <v>21</v>
      </c>
      <c r="L36" s="49" t="n">
        <v>345</v>
      </c>
      <c r="M36" s="10" t="n">
        <v>0.002391863504322687</v>
      </c>
    </row>
    <row r="37" spans="1:18">
      <c r="A37" t="n">
        <v>26</v>
      </c>
      <c r="B37" s="49" t="n">
        <v>0</v>
      </c>
      <c r="C37" s="49" t="n">
        <v>0</v>
      </c>
      <c r="D37" s="49" t="n">
        <v>0</v>
      </c>
      <c r="E37" s="49" t="n">
        <v>0</v>
      </c>
      <c r="F37" s="10" t="n">
        <v>0</v>
      </c>
      <c r="H37" s="11" t="n">
        <v>26</v>
      </c>
      <c r="I37" s="51" t="n">
        <v>249</v>
      </c>
      <c r="J37" s="51" t="n">
        <v>16</v>
      </c>
      <c r="K37" s="51" t="n">
        <v>16</v>
      </c>
      <c r="L37" s="49" t="n">
        <v>281</v>
      </c>
      <c r="M37" s="10" t="n">
        <v>0.001948155491926594</v>
      </c>
    </row>
    <row r="38" spans="1:18">
      <c r="A38" t="n">
        <v>27</v>
      </c>
      <c r="B38" s="49" t="n">
        <v>0</v>
      </c>
      <c r="C38" s="49" t="n">
        <v>0</v>
      </c>
      <c r="D38" s="49" t="n">
        <v>0</v>
      </c>
      <c r="E38" s="49" t="n">
        <v>0</v>
      </c>
      <c r="F38" s="10" t="n">
        <v>0</v>
      </c>
      <c r="H38" s="11" t="n">
        <v>27</v>
      </c>
      <c r="I38" s="51" t="n">
        <v>247</v>
      </c>
      <c r="J38" s="51" t="n">
        <v>20</v>
      </c>
      <c r="K38" s="51" t="n">
        <v>17</v>
      </c>
      <c r="L38" s="49" t="n">
        <v>284</v>
      </c>
      <c r="M38" s="10" t="n">
        <v>0.001968954305007661</v>
      </c>
    </row>
    <row r="39" spans="1:18">
      <c r="A39" t="n">
        <v>28</v>
      </c>
      <c r="B39" s="49" t="n">
        <v>83.3978248895</v>
      </c>
      <c r="C39" s="49" t="n">
        <v>0</v>
      </c>
      <c r="D39" s="49" t="n">
        <v>0</v>
      </c>
      <c r="E39" s="49" t="n">
        <v>83.3978248895</v>
      </c>
      <c r="F39" s="10" t="n">
        <v>0.0005158181358243376</v>
      </c>
      <c r="H39" s="11" t="n">
        <v>28</v>
      </c>
      <c r="I39" s="51" t="n">
        <v>180</v>
      </c>
      <c r="J39" s="51" t="n">
        <v>14</v>
      </c>
      <c r="K39" s="51" t="n">
        <v>13</v>
      </c>
      <c r="L39" s="49" t="n">
        <v>207</v>
      </c>
      <c r="M39" s="10" t="n">
        <v>0.001435118102593612</v>
      </c>
    </row>
    <row r="40" spans="1:18">
      <c r="A40" t="n">
        <v>29</v>
      </c>
      <c r="B40" s="49" t="n">
        <v>181.889208126</v>
      </c>
      <c r="C40" s="49" t="n">
        <v>0</v>
      </c>
      <c r="D40" s="49" t="n">
        <v>0</v>
      </c>
      <c r="E40" s="49" t="n">
        <v>181.889208126</v>
      </c>
      <c r="F40" s="10" t="n">
        <v>0.001124990398567705</v>
      </c>
      <c r="H40" s="11" t="n">
        <v>29</v>
      </c>
      <c r="I40" s="51" t="n">
        <v>200</v>
      </c>
      <c r="J40" s="51" t="n">
        <v>9</v>
      </c>
      <c r="K40" s="51" t="n">
        <v>13</v>
      </c>
      <c r="L40" s="49" t="n">
        <v>222</v>
      </c>
      <c r="M40" s="10" t="n">
        <v>0.001539112167998946</v>
      </c>
    </row>
    <row r="41" spans="1:18">
      <c r="A41" t="n">
        <v>30</v>
      </c>
      <c r="B41" s="49" t="n">
        <v>0</v>
      </c>
      <c r="C41" s="49" t="n">
        <v>0</v>
      </c>
      <c r="D41" s="49" t="n">
        <v>0</v>
      </c>
      <c r="E41" s="49" t="n">
        <v>0</v>
      </c>
      <c r="F41" s="10" t="n">
        <v>0</v>
      </c>
      <c r="H41" s="11" t="n">
        <v>30</v>
      </c>
      <c r="I41" s="51" t="n">
        <v>137</v>
      </c>
      <c r="J41" s="51" t="n">
        <v>7</v>
      </c>
      <c r="K41" s="51" t="n">
        <v>9</v>
      </c>
      <c r="L41" s="49" t="n">
        <v>153</v>
      </c>
      <c r="M41" s="10" t="n">
        <v>0.001060739467134409</v>
      </c>
    </row>
    <row r="42" spans="1:18">
      <c r="A42" t="n">
        <v>31</v>
      </c>
      <c r="B42" s="49" t="n">
        <v>0</v>
      </c>
      <c r="C42" s="49" t="n">
        <v>0</v>
      </c>
      <c r="D42" s="49" t="n">
        <v>0</v>
      </c>
      <c r="E42" s="49" t="n">
        <v>0</v>
      </c>
      <c r="F42" s="10" t="n">
        <v>0</v>
      </c>
      <c r="H42" s="11" t="n">
        <v>31</v>
      </c>
      <c r="I42" s="51" t="n">
        <v>142</v>
      </c>
      <c r="J42" s="51" t="n">
        <v>21</v>
      </c>
      <c r="K42" s="51" t="n">
        <v>8</v>
      </c>
      <c r="L42" s="49" t="n">
        <v>171</v>
      </c>
      <c r="M42" s="10" t="n">
        <v>0.00118553234562081</v>
      </c>
    </row>
    <row r="43" spans="1:18">
      <c r="A43" t="n">
        <v>32</v>
      </c>
      <c r="B43" s="49" t="n">
        <v>0</v>
      </c>
      <c r="C43" s="49" t="n">
        <v>0</v>
      </c>
      <c r="D43" s="49" t="n">
        <v>0</v>
      </c>
      <c r="E43" s="49" t="n">
        <v>0</v>
      </c>
      <c r="F43" s="10" t="n">
        <v>0</v>
      </c>
      <c r="H43" s="11" t="n">
        <v>32</v>
      </c>
      <c r="I43" s="51" t="n">
        <v>129</v>
      </c>
      <c r="J43" s="51" t="n">
        <v>6</v>
      </c>
      <c r="K43" s="51" t="n">
        <v>8</v>
      </c>
      <c r="L43" s="49" t="n">
        <v>143</v>
      </c>
      <c r="M43" s="10" t="n">
        <v>0.0009914100901975195</v>
      </c>
    </row>
    <row r="44" spans="1:18">
      <c r="A44" t="n">
        <v>33</v>
      </c>
      <c r="B44" s="49" t="n">
        <v>275.309933567</v>
      </c>
      <c r="C44" s="49" t="n">
        <v>0</v>
      </c>
      <c r="D44" s="49" t="n">
        <v>0</v>
      </c>
      <c r="E44" s="49" t="n">
        <v>275.309933567</v>
      </c>
      <c r="F44" s="10" t="n">
        <v>0.001702800485439657</v>
      </c>
      <c r="H44" s="11" t="n">
        <v>33</v>
      </c>
      <c r="I44" s="51" t="n">
        <v>97</v>
      </c>
      <c r="J44" s="51" t="n">
        <v>8</v>
      </c>
      <c r="K44" s="51" t="n">
        <v>5</v>
      </c>
      <c r="L44" s="49" t="n">
        <v>110</v>
      </c>
      <c r="M44" s="10" t="n">
        <v>0.0007626231463057841</v>
      </c>
    </row>
    <row r="45" spans="1:18">
      <c r="A45" t="n">
        <v>34</v>
      </c>
      <c r="B45" s="49" t="n">
        <v>944.880646246</v>
      </c>
      <c r="C45" s="49" t="n">
        <v>0</v>
      </c>
      <c r="D45" s="49" t="n">
        <v>0</v>
      </c>
      <c r="E45" s="49" t="n">
        <v>944.880646246</v>
      </c>
      <c r="F45" s="10" t="n">
        <v>0.005844116128554695</v>
      </c>
      <c r="H45" s="11" t="n">
        <v>34</v>
      </c>
      <c r="I45" s="51" t="n">
        <v>70</v>
      </c>
      <c r="J45" s="51" t="n">
        <v>5</v>
      </c>
      <c r="K45" s="51" t="n">
        <v>5</v>
      </c>
      <c r="L45" s="49" t="n">
        <v>80</v>
      </c>
      <c r="M45" s="10" t="n">
        <v>0.0005546350154951158</v>
      </c>
    </row>
    <row r="46" spans="1:18">
      <c r="A46" t="n">
        <v>35</v>
      </c>
      <c r="B46" s="49" t="n">
        <v>0</v>
      </c>
      <c r="C46" s="49" t="n">
        <v>0</v>
      </c>
      <c r="D46" s="49" t="n">
        <v>0</v>
      </c>
      <c r="E46" s="49" t="n">
        <v>0</v>
      </c>
      <c r="F46" s="10" t="n">
        <v>0</v>
      </c>
      <c r="H46" s="11" t="n">
        <v>35</v>
      </c>
      <c r="I46" s="51" t="n">
        <v>96</v>
      </c>
      <c r="J46" s="51" t="n">
        <v>6</v>
      </c>
      <c r="K46" s="51" t="n">
        <v>2</v>
      </c>
      <c r="L46" s="49" t="n">
        <v>104</v>
      </c>
      <c r="M46" s="10" t="n">
        <v>0.0007210255201436505</v>
      </c>
    </row>
    <row r="47" spans="1:18">
      <c r="A47" t="n">
        <v>36</v>
      </c>
      <c r="B47" s="49" t="n">
        <v>0</v>
      </c>
      <c r="C47" s="49" t="n">
        <v>0</v>
      </c>
      <c r="D47" s="49" t="n">
        <v>0</v>
      </c>
      <c r="E47" s="49" t="n">
        <v>0</v>
      </c>
      <c r="F47" s="10" t="n">
        <v>0</v>
      </c>
      <c r="H47" s="11" t="n">
        <v>36</v>
      </c>
      <c r="I47" s="51" t="n">
        <v>119</v>
      </c>
      <c r="J47" s="51" t="n">
        <v>7</v>
      </c>
      <c r="K47" s="51" t="n">
        <v>3</v>
      </c>
      <c r="L47" s="49" t="n">
        <v>129</v>
      </c>
      <c r="M47" s="10" t="n">
        <v>0.0008943489624858741</v>
      </c>
    </row>
    <row r="48" spans="1:18">
      <c r="A48" t="n">
        <v>37</v>
      </c>
      <c r="B48" s="49" t="n">
        <v>0</v>
      </c>
      <c r="C48" s="49" t="n">
        <v>0</v>
      </c>
      <c r="D48" s="49" t="n">
        <v>0</v>
      </c>
      <c r="E48" s="49" t="n">
        <v>0</v>
      </c>
      <c r="F48" s="10" t="n">
        <v>0</v>
      </c>
      <c r="H48" s="11" t="n">
        <v>37</v>
      </c>
      <c r="I48" s="51" t="n">
        <v>67</v>
      </c>
      <c r="J48" s="51" t="n">
        <v>6</v>
      </c>
      <c r="K48" s="51" t="n">
        <v>4</v>
      </c>
      <c r="L48" s="49" t="n">
        <v>77</v>
      </c>
      <c r="M48" s="10" t="n">
        <v>0.0005338362024140489</v>
      </c>
    </row>
    <row r="49" spans="1:18">
      <c r="A49" t="n">
        <v>38</v>
      </c>
      <c r="B49" s="49" t="n">
        <v>520.538957349</v>
      </c>
      <c r="C49" s="49" t="n">
        <v>0</v>
      </c>
      <c r="D49" s="49" t="n">
        <v>0</v>
      </c>
      <c r="E49" s="49" t="n">
        <v>520.538957349</v>
      </c>
      <c r="F49" s="10" t="n">
        <v>0.003219549610070356</v>
      </c>
      <c r="H49" s="11" t="n">
        <v>38</v>
      </c>
      <c r="I49" s="51" t="n">
        <v>96</v>
      </c>
      <c r="J49" s="51" t="n">
        <v>6</v>
      </c>
      <c r="K49" s="51" t="n">
        <v>6</v>
      </c>
      <c r="L49" s="49" t="n">
        <v>108</v>
      </c>
      <c r="M49" s="10" t="n">
        <v>0.0007487572709184063</v>
      </c>
    </row>
    <row r="50" spans="1:18">
      <c r="A50" t="n">
        <v>39</v>
      </c>
      <c r="B50" s="49" t="n">
        <v>0</v>
      </c>
      <c r="C50" s="49" t="n">
        <v>0</v>
      </c>
      <c r="D50" s="49" t="n">
        <v>0</v>
      </c>
      <c r="E50" s="49" t="n">
        <v>0</v>
      </c>
      <c r="F50" s="10" t="n">
        <v>0</v>
      </c>
      <c r="H50" s="11" t="n">
        <v>39</v>
      </c>
      <c r="I50" s="51" t="n">
        <v>57</v>
      </c>
      <c r="J50" s="51" t="n">
        <v>7</v>
      </c>
      <c r="K50" s="51" t="n">
        <v>3</v>
      </c>
      <c r="L50" s="49" t="n">
        <v>67</v>
      </c>
      <c r="M50" s="10" t="n">
        <v>0.0004645068254771594</v>
      </c>
    </row>
    <row r="51" spans="1:18">
      <c r="A51" t="n">
        <v>40</v>
      </c>
      <c r="B51" s="49" t="n">
        <v>0</v>
      </c>
      <c r="C51" s="49" t="n">
        <v>0</v>
      </c>
      <c r="D51" s="49" t="n">
        <v>0</v>
      </c>
      <c r="E51" s="49" t="n">
        <v>0</v>
      </c>
      <c r="F51" s="10" t="n">
        <v>0</v>
      </c>
      <c r="H51" s="11" t="n">
        <v>40</v>
      </c>
      <c r="I51" s="51" t="n">
        <v>60</v>
      </c>
      <c r="J51" s="51" t="n">
        <v>3</v>
      </c>
      <c r="K51" s="51" t="n">
        <v>3</v>
      </c>
      <c r="L51" s="49" t="n">
        <v>66</v>
      </c>
      <c r="M51" s="10" t="n">
        <v>0.0004575738877834705</v>
      </c>
    </row>
    <row r="52" spans="1:18">
      <c r="A52" t="n">
        <v>41</v>
      </c>
      <c r="B52" s="49" t="n">
        <v>0</v>
      </c>
      <c r="C52" s="49" t="n">
        <v>0</v>
      </c>
      <c r="D52" s="49" t="n">
        <v>0</v>
      </c>
      <c r="E52" s="49" t="n">
        <v>0</v>
      </c>
      <c r="F52" s="10" t="n">
        <v>0</v>
      </c>
      <c r="H52" s="11" t="n">
        <v>41</v>
      </c>
      <c r="I52" s="51" t="n">
        <v>50</v>
      </c>
      <c r="J52" s="51" t="n">
        <v>3</v>
      </c>
      <c r="K52" s="51" t="n">
        <v>5</v>
      </c>
      <c r="L52" s="49" t="n">
        <v>58</v>
      </c>
      <c r="M52" s="10" t="n">
        <v>0.0004021103862339589</v>
      </c>
    </row>
    <row r="53" spans="1:18">
      <c r="A53" t="n">
        <v>42</v>
      </c>
      <c r="B53" s="49" t="n">
        <v>0</v>
      </c>
      <c r="C53" s="49" t="n">
        <v>0</v>
      </c>
      <c r="D53" s="49" t="n">
        <v>0</v>
      </c>
      <c r="E53" s="49" t="n">
        <v>0</v>
      </c>
      <c r="F53" s="10" t="n">
        <v>0</v>
      </c>
      <c r="H53" s="11" t="n">
        <v>42</v>
      </c>
      <c r="I53" s="51" t="n">
        <v>59</v>
      </c>
      <c r="J53" s="51" t="n">
        <v>4</v>
      </c>
      <c r="K53" s="51" t="n">
        <v>2</v>
      </c>
      <c r="L53" s="49" t="n">
        <v>65</v>
      </c>
      <c r="M53" s="10" t="n">
        <v>0.0004506409500897816</v>
      </c>
    </row>
    <row r="54" spans="1:18">
      <c r="A54" t="n">
        <v>43</v>
      </c>
      <c r="B54" s="49" t="n">
        <v>0</v>
      </c>
      <c r="C54" s="49" t="n">
        <v>0</v>
      </c>
      <c r="D54" s="49" t="n">
        <v>0</v>
      </c>
      <c r="E54" s="49" t="n">
        <v>0</v>
      </c>
      <c r="F54" s="10" t="n">
        <v>0</v>
      </c>
      <c r="H54" s="11" t="n">
        <v>43</v>
      </c>
      <c r="I54" s="51" t="n">
        <v>34</v>
      </c>
      <c r="J54" s="51" t="n">
        <v>5</v>
      </c>
      <c r="K54" s="51" t="n">
        <v>1</v>
      </c>
      <c r="L54" s="49" t="n">
        <v>40</v>
      </c>
      <c r="M54" s="10" t="n">
        <v>0.0002773175077475579</v>
      </c>
    </row>
    <row r="55" spans="1:18">
      <c r="A55" t="n">
        <v>44</v>
      </c>
      <c r="B55" s="49" t="n">
        <v>0</v>
      </c>
      <c r="C55" s="49" t="n">
        <v>0</v>
      </c>
      <c r="D55" s="49" t="n">
        <v>0</v>
      </c>
      <c r="E55" s="49" t="n">
        <v>0</v>
      </c>
      <c r="F55" s="10" t="n">
        <v>0</v>
      </c>
      <c r="H55" s="11" t="n">
        <v>44</v>
      </c>
      <c r="I55" s="51" t="n">
        <v>33</v>
      </c>
      <c r="J55" s="51" t="n">
        <v>0</v>
      </c>
      <c r="K55" s="51" t="n">
        <v>2</v>
      </c>
      <c r="L55" s="49" t="n">
        <v>35</v>
      </c>
      <c r="M55" s="10" t="n">
        <v>0.0002426528192791131</v>
      </c>
    </row>
    <row r="56" spans="1:18">
      <c r="A56" t="n">
        <v>45</v>
      </c>
      <c r="B56" s="49" t="n">
        <v>0</v>
      </c>
      <c r="C56" s="49" t="n">
        <v>0</v>
      </c>
      <c r="D56" s="49" t="n">
        <v>0</v>
      </c>
      <c r="E56" s="49" t="n">
        <v>0</v>
      </c>
      <c r="F56" s="10" t="n">
        <v>0</v>
      </c>
      <c r="H56" s="11" t="n">
        <v>45</v>
      </c>
      <c r="I56" s="51" t="n">
        <v>33</v>
      </c>
      <c r="J56" s="51" t="n">
        <v>3</v>
      </c>
      <c r="K56" s="51" t="n">
        <v>2</v>
      </c>
      <c r="L56" s="49" t="n">
        <v>38</v>
      </c>
      <c r="M56" s="10" t="n">
        <v>0.00026345163236018</v>
      </c>
    </row>
    <row r="57" spans="1:18">
      <c r="A57" t="n">
        <v>46</v>
      </c>
      <c r="B57" s="49" t="n">
        <v>0</v>
      </c>
      <c r="C57" s="49" t="n">
        <v>0</v>
      </c>
      <c r="D57" s="49" t="n">
        <v>0</v>
      </c>
      <c r="E57" s="49" t="n">
        <v>0</v>
      </c>
      <c r="F57" s="10" t="n">
        <v>0</v>
      </c>
      <c r="H57" s="11" t="n">
        <v>46</v>
      </c>
      <c r="I57" s="51" t="n">
        <v>29</v>
      </c>
      <c r="J57" s="51" t="n">
        <v>5</v>
      </c>
      <c r="K57" s="51" t="n">
        <v>1</v>
      </c>
      <c r="L57" s="49" t="n">
        <v>35</v>
      </c>
      <c r="M57" s="10" t="n">
        <v>0.0002426528192791131</v>
      </c>
    </row>
    <row r="58" spans="1:18">
      <c r="A58" t="n">
        <v>47</v>
      </c>
      <c r="B58" s="49" t="n">
        <v>0</v>
      </c>
      <c r="C58" s="49" t="n">
        <v>0</v>
      </c>
      <c r="D58" s="49" t="n">
        <v>0</v>
      </c>
      <c r="E58" s="49" t="n">
        <v>0</v>
      </c>
      <c r="F58" s="10" t="n">
        <v>0</v>
      </c>
      <c r="H58" s="11" t="n">
        <v>47</v>
      </c>
      <c r="I58" s="51" t="n">
        <v>36</v>
      </c>
      <c r="J58" s="51" t="n">
        <v>2</v>
      </c>
      <c r="K58" s="51" t="n">
        <v>1</v>
      </c>
      <c r="L58" s="49" t="n">
        <v>39</v>
      </c>
      <c r="M58" s="10" t="n">
        <v>0.0002703845700538689</v>
      </c>
    </row>
    <row r="59" spans="1:18">
      <c r="A59" t="n">
        <v>48</v>
      </c>
      <c r="B59" s="49" t="n">
        <v>0</v>
      </c>
      <c r="C59" s="49" t="n">
        <v>0</v>
      </c>
      <c r="D59" s="49" t="n">
        <v>0</v>
      </c>
      <c r="E59" s="49" t="n">
        <v>0</v>
      </c>
      <c r="F59" s="10" t="n">
        <v>0</v>
      </c>
      <c r="H59" s="11" t="n">
        <v>48</v>
      </c>
      <c r="I59" s="51" t="n">
        <v>19</v>
      </c>
      <c r="J59" s="51" t="n">
        <v>1</v>
      </c>
      <c r="K59" s="51" t="n">
        <v>0</v>
      </c>
      <c r="L59" s="49" t="n">
        <v>20</v>
      </c>
      <c r="M59" s="10" t="n">
        <v>0.0001386587538737789</v>
      </c>
    </row>
    <row r="60" spans="1:18">
      <c r="A60" t="n">
        <v>49</v>
      </c>
      <c r="B60" s="49" t="n">
        <v>0</v>
      </c>
      <c r="C60" s="49" t="n">
        <v>0</v>
      </c>
      <c r="D60" s="49" t="n">
        <v>0</v>
      </c>
      <c r="E60" s="49" t="n">
        <v>0</v>
      </c>
      <c r="F60" s="10" t="n">
        <v>0</v>
      </c>
      <c r="H60" s="11" t="n">
        <v>49</v>
      </c>
      <c r="I60" s="51" t="n">
        <v>19</v>
      </c>
      <c r="J60" s="51" t="n">
        <v>0</v>
      </c>
      <c r="K60" s="51" t="n">
        <v>0</v>
      </c>
      <c r="L60" s="49" t="n">
        <v>19</v>
      </c>
      <c r="M60" s="10" t="n">
        <v>0.00013172581618009</v>
      </c>
    </row>
    <row r="61" spans="1:18">
      <c r="A61" t="n">
        <v>50</v>
      </c>
      <c r="B61" s="49" t="n">
        <v>0</v>
      </c>
      <c r="C61" s="49" t="n">
        <v>0</v>
      </c>
      <c r="D61" s="49" t="n">
        <v>0</v>
      </c>
      <c r="E61" s="49" t="n">
        <v>0</v>
      </c>
      <c r="F61" s="10" t="n">
        <v>0</v>
      </c>
      <c r="H61" s="11" t="n">
        <v>50</v>
      </c>
      <c r="I61" s="51" t="n">
        <v>20</v>
      </c>
      <c r="J61" s="51" t="n">
        <v>0</v>
      </c>
      <c r="K61" s="51" t="n">
        <v>0</v>
      </c>
      <c r="L61" s="49" t="n">
        <v>20</v>
      </c>
      <c r="M61" s="10" t="n">
        <v>0.0001386587538737789</v>
      </c>
    </row>
    <row r="62" spans="1:18">
      <c r="A62" t="n">
        <v>51</v>
      </c>
      <c r="B62" s="49" t="n">
        <v>0</v>
      </c>
      <c r="C62" s="49" t="n">
        <v>0</v>
      </c>
      <c r="D62" s="49" t="n">
        <v>0</v>
      </c>
      <c r="E62" s="49" t="n">
        <v>0</v>
      </c>
      <c r="F62" s="10" t="n">
        <v>0</v>
      </c>
      <c r="H62" s="11" t="n">
        <v>51</v>
      </c>
      <c r="I62" s="51" t="n">
        <v>11</v>
      </c>
      <c r="J62" s="51" t="n">
        <v>0</v>
      </c>
      <c r="K62" s="51" t="n">
        <v>0</v>
      </c>
      <c r="L62" s="49" t="n">
        <v>11</v>
      </c>
      <c r="M62" s="10" t="n">
        <v>7.626231463057841e-05</v>
      </c>
    </row>
    <row r="63" spans="1:18">
      <c r="A63" t="n">
        <v>52</v>
      </c>
      <c r="B63" s="49" t="n">
        <v>0</v>
      </c>
      <c r="C63" s="49" t="n">
        <v>0</v>
      </c>
      <c r="D63" s="49" t="n">
        <v>0</v>
      </c>
      <c r="E63" s="49" t="n">
        <v>0</v>
      </c>
      <c r="F63" s="10" t="n">
        <v>0</v>
      </c>
      <c r="H63" s="11" t="n">
        <v>52</v>
      </c>
      <c r="I63" s="51" t="n">
        <v>17</v>
      </c>
      <c r="J63" s="51" t="n">
        <v>1</v>
      </c>
      <c r="K63" s="51" t="n">
        <v>1</v>
      </c>
      <c r="L63" s="49" t="n">
        <v>19</v>
      </c>
      <c r="M63" s="10" t="n">
        <v>0.00013172581618009</v>
      </c>
    </row>
    <row r="64" spans="1:18">
      <c r="A64" t="n">
        <v>53</v>
      </c>
      <c r="B64" s="49" t="n">
        <v>0</v>
      </c>
      <c r="C64" s="49" t="n">
        <v>0</v>
      </c>
      <c r="D64" s="49" t="n">
        <v>0</v>
      </c>
      <c r="E64" s="49" t="n">
        <v>0</v>
      </c>
      <c r="F64" s="10" t="n">
        <v>0</v>
      </c>
      <c r="H64" s="11" t="n">
        <v>53</v>
      </c>
      <c r="I64" s="51" t="n">
        <v>13</v>
      </c>
      <c r="J64" s="51" t="n">
        <v>0</v>
      </c>
      <c r="K64" s="51" t="n">
        <v>0</v>
      </c>
      <c r="L64" s="49" t="n">
        <v>13</v>
      </c>
      <c r="M64" s="10" t="n">
        <v>9.012819001795631e-05</v>
      </c>
    </row>
    <row r="65" spans="1:18">
      <c r="A65" t="n">
        <v>54</v>
      </c>
      <c r="B65" s="49" t="n">
        <v>0</v>
      </c>
      <c r="C65" s="49" t="n">
        <v>0</v>
      </c>
      <c r="D65" s="49" t="n">
        <v>0</v>
      </c>
      <c r="E65" s="49" t="n">
        <v>0</v>
      </c>
      <c r="F65" s="10" t="n">
        <v>0</v>
      </c>
      <c r="H65" s="11" t="n">
        <v>54</v>
      </c>
      <c r="I65" s="51" t="n">
        <v>14</v>
      </c>
      <c r="J65" s="51" t="n">
        <v>0</v>
      </c>
      <c r="K65" s="51" t="n">
        <v>2</v>
      </c>
      <c r="L65" s="49" t="n">
        <v>16</v>
      </c>
      <c r="M65" s="10" t="n">
        <v>0.0001109270030990231</v>
      </c>
    </row>
    <row r="66" spans="1:18">
      <c r="A66" t="n">
        <v>55</v>
      </c>
      <c r="B66" s="49" t="n">
        <v>0</v>
      </c>
      <c r="C66" s="49" t="n">
        <v>0</v>
      </c>
      <c r="D66" s="49" t="n">
        <v>0</v>
      </c>
      <c r="E66" s="49" t="n">
        <v>0</v>
      </c>
      <c r="F66" s="10" t="n">
        <v>0</v>
      </c>
      <c r="H66" s="11" t="n">
        <v>55</v>
      </c>
      <c r="I66" s="51" t="n">
        <v>8</v>
      </c>
      <c r="J66" s="51" t="n">
        <v>1</v>
      </c>
      <c r="K66" s="51" t="n">
        <v>1</v>
      </c>
      <c r="L66" s="49" t="n">
        <v>10</v>
      </c>
      <c r="M66" s="10" t="n">
        <v>6.932937693688947e-05</v>
      </c>
    </row>
    <row r="67" spans="1:18">
      <c r="A67" t="n">
        <v>56</v>
      </c>
      <c r="B67" s="49" t="n">
        <v>0</v>
      </c>
      <c r="C67" s="49" t="n">
        <v>0</v>
      </c>
      <c r="D67" s="49" t="n">
        <v>0</v>
      </c>
      <c r="E67" s="49" t="n">
        <v>0</v>
      </c>
      <c r="F67" s="10" t="n">
        <v>0</v>
      </c>
      <c r="H67" s="11" t="n">
        <v>56</v>
      </c>
      <c r="I67" s="51" t="n">
        <v>9</v>
      </c>
      <c r="J67" s="51" t="n">
        <v>1</v>
      </c>
      <c r="K67" s="51" t="n">
        <v>0</v>
      </c>
      <c r="L67" s="49" t="n">
        <v>10</v>
      </c>
      <c r="M67" s="10" t="n">
        <v>6.932937693688947e-05</v>
      </c>
    </row>
    <row r="68" spans="1:18">
      <c r="A68" t="n">
        <v>57</v>
      </c>
      <c r="B68" s="49" t="n">
        <v>0</v>
      </c>
      <c r="C68" s="49" t="n">
        <v>0</v>
      </c>
      <c r="D68" s="49" t="n">
        <v>0</v>
      </c>
      <c r="E68" s="49" t="n">
        <v>0</v>
      </c>
      <c r="F68" s="10" t="n">
        <v>0</v>
      </c>
      <c r="H68" s="11" t="n">
        <v>57</v>
      </c>
      <c r="I68" s="51" t="n">
        <v>8</v>
      </c>
      <c r="J68" s="51" t="n">
        <v>0</v>
      </c>
      <c r="K68" s="51" t="n">
        <v>0</v>
      </c>
      <c r="L68" s="49" t="n">
        <v>8</v>
      </c>
      <c r="M68" s="10" t="n">
        <v>5.546350154951157e-05</v>
      </c>
    </row>
    <row r="69" spans="1:18">
      <c r="A69" t="n">
        <v>58</v>
      </c>
      <c r="B69" s="49" t="n">
        <v>0</v>
      </c>
      <c r="C69" s="49" t="n">
        <v>0</v>
      </c>
      <c r="D69" s="49" t="n">
        <v>0</v>
      </c>
      <c r="E69" s="49" t="n">
        <v>0</v>
      </c>
      <c r="F69" s="10" t="n">
        <v>0</v>
      </c>
      <c r="H69" s="11" t="n">
        <v>58</v>
      </c>
      <c r="I69" s="51" t="n">
        <v>7</v>
      </c>
      <c r="J69" s="51" t="n">
        <v>0</v>
      </c>
      <c r="K69" s="51" t="n">
        <v>1</v>
      </c>
      <c r="L69" s="49" t="n">
        <v>8</v>
      </c>
      <c r="M69" s="10" t="n">
        <v>5.546350154951157e-05</v>
      </c>
    </row>
    <row r="70" spans="1:18">
      <c r="A70" t="n">
        <v>59</v>
      </c>
      <c r="B70" s="49" t="n">
        <v>0</v>
      </c>
      <c r="C70" s="49" t="n">
        <v>0</v>
      </c>
      <c r="D70" s="49" t="n">
        <v>0</v>
      </c>
      <c r="E70" s="49" t="n">
        <v>0</v>
      </c>
      <c r="F70" s="10" t="n">
        <v>0</v>
      </c>
      <c r="H70" s="11" t="n">
        <v>59</v>
      </c>
      <c r="I70" s="51" t="n">
        <v>11</v>
      </c>
      <c r="J70" s="51" t="n">
        <v>0</v>
      </c>
      <c r="K70" s="51" t="n">
        <v>1</v>
      </c>
      <c r="L70" s="49" t="n">
        <v>12</v>
      </c>
      <c r="M70" s="10" t="n">
        <v>8.319525232426736e-05</v>
      </c>
    </row>
    <row r="71" spans="1:18">
      <c r="A71" t="n">
        <v>60</v>
      </c>
      <c r="B71" s="49" t="n">
        <v>0</v>
      </c>
      <c r="C71" s="49" t="n">
        <v>0</v>
      </c>
      <c r="D71" s="49" t="n">
        <v>0</v>
      </c>
      <c r="E71" s="49" t="n">
        <v>0</v>
      </c>
      <c r="F71" s="10" t="n">
        <v>0</v>
      </c>
      <c r="H71" s="11" t="n">
        <v>60</v>
      </c>
      <c r="I71" s="51" t="n">
        <v>3</v>
      </c>
      <c r="J71" s="51" t="n">
        <v>0</v>
      </c>
      <c r="K71" s="51" t="n">
        <v>0</v>
      </c>
      <c r="L71" s="49" t="n">
        <v>3</v>
      </c>
      <c r="M71" s="10" t="n">
        <v>2.079881308106684e-05</v>
      </c>
    </row>
    <row r="72" spans="1:18">
      <c r="A72" t="n">
        <v>61</v>
      </c>
      <c r="B72" s="49" t="n">
        <v>0</v>
      </c>
      <c r="C72" s="49" t="n">
        <v>0</v>
      </c>
      <c r="D72" s="49" t="n">
        <v>0</v>
      </c>
      <c r="E72" s="49" t="n">
        <v>0</v>
      </c>
      <c r="F72" s="10" t="n">
        <v>0</v>
      </c>
      <c r="H72" s="11" t="n">
        <v>61</v>
      </c>
      <c r="I72" s="51" t="n">
        <v>3</v>
      </c>
      <c r="J72" s="51" t="n">
        <v>0</v>
      </c>
      <c r="K72" s="51" t="n">
        <v>1</v>
      </c>
      <c r="L72" s="49" t="n">
        <v>4</v>
      </c>
      <c r="M72" s="10" t="n">
        <v>2.773175077475579e-05</v>
      </c>
    </row>
    <row r="73" spans="1:18">
      <c r="A73" t="n">
        <v>62</v>
      </c>
      <c r="B73" s="49" t="n">
        <v>0</v>
      </c>
      <c r="C73" s="49" t="n">
        <v>0</v>
      </c>
      <c r="D73" s="49" t="n">
        <v>0</v>
      </c>
      <c r="E73" s="49" t="n">
        <v>0</v>
      </c>
      <c r="F73" s="10" t="n">
        <v>0</v>
      </c>
      <c r="H73" s="11" t="n">
        <v>62</v>
      </c>
      <c r="I73" s="51" t="n">
        <v>2</v>
      </c>
      <c r="J73" s="51" t="n">
        <v>0</v>
      </c>
      <c r="K73" s="51" t="n">
        <v>0</v>
      </c>
      <c r="L73" s="49" t="n">
        <v>2</v>
      </c>
      <c r="M73" s="10" t="n">
        <v>1.386587538737789e-05</v>
      </c>
    </row>
    <row r="74" spans="1:18">
      <c r="A74" t="n">
        <v>63</v>
      </c>
      <c r="B74" s="49" t="n">
        <v>0</v>
      </c>
      <c r="C74" s="49" t="n">
        <v>0</v>
      </c>
      <c r="D74" s="49" t="n">
        <v>0</v>
      </c>
      <c r="E74" s="49" t="n">
        <v>0</v>
      </c>
      <c r="F74" s="10" t="n">
        <v>0</v>
      </c>
      <c r="H74" s="11" t="n">
        <v>63</v>
      </c>
      <c r="I74" s="51" t="n">
        <v>9</v>
      </c>
      <c r="J74" s="51" t="n">
        <v>0</v>
      </c>
      <c r="K74" s="51" t="n">
        <v>0</v>
      </c>
      <c r="L74" s="49" t="n">
        <v>9</v>
      </c>
      <c r="M74" s="10" t="n">
        <v>6.239643924320052e-05</v>
      </c>
    </row>
    <row r="75" spans="1:18">
      <c r="A75" t="n">
        <v>64</v>
      </c>
      <c r="B75" s="49" t="n">
        <v>0</v>
      </c>
      <c r="C75" s="49" t="n">
        <v>0</v>
      </c>
      <c r="D75" s="49" t="n">
        <v>0</v>
      </c>
      <c r="E75" s="49" t="n">
        <v>0</v>
      </c>
      <c r="F75" s="10" t="n">
        <v>0</v>
      </c>
      <c r="H75" s="11" t="n">
        <v>64</v>
      </c>
      <c r="I75" s="51" t="n">
        <v>5</v>
      </c>
      <c r="J75" s="51" t="n">
        <v>0</v>
      </c>
      <c r="K75" s="51" t="n">
        <v>0</v>
      </c>
      <c r="L75" s="49" t="n">
        <v>5</v>
      </c>
      <c r="M75" s="10" t="n">
        <v>3.466468846844474e-05</v>
      </c>
    </row>
    <row r="76" spans="1:18">
      <c r="A76" t="n">
        <v>65</v>
      </c>
      <c r="B76" s="49" t="n">
        <v>0</v>
      </c>
      <c r="C76" s="49" t="n">
        <v>0</v>
      </c>
      <c r="D76" s="49" t="n">
        <v>0</v>
      </c>
      <c r="E76" s="49" t="n">
        <v>0</v>
      </c>
      <c r="F76" s="10" t="n">
        <v>0</v>
      </c>
      <c r="H76" s="11" t="n">
        <v>65</v>
      </c>
      <c r="I76" s="51" t="n">
        <v>2</v>
      </c>
      <c r="J76" s="51" t="n">
        <v>0</v>
      </c>
      <c r="K76" s="51" t="n">
        <v>0</v>
      </c>
      <c r="L76" s="49" t="n">
        <v>2</v>
      </c>
      <c r="M76" s="10" t="n">
        <v>1.386587538737789e-05</v>
      </c>
    </row>
    <row r="77" spans="1:18">
      <c r="A77" t="n">
        <v>66</v>
      </c>
      <c r="B77" s="49" t="n">
        <v>0</v>
      </c>
      <c r="C77" s="49" t="n">
        <v>0</v>
      </c>
      <c r="D77" s="49" t="n">
        <v>0</v>
      </c>
      <c r="E77" s="49" t="n">
        <v>0</v>
      </c>
      <c r="F77" s="10" t="n">
        <v>0</v>
      </c>
      <c r="H77" s="11" t="n">
        <v>66</v>
      </c>
      <c r="I77" s="51" t="n">
        <v>1</v>
      </c>
      <c r="J77" s="51" t="n">
        <v>0</v>
      </c>
      <c r="K77" s="51" t="n">
        <v>0</v>
      </c>
      <c r="L77" s="49" t="n">
        <v>1</v>
      </c>
      <c r="M77" s="10" t="n">
        <v>6.932937693688947e-06</v>
      </c>
    </row>
    <row r="78" spans="1:18">
      <c r="A78" t="n">
        <v>67</v>
      </c>
      <c r="B78" s="49" t="n">
        <v>0</v>
      </c>
      <c r="C78" s="49" t="n">
        <v>0</v>
      </c>
      <c r="D78" s="49" t="n">
        <v>0</v>
      </c>
      <c r="E78" s="49" t="n">
        <v>0</v>
      </c>
      <c r="F78" s="10" t="n">
        <v>0</v>
      </c>
      <c r="H78" s="11" t="n">
        <v>67</v>
      </c>
      <c r="I78" s="51" t="n">
        <v>0</v>
      </c>
      <c r="J78" s="51" t="n">
        <v>0</v>
      </c>
      <c r="K78" s="51" t="n">
        <v>0</v>
      </c>
      <c r="L78" s="49" t="n">
        <v>0</v>
      </c>
      <c r="M78" s="10" t="n">
        <v>0</v>
      </c>
    </row>
    <row r="79" spans="1:18">
      <c r="A79" t="n">
        <v>68</v>
      </c>
      <c r="B79" s="49" t="n">
        <v>0</v>
      </c>
      <c r="C79" s="49" t="n">
        <v>0</v>
      </c>
      <c r="D79" s="49" t="n">
        <v>0</v>
      </c>
      <c r="E79" s="49" t="n">
        <v>0</v>
      </c>
      <c r="F79" s="10" t="n">
        <v>0</v>
      </c>
      <c r="H79" s="11" t="n">
        <v>68</v>
      </c>
      <c r="I79" s="51" t="n">
        <v>5</v>
      </c>
      <c r="J79" s="51" t="n">
        <v>0</v>
      </c>
      <c r="K79" s="51" t="n">
        <v>0</v>
      </c>
      <c r="L79" s="49" t="n">
        <v>5</v>
      </c>
      <c r="M79" s="10" t="n">
        <v>3.466468846844474e-05</v>
      </c>
    </row>
    <row r="80" spans="1:18">
      <c r="A80" t="n">
        <v>69</v>
      </c>
      <c r="B80" s="49" t="n">
        <v>0</v>
      </c>
      <c r="C80" s="49" t="n">
        <v>0</v>
      </c>
      <c r="D80" s="49" t="n">
        <v>0</v>
      </c>
      <c r="E80" s="49" t="n">
        <v>0</v>
      </c>
      <c r="F80" s="10" t="n">
        <v>0</v>
      </c>
      <c r="H80" s="11" t="n">
        <v>69</v>
      </c>
      <c r="I80" s="51" t="n">
        <v>0</v>
      </c>
      <c r="J80" s="51" t="n">
        <v>0</v>
      </c>
      <c r="K80" s="51" t="n">
        <v>0</v>
      </c>
      <c r="L80" s="49" t="n">
        <v>0</v>
      </c>
      <c r="M80" s="10" t="n">
        <v>0</v>
      </c>
    </row>
    <row r="81" spans="1:18">
      <c r="A81" t="n">
        <v>70</v>
      </c>
      <c r="B81" s="49" t="n">
        <v>0</v>
      </c>
      <c r="C81" s="49" t="n">
        <v>0</v>
      </c>
      <c r="D81" s="49" t="n">
        <v>0</v>
      </c>
      <c r="E81" s="49" t="n">
        <v>0</v>
      </c>
      <c r="F81" s="10" t="n">
        <v>0</v>
      </c>
      <c r="H81" s="11" t="n">
        <v>70</v>
      </c>
      <c r="I81" s="51" t="n">
        <v>3</v>
      </c>
      <c r="J81" s="51" t="n">
        <v>0</v>
      </c>
      <c r="K81" s="51" t="n">
        <v>0</v>
      </c>
      <c r="L81" s="49" t="n">
        <v>3</v>
      </c>
      <c r="M81" s="10" t="n">
        <v>2.079881308106684e-05</v>
      </c>
    </row>
    <row r="82" spans="1:18">
      <c r="A82" t="n">
        <v>71</v>
      </c>
      <c r="B82" s="49" t="n">
        <v>0</v>
      </c>
      <c r="C82" s="49" t="n">
        <v>0</v>
      </c>
      <c r="D82" s="49" t="n">
        <v>0</v>
      </c>
      <c r="E82" s="49" t="n">
        <v>0</v>
      </c>
      <c r="F82" s="10" t="n">
        <v>0</v>
      </c>
      <c r="H82" s="11" t="n">
        <v>71</v>
      </c>
      <c r="I82" s="51" t="n">
        <v>2</v>
      </c>
      <c r="J82" s="51" t="n">
        <v>0</v>
      </c>
      <c r="K82" s="51" t="n">
        <v>0</v>
      </c>
      <c r="L82" s="49" t="n">
        <v>2</v>
      </c>
      <c r="M82" s="10" t="n">
        <v>1.386587538737789e-05</v>
      </c>
    </row>
    <row r="83" spans="1:18">
      <c r="A83" t="n">
        <v>72</v>
      </c>
      <c r="B83" s="49" t="n">
        <v>0</v>
      </c>
      <c r="C83" s="49" t="n">
        <v>0</v>
      </c>
      <c r="D83" s="49" t="n">
        <v>0</v>
      </c>
      <c r="E83" s="49" t="n">
        <v>0</v>
      </c>
      <c r="F83" s="10" t="n">
        <v>0</v>
      </c>
      <c r="H83" s="11" t="n">
        <v>72</v>
      </c>
      <c r="I83" s="51" t="n">
        <v>0</v>
      </c>
      <c r="J83" s="51" t="n">
        <v>0</v>
      </c>
      <c r="K83" s="51" t="n">
        <v>0</v>
      </c>
      <c r="L83" s="49" t="n">
        <v>0</v>
      </c>
      <c r="M83" s="10" t="n">
        <v>0</v>
      </c>
    </row>
    <row r="84" spans="1:18">
      <c r="A84" t="n">
        <v>73</v>
      </c>
      <c r="B84" s="49" t="n">
        <v>0</v>
      </c>
      <c r="C84" s="49" t="n">
        <v>0</v>
      </c>
      <c r="D84" s="49" t="n">
        <v>0</v>
      </c>
      <c r="E84" s="49" t="n">
        <v>0</v>
      </c>
      <c r="F84" s="10" t="n">
        <v>0</v>
      </c>
      <c r="H84" s="11" t="n">
        <v>73</v>
      </c>
      <c r="I84" s="51" t="n">
        <v>2</v>
      </c>
      <c r="J84" s="51" t="n">
        <v>0</v>
      </c>
      <c r="K84" s="51" t="n">
        <v>0</v>
      </c>
      <c r="L84" s="49" t="n">
        <v>2</v>
      </c>
      <c r="M84" s="10" t="n">
        <v>1.386587538737789e-05</v>
      </c>
    </row>
    <row r="85" spans="1:18">
      <c r="A85" t="n">
        <v>74</v>
      </c>
      <c r="B85" s="49" t="n">
        <v>0</v>
      </c>
      <c r="C85" s="49" t="n">
        <v>0</v>
      </c>
      <c r="D85" s="49" t="n">
        <v>0</v>
      </c>
      <c r="E85" s="49" t="n">
        <v>0</v>
      </c>
      <c r="F85" s="10" t="n">
        <v>0</v>
      </c>
      <c r="H85" s="11" t="n">
        <v>74</v>
      </c>
      <c r="I85" s="51" t="n">
        <v>2</v>
      </c>
      <c r="J85" s="51" t="n">
        <v>0</v>
      </c>
      <c r="K85" s="51" t="n">
        <v>0</v>
      </c>
      <c r="L85" s="49" t="n">
        <v>2</v>
      </c>
      <c r="M85" s="10" t="n">
        <v>1.386587538737789e-05</v>
      </c>
    </row>
    <row r="86" spans="1:18">
      <c r="A86" t="n">
        <v>75</v>
      </c>
      <c r="B86" s="49" t="n">
        <v>0</v>
      </c>
      <c r="C86" s="49" t="n">
        <v>0</v>
      </c>
      <c r="D86" s="49" t="n">
        <v>0</v>
      </c>
      <c r="E86" s="49" t="n">
        <v>0</v>
      </c>
      <c r="F86" s="10" t="n">
        <v>0</v>
      </c>
      <c r="H86" s="11" t="n">
        <v>75</v>
      </c>
      <c r="I86" s="51" t="n">
        <v>0</v>
      </c>
      <c r="J86" s="51" t="n">
        <v>0</v>
      </c>
      <c r="K86" s="51" t="n">
        <v>0</v>
      </c>
      <c r="L86" s="49" t="n">
        <v>0</v>
      </c>
      <c r="M86" s="10" t="n">
        <v>0</v>
      </c>
    </row>
    <row r="87" spans="1:18">
      <c r="A87" t="n">
        <v>76</v>
      </c>
      <c r="B87" s="49" t="n">
        <v>0</v>
      </c>
      <c r="C87" s="49" t="n">
        <v>0</v>
      </c>
      <c r="D87" s="49" t="n">
        <v>0</v>
      </c>
      <c r="E87" s="49" t="n">
        <v>0</v>
      </c>
      <c r="F87" s="10" t="n">
        <v>0</v>
      </c>
      <c r="H87" s="11" t="n">
        <v>76</v>
      </c>
      <c r="I87" s="51" t="n">
        <v>3</v>
      </c>
      <c r="J87" s="51" t="n">
        <v>0</v>
      </c>
      <c r="K87" s="51" t="n">
        <v>0</v>
      </c>
      <c r="L87" s="49" t="n">
        <v>3</v>
      </c>
      <c r="M87" s="10" t="n">
        <v>2.079881308106684e-05</v>
      </c>
    </row>
    <row r="88" spans="1:18">
      <c r="A88" t="n">
        <v>77</v>
      </c>
      <c r="B88" s="49" t="n">
        <v>0</v>
      </c>
      <c r="C88" s="49" t="n">
        <v>0</v>
      </c>
      <c r="D88" s="49" t="n">
        <v>0</v>
      </c>
      <c r="E88" s="49" t="n">
        <v>0</v>
      </c>
      <c r="F88" s="10" t="n">
        <v>0</v>
      </c>
      <c r="H88" s="11" t="n">
        <v>77</v>
      </c>
      <c r="I88" s="51" t="n">
        <v>0</v>
      </c>
      <c r="J88" s="51" t="n">
        <v>0</v>
      </c>
      <c r="K88" s="51" t="n">
        <v>0</v>
      </c>
      <c r="L88" s="49" t="n">
        <v>0</v>
      </c>
      <c r="M88" s="10" t="n">
        <v>0</v>
      </c>
    </row>
    <row r="89" spans="1:18">
      <c r="A89" t="n">
        <v>78</v>
      </c>
      <c r="B89" s="49" t="n">
        <v>0</v>
      </c>
      <c r="C89" s="49" t="n">
        <v>0</v>
      </c>
      <c r="D89" s="49" t="n">
        <v>0</v>
      </c>
      <c r="E89" s="49" t="n">
        <v>0</v>
      </c>
      <c r="F89" s="10" t="n">
        <v>0</v>
      </c>
      <c r="H89" s="11" t="n">
        <v>78</v>
      </c>
      <c r="I89" s="51" t="n">
        <v>1</v>
      </c>
      <c r="J89" s="51" t="n">
        <v>0</v>
      </c>
      <c r="K89" s="51" t="n">
        <v>0</v>
      </c>
      <c r="L89" s="49" t="n">
        <v>1</v>
      </c>
      <c r="M89" s="10" t="n">
        <v>6.932937693688947e-06</v>
      </c>
    </row>
    <row r="90" spans="1:18">
      <c r="A90" t="n">
        <v>79</v>
      </c>
      <c r="B90" s="49" t="n">
        <v>0</v>
      </c>
      <c r="C90" s="49" t="n">
        <v>0</v>
      </c>
      <c r="D90" s="49" t="n">
        <v>0</v>
      </c>
      <c r="E90" s="49" t="n">
        <v>0</v>
      </c>
      <c r="F90" s="10" t="n">
        <v>0</v>
      </c>
      <c r="H90" s="11" t="n">
        <v>79</v>
      </c>
      <c r="I90" s="51" t="n">
        <v>1</v>
      </c>
      <c r="J90" s="51" t="n">
        <v>0</v>
      </c>
      <c r="K90" s="51" t="n">
        <v>0</v>
      </c>
      <c r="L90" s="49" t="n">
        <v>1</v>
      </c>
      <c r="M90" s="10" t="n">
        <v>6.932937693688947e-06</v>
      </c>
    </row>
    <row r="91" spans="1:18">
      <c r="A91" t="n">
        <v>80</v>
      </c>
      <c r="B91" s="49" t="n">
        <v>0</v>
      </c>
      <c r="C91" s="49" t="n">
        <v>0</v>
      </c>
      <c r="D91" s="49" t="n">
        <v>0</v>
      </c>
      <c r="E91" s="49" t="n">
        <v>0</v>
      </c>
      <c r="F91" s="10" t="n">
        <v>0</v>
      </c>
      <c r="H91" s="11" t="n">
        <v>80</v>
      </c>
      <c r="I91" s="51" t="n">
        <v>0</v>
      </c>
      <c r="J91" s="51" t="n">
        <v>0</v>
      </c>
      <c r="K91" s="51" t="n">
        <v>0</v>
      </c>
      <c r="L91" s="49" t="n">
        <v>0</v>
      </c>
      <c r="M91" s="10" t="n">
        <v>0</v>
      </c>
    </row>
    <row r="92" spans="1:18">
      <c r="A92" t="n">
        <v>81</v>
      </c>
      <c r="B92" s="49" t="n">
        <v>0</v>
      </c>
      <c r="C92" s="49" t="n">
        <v>0</v>
      </c>
      <c r="D92" s="49" t="n">
        <v>0</v>
      </c>
      <c r="E92" s="49" t="n">
        <v>0</v>
      </c>
      <c r="F92" s="10" t="n">
        <v>0</v>
      </c>
      <c r="H92" s="11" t="n">
        <v>81</v>
      </c>
      <c r="I92" s="51" t="n">
        <v>0</v>
      </c>
      <c r="J92" s="51" t="n">
        <v>0</v>
      </c>
      <c r="K92" s="51" t="n">
        <v>0</v>
      </c>
      <c r="L92" s="49" t="n">
        <v>0</v>
      </c>
      <c r="M92" s="10" t="n">
        <v>0</v>
      </c>
    </row>
    <row r="93" spans="1:18">
      <c r="A93" t="n">
        <v>82</v>
      </c>
      <c r="B93" s="49" t="n">
        <v>0</v>
      </c>
      <c r="C93" s="49" t="n">
        <v>0</v>
      </c>
      <c r="D93" s="49" t="n">
        <v>0</v>
      </c>
      <c r="E93" s="49" t="n">
        <v>0</v>
      </c>
      <c r="F93" s="10" t="n">
        <v>0</v>
      </c>
      <c r="H93" s="11" t="n">
        <v>82</v>
      </c>
      <c r="I93" s="51" t="n">
        <v>0</v>
      </c>
      <c r="J93" s="51" t="n">
        <v>1</v>
      </c>
      <c r="K93" s="51" t="n">
        <v>0</v>
      </c>
      <c r="L93" s="49" t="n">
        <v>1</v>
      </c>
      <c r="M93" s="10" t="n">
        <v>6.932937693688947e-06</v>
      </c>
    </row>
    <row r="94" spans="1:18">
      <c r="A94" t="n">
        <v>83</v>
      </c>
      <c r="B94" s="49" t="n">
        <v>0</v>
      </c>
      <c r="C94" s="49" t="n">
        <v>0</v>
      </c>
      <c r="D94" s="49" t="n">
        <v>0</v>
      </c>
      <c r="E94" s="49" t="n">
        <v>0</v>
      </c>
      <c r="F94" s="10" t="n">
        <v>0</v>
      </c>
      <c r="H94" s="11" t="n">
        <v>83</v>
      </c>
      <c r="I94" s="51" t="n">
        <v>1</v>
      </c>
      <c r="J94" s="51" t="n">
        <v>0</v>
      </c>
      <c r="K94" s="51" t="n">
        <v>0</v>
      </c>
      <c r="L94" s="49" t="n">
        <v>1</v>
      </c>
      <c r="M94" s="10" t="n">
        <v>6.932937693688947e-06</v>
      </c>
    </row>
    <row r="95" spans="1:18">
      <c r="A95" t="n">
        <v>84</v>
      </c>
      <c r="B95" s="49" t="n">
        <v>0</v>
      </c>
      <c r="C95" s="49" t="n">
        <v>0</v>
      </c>
      <c r="D95" s="49" t="n">
        <v>0</v>
      </c>
      <c r="E95" s="49" t="n">
        <v>0</v>
      </c>
      <c r="F95" s="10" t="n">
        <v>0</v>
      </c>
      <c r="H95" s="11" t="n">
        <v>84</v>
      </c>
      <c r="I95" s="51" t="n">
        <v>0</v>
      </c>
      <c r="J95" s="51" t="n">
        <v>0</v>
      </c>
      <c r="K95" s="51" t="n">
        <v>0</v>
      </c>
      <c r="L95" s="49" t="n">
        <v>0</v>
      </c>
      <c r="M95" s="10" t="n">
        <v>0</v>
      </c>
    </row>
    <row r="96" spans="1:18">
      <c r="A96" t="n">
        <v>85</v>
      </c>
      <c r="B96" s="49" t="n">
        <v>0</v>
      </c>
      <c r="C96" s="49" t="n">
        <v>0</v>
      </c>
      <c r="D96" s="49" t="n">
        <v>0</v>
      </c>
      <c r="E96" s="49" t="n">
        <v>0</v>
      </c>
      <c r="F96" s="10" t="n">
        <v>0</v>
      </c>
      <c r="H96" s="11" t="n">
        <v>85</v>
      </c>
      <c r="I96" s="51" t="n">
        <v>1</v>
      </c>
      <c r="J96" s="51" t="n">
        <v>0</v>
      </c>
      <c r="K96" s="51" t="n">
        <v>0</v>
      </c>
      <c r="L96" s="49" t="n">
        <v>1</v>
      </c>
      <c r="M96" s="10" t="n">
        <v>6.932937693688947e-06</v>
      </c>
    </row>
    <row r="97" spans="1:18">
      <c r="A97" t="n">
        <v>86</v>
      </c>
      <c r="B97" s="49" t="n">
        <v>0</v>
      </c>
      <c r="C97" s="49" t="n">
        <v>0</v>
      </c>
      <c r="D97" s="49" t="n">
        <v>0</v>
      </c>
      <c r="E97" s="49" t="n">
        <v>0</v>
      </c>
      <c r="F97" s="10" t="n">
        <v>0</v>
      </c>
      <c r="H97" s="11" t="n">
        <v>86</v>
      </c>
      <c r="I97" s="51" t="n">
        <v>0</v>
      </c>
      <c r="J97" s="51" t="n">
        <v>0</v>
      </c>
      <c r="K97" s="51" t="n">
        <v>0</v>
      </c>
      <c r="L97" s="49" t="n">
        <v>0</v>
      </c>
      <c r="M97" s="10" t="n">
        <v>0</v>
      </c>
    </row>
    <row r="98" spans="1:18">
      <c r="A98" t="n">
        <v>87</v>
      </c>
      <c r="B98" s="49" t="n">
        <v>0</v>
      </c>
      <c r="C98" s="49" t="n">
        <v>0</v>
      </c>
      <c r="D98" s="49" t="n">
        <v>0</v>
      </c>
      <c r="E98" s="49" t="n">
        <v>0</v>
      </c>
      <c r="F98" s="10" t="n">
        <v>0</v>
      </c>
      <c r="H98" s="11" t="n">
        <v>87</v>
      </c>
      <c r="I98" s="51" t="n">
        <v>0</v>
      </c>
      <c r="J98" s="51" t="n">
        <v>0</v>
      </c>
      <c r="K98" s="51" t="n">
        <v>0</v>
      </c>
      <c r="L98" s="49" t="n">
        <v>0</v>
      </c>
      <c r="M98" s="10" t="n">
        <v>0</v>
      </c>
    </row>
    <row r="99" spans="1:18">
      <c r="A99" t="n">
        <v>88</v>
      </c>
      <c r="B99" s="49" t="n">
        <v>0</v>
      </c>
      <c r="C99" s="49" t="n">
        <v>0</v>
      </c>
      <c r="D99" s="49" t="n">
        <v>0</v>
      </c>
      <c r="E99" s="49" t="n">
        <v>0</v>
      </c>
      <c r="F99" s="10" t="n">
        <v>0</v>
      </c>
      <c r="H99" s="11" t="n">
        <v>88</v>
      </c>
      <c r="I99" s="51" t="n">
        <v>0</v>
      </c>
      <c r="J99" s="51" t="n">
        <v>0</v>
      </c>
      <c r="K99" s="51" t="n">
        <v>0</v>
      </c>
      <c r="L99" s="49" t="n">
        <v>0</v>
      </c>
      <c r="M99" s="10" t="n">
        <v>0</v>
      </c>
    </row>
    <row r="100" spans="1:18">
      <c r="A100" t="n">
        <v>89</v>
      </c>
      <c r="B100" s="49" t="n">
        <v>0</v>
      </c>
      <c r="C100" s="49" t="n">
        <v>0</v>
      </c>
      <c r="D100" s="49" t="n">
        <v>0</v>
      </c>
      <c r="E100" s="49" t="n">
        <v>0</v>
      </c>
      <c r="F100" s="10" t="n">
        <v>0</v>
      </c>
      <c r="H100" s="11" t="n">
        <v>89</v>
      </c>
      <c r="I100" s="51" t="n">
        <v>0</v>
      </c>
      <c r="J100" s="51" t="n">
        <v>0</v>
      </c>
      <c r="K100" s="51" t="n">
        <v>0</v>
      </c>
      <c r="L100" s="49" t="n">
        <v>0</v>
      </c>
      <c r="M100" s="10" t="n">
        <v>0</v>
      </c>
    </row>
    <row customHeight="1" ht="15.75" r="101" s="52" spans="1:18">
      <c r="A101" s="1" t="n">
        <v>90</v>
      </c>
      <c r="B101" s="50" t="n">
        <v>0</v>
      </c>
      <c r="C101" s="50" t="n">
        <v>0</v>
      </c>
      <c r="D101" s="50" t="n">
        <v>0</v>
      </c>
      <c r="E101" s="50" t="n">
        <v>0</v>
      </c>
      <c r="F101" s="10" t="n">
        <v>0</v>
      </c>
      <c r="H101" s="12" t="n">
        <v>90</v>
      </c>
      <c r="I101" s="50" t="n">
        <v>0</v>
      </c>
      <c r="J101" s="50" t="n">
        <v>0</v>
      </c>
      <c r="K101" s="50" t="n">
        <v>0</v>
      </c>
      <c r="L101" s="50" t="n">
        <v>0</v>
      </c>
      <c r="M101" s="10" t="n">
        <v>0</v>
      </c>
    </row>
    <row r="102" spans="1:18">
      <c r="B102" s="49" t="n"/>
      <c r="C102" s="49" t="n"/>
      <c r="D102" s="49" t="n"/>
      <c r="E102" s="49" t="n">
        <v>161680.6759929457</v>
      </c>
      <c r="F102" s="10" t="n">
        <v>1</v>
      </c>
      <c r="I102" s="49" t="n"/>
      <c r="J102" s="49" t="n"/>
      <c r="K102" s="49" t="n"/>
      <c r="L102" s="49" t="n">
        <v>144239</v>
      </c>
      <c r="M102" s="10" t="n">
        <v>1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Bhargava Sana</dc:creator>
  <dcterms:created xmlns:dcterms="http://purl.org/dc/terms/" xmlns:xsi="http://www.w3.org/2001/XMLSchema-instance" xsi:type="dcterms:W3CDTF">2011-01-31T15:16:09Z</dcterms:created>
  <dcterms:modified xmlns:dcterms="http://purl.org/dc/terms/" xmlns:xsi="http://www.w3.org/2001/XMLSchema-instance" xsi:type="dcterms:W3CDTF">2017-07-06T17:42:34Z</dcterms:modified>
  <cp:lastModifiedBy>Nagendra Dhakar</cp:lastModifiedBy>
</cp:coreProperties>
</file>