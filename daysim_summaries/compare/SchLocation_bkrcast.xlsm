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openxmlformats-officedocument.drawing+xml" PartName="/xl/drawings/drawing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drawingml.chart+xml" PartName="/xl/charts/chart1.xml"/>
  <Override ContentType="application/vnd.ms-excel.sheet.macroEnabled.main+xml" PartName="/xl/workbook.xml"/>
  <Override ContentType="application/vnd.openxmlformats-officedocument.spreadsheetml.calcChain+xml" PartName="/xl/calcChain.xml"/>
  <Override ContentType="application/vnd.ms-office.vbaProject" PartName="/xl/vbaProject.bin"/>
</Types>
</file>

<file path=_rels/.rels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>
  <workbookPr codeName="ThisWorkbook"/>
  <bookViews>
    <workbookView activeTab="0"/>
  </bookViews>
  <sheets>
    <sheet xmlns:r="http://schemas.openxmlformats.org/officeDocument/2006/relationships" name="TLFD" sheetId="1" state="visible" r:id="rId1"/>
    <sheet xmlns:r="http://schemas.openxmlformats.org/officeDocument/2006/relationships" name="soundcast" sheetId="2" state="visible" r:id="rId2"/>
    <sheet xmlns:r="http://schemas.openxmlformats.org/officeDocument/2006/relationships" name="bkrcast_all" sheetId="3" state="visible" r:id="rId3"/>
    <sheet xmlns:r="http://schemas.openxmlformats.org/officeDocument/2006/relationships" name="bkrcast_inbkr" sheetId="4" state="visible" r:id="rId4"/>
    <sheet xmlns:r="http://schemas.openxmlformats.org/officeDocument/2006/relationships" name="bkrcast_outbkr" sheetId="5" state="visible" r:id="rId5"/>
  </sheets>
  <definedNames>
    <definedName localSheetId="2" name="avgdist">'bkrcast_all'!$O$11:$O$14</definedName>
    <definedName localSheetId="3" name="avgdist">'bkrcast_inbkr'!$O$11:$O$14</definedName>
    <definedName localSheetId="4" name="avgdist">'bkrcast_outbkr'!$O$11:$O$14</definedName>
    <definedName localSheetId="1" name="avgdist">'soundcast'!$O$11:$O$14</definedName>
    <definedName name="avgdist">'TLFD'!$W$11:$W$14</definedName>
    <definedName localSheetId="2" name="out1">'bkrcast_all'!$B$11:$D$101</definedName>
    <definedName localSheetId="3" name="out1">'bkrcast_inbkr'!$B$11:$D$101</definedName>
    <definedName localSheetId="4" name="out1">'bkrcast_outbkr'!$B$11:$D$101</definedName>
    <definedName localSheetId="1" name="out1">'soundcast'!$B$11:$D$101</definedName>
    <definedName name="out1">'TLFD'!$B$11:$D$101</definedName>
    <definedName localSheetId="2" name="out2">'bkrcast_all'!$H$11:$J$101</definedName>
    <definedName localSheetId="3" name="out2">'bkrcast_inbkr'!$H$11:$J$101</definedName>
    <definedName localSheetId="4" name="out2">'bkrcast_outbkr'!$H$11:$J$101</definedName>
    <definedName localSheetId="1" name="out2">'soundcast'!$H$11:$J$101</definedName>
    <definedName name="out2">'TLFD'!$H$11:$J$101</definedName>
    <definedName localSheetId="2" name="out5">'bkrcast_all'!$N$11:$N$14</definedName>
    <definedName localSheetId="3" name="out5">'bkrcast_inbkr'!$N$11:$N$14</definedName>
    <definedName localSheetId="4" name="out5">'bkrcast_outbkr'!$N$11:$N$14</definedName>
    <definedName localSheetId="1" name="out5">'soundcast'!$N$11:$N$14</definedName>
    <definedName name="out5">'TLFD'!$V$11:$V$14</definedName>
    <definedName localSheetId="2" name="out6">'bkrcast_all'!$O$11:$O$14</definedName>
    <definedName localSheetId="3" name="out6">'bkrcast_inbkr'!$O$11:$O$14</definedName>
    <definedName localSheetId="4" name="out6">'bkrcast_outbkr'!$O$11:$O$14</definedName>
    <definedName localSheetId="1" name="out6">'soundcast'!$O$11:$O$14</definedName>
    <definedName name="out6">'TLFD'!$W$11:$W$14</definedName>
    <definedName localSheetId="2" name="Sch_dist">'bkrcast_all'!$H$11:$J$101</definedName>
    <definedName localSheetId="3" name="Sch_dist">'bkrcast_inbkr'!$H$11:$J$101</definedName>
    <definedName localSheetId="4" name="Sch_dist">'bkrcast_outbkr'!$H$11:$J$101</definedName>
    <definedName localSheetId="1" name="Sch_dist">'soundcast'!$H$11:$J$101</definedName>
    <definedName name="Sch_dist">'TLFD'!$H$11:$J$101</definedName>
  </definedNames>
  <calcPr calcId="124519" fullCalcOnLoad="1"/>
</workbook>
</file>

<file path=xl/sharedStrings.xml><?xml version="1.0" encoding="utf-8"?>
<sst xmlns="http://schemas.openxmlformats.org/spreadsheetml/2006/main" uniqueCount="24">
  <si>
    <t>Trip Length Frequency Distribution</t>
  </si>
  <si>
    <t>Observed Sources: Survey</t>
  </si>
  <si>
    <t>Observed distance (in miles) based on joining AM peak SOV skim values to HH survey</t>
  </si>
  <si>
    <t>Frequency of trips by 1-mile increment</t>
  </si>
  <si>
    <t>Distance values reflect low end of each range (ie. 0 refers to 0-1 miles)</t>
  </si>
  <si>
    <t>Model coefficients are segmented by HH income and person type, but most distance measures segmented only by person type, FT/PT status may not be available in Census</t>
  </si>
  <si>
    <t>Table X. Observed Trip Lengths: Survey</t>
  </si>
  <si>
    <t>Table X. Estimated Trip Lengths</t>
  </si>
  <si>
    <t>Average Distance (mile)</t>
  </si>
  <si>
    <t>Distance (mi)</t>
  </si>
  <si>
    <t>Ch515</t>
  </si>
  <si>
    <t>Stu16</t>
  </si>
  <si>
    <t>UniStu</t>
  </si>
  <si>
    <t>Survey</t>
  </si>
  <si>
    <t>Unistu</t>
  </si>
  <si>
    <t>BKRCast (all)</t>
  </si>
  <si>
    <t>BKRCast (In BKR)</t>
  </si>
  <si>
    <t>BKRCast (out BKR)</t>
  </si>
  <si>
    <t>SoundCast</t>
  </si>
  <si>
    <t>Total</t>
  </si>
  <si>
    <t>Table X. Average Trip Length</t>
  </si>
  <si>
    <t>AVG TRIP LENGTH</t>
  </si>
  <si>
    <t>BKRCast (LODES)</t>
  </si>
  <si>
    <t>DaySim</t>
  </si>
</sst>
</file>

<file path=xl/styles.xml><?xml version="1.0" encoding="utf-8"?>
<styleSheet xmlns="http://schemas.openxmlformats.org/spreadsheetml/2006/main">
  <numFmts count="2">
    <numFmt formatCode="0.0%" numFmtId="164"/>
    <numFmt formatCode="_(* #,##0_);_(* \(#,##0\);_(* &quot;-&quot;??_);_(@_)" numFmtId="165"/>
  </numFmts>
  <fonts count="5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indexed="8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color theme="1"/>
      <sz val="11"/>
      <scheme val="minor"/>
    </font>
  </fonts>
  <fills count="5">
    <fill>
      <patternFill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indexed="22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10">
    <xf borderId="0" fillId="0" fontId="0" numFmtId="0"/>
    <xf borderId="0" fillId="0" fontId="0" numFmtId="0"/>
    <xf borderId="0" fillId="0" fontId="1" numFmtId="0"/>
    <xf borderId="0" fillId="0" fontId="0" numFmtId="0"/>
    <xf borderId="0" fillId="2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</cellStyleXfs>
  <cellXfs count="39">
    <xf borderId="0" fillId="0" fontId="0" numFmtId="0" pivotButton="0" quotePrefix="0" xfId="0"/>
    <xf borderId="1" fillId="0" fontId="0" numFmtId="0" pivotButton="0" quotePrefix="0" xfId="3"/>
    <xf borderId="2" fillId="0" fontId="0" numFmtId="0" pivotButton="0" quotePrefix="0" xfId="3"/>
    <xf borderId="1" fillId="0" fontId="1" numFmtId="0" pivotButton="0" quotePrefix="0" xfId="3"/>
    <xf applyAlignment="1" borderId="2" fillId="0" fontId="0" numFmtId="0" pivotButton="0" quotePrefix="0" xfId="3">
      <alignment horizontal="center" vertical="top"/>
    </xf>
    <xf borderId="0" fillId="0" fontId="0" numFmtId="165" pivotButton="0" quotePrefix="0" xfId="7"/>
    <xf borderId="1" fillId="0" fontId="0" numFmtId="165" pivotButton="0" quotePrefix="0" xfId="7"/>
    <xf borderId="0" fillId="0" fontId="2" numFmtId="165" pivotButton="0" quotePrefix="0" xfId="7"/>
    <xf borderId="0" fillId="0" fontId="0" numFmtId="0" pivotButton="0" quotePrefix="0" xfId="3"/>
    <xf applyAlignment="1" borderId="0" fillId="0" fontId="3" numFmtId="0" pivotButton="0" quotePrefix="0" xfId="3">
      <alignment horizontal="center" vertical="top"/>
    </xf>
    <xf borderId="0" fillId="0" fontId="0" numFmtId="2" pivotButton="0" quotePrefix="0" xfId="3"/>
    <xf borderId="0" fillId="0" fontId="0" numFmtId="165" pivotButton="0" quotePrefix="0" xfId="3"/>
    <xf borderId="0" fillId="0" fontId="0" numFmtId="164" pivotButton="0" quotePrefix="0" xfId="8"/>
    <xf borderId="0" fillId="0" fontId="0" numFmtId="0" pivotButton="0" quotePrefix="0" xfId="9"/>
    <xf borderId="1" fillId="0" fontId="1" numFmtId="0" pivotButton="0" quotePrefix="0" xfId="9"/>
    <xf borderId="1" fillId="0" fontId="0" numFmtId="0" pivotButton="0" quotePrefix="0" xfId="9"/>
    <xf borderId="0" fillId="0" fontId="1" numFmtId="0" pivotButton="0" quotePrefix="0" xfId="9"/>
    <xf borderId="2" fillId="0" fontId="0" numFmtId="0" pivotButton="0" quotePrefix="0" xfId="9"/>
    <xf applyAlignment="1" borderId="2" fillId="0" fontId="0" numFmtId="0" pivotButton="0" quotePrefix="0" xfId="9">
      <alignment horizontal="center" vertical="top"/>
    </xf>
    <xf borderId="2" fillId="2" fontId="3" numFmtId="0" pivotButton="0" quotePrefix="0" xfId="9"/>
    <xf applyAlignment="1" borderId="2" fillId="2" fontId="3" numFmtId="0" pivotButton="0" quotePrefix="0" xfId="9">
      <alignment horizontal="center" vertical="top"/>
    </xf>
    <xf borderId="0" fillId="0" fontId="0" numFmtId="165" pivotButton="0" quotePrefix="0" xfId="0"/>
    <xf borderId="0" fillId="0" fontId="2" numFmtId="165" pivotButton="0" quotePrefix="0" xfId="0"/>
    <xf borderId="0" fillId="0" fontId="0" numFmtId="2" pivotButton="0" quotePrefix="0" xfId="9"/>
    <xf borderId="1" fillId="0" fontId="0" numFmtId="2" pivotButton="0" quotePrefix="0" xfId="9"/>
    <xf borderId="3" fillId="0" fontId="0" numFmtId="0" pivotButton="0" quotePrefix="0" xfId="9"/>
    <xf borderId="3" fillId="0" fontId="0" numFmtId="2" pivotButton="0" quotePrefix="0" xfId="9"/>
    <xf borderId="1" fillId="0" fontId="0" numFmtId="165" pivotButton="0" quotePrefix="0" xfId="0"/>
    <xf borderId="0" fillId="0" fontId="0" numFmtId="165" pivotButton="0" quotePrefix="0" xfId="9"/>
    <xf borderId="0" fillId="4" fontId="1" numFmtId="0" pivotButton="0" quotePrefix="0" xfId="3"/>
    <xf borderId="0" fillId="4" fontId="0" numFmtId="0" pivotButton="0" quotePrefix="0" xfId="0"/>
    <xf borderId="0" fillId="4" fontId="0" numFmtId="0" pivotButton="0" quotePrefix="0" xfId="3"/>
    <xf borderId="2" fillId="4" fontId="0" numFmtId="0" pivotButton="0" quotePrefix="0" xfId="3"/>
    <xf applyAlignment="1" borderId="2" fillId="4" fontId="0" numFmtId="0" pivotButton="0" quotePrefix="0" xfId="3">
      <alignment horizontal="center" vertical="top"/>
    </xf>
    <xf borderId="0" fillId="4" fontId="0" numFmtId="2" pivotButton="0" quotePrefix="0" xfId="9"/>
    <xf borderId="3" fillId="4" fontId="0" numFmtId="0" pivotButton="0" quotePrefix="0" xfId="3"/>
    <xf borderId="3" fillId="4" fontId="0" numFmtId="2" pivotButton="0" quotePrefix="0" xfId="9"/>
    <xf borderId="1" fillId="4" fontId="0" numFmtId="0" pivotButton="0" quotePrefix="0" xfId="3"/>
    <xf borderId="4" fillId="4" fontId="0" numFmtId="2" pivotButton="0" quotePrefix="0" xfId="9"/>
  </cellXfs>
  <cellStyles count="10">
    <cellStyle name="XLConnect.String" xfId="0"/>
    <cellStyle name="XLConnect.DateTime" xfId="1"/>
    <cellStyle name="XLConnect.General" xfId="2"/>
    <cellStyle builtinId="0" name="Normal" xfId="3"/>
    <cellStyle name="XLConnect.Header" xfId="4"/>
    <cellStyle name="XLConnect.Date" xfId="5"/>
    <cellStyle name="XLConnect.Boolean 2" xfId="6"/>
    <cellStyle name="XLConnect.Numeric 2" xfId="7"/>
    <cellStyle name="XLConnect.Boolean" xfId="8"/>
    <cellStyle name="XLConnect.Numeric" xfId="9"/>
  </cellStyle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/><Relationship Id="rId2" Target="/xl/worksheets/sheet2.xml" Type="http://schemas.openxmlformats.org/officeDocument/2006/relationships/worksheet"/><Relationship Id="rId3" Target="/xl/worksheets/sheet3.xml" Type="http://schemas.openxmlformats.org/officeDocument/2006/relationships/worksheet"/><Relationship Id="rId4" Target="/xl/worksheets/sheet4.xml" Type="http://schemas.openxmlformats.org/officeDocument/2006/relationships/worksheet"/><Relationship Id="rId5" Target="/xl/worksheets/sheet5.xml" Type="http://schemas.openxmlformats.org/officeDocument/2006/relationships/worksheet"/><Relationship Id="rId6" Target="sharedStrings.xml" Type="http://schemas.openxmlformats.org/officeDocument/2006/relationships/sharedStrings"/><Relationship Id="rId7" Target="styles.xml" Type="http://schemas.openxmlformats.org/officeDocument/2006/relationships/styles"/><Relationship Id="rId8" Target="theme/theme1.xml" Type="http://schemas.openxmlformats.org/officeDocument/2006/relationships/theme"/><Relationship Id="rId9" Target="vbaProject.bin" Type="http://schemas.microsoft.com/office/2006/relationships/vbaProject"/></Relationships>
</file>

<file path=xl/charts/chart1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r>
              <a:t>Home to School Distance</a:t>
            </a:r>
          </a:p>
        </rich>
      </tx>
    </title>
    <plotArea>
      <lineChart>
        <grouping val="standard"/>
        <ser>
          <idx val="0"/>
          <order val="0"/>
          <tx>
            <strRef>
              <f>TLFD!O10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TLFD!$O$11:$O$100</f>
            </numRef>
          </val>
        </ser>
        <ser>
          <idx val="1"/>
          <order val="1"/>
          <tx>
            <strRef>
              <f>TLFD!P10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TLFD!$P$11:$P$100</f>
            </numRef>
          </val>
        </ser>
        <ser>
          <idx val="2"/>
          <order val="2"/>
          <tx>
            <strRef>
              <f>TLFD!Q10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TLFD!$Q$11:$Q$100</f>
            </numRef>
          </val>
        </ser>
        <ser>
          <idx val="3"/>
          <order val="3"/>
          <tx>
            <strRef>
              <f>TLFD!R10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TLFD!$R$11:$R$100</f>
            </numRef>
          </val>
        </ser>
        <ser>
          <idx val="4"/>
          <order val="4"/>
          <tx>
            <strRef>
              <f>TLFD!S10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TLFD!$S$11:$S$100</f>
            </numRef>
          </val>
        </ser>
        <axId val="10"/>
        <axId val="100"/>
      </lineChart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r>
                  <a:t>% Students</a:t>
                </a:r>
              </a:p>
            </rich>
          </tx>
        </title>
        <crossAx val="10"/>
      </valAx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r>
                  <a:t>Distance (mile)</a:t>
                </a:r>
              </a:p>
            </rich>
          </tx>
        </title>
        <crossAx val="100"/>
        <lblOffset val="100"/>
      </catAx>
    </plotArea>
    <legend>
      <legendPos val="r"/>
    </legend>
    <dispBlanksAs val="gap"/>
  </chart>
</chartSpace>
</file>

<file path=xl/drawings/_rels/drawing1.xml.rels><Relationships xmlns="http://schemas.openxmlformats.org/package/2006/relationships"><Relationship Id="rId1" Target="/xl/charts/chart1.xml" Type="http://schemas.openxmlformats.org/officeDocument/2006/relationships/chart"/></Relationships>
</file>

<file path=xl/drawings/drawing1.xml><?xml version="1.0" encoding="utf-8"?>
<wsDr xmlns="http://schemas.openxmlformats.org/drawingml/2006/spreadsheetDrawing">
  <oneCellAnchor>
    <from>
      <col>20</col>
      <colOff>0</colOff>
      <row>17</row>
      <rowOff>0</rowOff>
    </from>
    <ext cx="7200000" cy="360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Id="rId1" Target="/xl/drawings/drawing1.xml" Type="http://schemas.openxmlformats.org/officeDocument/2006/relationships/drawing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A102"/>
  <sheetViews>
    <sheetView tabSelected="1" topLeftCell="L7" workbookViewId="0">
      <selection activeCell="AA14" sqref="AA14"/>
    </sheetView>
  </sheetViews>
  <sheetFormatPr baseColWidth="10" defaultRowHeight="15" outlineLevelCol="0"/>
  <cols>
    <col collapsed="1" customWidth="1" max="1" min="1" style="8" width="13.5703125"/>
    <col bestFit="1" collapsed="1" customWidth="1" max="2" min="2" style="8" width="10.5703125"/>
    <col bestFit="1" collapsed="1" customWidth="1" max="4" min="3" style="8" width="9.5703125"/>
    <col bestFit="1" collapsed="1" customWidth="1" max="5" min="5" style="8" width="10.5703125"/>
    <col collapsed="1" customWidth="1" max="7" min="7" style="8" width="13.140625"/>
    <col bestFit="1" collapsed="1" customWidth="1" max="8" min="8" style="8" width="10.5703125"/>
    <col bestFit="1" collapsed="1" customWidth="1" max="10" min="9" style="8" width="9.5703125"/>
    <col collapsed="1" customWidth="1" max="11" min="11" style="13" width="15.85546875"/>
    <col customWidth="1" max="14" min="12" style="13" width="15.85546875"/>
    <col customWidth="1" max="19" min="15" style="8" width="15.85546875"/>
    <col bestFit="1" collapsed="1" customWidth="1" max="23" min="23" style="8" width="12.140625"/>
    <col bestFit="1" customWidth="1" max="24" min="24" style="8" width="15.7109375"/>
    <col bestFit="1" customWidth="1" max="25" min="25" style="8" width="17"/>
    <col customWidth="1" max="26" min="26" style="8" width="10.140625"/>
  </cols>
  <sheetData>
    <row r="1" spans="1:27">
      <c r="A1" t="s">
        <v>0</v>
      </c>
    </row>
    <row r="2" spans="1:27">
      <c r="A2" t="s">
        <v>1</v>
      </c>
    </row>
    <row r="3" spans="1:27">
      <c r="A3" t="s">
        <v>2</v>
      </c>
    </row>
    <row r="4" spans="1:27">
      <c r="A4" t="s">
        <v>3</v>
      </c>
    </row>
    <row r="5" spans="1:27">
      <c r="A5" t="s">
        <v>4</v>
      </c>
    </row>
    <row r="7" spans="1:27">
      <c r="A7" t="s">
        <v>5</v>
      </c>
    </row>
    <row customHeight="1" ht="15.75" r="9" spans="1:27">
      <c r="A9" s="3" t="s">
        <v>6</v>
      </c>
      <c r="B9" s="1" t="n"/>
      <c r="C9" s="1" t="n"/>
      <c r="D9" s="1" t="n"/>
      <c r="E9" s="1" t="n"/>
      <c r="G9" s="3" t="s">
        <v>7</v>
      </c>
      <c r="H9" s="1" t="n"/>
      <c r="I9" s="1" t="n"/>
      <c r="J9" s="1" t="n"/>
      <c r="K9" s="15" t="n"/>
      <c r="U9" s="29" t="s">
        <v>8</v>
      </c>
      <c r="V9" s="30" t="n"/>
      <c r="W9" s="31" t="n"/>
      <c r="X9" s="31" t="n"/>
      <c r="Y9" s="29" t="n"/>
      <c r="Z9" s="31" t="n"/>
    </row>
    <row r="10" spans="1:27">
      <c r="A10" s="2" t="s">
        <v>9</v>
      </c>
      <c r="B10" s="4" t="s">
        <v>10</v>
      </c>
      <c r="C10" s="4" t="s">
        <v>11</v>
      </c>
      <c r="D10" s="4" t="s">
        <v>12</v>
      </c>
      <c r="E10" s="4" t="s">
        <v>13</v>
      </c>
      <c r="G10" s="2" t="s">
        <v>9</v>
      </c>
      <c r="H10" s="4" t="s">
        <v>10</v>
      </c>
      <c r="I10" s="4" t="s">
        <v>11</v>
      </c>
      <c r="J10" s="4" t="s">
        <v>14</v>
      </c>
      <c r="K10" s="18" t="s">
        <v>15</v>
      </c>
      <c r="L10" s="18" t="s">
        <v>16</v>
      </c>
      <c r="M10" s="18" t="s">
        <v>17</v>
      </c>
      <c r="N10" s="18" t="s">
        <v>18</v>
      </c>
      <c r="O10" s="4" t="s">
        <v>15</v>
      </c>
      <c r="P10" s="4" t="s">
        <v>16</v>
      </c>
      <c r="Q10" s="4" t="s">
        <v>17</v>
      </c>
      <c r="R10" s="4" t="s">
        <v>18</v>
      </c>
      <c r="S10" s="4" t="s">
        <v>13</v>
      </c>
      <c r="T10" s="4" t="n"/>
      <c r="U10" s="32" t="n"/>
      <c r="V10" s="33" t="s">
        <v>13</v>
      </c>
      <c r="W10" s="33" t="s">
        <v>15</v>
      </c>
      <c r="X10" s="33" t="s">
        <v>16</v>
      </c>
      <c r="Y10" s="33" t="s">
        <v>17</v>
      </c>
      <c r="Z10" s="33" t="s">
        <v>18</v>
      </c>
      <c r="AA10" s="9" t="n"/>
    </row>
    <row r="11" spans="1:27">
      <c r="A11" t="n">
        <v>0</v>
      </c>
      <c r="B11" s="5">
        <f>bkrcast_all!B11</f>
        <v/>
      </c>
      <c r="C11" s="5">
        <f>bkrcast_all!C11</f>
        <v/>
      </c>
      <c r="D11" s="5">
        <f>bkrcast_all!D11</f>
        <v/>
      </c>
      <c r="E11" s="5">
        <f>SUM(B11:D11)</f>
        <v/>
      </c>
      <c r="G11" t="n">
        <v>0</v>
      </c>
      <c r="H11" s="5" t="n">
        <v>115009.0375931274</v>
      </c>
      <c r="I11" s="5" t="n">
        <v>19077.66786033849</v>
      </c>
      <c r="J11" s="7" t="n">
        <v>23102.86364839531</v>
      </c>
      <c r="K11" s="21">
        <f>bkrcast_all!K11</f>
        <v/>
      </c>
      <c r="L11" s="21">
        <f>bkrcast_inbkr!K11</f>
        <v/>
      </c>
      <c r="M11" s="21">
        <f>bkrcast_outbkr!K11</f>
        <v/>
      </c>
      <c r="N11" s="21">
        <f>soundcast!K11</f>
        <v/>
      </c>
      <c r="O11" s="12">
        <f>K11/K$102</f>
        <v/>
      </c>
      <c r="P11" s="12">
        <f>L11/L$102</f>
        <v/>
      </c>
      <c r="Q11" s="12">
        <f>M11/M$102</f>
        <v/>
      </c>
      <c r="R11" s="12">
        <f>N11/N$102</f>
        <v/>
      </c>
      <c r="S11" s="12">
        <f>E11/E$102</f>
        <v/>
      </c>
      <c r="U11" s="30" t="s">
        <v>10</v>
      </c>
      <c r="V11" s="34">
        <f>bkrcast_all!N11</f>
        <v/>
      </c>
      <c r="W11" s="34">
        <f>bkrcast_all!O11</f>
        <v/>
      </c>
      <c r="X11" s="34">
        <f>bkrcast_inbkr!O11</f>
        <v/>
      </c>
      <c r="Y11" s="34">
        <f>bkrcast_outbkr!O11</f>
        <v/>
      </c>
      <c r="Z11" s="34">
        <f>soundcast!O11</f>
        <v/>
      </c>
      <c r="AA11" s="10" t="n"/>
    </row>
    <row r="12" spans="1:27">
      <c r="A12" t="n">
        <v>1</v>
      </c>
      <c r="B12" s="5">
        <f>bkrcast_all!B12</f>
        <v/>
      </c>
      <c r="C12" s="5">
        <f>bkrcast_all!C12</f>
        <v/>
      </c>
      <c r="D12" s="5">
        <f>bkrcast_all!D12</f>
        <v/>
      </c>
      <c r="E12" s="5">
        <f>SUM(B12:D12)</f>
        <v/>
      </c>
      <c r="G12" t="n">
        <v>1</v>
      </c>
      <c r="H12" s="5" t="n">
        <v>84745.65185361452</v>
      </c>
      <c r="I12" s="5" t="n">
        <v>13039.80267098801</v>
      </c>
      <c r="J12" s="7" t="n">
        <v>10614.07668007427</v>
      </c>
      <c r="K12" s="21">
        <f>bkrcast_all!K12</f>
        <v/>
      </c>
      <c r="L12" s="21">
        <f>bkrcast_inbkr!K12</f>
        <v/>
      </c>
      <c r="M12" s="21">
        <f>bkrcast_outbkr!K12</f>
        <v/>
      </c>
      <c r="N12" s="21">
        <f>soundcast!K12</f>
        <v/>
      </c>
      <c r="O12" s="12">
        <f>K12/K$102</f>
        <v/>
      </c>
      <c r="P12" s="12">
        <f>L12/L$102</f>
        <v/>
      </c>
      <c r="Q12" s="12">
        <f>M12/M$102</f>
        <v/>
      </c>
      <c r="R12" s="12">
        <f>N12/N$102</f>
        <v/>
      </c>
      <c r="S12" s="12">
        <f>E12/E$102</f>
        <v/>
      </c>
      <c r="U12" s="30" t="s">
        <v>11</v>
      </c>
      <c r="V12" s="34">
        <f>bkrcast_all!N12</f>
        <v/>
      </c>
      <c r="W12" s="34">
        <f>bkrcast_all!O12</f>
        <v/>
      </c>
      <c r="X12" s="34">
        <f>bkrcast_inbkr!O12</f>
        <v/>
      </c>
      <c r="Y12" s="34">
        <f>bkrcast_outbkr!O12</f>
        <v/>
      </c>
      <c r="Z12" s="34">
        <f>soundcast!O12</f>
        <v/>
      </c>
      <c r="AA12" s="10" t="n"/>
    </row>
    <row r="13" spans="1:27">
      <c r="A13" t="n">
        <v>2</v>
      </c>
      <c r="B13" s="5">
        <f>bkrcast_all!B13</f>
        <v/>
      </c>
      <c r="C13" s="5">
        <f>bkrcast_all!C13</f>
        <v/>
      </c>
      <c r="D13" s="5">
        <f>bkrcast_all!D13</f>
        <v/>
      </c>
      <c r="E13" s="5">
        <f>SUM(B13:D13)</f>
        <v/>
      </c>
      <c r="G13" t="n">
        <v>2</v>
      </c>
      <c r="H13" s="5" t="n">
        <v>46030.18355392879</v>
      </c>
      <c r="I13" s="5" t="n">
        <v>8174.412034965651</v>
      </c>
      <c r="J13" s="7" t="n">
        <v>6051.930536955768</v>
      </c>
      <c r="K13" s="21">
        <f>bkrcast_all!K13</f>
        <v/>
      </c>
      <c r="L13" s="21">
        <f>bkrcast_inbkr!K13</f>
        <v/>
      </c>
      <c r="M13" s="21">
        <f>bkrcast_outbkr!K13</f>
        <v/>
      </c>
      <c r="N13" s="21">
        <f>soundcast!K13</f>
        <v/>
      </c>
      <c r="O13" s="12">
        <f>K13/K$102</f>
        <v/>
      </c>
      <c r="P13" s="12">
        <f>L13/L$102</f>
        <v/>
      </c>
      <c r="Q13" s="12">
        <f>M13/M$102</f>
        <v/>
      </c>
      <c r="R13" s="12">
        <f>N13/N$102</f>
        <v/>
      </c>
      <c r="S13" s="12">
        <f>E13/E$102</f>
        <v/>
      </c>
      <c r="U13" s="35" t="s">
        <v>14</v>
      </c>
      <c r="V13" s="36">
        <f>bkrcast_all!N13</f>
        <v/>
      </c>
      <c r="W13" s="36">
        <f>bkrcast_all!O13</f>
        <v/>
      </c>
      <c r="X13" s="36">
        <f>bkrcast_inbkr!O13</f>
        <v/>
      </c>
      <c r="Y13" s="36">
        <f>bkrcast_outbkr!O13</f>
        <v/>
      </c>
      <c r="Z13" s="36">
        <f>soundcast!O13</f>
        <v/>
      </c>
      <c r="AA13" s="10" t="n"/>
    </row>
    <row customHeight="1" ht="15.75" r="14" spans="1:27">
      <c r="A14" t="n">
        <v>3</v>
      </c>
      <c r="B14" s="5">
        <f>bkrcast_all!B14</f>
        <v/>
      </c>
      <c r="C14" s="5">
        <f>bkrcast_all!C14</f>
        <v/>
      </c>
      <c r="D14" s="5">
        <f>bkrcast_all!D14</f>
        <v/>
      </c>
      <c r="E14" s="5">
        <f>SUM(B14:D14)</f>
        <v/>
      </c>
      <c r="G14" t="n">
        <v>3</v>
      </c>
      <c r="H14" s="5" t="n">
        <v>25366.15786720839</v>
      </c>
      <c r="I14" s="5" t="n">
        <v>5640.044888132432</v>
      </c>
      <c r="J14" s="7" t="n">
        <v>4823.727910972659</v>
      </c>
      <c r="K14" s="21">
        <f>bkrcast_all!K14</f>
        <v/>
      </c>
      <c r="L14" s="21">
        <f>bkrcast_inbkr!K14</f>
        <v/>
      </c>
      <c r="M14" s="21">
        <f>bkrcast_outbkr!K14</f>
        <v/>
      </c>
      <c r="N14" s="21">
        <f>soundcast!K14</f>
        <v/>
      </c>
      <c r="O14" s="12">
        <f>K14/K$102</f>
        <v/>
      </c>
      <c r="P14" s="12">
        <f>L14/L$102</f>
        <v/>
      </c>
      <c r="Q14" s="12">
        <f>M14/M$102</f>
        <v/>
      </c>
      <c r="R14" s="12">
        <f>N14/N$102</f>
        <v/>
      </c>
      <c r="S14" s="12">
        <f>E14/E$102</f>
        <v/>
      </c>
      <c r="U14" s="37" t="s">
        <v>19</v>
      </c>
      <c r="V14" s="38">
        <f>bkrcast_all!N14</f>
        <v/>
      </c>
      <c r="W14" s="38">
        <f>bkrcast_all!O14</f>
        <v/>
      </c>
      <c r="X14" s="38">
        <f>bkrcast_inbkr!O14</f>
        <v/>
      </c>
      <c r="Y14" s="38">
        <f>bkrcast_outbkr!O14</f>
        <v/>
      </c>
      <c r="Z14" s="38">
        <f>soundcast!O14</f>
        <v/>
      </c>
    </row>
    <row r="15" spans="1:27">
      <c r="A15" t="n">
        <v>4</v>
      </c>
      <c r="B15" s="5">
        <f>bkrcast_all!B15</f>
        <v/>
      </c>
      <c r="C15" s="5">
        <f>bkrcast_all!C15</f>
        <v/>
      </c>
      <c r="D15" s="5">
        <f>bkrcast_all!D15</f>
        <v/>
      </c>
      <c r="E15" s="5">
        <f>SUM(B15:D15)</f>
        <v/>
      </c>
      <c r="G15" t="n">
        <v>4</v>
      </c>
      <c r="H15" s="5" t="n">
        <v>84645.2238885346</v>
      </c>
      <c r="I15" s="5" t="n">
        <v>22766.46054777243</v>
      </c>
      <c r="J15" s="7" t="n">
        <v>22507.37348489457</v>
      </c>
      <c r="K15" s="21">
        <f>bkrcast_all!K15</f>
        <v/>
      </c>
      <c r="L15" s="21">
        <f>bkrcast_inbkr!K15</f>
        <v/>
      </c>
      <c r="M15" s="21">
        <f>bkrcast_outbkr!K15</f>
        <v/>
      </c>
      <c r="N15" s="21">
        <f>soundcast!K15</f>
        <v/>
      </c>
      <c r="O15" s="12">
        <f>K15/K$102</f>
        <v/>
      </c>
      <c r="P15" s="12">
        <f>L15/L$102</f>
        <v/>
      </c>
      <c r="Q15" s="12">
        <f>M15/M$102</f>
        <v/>
      </c>
      <c r="R15" s="12">
        <f>N15/N$102</f>
        <v/>
      </c>
      <c r="S15" s="12">
        <f>E15/E$102</f>
        <v/>
      </c>
    </row>
    <row r="16" spans="1:27">
      <c r="A16" t="n">
        <v>5</v>
      </c>
      <c r="B16" s="5">
        <f>bkrcast_all!B16</f>
        <v/>
      </c>
      <c r="C16" s="5">
        <f>bkrcast_all!C16</f>
        <v/>
      </c>
      <c r="D16" s="5">
        <f>bkrcast_all!D16</f>
        <v/>
      </c>
      <c r="E16" s="5">
        <f>SUM(B16:D16)</f>
        <v/>
      </c>
      <c r="G16" t="n">
        <v>5</v>
      </c>
      <c r="H16" s="5" t="n">
        <v>30130.43978773104</v>
      </c>
      <c r="I16" s="5" t="n">
        <v>11110.45805580046</v>
      </c>
      <c r="J16" s="7" t="n">
        <v>20296.90415260637</v>
      </c>
      <c r="K16" s="21">
        <f>bkrcast_all!K16</f>
        <v/>
      </c>
      <c r="L16" s="21">
        <f>bkrcast_inbkr!K16</f>
        <v/>
      </c>
      <c r="M16" s="21">
        <f>bkrcast_outbkr!K16</f>
        <v/>
      </c>
      <c r="N16" s="21">
        <f>soundcast!K16</f>
        <v/>
      </c>
      <c r="O16" s="12">
        <f>K16/K$102</f>
        <v/>
      </c>
      <c r="P16" s="12">
        <f>L16/L$102</f>
        <v/>
      </c>
      <c r="Q16" s="12">
        <f>M16/M$102</f>
        <v/>
      </c>
      <c r="R16" s="12">
        <f>N16/N$102</f>
        <v/>
      </c>
      <c r="S16" s="12">
        <f>E16/E$102</f>
        <v/>
      </c>
    </row>
    <row r="17" spans="1:27">
      <c r="A17" t="n">
        <v>6</v>
      </c>
      <c r="B17" s="5">
        <f>bkrcast_all!B17</f>
        <v/>
      </c>
      <c r="C17" s="5">
        <f>bkrcast_all!C17</f>
        <v/>
      </c>
      <c r="D17" s="5">
        <f>bkrcast_all!D17</f>
        <v/>
      </c>
      <c r="E17" s="5">
        <f>SUM(B17:D17)</f>
        <v/>
      </c>
      <c r="G17" t="n">
        <v>6</v>
      </c>
      <c r="H17" s="5" t="n">
        <v>31429.72927265521</v>
      </c>
      <c r="I17" s="5" t="n">
        <v>11063.66443143775</v>
      </c>
      <c r="J17" s="7" t="n">
        <v>15128.45980859617</v>
      </c>
      <c r="K17" s="21">
        <f>bkrcast_all!K17</f>
        <v/>
      </c>
      <c r="L17" s="21">
        <f>bkrcast_inbkr!K17</f>
        <v/>
      </c>
      <c r="M17" s="21">
        <f>bkrcast_outbkr!K17</f>
        <v/>
      </c>
      <c r="N17" s="21">
        <f>soundcast!K17</f>
        <v/>
      </c>
      <c r="O17" s="12">
        <f>K17/K$102</f>
        <v/>
      </c>
      <c r="P17" s="12">
        <f>L17/L$102</f>
        <v/>
      </c>
      <c r="Q17" s="12">
        <f>M17/M$102</f>
        <v/>
      </c>
      <c r="R17" s="12">
        <f>N17/N$102</f>
        <v/>
      </c>
      <c r="S17" s="12">
        <f>E17/E$102</f>
        <v/>
      </c>
    </row>
    <row r="18" spans="1:27">
      <c r="A18" t="n">
        <v>7</v>
      </c>
      <c r="B18" s="5">
        <f>bkrcast_all!B18</f>
        <v/>
      </c>
      <c r="C18" s="5">
        <f>bkrcast_all!C18</f>
        <v/>
      </c>
      <c r="D18" s="5">
        <f>bkrcast_all!D18</f>
        <v/>
      </c>
      <c r="E18" s="5">
        <f>SUM(B18:D18)</f>
        <v/>
      </c>
      <c r="G18" t="n">
        <v>7</v>
      </c>
      <c r="H18" s="5" t="n">
        <v>12923.86466375384</v>
      </c>
      <c r="I18" s="5" t="n">
        <v>5122.279896828852</v>
      </c>
      <c r="J18" s="7" t="n">
        <v>11078.92016815842</v>
      </c>
      <c r="K18" s="21">
        <f>bkrcast_all!K18</f>
        <v/>
      </c>
      <c r="L18" s="21">
        <f>bkrcast_inbkr!K18</f>
        <v/>
      </c>
      <c r="M18" s="21">
        <f>bkrcast_outbkr!K18</f>
        <v/>
      </c>
      <c r="N18" s="21">
        <f>soundcast!K18</f>
        <v/>
      </c>
      <c r="O18" s="12">
        <f>K18/K$102</f>
        <v/>
      </c>
      <c r="P18" s="12">
        <f>L18/L$102</f>
        <v/>
      </c>
      <c r="Q18" s="12">
        <f>M18/M$102</f>
        <v/>
      </c>
      <c r="R18" s="12">
        <f>N18/N$102</f>
        <v/>
      </c>
      <c r="S18" s="12">
        <f>E18/E$102</f>
        <v/>
      </c>
    </row>
    <row r="19" spans="1:27">
      <c r="A19" t="n">
        <v>8</v>
      </c>
      <c r="B19" s="5">
        <f>bkrcast_all!B19</f>
        <v/>
      </c>
      <c r="C19" s="5">
        <f>bkrcast_all!C19</f>
        <v/>
      </c>
      <c r="D19" s="5">
        <f>bkrcast_all!D19</f>
        <v/>
      </c>
      <c r="E19" s="5">
        <f>SUM(B19:D19)</f>
        <v/>
      </c>
      <c r="G19" t="n">
        <v>8</v>
      </c>
      <c r="H19" s="5" t="n">
        <v>21138.32905842387</v>
      </c>
      <c r="I19" s="5" t="n">
        <v>6911.416737328653</v>
      </c>
      <c r="J19" s="7" t="n">
        <v>11326.05407959865</v>
      </c>
      <c r="K19" s="21">
        <f>bkrcast_all!K19</f>
        <v/>
      </c>
      <c r="L19" s="21">
        <f>bkrcast_inbkr!K19</f>
        <v/>
      </c>
      <c r="M19" s="21">
        <f>bkrcast_outbkr!K19</f>
        <v/>
      </c>
      <c r="N19" s="21">
        <f>soundcast!K19</f>
        <v/>
      </c>
      <c r="O19" s="12">
        <f>K19/K$102</f>
        <v/>
      </c>
      <c r="P19" s="12">
        <f>L19/L$102</f>
        <v/>
      </c>
      <c r="Q19" s="12">
        <f>M19/M$102</f>
        <v/>
      </c>
      <c r="R19" s="12">
        <f>N19/N$102</f>
        <v/>
      </c>
      <c r="S19" s="12">
        <f>E19/E$102</f>
        <v/>
      </c>
    </row>
    <row r="20" spans="1:27">
      <c r="A20" t="n">
        <v>9</v>
      </c>
      <c r="B20" s="5">
        <f>bkrcast_all!B20</f>
        <v/>
      </c>
      <c r="C20" s="5">
        <f>bkrcast_all!C20</f>
        <v/>
      </c>
      <c r="D20" s="5">
        <f>bkrcast_all!D20</f>
        <v/>
      </c>
      <c r="E20" s="5">
        <f>SUM(B20:D20)</f>
        <v/>
      </c>
      <c r="G20" t="n">
        <v>9</v>
      </c>
      <c r="H20" s="5" t="n">
        <v>6981.614235997371</v>
      </c>
      <c r="I20" s="5" t="n">
        <v>3012.770431159282</v>
      </c>
      <c r="J20" s="7" t="n">
        <v>10295.54438404281</v>
      </c>
      <c r="K20" s="21">
        <f>bkrcast_all!K20</f>
        <v/>
      </c>
      <c r="L20" s="21">
        <f>bkrcast_inbkr!K20</f>
        <v/>
      </c>
      <c r="M20" s="21">
        <f>bkrcast_outbkr!K20</f>
        <v/>
      </c>
      <c r="N20" s="21">
        <f>soundcast!K20</f>
        <v/>
      </c>
      <c r="O20" s="12">
        <f>K20/K$102</f>
        <v/>
      </c>
      <c r="P20" s="12">
        <f>L20/L$102</f>
        <v/>
      </c>
      <c r="Q20" s="12">
        <f>M20/M$102</f>
        <v/>
      </c>
      <c r="R20" s="12">
        <f>N20/N$102</f>
        <v/>
      </c>
      <c r="S20" s="12">
        <f>E20/E$102</f>
        <v/>
      </c>
    </row>
    <row r="21" spans="1:27">
      <c r="A21" t="n">
        <v>10</v>
      </c>
      <c r="B21" s="5">
        <f>bkrcast_all!B21</f>
        <v/>
      </c>
      <c r="C21" s="5">
        <f>bkrcast_all!C21</f>
        <v/>
      </c>
      <c r="D21" s="5">
        <f>bkrcast_all!D21</f>
        <v/>
      </c>
      <c r="E21" s="5">
        <f>SUM(B21:D21)</f>
        <v/>
      </c>
      <c r="G21" t="n">
        <v>10</v>
      </c>
      <c r="H21" s="5" t="n">
        <v>5432.465145545347</v>
      </c>
      <c r="I21" s="5" t="n">
        <v>2358.475383098869</v>
      </c>
      <c r="J21" s="7" t="n">
        <v>3969.741718679814</v>
      </c>
      <c r="K21" s="21">
        <f>bkrcast_all!K21</f>
        <v/>
      </c>
      <c r="L21" s="21">
        <f>bkrcast_inbkr!K21</f>
        <v/>
      </c>
      <c r="M21" s="21">
        <f>bkrcast_outbkr!K21</f>
        <v/>
      </c>
      <c r="N21" s="21">
        <f>soundcast!K21</f>
        <v/>
      </c>
      <c r="O21" s="12">
        <f>K21/K$102</f>
        <v/>
      </c>
      <c r="P21" s="12">
        <f>L21/L$102</f>
        <v/>
      </c>
      <c r="Q21" s="12">
        <f>M21/M$102</f>
        <v/>
      </c>
      <c r="R21" s="12">
        <f>N21/N$102</f>
        <v/>
      </c>
      <c r="S21" s="12">
        <f>E21/E$102</f>
        <v/>
      </c>
    </row>
    <row r="22" spans="1:27">
      <c r="A22" t="n">
        <v>11</v>
      </c>
      <c r="B22" s="5">
        <f>bkrcast_all!B22</f>
        <v/>
      </c>
      <c r="C22" s="5">
        <f>bkrcast_all!C22</f>
        <v/>
      </c>
      <c r="D22" s="5">
        <f>bkrcast_all!D22</f>
        <v/>
      </c>
      <c r="E22" s="5">
        <f>SUM(B22:D22)</f>
        <v/>
      </c>
      <c r="G22" t="n">
        <v>11</v>
      </c>
      <c r="H22" s="5" t="n">
        <v>5221.766289748822</v>
      </c>
      <c r="I22" s="5" t="n">
        <v>1937.667974552669</v>
      </c>
      <c r="J22" s="7" t="n">
        <v>4795.271323727537</v>
      </c>
      <c r="K22" s="21">
        <f>bkrcast_all!K22</f>
        <v/>
      </c>
      <c r="L22" s="21">
        <f>bkrcast_inbkr!K22</f>
        <v/>
      </c>
      <c r="M22" s="21">
        <f>bkrcast_outbkr!K22</f>
        <v/>
      </c>
      <c r="N22" s="21">
        <f>soundcast!K22</f>
        <v/>
      </c>
      <c r="O22" s="12">
        <f>K22/K$102</f>
        <v/>
      </c>
      <c r="P22" s="12">
        <f>L22/L$102</f>
        <v/>
      </c>
      <c r="Q22" s="12">
        <f>M22/M$102</f>
        <v/>
      </c>
      <c r="R22" s="12">
        <f>N22/N$102</f>
        <v/>
      </c>
      <c r="S22" s="12">
        <f>E22/E$102</f>
        <v/>
      </c>
    </row>
    <row r="23" spans="1:27">
      <c r="A23" t="n">
        <v>12</v>
      </c>
      <c r="B23" s="5">
        <f>bkrcast_all!B23</f>
        <v/>
      </c>
      <c r="C23" s="5">
        <f>bkrcast_all!C23</f>
        <v/>
      </c>
      <c r="D23" s="5">
        <f>bkrcast_all!D23</f>
        <v/>
      </c>
      <c r="E23" s="5">
        <f>SUM(B23:D23)</f>
        <v/>
      </c>
      <c r="G23" t="n">
        <v>12</v>
      </c>
      <c r="H23" s="5" t="n">
        <v>3507.551477830186</v>
      </c>
      <c r="I23" s="5" t="n">
        <v>1535.326337210272</v>
      </c>
      <c r="J23" s="7" t="n">
        <v>3970.93761258286</v>
      </c>
      <c r="K23" s="21">
        <f>bkrcast_all!K23</f>
        <v/>
      </c>
      <c r="L23" s="21">
        <f>bkrcast_inbkr!K23</f>
        <v/>
      </c>
      <c r="M23" s="21">
        <f>bkrcast_outbkr!K23</f>
        <v/>
      </c>
      <c r="N23" s="21">
        <f>soundcast!K23</f>
        <v/>
      </c>
      <c r="O23" s="12">
        <f>K23/K$102</f>
        <v/>
      </c>
      <c r="P23" s="12">
        <f>L23/L$102</f>
        <v/>
      </c>
      <c r="Q23" s="12">
        <f>M23/M$102</f>
        <v/>
      </c>
      <c r="R23" s="12">
        <f>N23/N$102</f>
        <v/>
      </c>
      <c r="S23" s="12">
        <f>E23/E$102</f>
        <v/>
      </c>
    </row>
    <row r="24" spans="1:27">
      <c r="A24" t="n">
        <v>13</v>
      </c>
      <c r="B24" s="5">
        <f>bkrcast_all!B24</f>
        <v/>
      </c>
      <c r="C24" s="5">
        <f>bkrcast_all!C24</f>
        <v/>
      </c>
      <c r="D24" s="5">
        <f>bkrcast_all!D24</f>
        <v/>
      </c>
      <c r="E24" s="5">
        <f>SUM(B24:D24)</f>
        <v/>
      </c>
      <c r="G24" t="n">
        <v>13</v>
      </c>
      <c r="H24" s="5" t="n">
        <v>2126.645824839578</v>
      </c>
      <c r="I24" s="5" t="n">
        <v>1323.434853222224</v>
      </c>
      <c r="J24" s="7" t="n">
        <v>3521.755263135591</v>
      </c>
      <c r="K24" s="21">
        <f>bkrcast_all!K24</f>
        <v/>
      </c>
      <c r="L24" s="21">
        <f>bkrcast_inbkr!K24</f>
        <v/>
      </c>
      <c r="M24" s="21">
        <f>bkrcast_outbkr!K24</f>
        <v/>
      </c>
      <c r="N24" s="21">
        <f>soundcast!K24</f>
        <v/>
      </c>
      <c r="O24" s="12">
        <f>K24/K$102</f>
        <v/>
      </c>
      <c r="P24" s="12">
        <f>L24/L$102</f>
        <v/>
      </c>
      <c r="Q24" s="12">
        <f>M24/M$102</f>
        <v/>
      </c>
      <c r="R24" s="12">
        <f>N24/N$102</f>
        <v/>
      </c>
      <c r="S24" s="12">
        <f>E24/E$102</f>
        <v/>
      </c>
    </row>
    <row r="25" spans="1:27">
      <c r="A25" t="n">
        <v>14</v>
      </c>
      <c r="B25" s="5">
        <f>bkrcast_all!B25</f>
        <v/>
      </c>
      <c r="C25" s="5">
        <f>bkrcast_all!C25</f>
        <v/>
      </c>
      <c r="D25" s="5">
        <f>bkrcast_all!D25</f>
        <v/>
      </c>
      <c r="E25" s="5">
        <f>SUM(B25:D25)</f>
        <v/>
      </c>
      <c r="G25" t="n">
        <v>14</v>
      </c>
      <c r="H25" s="5" t="n">
        <v>2520.595659193135</v>
      </c>
      <c r="I25" s="5" t="n">
        <v>1091.660817482783</v>
      </c>
      <c r="J25" s="7" t="n">
        <v>4686.798838844446</v>
      </c>
      <c r="K25" s="21">
        <f>bkrcast_all!K25</f>
        <v/>
      </c>
      <c r="L25" s="21">
        <f>bkrcast_inbkr!K25</f>
        <v/>
      </c>
      <c r="M25" s="21">
        <f>bkrcast_outbkr!K25</f>
        <v/>
      </c>
      <c r="N25" s="21">
        <f>soundcast!K25</f>
        <v/>
      </c>
      <c r="O25" s="12">
        <f>K25/K$102</f>
        <v/>
      </c>
      <c r="P25" s="12">
        <f>L25/L$102</f>
        <v/>
      </c>
      <c r="Q25" s="12">
        <f>M25/M$102</f>
        <v/>
      </c>
      <c r="R25" s="12">
        <f>N25/N$102</f>
        <v/>
      </c>
      <c r="S25" s="12">
        <f>E25/E$102</f>
        <v/>
      </c>
    </row>
    <row r="26" spans="1:27">
      <c r="A26" t="n">
        <v>15</v>
      </c>
      <c r="B26" s="5">
        <f>bkrcast_all!B26</f>
        <v/>
      </c>
      <c r="C26" s="5">
        <f>bkrcast_all!C26</f>
        <v/>
      </c>
      <c r="D26" s="5">
        <f>bkrcast_all!D26</f>
        <v/>
      </c>
      <c r="E26" s="5">
        <f>SUM(B26:D26)</f>
        <v/>
      </c>
      <c r="G26" t="n">
        <v>15</v>
      </c>
      <c r="H26" s="5" t="n">
        <v>2141.740151409556</v>
      </c>
      <c r="I26" s="5" t="n">
        <v>1188.81264396489</v>
      </c>
      <c r="J26" s="7" t="n">
        <v>2745.779361929005</v>
      </c>
      <c r="K26" s="21">
        <f>bkrcast_all!K26</f>
        <v/>
      </c>
      <c r="L26" s="21">
        <f>bkrcast_inbkr!K26</f>
        <v/>
      </c>
      <c r="M26" s="21">
        <f>bkrcast_outbkr!K26</f>
        <v/>
      </c>
      <c r="N26" s="21">
        <f>soundcast!K26</f>
        <v/>
      </c>
      <c r="O26" s="12">
        <f>K26/K$102</f>
        <v/>
      </c>
      <c r="P26" s="12">
        <f>L26/L$102</f>
        <v/>
      </c>
      <c r="Q26" s="12">
        <f>M26/M$102</f>
        <v/>
      </c>
      <c r="R26" s="12">
        <f>N26/N$102</f>
        <v/>
      </c>
      <c r="S26" s="12">
        <f>E26/E$102</f>
        <v/>
      </c>
    </row>
    <row r="27" spans="1:27">
      <c r="A27" t="n">
        <v>16</v>
      </c>
      <c r="B27" s="5">
        <f>bkrcast_all!B27</f>
        <v/>
      </c>
      <c r="C27" s="5">
        <f>bkrcast_all!C27</f>
        <v/>
      </c>
      <c r="D27" s="5">
        <f>bkrcast_all!D27</f>
        <v/>
      </c>
      <c r="E27" s="5">
        <f>SUM(B27:D27)</f>
        <v/>
      </c>
      <c r="G27" t="n">
        <v>16</v>
      </c>
      <c r="H27" s="5" t="n">
        <v>810.4975032313582</v>
      </c>
      <c r="I27" s="5" t="n">
        <v>754.0164577413319</v>
      </c>
      <c r="J27" s="7" t="n">
        <v>1941.943391712931</v>
      </c>
      <c r="K27" s="21">
        <f>bkrcast_all!K27</f>
        <v/>
      </c>
      <c r="L27" s="21">
        <f>bkrcast_inbkr!K27</f>
        <v/>
      </c>
      <c r="M27" s="21">
        <f>bkrcast_outbkr!K27</f>
        <v/>
      </c>
      <c r="N27" s="21">
        <f>soundcast!K27</f>
        <v/>
      </c>
      <c r="O27" s="12">
        <f>K27/K$102</f>
        <v/>
      </c>
      <c r="P27" s="12">
        <f>L27/L$102</f>
        <v/>
      </c>
      <c r="Q27" s="12">
        <f>M27/M$102</f>
        <v/>
      </c>
      <c r="R27" s="12">
        <f>N27/N$102</f>
        <v/>
      </c>
      <c r="S27" s="12">
        <f>E27/E$102</f>
        <v/>
      </c>
    </row>
    <row r="28" spans="1:27">
      <c r="A28" t="n">
        <v>17</v>
      </c>
      <c r="B28" s="5">
        <f>bkrcast_all!B28</f>
        <v/>
      </c>
      <c r="C28" s="5">
        <f>bkrcast_all!C28</f>
        <v/>
      </c>
      <c r="D28" s="5">
        <f>bkrcast_all!D28</f>
        <v/>
      </c>
      <c r="E28" s="5">
        <f>SUM(B28:D28)</f>
        <v/>
      </c>
      <c r="G28" t="n">
        <v>17</v>
      </c>
      <c r="H28" s="5" t="n">
        <v>879.0814134554863</v>
      </c>
      <c r="I28" s="5" t="n">
        <v>666.4963733122182</v>
      </c>
      <c r="J28" s="7" t="n">
        <v>2521.764182524413</v>
      </c>
      <c r="K28" s="21">
        <f>bkrcast_all!K28</f>
        <v/>
      </c>
      <c r="L28" s="21">
        <f>bkrcast_inbkr!K28</f>
        <v/>
      </c>
      <c r="M28" s="21">
        <f>bkrcast_outbkr!K28</f>
        <v/>
      </c>
      <c r="N28" s="21">
        <f>soundcast!K28</f>
        <v/>
      </c>
      <c r="O28" s="12">
        <f>K28/K$102</f>
        <v/>
      </c>
      <c r="P28" s="12">
        <f>L28/L$102</f>
        <v/>
      </c>
      <c r="Q28" s="12">
        <f>M28/M$102</f>
        <v/>
      </c>
      <c r="R28" s="12">
        <f>N28/N$102</f>
        <v/>
      </c>
      <c r="S28" s="12">
        <f>E28/E$102</f>
        <v/>
      </c>
    </row>
    <row r="29" spans="1:27">
      <c r="A29" t="n">
        <v>18</v>
      </c>
      <c r="B29" s="5">
        <f>bkrcast_all!B29</f>
        <v/>
      </c>
      <c r="C29" s="5">
        <f>bkrcast_all!C29</f>
        <v/>
      </c>
      <c r="D29" s="5">
        <f>bkrcast_all!D29</f>
        <v/>
      </c>
      <c r="E29" s="5">
        <f>SUM(B29:D29)</f>
        <v/>
      </c>
      <c r="G29" t="n">
        <v>18</v>
      </c>
      <c r="H29" s="5" t="n">
        <v>435.0259376566783</v>
      </c>
      <c r="I29" s="5" t="n">
        <v>544.3777417749143</v>
      </c>
      <c r="J29" s="7" t="n">
        <v>2077.235679180646</v>
      </c>
      <c r="K29" s="21">
        <f>bkrcast_all!K29</f>
        <v/>
      </c>
      <c r="L29" s="21">
        <f>bkrcast_inbkr!K29</f>
        <v/>
      </c>
      <c r="M29" s="21">
        <f>bkrcast_outbkr!K29</f>
        <v/>
      </c>
      <c r="N29" s="21">
        <f>soundcast!K29</f>
        <v/>
      </c>
      <c r="O29" s="12">
        <f>K29/K$102</f>
        <v/>
      </c>
      <c r="P29" s="12">
        <f>L29/L$102</f>
        <v/>
      </c>
      <c r="Q29" s="12">
        <f>M29/M$102</f>
        <v/>
      </c>
      <c r="R29" s="12">
        <f>N29/N$102</f>
        <v/>
      </c>
      <c r="S29" s="12">
        <f>E29/E$102</f>
        <v/>
      </c>
    </row>
    <row r="30" spans="1:27">
      <c r="A30" t="n">
        <v>19</v>
      </c>
      <c r="B30" s="5">
        <f>bkrcast_all!B30</f>
        <v/>
      </c>
      <c r="C30" s="5">
        <f>bkrcast_all!C30</f>
        <v/>
      </c>
      <c r="D30" s="5">
        <f>bkrcast_all!D30</f>
        <v/>
      </c>
      <c r="E30" s="5">
        <f>SUM(B30:D30)</f>
        <v/>
      </c>
      <c r="G30" t="n">
        <v>19</v>
      </c>
      <c r="H30" s="5" t="n">
        <v>540.5359761927089</v>
      </c>
      <c r="I30" s="5" t="n">
        <v>367.8394549219713</v>
      </c>
      <c r="J30" s="7" t="n">
        <v>1133.539317936086</v>
      </c>
      <c r="K30" s="21">
        <f>bkrcast_all!K30</f>
        <v/>
      </c>
      <c r="L30" s="21">
        <f>bkrcast_inbkr!K30</f>
        <v/>
      </c>
      <c r="M30" s="21">
        <f>bkrcast_outbkr!K30</f>
        <v/>
      </c>
      <c r="N30" s="21">
        <f>soundcast!K30</f>
        <v/>
      </c>
      <c r="O30" s="12">
        <f>K30/K$102</f>
        <v/>
      </c>
      <c r="P30" s="12">
        <f>L30/L$102</f>
        <v/>
      </c>
      <c r="Q30" s="12">
        <f>M30/M$102</f>
        <v/>
      </c>
      <c r="R30" s="12">
        <f>N30/N$102</f>
        <v/>
      </c>
      <c r="S30" s="12">
        <f>E30/E$102</f>
        <v/>
      </c>
    </row>
    <row r="31" spans="1:27">
      <c r="A31" t="n">
        <v>20</v>
      </c>
      <c r="B31" s="5">
        <f>bkrcast_all!B31</f>
        <v/>
      </c>
      <c r="C31" s="5">
        <f>bkrcast_all!C31</f>
        <v/>
      </c>
      <c r="D31" s="5">
        <f>bkrcast_all!D31</f>
        <v/>
      </c>
      <c r="E31" s="5">
        <f>SUM(B31:D31)</f>
        <v/>
      </c>
      <c r="G31" t="n">
        <v>20</v>
      </c>
      <c r="H31" s="5" t="n">
        <v>245.1990459045052</v>
      </c>
      <c r="I31" s="5" t="n">
        <v>196.796310293415</v>
      </c>
      <c r="J31" s="7" t="n">
        <v>944.722483280976</v>
      </c>
      <c r="K31" s="21">
        <f>bkrcast_all!K31</f>
        <v/>
      </c>
      <c r="L31" s="21">
        <f>bkrcast_inbkr!K31</f>
        <v/>
      </c>
      <c r="M31" s="21">
        <f>bkrcast_outbkr!K31</f>
        <v/>
      </c>
      <c r="N31" s="21">
        <f>soundcast!K31</f>
        <v/>
      </c>
      <c r="O31" s="12">
        <f>K31/K$102</f>
        <v/>
      </c>
      <c r="P31" s="12">
        <f>L31/L$102</f>
        <v/>
      </c>
      <c r="Q31" s="12">
        <f>M31/M$102</f>
        <v/>
      </c>
      <c r="R31" s="12">
        <f>N31/N$102</f>
        <v/>
      </c>
      <c r="S31" s="12">
        <f>E31/E$102</f>
        <v/>
      </c>
    </row>
    <row r="32" spans="1:27">
      <c r="A32" t="n">
        <v>21</v>
      </c>
      <c r="B32" s="5">
        <f>bkrcast_all!B32</f>
        <v/>
      </c>
      <c r="C32" s="5">
        <f>bkrcast_all!C32</f>
        <v/>
      </c>
      <c r="D32" s="5">
        <f>bkrcast_all!D32</f>
        <v/>
      </c>
      <c r="E32" s="5">
        <f>SUM(B32:D32)</f>
        <v/>
      </c>
      <c r="G32" t="n">
        <v>21</v>
      </c>
      <c r="H32" s="5" t="n">
        <v>179.7936140106328</v>
      </c>
      <c r="I32" s="5" t="n">
        <v>244.5192221812499</v>
      </c>
      <c r="J32" s="7" t="n">
        <v>747.3412242866394</v>
      </c>
      <c r="K32" s="21">
        <f>bkrcast_all!K32</f>
        <v/>
      </c>
      <c r="L32" s="21">
        <f>bkrcast_inbkr!K32</f>
        <v/>
      </c>
      <c r="M32" s="21">
        <f>bkrcast_outbkr!K32</f>
        <v/>
      </c>
      <c r="N32" s="21">
        <f>soundcast!K32</f>
        <v/>
      </c>
      <c r="O32" s="12">
        <f>K32/K$102</f>
        <v/>
      </c>
      <c r="P32" s="12">
        <f>L32/L$102</f>
        <v/>
      </c>
      <c r="Q32" s="12">
        <f>M32/M$102</f>
        <v/>
      </c>
      <c r="R32" s="12">
        <f>N32/N$102</f>
        <v/>
      </c>
      <c r="S32" s="12">
        <f>E32/E$102</f>
        <v/>
      </c>
    </row>
    <row r="33" spans="1:27">
      <c r="A33" t="n">
        <v>22</v>
      </c>
      <c r="B33" s="5">
        <f>bkrcast_all!B33</f>
        <v/>
      </c>
      <c r="C33" s="5">
        <f>bkrcast_all!C33</f>
        <v/>
      </c>
      <c r="D33" s="5">
        <f>bkrcast_all!D33</f>
        <v/>
      </c>
      <c r="E33" s="5">
        <f>SUM(B33:D33)</f>
        <v/>
      </c>
      <c r="G33" t="n">
        <v>22</v>
      </c>
      <c r="H33" s="5" t="n">
        <v>76.09058190103798</v>
      </c>
      <c r="I33" s="5" t="n">
        <v>168.801493969929</v>
      </c>
      <c r="J33" s="7" t="n">
        <v>1165.826467797927</v>
      </c>
      <c r="K33" s="21">
        <f>bkrcast_all!K33</f>
        <v/>
      </c>
      <c r="L33" s="21">
        <f>bkrcast_inbkr!K33</f>
        <v/>
      </c>
      <c r="M33" s="21">
        <f>bkrcast_outbkr!K33</f>
        <v/>
      </c>
      <c r="N33" s="21">
        <f>soundcast!K33</f>
        <v/>
      </c>
      <c r="O33" s="12">
        <f>K33/K$102</f>
        <v/>
      </c>
      <c r="P33" s="12">
        <f>L33/L$102</f>
        <v/>
      </c>
      <c r="Q33" s="12">
        <f>M33/M$102</f>
        <v/>
      </c>
      <c r="R33" s="12">
        <f>N33/N$102</f>
        <v/>
      </c>
      <c r="S33" s="12">
        <f>E33/E$102</f>
        <v/>
      </c>
    </row>
    <row r="34" spans="1:27">
      <c r="A34" t="n">
        <v>23</v>
      </c>
      <c r="B34" s="5">
        <f>bkrcast_all!B34</f>
        <v/>
      </c>
      <c r="C34" s="5">
        <f>bkrcast_all!C34</f>
        <v/>
      </c>
      <c r="D34" s="5">
        <f>bkrcast_all!D34</f>
        <v/>
      </c>
      <c r="E34" s="5">
        <f>SUM(B34:D34)</f>
        <v/>
      </c>
      <c r="G34" t="n">
        <v>23</v>
      </c>
      <c r="H34" s="5" t="n">
        <v>95.02455507716432</v>
      </c>
      <c r="I34" s="5" t="n">
        <v>201.3071642211289</v>
      </c>
      <c r="J34" s="7" t="n">
        <v>1232.214299720726</v>
      </c>
      <c r="K34" s="21">
        <f>bkrcast_all!K34</f>
        <v/>
      </c>
      <c r="L34" s="21">
        <f>bkrcast_inbkr!K34</f>
        <v/>
      </c>
      <c r="M34" s="21">
        <f>bkrcast_outbkr!K34</f>
        <v/>
      </c>
      <c r="N34" s="21">
        <f>soundcast!K34</f>
        <v/>
      </c>
      <c r="O34" s="12">
        <f>K34/K$102</f>
        <v/>
      </c>
      <c r="P34" s="12">
        <f>L34/L$102</f>
        <v/>
      </c>
      <c r="Q34" s="12">
        <f>M34/M$102</f>
        <v/>
      </c>
      <c r="R34" s="12">
        <f>N34/N$102</f>
        <v/>
      </c>
      <c r="S34" s="12">
        <f>E34/E$102</f>
        <v/>
      </c>
    </row>
    <row r="35" spans="1:27">
      <c r="A35" t="n">
        <v>24</v>
      </c>
      <c r="B35" s="5">
        <f>bkrcast_all!B35</f>
        <v/>
      </c>
      <c r="C35" s="5">
        <f>bkrcast_all!C35</f>
        <v/>
      </c>
      <c r="D35" s="5">
        <f>bkrcast_all!D35</f>
        <v/>
      </c>
      <c r="E35" s="5">
        <f>SUM(B35:D35)</f>
        <v/>
      </c>
      <c r="G35" t="n">
        <v>24</v>
      </c>
      <c r="H35" s="5" t="n">
        <v>48.94035113383485</v>
      </c>
      <c r="I35" s="5" t="n">
        <v>140.9551195938482</v>
      </c>
      <c r="J35" s="7" t="n">
        <v>652.4501681016725</v>
      </c>
      <c r="K35" s="21">
        <f>bkrcast_all!K35</f>
        <v/>
      </c>
      <c r="L35" s="21">
        <f>bkrcast_inbkr!K35</f>
        <v/>
      </c>
      <c r="M35" s="21">
        <f>bkrcast_outbkr!K35</f>
        <v/>
      </c>
      <c r="N35" s="21">
        <f>soundcast!K35</f>
        <v/>
      </c>
      <c r="O35" s="12">
        <f>K35/K$102</f>
        <v/>
      </c>
      <c r="P35" s="12">
        <f>L35/L$102</f>
        <v/>
      </c>
      <c r="Q35" s="12">
        <f>M35/M$102</f>
        <v/>
      </c>
      <c r="R35" s="12">
        <f>N35/N$102</f>
        <v/>
      </c>
      <c r="S35" s="12">
        <f>E35/E$102</f>
        <v/>
      </c>
    </row>
    <row r="36" spans="1:27">
      <c r="A36" t="n">
        <v>25</v>
      </c>
      <c r="B36" s="5">
        <f>bkrcast_all!B36</f>
        <v/>
      </c>
      <c r="C36" s="5">
        <f>bkrcast_all!C36</f>
        <v/>
      </c>
      <c r="D36" s="5">
        <f>bkrcast_all!D36</f>
        <v/>
      </c>
      <c r="E36" s="5">
        <f>SUM(B36:D36)</f>
        <v/>
      </c>
      <c r="G36" t="n">
        <v>25</v>
      </c>
      <c r="H36" s="5" t="n">
        <v>42.71984959478121</v>
      </c>
      <c r="I36" s="5" t="n">
        <v>145.1978155104556</v>
      </c>
      <c r="J36" s="7" t="n">
        <v>596.0296086367053</v>
      </c>
      <c r="K36" s="21">
        <f>bkrcast_all!K36</f>
        <v/>
      </c>
      <c r="L36" s="21">
        <f>bkrcast_inbkr!K36</f>
        <v/>
      </c>
      <c r="M36" s="21">
        <f>bkrcast_outbkr!K36</f>
        <v/>
      </c>
      <c r="N36" s="21">
        <f>soundcast!K36</f>
        <v/>
      </c>
      <c r="O36" s="12">
        <f>K36/K$102</f>
        <v/>
      </c>
      <c r="P36" s="12">
        <f>L36/L$102</f>
        <v/>
      </c>
      <c r="Q36" s="12">
        <f>M36/M$102</f>
        <v/>
      </c>
      <c r="R36" s="12">
        <f>N36/N$102</f>
        <v/>
      </c>
      <c r="S36" s="12">
        <f>E36/E$102</f>
        <v/>
      </c>
    </row>
    <row r="37" spans="1:27">
      <c r="A37" t="n">
        <v>26</v>
      </c>
      <c r="B37" s="5">
        <f>bkrcast_all!B37</f>
        <v/>
      </c>
      <c r="C37" s="5">
        <f>bkrcast_all!C37</f>
        <v/>
      </c>
      <c r="D37" s="5">
        <f>bkrcast_all!D37</f>
        <v/>
      </c>
      <c r="E37" s="5">
        <f>SUM(B37:D37)</f>
        <v/>
      </c>
      <c r="G37" t="n">
        <v>26</v>
      </c>
      <c r="H37" s="5" t="n">
        <v>46.4828613068089</v>
      </c>
      <c r="I37" s="5" t="n">
        <v>120.0305776288458</v>
      </c>
      <c r="J37" s="7" t="n">
        <v>658.1225574925242</v>
      </c>
      <c r="K37" s="21">
        <f>bkrcast_all!K37</f>
        <v/>
      </c>
      <c r="L37" s="21">
        <f>bkrcast_inbkr!K37</f>
        <v/>
      </c>
      <c r="M37" s="21">
        <f>bkrcast_outbkr!K37</f>
        <v/>
      </c>
      <c r="N37" s="21">
        <f>soundcast!K37</f>
        <v/>
      </c>
      <c r="O37" s="12">
        <f>K37/K$102</f>
        <v/>
      </c>
      <c r="P37" s="12">
        <f>L37/L$102</f>
        <v/>
      </c>
      <c r="Q37" s="12">
        <f>M37/M$102</f>
        <v/>
      </c>
      <c r="R37" s="12">
        <f>N37/N$102</f>
        <v/>
      </c>
      <c r="S37" s="12">
        <f>E37/E$102</f>
        <v/>
      </c>
    </row>
    <row r="38" spans="1:27">
      <c r="A38" t="n">
        <v>27</v>
      </c>
      <c r="B38" s="5">
        <f>bkrcast_all!B38</f>
        <v/>
      </c>
      <c r="C38" s="5">
        <f>bkrcast_all!C38</f>
        <v/>
      </c>
      <c r="D38" s="5">
        <f>bkrcast_all!D38</f>
        <v/>
      </c>
      <c r="E38" s="5">
        <f>SUM(B38:D38)</f>
        <v/>
      </c>
      <c r="G38" t="n">
        <v>27</v>
      </c>
      <c r="H38" s="5" t="n">
        <v>10.97767857142857</v>
      </c>
      <c r="I38" s="5" t="n">
        <v>112.9864089425615</v>
      </c>
      <c r="J38" s="7" t="n">
        <v>462.4847245660377</v>
      </c>
      <c r="K38" s="21">
        <f>bkrcast_all!K38</f>
        <v/>
      </c>
      <c r="L38" s="21">
        <f>bkrcast_inbkr!K38</f>
        <v/>
      </c>
      <c r="M38" s="21">
        <f>bkrcast_outbkr!K38</f>
        <v/>
      </c>
      <c r="N38" s="21">
        <f>soundcast!K38</f>
        <v/>
      </c>
      <c r="O38" s="12">
        <f>K38/K$102</f>
        <v/>
      </c>
      <c r="P38" s="12">
        <f>L38/L$102</f>
        <v/>
      </c>
      <c r="Q38" s="12">
        <f>M38/M$102</f>
        <v/>
      </c>
      <c r="R38" s="12">
        <f>N38/N$102</f>
        <v/>
      </c>
      <c r="S38" s="12">
        <f>E38/E$102</f>
        <v/>
      </c>
    </row>
    <row r="39" spans="1:27">
      <c r="A39" t="n">
        <v>28</v>
      </c>
      <c r="B39" s="5">
        <f>bkrcast_all!B39</f>
        <v/>
      </c>
      <c r="C39" s="5">
        <f>bkrcast_all!C39</f>
        <v/>
      </c>
      <c r="D39" s="5">
        <f>bkrcast_all!D39</f>
        <v/>
      </c>
      <c r="E39" s="5">
        <f>SUM(B39:D39)</f>
        <v/>
      </c>
      <c r="G39" t="n">
        <v>28</v>
      </c>
      <c r="H39" s="5" t="n">
        <v>1</v>
      </c>
      <c r="I39" s="5" t="n">
        <v>95.94492763909599</v>
      </c>
      <c r="J39" s="7" t="n">
        <v>394.836185205305</v>
      </c>
      <c r="K39" s="21">
        <f>bkrcast_all!K39</f>
        <v/>
      </c>
      <c r="L39" s="21">
        <f>bkrcast_inbkr!K39</f>
        <v/>
      </c>
      <c r="M39" s="21">
        <f>bkrcast_outbkr!K39</f>
        <v/>
      </c>
      <c r="N39" s="21">
        <f>soundcast!K39</f>
        <v/>
      </c>
      <c r="O39" s="12">
        <f>K39/K$102</f>
        <v/>
      </c>
      <c r="P39" s="12">
        <f>L39/L$102</f>
        <v/>
      </c>
      <c r="Q39" s="12">
        <f>M39/M$102</f>
        <v/>
      </c>
      <c r="R39" s="12">
        <f>N39/N$102</f>
        <v/>
      </c>
      <c r="S39" s="12">
        <f>E39/E$102</f>
        <v/>
      </c>
    </row>
    <row r="40" spans="1:27">
      <c r="A40" t="n">
        <v>29</v>
      </c>
      <c r="B40" s="5">
        <f>bkrcast_all!B40</f>
        <v/>
      </c>
      <c r="C40" s="5">
        <f>bkrcast_all!C40</f>
        <v/>
      </c>
      <c r="D40" s="5">
        <f>bkrcast_all!D40</f>
        <v/>
      </c>
      <c r="E40" s="5">
        <f>SUM(B40:D40)</f>
        <v/>
      </c>
      <c r="G40" t="n">
        <v>29</v>
      </c>
      <c r="H40" s="5" t="n">
        <v>12.22426309973531</v>
      </c>
      <c r="I40" s="5" t="n">
        <v>90.12247572742051</v>
      </c>
      <c r="J40" s="7" t="n">
        <v>189.9652105431799</v>
      </c>
      <c r="K40" s="21">
        <f>bkrcast_all!K40</f>
        <v/>
      </c>
      <c r="L40" s="21">
        <f>bkrcast_inbkr!K40</f>
        <v/>
      </c>
      <c r="M40" s="21">
        <f>bkrcast_outbkr!K40</f>
        <v/>
      </c>
      <c r="N40" s="21">
        <f>soundcast!K40</f>
        <v/>
      </c>
      <c r="O40" s="12">
        <f>K40/K$102</f>
        <v/>
      </c>
      <c r="P40" s="12">
        <f>L40/L$102</f>
        <v/>
      </c>
      <c r="Q40" s="12">
        <f>M40/M$102</f>
        <v/>
      </c>
      <c r="R40" s="12">
        <f>N40/N$102</f>
        <v/>
      </c>
      <c r="S40" s="12">
        <f>E40/E$102</f>
        <v/>
      </c>
    </row>
    <row r="41" spans="1:27">
      <c r="A41" t="n">
        <v>30</v>
      </c>
      <c r="B41" s="5">
        <f>bkrcast_all!B41</f>
        <v/>
      </c>
      <c r="C41" s="5">
        <f>bkrcast_all!C41</f>
        <v/>
      </c>
      <c r="D41" s="5">
        <f>bkrcast_all!D41</f>
        <v/>
      </c>
      <c r="E41" s="5">
        <f>SUM(B41:D41)</f>
        <v/>
      </c>
      <c r="G41" t="n">
        <v>30</v>
      </c>
      <c r="H41" s="5" t="n">
        <v>5.5</v>
      </c>
      <c r="I41" s="5" t="n">
        <v>62.1679385024406</v>
      </c>
      <c r="J41" s="7" t="n">
        <v>200.2385719558449</v>
      </c>
      <c r="K41" s="21">
        <f>bkrcast_all!K41</f>
        <v/>
      </c>
      <c r="L41" s="21">
        <f>bkrcast_inbkr!K41</f>
        <v/>
      </c>
      <c r="M41" s="21">
        <f>bkrcast_outbkr!K41</f>
        <v/>
      </c>
      <c r="N41" s="21">
        <f>soundcast!K41</f>
        <v/>
      </c>
      <c r="O41" s="12">
        <f>K41/K$102</f>
        <v/>
      </c>
      <c r="P41" s="12">
        <f>L41/L$102</f>
        <v/>
      </c>
      <c r="Q41" s="12">
        <f>M41/M$102</f>
        <v/>
      </c>
      <c r="R41" s="12">
        <f>N41/N$102</f>
        <v/>
      </c>
      <c r="S41" s="12">
        <f>E41/E$102</f>
        <v/>
      </c>
    </row>
    <row r="42" spans="1:27">
      <c r="A42" t="n">
        <v>31</v>
      </c>
      <c r="B42" s="5">
        <f>bkrcast_all!B42</f>
        <v/>
      </c>
      <c r="C42" s="5">
        <f>bkrcast_all!C42</f>
        <v/>
      </c>
      <c r="D42" s="5">
        <f>bkrcast_all!D42</f>
        <v/>
      </c>
      <c r="E42" s="5">
        <f>SUM(B42:D42)</f>
        <v/>
      </c>
      <c r="G42" t="n">
        <v>31</v>
      </c>
      <c r="H42" s="5" t="n">
        <v>5.01333333333333</v>
      </c>
      <c r="I42" s="5" t="n">
        <v>35.19446576421702</v>
      </c>
      <c r="J42" s="7" t="n">
        <v>223.769936556453</v>
      </c>
      <c r="K42" s="21">
        <f>bkrcast_all!K42</f>
        <v/>
      </c>
      <c r="L42" s="21">
        <f>bkrcast_inbkr!K42</f>
        <v/>
      </c>
      <c r="M42" s="21">
        <f>bkrcast_outbkr!K42</f>
        <v/>
      </c>
      <c r="N42" s="21">
        <f>soundcast!K42</f>
        <v/>
      </c>
      <c r="O42" s="12">
        <f>K42/K$102</f>
        <v/>
      </c>
      <c r="P42" s="12">
        <f>L42/L$102</f>
        <v/>
      </c>
      <c r="Q42" s="12">
        <f>M42/M$102</f>
        <v/>
      </c>
      <c r="R42" s="12">
        <f>N42/N$102</f>
        <v/>
      </c>
      <c r="S42" s="12">
        <f>E42/E$102</f>
        <v/>
      </c>
    </row>
    <row r="43" spans="1:27">
      <c r="A43" t="n">
        <v>32</v>
      </c>
      <c r="B43" s="5">
        <f>bkrcast_all!B43</f>
        <v/>
      </c>
      <c r="C43" s="5">
        <f>bkrcast_all!C43</f>
        <v/>
      </c>
      <c r="D43" s="5">
        <f>bkrcast_all!D43</f>
        <v/>
      </c>
      <c r="E43" s="5">
        <f>SUM(B43:D43)</f>
        <v/>
      </c>
      <c r="G43" t="n">
        <v>32</v>
      </c>
      <c r="H43" s="5" t="n">
        <v>30.0970571616649</v>
      </c>
      <c r="I43" s="5" t="n">
        <v>70.12429700173433</v>
      </c>
      <c r="J43" s="7" t="n">
        <v>178.2762618337984</v>
      </c>
      <c r="K43" s="21">
        <f>bkrcast_all!K43</f>
        <v/>
      </c>
      <c r="L43" s="21">
        <f>bkrcast_inbkr!K43</f>
        <v/>
      </c>
      <c r="M43" s="21">
        <f>bkrcast_outbkr!K43</f>
        <v/>
      </c>
      <c r="N43" s="21">
        <f>soundcast!K43</f>
        <v/>
      </c>
      <c r="O43" s="12">
        <f>K43/K$102</f>
        <v/>
      </c>
      <c r="P43" s="12">
        <f>L43/L$102</f>
        <v/>
      </c>
      <c r="Q43" s="12">
        <f>M43/M$102</f>
        <v/>
      </c>
      <c r="R43" s="12">
        <f>N43/N$102</f>
        <v/>
      </c>
      <c r="S43" s="12">
        <f>E43/E$102</f>
        <v/>
      </c>
    </row>
    <row r="44" spans="1:27">
      <c r="A44" t="n">
        <v>33</v>
      </c>
      <c r="B44" s="5">
        <f>bkrcast_all!B44</f>
        <v/>
      </c>
      <c r="C44" s="5">
        <f>bkrcast_all!C44</f>
        <v/>
      </c>
      <c r="D44" s="5">
        <f>bkrcast_all!D44</f>
        <v/>
      </c>
      <c r="E44" s="5">
        <f>SUM(B44:D44)</f>
        <v/>
      </c>
      <c r="G44" t="n">
        <v>33</v>
      </c>
      <c r="H44" s="5" t="n">
        <v>10.2666666666667</v>
      </c>
      <c r="I44" s="5" t="n">
        <v>35.49253524253526</v>
      </c>
      <c r="J44" s="7" t="n">
        <v>262.8014346874924</v>
      </c>
      <c r="K44" s="21">
        <f>bkrcast_all!K44</f>
        <v/>
      </c>
      <c r="L44" s="21">
        <f>bkrcast_inbkr!K44</f>
        <v/>
      </c>
      <c r="M44" s="21">
        <f>bkrcast_outbkr!K44</f>
        <v/>
      </c>
      <c r="N44" s="21">
        <f>soundcast!K44</f>
        <v/>
      </c>
      <c r="O44" s="12">
        <f>K44/K$102</f>
        <v/>
      </c>
      <c r="P44" s="12">
        <f>L44/L$102</f>
        <v/>
      </c>
      <c r="Q44" s="12">
        <f>M44/M$102</f>
        <v/>
      </c>
      <c r="R44" s="12">
        <f>N44/N$102</f>
        <v/>
      </c>
      <c r="S44" s="12">
        <f>E44/E$102</f>
        <v/>
      </c>
    </row>
    <row r="45" spans="1:27">
      <c r="A45" t="n">
        <v>34</v>
      </c>
      <c r="B45" s="5">
        <f>bkrcast_all!B45</f>
        <v/>
      </c>
      <c r="C45" s="5">
        <f>bkrcast_all!C45</f>
        <v/>
      </c>
      <c r="D45" s="5">
        <f>bkrcast_all!D45</f>
        <v/>
      </c>
      <c r="E45" s="5">
        <f>SUM(B45:D45)</f>
        <v/>
      </c>
      <c r="G45" t="n">
        <v>34</v>
      </c>
      <c r="H45" s="5" t="n">
        <v>0</v>
      </c>
      <c r="I45" s="5" t="n">
        <v>37.4198339861007</v>
      </c>
      <c r="J45" s="7" t="n">
        <v>408.8367957486361</v>
      </c>
      <c r="K45" s="21">
        <f>bkrcast_all!K45</f>
        <v/>
      </c>
      <c r="L45" s="21">
        <f>bkrcast_inbkr!K45</f>
        <v/>
      </c>
      <c r="M45" s="21">
        <f>bkrcast_outbkr!K45</f>
        <v/>
      </c>
      <c r="N45" s="21">
        <f>soundcast!K45</f>
        <v/>
      </c>
      <c r="O45" s="12">
        <f>K45/K$102</f>
        <v/>
      </c>
      <c r="P45" s="12">
        <f>L45/L$102</f>
        <v/>
      </c>
      <c r="Q45" s="12">
        <f>M45/M$102</f>
        <v/>
      </c>
      <c r="R45" s="12">
        <f>N45/N$102</f>
        <v/>
      </c>
      <c r="S45" s="12">
        <f>E45/E$102</f>
        <v/>
      </c>
    </row>
    <row r="46" spans="1:27">
      <c r="A46" t="n">
        <v>35</v>
      </c>
      <c r="B46" s="5">
        <f>bkrcast_all!B46</f>
        <v/>
      </c>
      <c r="C46" s="5">
        <f>bkrcast_all!C46</f>
        <v/>
      </c>
      <c r="D46" s="5">
        <f>bkrcast_all!D46</f>
        <v/>
      </c>
      <c r="E46" s="5">
        <f>SUM(B46:D46)</f>
        <v/>
      </c>
      <c r="G46" t="n">
        <v>35</v>
      </c>
      <c r="H46" s="5" t="n">
        <v>9.99649122807018</v>
      </c>
      <c r="I46" s="5" t="n">
        <v>5.72297297297297</v>
      </c>
      <c r="J46" s="7" t="n">
        <v>58.01244860083006</v>
      </c>
      <c r="K46" s="21">
        <f>bkrcast_all!K46</f>
        <v/>
      </c>
      <c r="L46" s="21">
        <f>bkrcast_inbkr!K46</f>
        <v/>
      </c>
      <c r="M46" s="21">
        <f>bkrcast_outbkr!K46</f>
        <v/>
      </c>
      <c r="N46" s="21">
        <f>soundcast!K46</f>
        <v/>
      </c>
      <c r="O46" s="12">
        <f>K46/K$102</f>
        <v/>
      </c>
      <c r="P46" s="12">
        <f>L46/L$102</f>
        <v/>
      </c>
      <c r="Q46" s="12">
        <f>M46/M$102</f>
        <v/>
      </c>
      <c r="R46" s="12">
        <f>N46/N$102</f>
        <v/>
      </c>
      <c r="S46" s="12">
        <f>E46/E$102</f>
        <v/>
      </c>
    </row>
    <row r="47" spans="1:27">
      <c r="A47" t="n">
        <v>36</v>
      </c>
      <c r="B47" s="5">
        <f>bkrcast_all!B47</f>
        <v/>
      </c>
      <c r="C47" s="5">
        <f>bkrcast_all!C47</f>
        <v/>
      </c>
      <c r="D47" s="5">
        <f>bkrcast_all!D47</f>
        <v/>
      </c>
      <c r="E47" s="5">
        <f>SUM(B47:D47)</f>
        <v/>
      </c>
      <c r="G47" t="n">
        <v>36</v>
      </c>
      <c r="H47" s="5" t="n">
        <v>0</v>
      </c>
      <c r="I47" s="5" t="n">
        <v>10.0102301790281</v>
      </c>
      <c r="J47" s="7" t="n">
        <v>93.17271248407476</v>
      </c>
      <c r="K47" s="21">
        <f>bkrcast_all!K47</f>
        <v/>
      </c>
      <c r="L47" s="21">
        <f>bkrcast_inbkr!K47</f>
        <v/>
      </c>
      <c r="M47" s="21">
        <f>bkrcast_outbkr!K47</f>
        <v/>
      </c>
      <c r="N47" s="21">
        <f>soundcast!K47</f>
        <v/>
      </c>
      <c r="O47" s="12">
        <f>K47/K$102</f>
        <v/>
      </c>
      <c r="P47" s="12">
        <f>L47/L$102</f>
        <v/>
      </c>
      <c r="Q47" s="12">
        <f>M47/M$102</f>
        <v/>
      </c>
      <c r="R47" s="12">
        <f>N47/N$102</f>
        <v/>
      </c>
      <c r="S47" s="12">
        <f>E47/E$102</f>
        <v/>
      </c>
    </row>
    <row r="48" spans="1:27">
      <c r="A48" t="n">
        <v>37</v>
      </c>
      <c r="B48" s="5">
        <f>bkrcast_all!B48</f>
        <v/>
      </c>
      <c r="C48" s="5">
        <f>bkrcast_all!C48</f>
        <v/>
      </c>
      <c r="D48" s="5">
        <f>bkrcast_all!D48</f>
        <v/>
      </c>
      <c r="E48" s="5">
        <f>SUM(B48:D48)</f>
        <v/>
      </c>
      <c r="G48" t="n">
        <v>37</v>
      </c>
      <c r="H48" s="5" t="n">
        <v>0</v>
      </c>
      <c r="I48" s="5" t="n">
        <v>17.24826086956522</v>
      </c>
      <c r="J48" s="7" t="n">
        <v>46.23740953197882</v>
      </c>
      <c r="K48" s="21">
        <f>bkrcast_all!K48</f>
        <v/>
      </c>
      <c r="L48" s="21">
        <f>bkrcast_inbkr!K48</f>
        <v/>
      </c>
      <c r="M48" s="21">
        <f>bkrcast_outbkr!K48</f>
        <v/>
      </c>
      <c r="N48" s="21">
        <f>soundcast!K48</f>
        <v/>
      </c>
      <c r="O48" s="12">
        <f>K48/K$102</f>
        <v/>
      </c>
      <c r="P48" s="12">
        <f>L48/L$102</f>
        <v/>
      </c>
      <c r="Q48" s="12">
        <f>M48/M$102</f>
        <v/>
      </c>
      <c r="R48" s="12">
        <f>N48/N$102</f>
        <v/>
      </c>
      <c r="S48" s="12">
        <f>E48/E$102</f>
        <v/>
      </c>
    </row>
    <row r="49" spans="1:27">
      <c r="A49" t="n">
        <v>38</v>
      </c>
      <c r="B49" s="5">
        <f>bkrcast_all!B49</f>
        <v/>
      </c>
      <c r="C49" s="5">
        <f>bkrcast_all!C49</f>
        <v/>
      </c>
      <c r="D49" s="5">
        <f>bkrcast_all!D49</f>
        <v/>
      </c>
      <c r="E49" s="5">
        <f>SUM(B49:D49)</f>
        <v/>
      </c>
      <c r="G49" t="n">
        <v>38</v>
      </c>
      <c r="H49" s="5" t="n">
        <v>5.06666666666667</v>
      </c>
      <c r="I49" s="5" t="n">
        <v>15.34945355191257</v>
      </c>
      <c r="J49" s="7" t="n">
        <v>25.92895408163265</v>
      </c>
      <c r="K49" s="21">
        <f>bkrcast_all!K49</f>
        <v/>
      </c>
      <c r="L49" s="21">
        <f>bkrcast_inbkr!K49</f>
        <v/>
      </c>
      <c r="M49" s="21">
        <f>bkrcast_outbkr!K49</f>
        <v/>
      </c>
      <c r="N49" s="21">
        <f>soundcast!K49</f>
        <v/>
      </c>
      <c r="O49" s="12">
        <f>K49/K$102</f>
        <v/>
      </c>
      <c r="P49" s="12">
        <f>L49/L$102</f>
        <v/>
      </c>
      <c r="Q49" s="12">
        <f>M49/M$102</f>
        <v/>
      </c>
      <c r="R49" s="12">
        <f>N49/N$102</f>
        <v/>
      </c>
      <c r="S49" s="12">
        <f>E49/E$102</f>
        <v/>
      </c>
    </row>
    <row r="50" spans="1:27">
      <c r="A50" t="n">
        <v>39</v>
      </c>
      <c r="B50" s="5">
        <f>bkrcast_all!B50</f>
        <v/>
      </c>
      <c r="C50" s="5">
        <f>bkrcast_all!C50</f>
        <v/>
      </c>
      <c r="D50" s="5">
        <f>bkrcast_all!D50</f>
        <v/>
      </c>
      <c r="E50" s="5">
        <f>SUM(B50:D50)</f>
        <v/>
      </c>
      <c r="G50" t="n">
        <v>39</v>
      </c>
      <c r="H50" s="5" t="n">
        <v>0</v>
      </c>
      <c r="I50" s="5" t="n">
        <v>19.97594163907285</v>
      </c>
      <c r="J50" s="7" t="n">
        <v>85.15725006564172</v>
      </c>
      <c r="K50" s="21">
        <f>bkrcast_all!K50</f>
        <v/>
      </c>
      <c r="L50" s="21">
        <f>bkrcast_inbkr!K50</f>
        <v/>
      </c>
      <c r="M50" s="21">
        <f>bkrcast_outbkr!K50</f>
        <v/>
      </c>
      <c r="N50" s="21">
        <f>soundcast!K50</f>
        <v/>
      </c>
      <c r="O50" s="12">
        <f>K50/K$102</f>
        <v/>
      </c>
      <c r="P50" s="12">
        <f>L50/L$102</f>
        <v/>
      </c>
      <c r="Q50" s="12">
        <f>M50/M$102</f>
        <v/>
      </c>
      <c r="R50" s="12">
        <f>N50/N$102</f>
        <v/>
      </c>
      <c r="S50" s="12">
        <f>E50/E$102</f>
        <v/>
      </c>
    </row>
    <row r="51" spans="1:27">
      <c r="A51" t="n">
        <v>40</v>
      </c>
      <c r="B51" s="5">
        <f>bkrcast_all!B51</f>
        <v/>
      </c>
      <c r="C51" s="5">
        <f>bkrcast_all!C51</f>
        <v/>
      </c>
      <c r="D51" s="5">
        <f>bkrcast_all!D51</f>
        <v/>
      </c>
      <c r="E51" s="5">
        <f>SUM(B51:D51)</f>
        <v/>
      </c>
      <c r="G51" t="n">
        <v>40</v>
      </c>
      <c r="H51" s="5" t="n">
        <v>0</v>
      </c>
      <c r="I51" s="5" t="n">
        <v>10.23880597014925</v>
      </c>
      <c r="J51" s="7" t="n">
        <v>16.67805227434099</v>
      </c>
      <c r="K51" s="21">
        <f>bkrcast_all!K51</f>
        <v/>
      </c>
      <c r="L51" s="21">
        <f>bkrcast_inbkr!K51</f>
        <v/>
      </c>
      <c r="M51" s="21">
        <f>bkrcast_outbkr!K51</f>
        <v/>
      </c>
      <c r="N51" s="21">
        <f>soundcast!K51</f>
        <v/>
      </c>
      <c r="O51" s="12">
        <f>K51/K$102</f>
        <v/>
      </c>
      <c r="P51" s="12">
        <f>L51/L$102</f>
        <v/>
      </c>
      <c r="Q51" s="12">
        <f>M51/M$102</f>
        <v/>
      </c>
      <c r="R51" s="12">
        <f>N51/N$102</f>
        <v/>
      </c>
      <c r="S51" s="12">
        <f>E51/E$102</f>
        <v/>
      </c>
    </row>
    <row r="52" spans="1:27">
      <c r="A52" t="n">
        <v>41</v>
      </c>
      <c r="B52" s="5">
        <f>bkrcast_all!B52</f>
        <v/>
      </c>
      <c r="C52" s="5">
        <f>bkrcast_all!C52</f>
        <v/>
      </c>
      <c r="D52" s="5">
        <f>bkrcast_all!D52</f>
        <v/>
      </c>
      <c r="E52" s="5">
        <f>SUM(B52:D52)</f>
        <v/>
      </c>
      <c r="G52" t="n">
        <v>41</v>
      </c>
      <c r="H52" s="5" t="n">
        <v>0</v>
      </c>
      <c r="I52" s="5" t="n">
        <v>4.99134199134199</v>
      </c>
      <c r="J52" s="7" t="n">
        <v>47.25845446193139</v>
      </c>
      <c r="K52" s="21">
        <f>bkrcast_all!K52</f>
        <v/>
      </c>
      <c r="L52" s="21">
        <f>bkrcast_inbkr!K52</f>
        <v/>
      </c>
      <c r="M52" s="21">
        <f>bkrcast_outbkr!K52</f>
        <v/>
      </c>
      <c r="N52" s="21">
        <f>soundcast!K52</f>
        <v/>
      </c>
      <c r="O52" s="12">
        <f>K52/K$102</f>
        <v/>
      </c>
      <c r="P52" s="12">
        <f>L52/L$102</f>
        <v/>
      </c>
      <c r="Q52" s="12">
        <f>M52/M$102</f>
        <v/>
      </c>
      <c r="R52" s="12">
        <f>N52/N$102</f>
        <v/>
      </c>
      <c r="S52" s="12">
        <f>E52/E$102</f>
        <v/>
      </c>
    </row>
    <row r="53" spans="1:27">
      <c r="A53" t="n">
        <v>42</v>
      </c>
      <c r="B53" s="5">
        <f>bkrcast_all!B53</f>
        <v/>
      </c>
      <c r="C53" s="5">
        <f>bkrcast_all!C53</f>
        <v/>
      </c>
      <c r="D53" s="5">
        <f>bkrcast_all!D53</f>
        <v/>
      </c>
      <c r="E53" s="5">
        <f>SUM(B53:D53)</f>
        <v/>
      </c>
      <c r="G53" t="n">
        <v>42</v>
      </c>
      <c r="H53" s="5" t="n">
        <v>0</v>
      </c>
      <c r="I53" s="5" t="n">
        <v>0.25</v>
      </c>
      <c r="J53" s="7" t="n">
        <v>1.75</v>
      </c>
      <c r="K53" s="21">
        <f>bkrcast_all!K53</f>
        <v/>
      </c>
      <c r="L53" s="21">
        <f>bkrcast_inbkr!K53</f>
        <v/>
      </c>
      <c r="M53" s="21">
        <f>bkrcast_outbkr!K53</f>
        <v/>
      </c>
      <c r="N53" s="21">
        <f>soundcast!K53</f>
        <v/>
      </c>
      <c r="O53" s="12">
        <f>K53/K$102</f>
        <v/>
      </c>
      <c r="P53" s="12">
        <f>L53/L$102</f>
        <v/>
      </c>
      <c r="Q53" s="12">
        <f>M53/M$102</f>
        <v/>
      </c>
      <c r="R53" s="12">
        <f>N53/N$102</f>
        <v/>
      </c>
      <c r="S53" s="12">
        <f>E53/E$102</f>
        <v/>
      </c>
    </row>
    <row r="54" spans="1:27">
      <c r="A54" t="n">
        <v>43</v>
      </c>
      <c r="B54" s="5">
        <f>bkrcast_all!B54</f>
        <v/>
      </c>
      <c r="C54" s="5">
        <f>bkrcast_all!C54</f>
        <v/>
      </c>
      <c r="D54" s="5">
        <f>bkrcast_all!D54</f>
        <v/>
      </c>
      <c r="E54" s="5">
        <f>SUM(B54:D54)</f>
        <v/>
      </c>
      <c r="G54" t="n">
        <v>43</v>
      </c>
      <c r="H54" s="5" t="n">
        <v>0</v>
      </c>
      <c r="I54" s="5" t="n">
        <v>0</v>
      </c>
      <c r="J54" s="7" t="n">
        <v>34.86310059181072</v>
      </c>
      <c r="K54" s="21">
        <f>bkrcast_all!K54</f>
        <v/>
      </c>
      <c r="L54" s="21">
        <f>bkrcast_inbkr!K54</f>
        <v/>
      </c>
      <c r="M54" s="21">
        <f>bkrcast_outbkr!K54</f>
        <v/>
      </c>
      <c r="N54" s="21">
        <f>soundcast!K54</f>
        <v/>
      </c>
      <c r="O54" s="12">
        <f>K54/K$102</f>
        <v/>
      </c>
      <c r="P54" s="12">
        <f>L54/L$102</f>
        <v/>
      </c>
      <c r="Q54" s="12">
        <f>M54/M$102</f>
        <v/>
      </c>
      <c r="R54" s="12">
        <f>N54/N$102</f>
        <v/>
      </c>
      <c r="S54" s="12">
        <f>E54/E$102</f>
        <v/>
      </c>
    </row>
    <row r="55" spans="1:27">
      <c r="A55" t="n">
        <v>44</v>
      </c>
      <c r="B55" s="5">
        <f>bkrcast_all!B55</f>
        <v/>
      </c>
      <c r="C55" s="5">
        <f>bkrcast_all!C55</f>
        <v/>
      </c>
      <c r="D55" s="5">
        <f>bkrcast_all!D55</f>
        <v/>
      </c>
      <c r="E55" s="5">
        <f>SUM(B55:D55)</f>
        <v/>
      </c>
      <c r="G55" t="n">
        <v>44</v>
      </c>
      <c r="H55" s="5" t="n">
        <v>0</v>
      </c>
      <c r="I55" s="5" t="n">
        <v>10.2</v>
      </c>
      <c r="J55" s="7" t="n">
        <v>6.79081632653061</v>
      </c>
      <c r="K55" s="21">
        <f>bkrcast_all!K55</f>
        <v/>
      </c>
      <c r="L55" s="21">
        <f>bkrcast_inbkr!K55</f>
        <v/>
      </c>
      <c r="M55" s="21">
        <f>bkrcast_outbkr!K55</f>
        <v/>
      </c>
      <c r="N55" s="21">
        <f>soundcast!K55</f>
        <v/>
      </c>
      <c r="O55" s="12">
        <f>K55/K$102</f>
        <v/>
      </c>
      <c r="P55" s="12">
        <f>L55/L$102</f>
        <v/>
      </c>
      <c r="Q55" s="12">
        <f>M55/M$102</f>
        <v/>
      </c>
      <c r="R55" s="12">
        <f>N55/N$102</f>
        <v/>
      </c>
      <c r="S55" s="12">
        <f>E55/E$102</f>
        <v/>
      </c>
    </row>
    <row r="56" spans="1:27">
      <c r="A56" t="n">
        <v>45</v>
      </c>
      <c r="B56" s="5">
        <f>bkrcast_all!B56</f>
        <v/>
      </c>
      <c r="C56" s="5">
        <f>bkrcast_all!C56</f>
        <v/>
      </c>
      <c r="D56" s="5">
        <f>bkrcast_all!D56</f>
        <v/>
      </c>
      <c r="E56" s="5">
        <f>SUM(B56:D56)</f>
        <v/>
      </c>
      <c r="G56" t="n">
        <v>45</v>
      </c>
      <c r="H56" s="5" t="n">
        <v>0</v>
      </c>
      <c r="I56" s="5" t="n">
        <v>1.99378881987578</v>
      </c>
      <c r="J56" s="7" t="n">
        <v>73.99855628260916</v>
      </c>
      <c r="K56" s="21">
        <f>bkrcast_all!K56</f>
        <v/>
      </c>
      <c r="L56" s="21">
        <f>bkrcast_inbkr!K56</f>
        <v/>
      </c>
      <c r="M56" s="21">
        <f>bkrcast_outbkr!K56</f>
        <v/>
      </c>
      <c r="N56" s="21">
        <f>soundcast!K56</f>
        <v/>
      </c>
      <c r="O56" s="12">
        <f>K56/K$102</f>
        <v/>
      </c>
      <c r="P56" s="12">
        <f>L56/L$102</f>
        <v/>
      </c>
      <c r="Q56" s="12">
        <f>M56/M$102</f>
        <v/>
      </c>
      <c r="R56" s="12">
        <f>N56/N$102</f>
        <v/>
      </c>
      <c r="S56" s="12">
        <f>E56/E$102</f>
        <v/>
      </c>
    </row>
    <row r="57" spans="1:27">
      <c r="A57" t="n">
        <v>46</v>
      </c>
      <c r="B57" s="5">
        <f>bkrcast_all!B57</f>
        <v/>
      </c>
      <c r="C57" s="5">
        <f>bkrcast_all!C57</f>
        <v/>
      </c>
      <c r="D57" s="5">
        <f>bkrcast_all!D57</f>
        <v/>
      </c>
      <c r="E57" s="5">
        <f>SUM(B57:D57)</f>
        <v/>
      </c>
      <c r="G57" t="n">
        <v>46</v>
      </c>
      <c r="H57" s="5" t="n">
        <v>0</v>
      </c>
      <c r="I57" s="5" t="n">
        <v>0</v>
      </c>
      <c r="J57" s="7" t="n">
        <v>26.14051528197728</v>
      </c>
      <c r="K57" s="21">
        <f>bkrcast_all!K57</f>
        <v/>
      </c>
      <c r="L57" s="21">
        <f>bkrcast_inbkr!K57</f>
        <v/>
      </c>
      <c r="M57" s="21">
        <f>bkrcast_outbkr!K57</f>
        <v/>
      </c>
      <c r="N57" s="21">
        <f>soundcast!K57</f>
        <v/>
      </c>
      <c r="O57" s="12">
        <f>K57/K$102</f>
        <v/>
      </c>
      <c r="P57" s="12">
        <f>L57/L$102</f>
        <v/>
      </c>
      <c r="Q57" s="12">
        <f>M57/M$102</f>
        <v/>
      </c>
      <c r="R57" s="12">
        <f>N57/N$102</f>
        <v/>
      </c>
      <c r="S57" s="12">
        <f>E57/E$102</f>
        <v/>
      </c>
    </row>
    <row r="58" spans="1:27">
      <c r="A58" t="n">
        <v>47</v>
      </c>
      <c r="B58" s="5">
        <f>bkrcast_all!B58</f>
        <v/>
      </c>
      <c r="C58" s="5">
        <f>bkrcast_all!C58</f>
        <v/>
      </c>
      <c r="D58" s="5">
        <f>bkrcast_all!D58</f>
        <v/>
      </c>
      <c r="E58" s="5">
        <f>SUM(B58:D58)</f>
        <v/>
      </c>
      <c r="G58" t="n">
        <v>47</v>
      </c>
      <c r="H58" s="5" t="n">
        <v>0</v>
      </c>
      <c r="I58" s="5" t="n">
        <v>0</v>
      </c>
      <c r="J58" s="7" t="n">
        <v>42.33588340744675</v>
      </c>
      <c r="K58" s="21">
        <f>bkrcast_all!K58</f>
        <v/>
      </c>
      <c r="L58" s="21">
        <f>bkrcast_inbkr!K58</f>
        <v/>
      </c>
      <c r="M58" s="21">
        <f>bkrcast_outbkr!K58</f>
        <v/>
      </c>
      <c r="N58" s="21">
        <f>soundcast!K58</f>
        <v/>
      </c>
      <c r="O58" s="12">
        <f>K58/K$102</f>
        <v/>
      </c>
      <c r="P58" s="12">
        <f>L58/L$102</f>
        <v/>
      </c>
      <c r="Q58" s="12">
        <f>M58/M$102</f>
        <v/>
      </c>
      <c r="R58" s="12">
        <f>N58/N$102</f>
        <v/>
      </c>
      <c r="S58" s="12">
        <f>E58/E$102</f>
        <v/>
      </c>
    </row>
    <row r="59" spans="1:27">
      <c r="A59" t="n">
        <v>48</v>
      </c>
      <c r="B59" s="5">
        <f>bkrcast_all!B59</f>
        <v/>
      </c>
      <c r="C59" s="5">
        <f>bkrcast_all!C59</f>
        <v/>
      </c>
      <c r="D59" s="5">
        <f>bkrcast_all!D59</f>
        <v/>
      </c>
      <c r="E59" s="5">
        <f>SUM(B59:D59)</f>
        <v/>
      </c>
      <c r="G59" t="n">
        <v>48</v>
      </c>
      <c r="H59" s="5" t="n">
        <v>0</v>
      </c>
      <c r="I59" s="5" t="n">
        <v>0.25</v>
      </c>
      <c r="J59" s="7" t="n">
        <v>11.781914893617</v>
      </c>
      <c r="K59" s="21">
        <f>bkrcast_all!K59</f>
        <v/>
      </c>
      <c r="L59" s="21">
        <f>bkrcast_inbkr!K59</f>
        <v/>
      </c>
      <c r="M59" s="21">
        <f>bkrcast_outbkr!K59</f>
        <v/>
      </c>
      <c r="N59" s="21">
        <f>soundcast!K59</f>
        <v/>
      </c>
      <c r="O59" s="12">
        <f>K59/K$102</f>
        <v/>
      </c>
      <c r="P59" s="12">
        <f>L59/L$102</f>
        <v/>
      </c>
      <c r="Q59" s="12">
        <f>M59/M$102</f>
        <v/>
      </c>
      <c r="R59" s="12">
        <f>N59/N$102</f>
        <v/>
      </c>
      <c r="S59" s="12">
        <f>E59/E$102</f>
        <v/>
      </c>
    </row>
    <row r="60" spans="1:27">
      <c r="A60" t="n">
        <v>49</v>
      </c>
      <c r="B60" s="5">
        <f>bkrcast_all!B60</f>
        <v/>
      </c>
      <c r="C60" s="5">
        <f>bkrcast_all!C60</f>
        <v/>
      </c>
      <c r="D60" s="5">
        <f>bkrcast_all!D60</f>
        <v/>
      </c>
      <c r="E60" s="5">
        <f>SUM(B60:D60)</f>
        <v/>
      </c>
      <c r="G60" t="n">
        <v>49</v>
      </c>
      <c r="H60" s="5" t="n">
        <v>0</v>
      </c>
      <c r="I60" s="5" t="n">
        <v>0</v>
      </c>
      <c r="J60" s="7" t="n">
        <v>20.26315789473688</v>
      </c>
      <c r="K60" s="21">
        <f>bkrcast_all!K60</f>
        <v/>
      </c>
      <c r="L60" s="21">
        <f>bkrcast_inbkr!K60</f>
        <v/>
      </c>
      <c r="M60" s="21">
        <f>bkrcast_outbkr!K60</f>
        <v/>
      </c>
      <c r="N60" s="21">
        <f>soundcast!K60</f>
        <v/>
      </c>
      <c r="O60" s="12">
        <f>K60/K$102</f>
        <v/>
      </c>
      <c r="P60" s="12">
        <f>L60/L$102</f>
        <v/>
      </c>
      <c r="Q60" s="12">
        <f>M60/M$102</f>
        <v/>
      </c>
      <c r="R60" s="12">
        <f>N60/N$102</f>
        <v/>
      </c>
      <c r="S60" s="12">
        <f>E60/E$102</f>
        <v/>
      </c>
    </row>
    <row r="61" spans="1:27">
      <c r="A61" t="n">
        <v>50</v>
      </c>
      <c r="B61" s="5">
        <f>bkrcast_all!B61</f>
        <v/>
      </c>
      <c r="C61" s="5">
        <f>bkrcast_all!C61</f>
        <v/>
      </c>
      <c r="D61" s="5">
        <f>bkrcast_all!D61</f>
        <v/>
      </c>
      <c r="E61" s="5">
        <f>SUM(B61:D61)</f>
        <v/>
      </c>
      <c r="G61" t="n">
        <v>50</v>
      </c>
      <c r="H61" s="5" t="n">
        <v>0</v>
      </c>
      <c r="I61" s="5" t="n">
        <v>0</v>
      </c>
      <c r="J61" s="7" t="n">
        <v>20.4683908045977</v>
      </c>
      <c r="K61" s="21">
        <f>bkrcast_all!K61</f>
        <v/>
      </c>
      <c r="L61" s="21">
        <f>bkrcast_inbkr!K61</f>
        <v/>
      </c>
      <c r="M61" s="21">
        <f>bkrcast_outbkr!K61</f>
        <v/>
      </c>
      <c r="N61" s="21">
        <f>soundcast!K61</f>
        <v/>
      </c>
      <c r="O61" s="12">
        <f>K61/K$102</f>
        <v/>
      </c>
      <c r="P61" s="12">
        <f>L61/L$102</f>
        <v/>
      </c>
      <c r="Q61" s="12">
        <f>M61/M$102</f>
        <v/>
      </c>
      <c r="R61" s="12">
        <f>N61/N$102</f>
        <v/>
      </c>
      <c r="S61" s="12">
        <f>E61/E$102</f>
        <v/>
      </c>
    </row>
    <row r="62" spans="1:27">
      <c r="A62" t="n">
        <v>51</v>
      </c>
      <c r="B62" s="5">
        <f>bkrcast_all!B62</f>
        <v/>
      </c>
      <c r="C62" s="5">
        <f>bkrcast_all!C62</f>
        <v/>
      </c>
      <c r="D62" s="5">
        <f>bkrcast_all!D62</f>
        <v/>
      </c>
      <c r="E62" s="5">
        <f>SUM(B62:D62)</f>
        <v/>
      </c>
      <c r="G62" t="n">
        <v>51</v>
      </c>
      <c r="H62" s="5" t="n">
        <v>0</v>
      </c>
      <c r="I62" s="5" t="n">
        <v>0</v>
      </c>
      <c r="J62" s="7" t="n">
        <v>10.75</v>
      </c>
      <c r="K62" s="21">
        <f>bkrcast_all!K62</f>
        <v/>
      </c>
      <c r="L62" s="21">
        <f>bkrcast_inbkr!K62</f>
        <v/>
      </c>
      <c r="M62" s="21">
        <f>bkrcast_outbkr!K62</f>
        <v/>
      </c>
      <c r="N62" s="21">
        <f>soundcast!K62</f>
        <v/>
      </c>
      <c r="O62" s="12">
        <f>K62/K$102</f>
        <v/>
      </c>
      <c r="P62" s="12">
        <f>L62/L$102</f>
        <v/>
      </c>
      <c r="Q62" s="12">
        <f>M62/M$102</f>
        <v/>
      </c>
      <c r="R62" s="12">
        <f>N62/N$102</f>
        <v/>
      </c>
      <c r="S62" s="12">
        <f>E62/E$102</f>
        <v/>
      </c>
    </row>
    <row r="63" spans="1:27">
      <c r="A63" t="n">
        <v>52</v>
      </c>
      <c r="B63" s="5">
        <f>bkrcast_all!B63</f>
        <v/>
      </c>
      <c r="C63" s="5">
        <f>bkrcast_all!C63</f>
        <v/>
      </c>
      <c r="D63" s="5">
        <f>bkrcast_all!D63</f>
        <v/>
      </c>
      <c r="E63" s="5">
        <f>SUM(B63:D63)</f>
        <v/>
      </c>
      <c r="G63" t="n">
        <v>52</v>
      </c>
      <c r="H63" s="5" t="n">
        <v>0</v>
      </c>
      <c r="I63" s="5" t="n">
        <v>0</v>
      </c>
      <c r="J63" s="7" t="n">
        <v>0</v>
      </c>
      <c r="K63" s="21">
        <f>bkrcast_all!K63</f>
        <v/>
      </c>
      <c r="L63" s="21">
        <f>bkrcast_inbkr!K63</f>
        <v/>
      </c>
      <c r="M63" s="21">
        <f>bkrcast_outbkr!K63</f>
        <v/>
      </c>
      <c r="N63" s="21">
        <f>soundcast!K63</f>
        <v/>
      </c>
      <c r="O63" s="12">
        <f>K63/K$102</f>
        <v/>
      </c>
      <c r="P63" s="12">
        <f>L63/L$102</f>
        <v/>
      </c>
      <c r="Q63" s="12">
        <f>M63/M$102</f>
        <v/>
      </c>
      <c r="R63" s="12">
        <f>N63/N$102</f>
        <v/>
      </c>
      <c r="S63" s="12">
        <f>E63/E$102</f>
        <v/>
      </c>
    </row>
    <row r="64" spans="1:27">
      <c r="A64" t="n">
        <v>53</v>
      </c>
      <c r="B64" s="5">
        <f>bkrcast_all!B64</f>
        <v/>
      </c>
      <c r="C64" s="5">
        <f>bkrcast_all!C64</f>
        <v/>
      </c>
      <c r="D64" s="5">
        <f>bkrcast_all!D64</f>
        <v/>
      </c>
      <c r="E64" s="5">
        <f>SUM(B64:D64)</f>
        <v/>
      </c>
      <c r="G64" t="n">
        <v>53</v>
      </c>
      <c r="H64" s="5" t="n">
        <v>0</v>
      </c>
      <c r="I64" s="5" t="n">
        <v>0</v>
      </c>
      <c r="J64" s="7" t="n">
        <v>10.49649122807018</v>
      </c>
      <c r="K64" s="21">
        <f>bkrcast_all!K64</f>
        <v/>
      </c>
      <c r="L64" s="21">
        <f>bkrcast_inbkr!K64</f>
        <v/>
      </c>
      <c r="M64" s="21">
        <f>bkrcast_outbkr!K64</f>
        <v/>
      </c>
      <c r="N64" s="21">
        <f>soundcast!K64</f>
        <v/>
      </c>
      <c r="O64" s="12">
        <f>K64/K$102</f>
        <v/>
      </c>
      <c r="P64" s="12">
        <f>L64/L$102</f>
        <v/>
      </c>
      <c r="Q64" s="12">
        <f>M64/M$102</f>
        <v/>
      </c>
      <c r="R64" s="12">
        <f>N64/N$102</f>
        <v/>
      </c>
      <c r="S64" s="12">
        <f>E64/E$102</f>
        <v/>
      </c>
    </row>
    <row r="65" spans="1:27">
      <c r="A65" t="n">
        <v>54</v>
      </c>
      <c r="B65" s="5">
        <f>bkrcast_all!B65</f>
        <v/>
      </c>
      <c r="C65" s="5">
        <f>bkrcast_all!C65</f>
        <v/>
      </c>
      <c r="D65" s="5">
        <f>bkrcast_all!D65</f>
        <v/>
      </c>
      <c r="E65" s="5">
        <f>SUM(B65:D65)</f>
        <v/>
      </c>
      <c r="G65" t="n">
        <v>54</v>
      </c>
      <c r="H65" s="5" t="n">
        <v>0</v>
      </c>
      <c r="I65" s="5" t="n">
        <v>0</v>
      </c>
      <c r="J65" s="7" t="n">
        <v>0</v>
      </c>
      <c r="K65" s="21">
        <f>bkrcast_all!K65</f>
        <v/>
      </c>
      <c r="L65" s="21">
        <f>bkrcast_inbkr!K65</f>
        <v/>
      </c>
      <c r="M65" s="21">
        <f>bkrcast_outbkr!K65</f>
        <v/>
      </c>
      <c r="N65" s="21">
        <f>soundcast!K65</f>
        <v/>
      </c>
      <c r="O65" s="12">
        <f>K65/K$102</f>
        <v/>
      </c>
      <c r="P65" s="12">
        <f>L65/L$102</f>
        <v/>
      </c>
      <c r="Q65" s="12">
        <f>M65/M$102</f>
        <v/>
      </c>
      <c r="R65" s="12">
        <f>N65/N$102</f>
        <v/>
      </c>
      <c r="S65" s="12">
        <f>E65/E$102</f>
        <v/>
      </c>
    </row>
    <row r="66" spans="1:27">
      <c r="A66" t="n">
        <v>55</v>
      </c>
      <c r="B66" s="5">
        <f>bkrcast_all!B66</f>
        <v/>
      </c>
      <c r="C66" s="5">
        <f>bkrcast_all!C66</f>
        <v/>
      </c>
      <c r="D66" s="5">
        <f>bkrcast_all!D66</f>
        <v/>
      </c>
      <c r="E66" s="5">
        <f>SUM(B66:D66)</f>
        <v/>
      </c>
      <c r="G66" t="n">
        <v>55</v>
      </c>
      <c r="H66" s="5" t="n">
        <v>0</v>
      </c>
      <c r="I66" s="5" t="n">
        <v>0</v>
      </c>
      <c r="J66" s="7" t="n">
        <v>0.5</v>
      </c>
      <c r="K66" s="21">
        <f>bkrcast_all!K66</f>
        <v/>
      </c>
      <c r="L66" s="21">
        <f>bkrcast_inbkr!K66</f>
        <v/>
      </c>
      <c r="M66" s="21">
        <f>bkrcast_outbkr!K66</f>
        <v/>
      </c>
      <c r="N66" s="21">
        <f>soundcast!K66</f>
        <v/>
      </c>
      <c r="O66" s="12">
        <f>K66/K$102</f>
        <v/>
      </c>
      <c r="P66" s="12">
        <f>L66/L$102</f>
        <v/>
      </c>
      <c r="Q66" s="12">
        <f>M66/M$102</f>
        <v/>
      </c>
      <c r="R66" s="12">
        <f>N66/N$102</f>
        <v/>
      </c>
      <c r="S66" s="12">
        <f>E66/E$102</f>
        <v/>
      </c>
    </row>
    <row r="67" spans="1:27">
      <c r="A67" t="n">
        <v>56</v>
      </c>
      <c r="B67" s="5">
        <f>bkrcast_all!B67</f>
        <v/>
      </c>
      <c r="C67" s="5">
        <f>bkrcast_all!C67</f>
        <v/>
      </c>
      <c r="D67" s="5">
        <f>bkrcast_all!D67</f>
        <v/>
      </c>
      <c r="E67" s="5">
        <f>SUM(B67:D67)</f>
        <v/>
      </c>
      <c r="G67" t="n">
        <v>56</v>
      </c>
      <c r="H67" s="5" t="n">
        <v>0</v>
      </c>
      <c r="I67" s="5" t="n">
        <v>0</v>
      </c>
      <c r="J67" s="7" t="n">
        <v>0</v>
      </c>
      <c r="K67" s="21">
        <f>bkrcast_all!K67</f>
        <v/>
      </c>
      <c r="L67" s="21">
        <f>bkrcast_inbkr!K67</f>
        <v/>
      </c>
      <c r="M67" s="21">
        <f>bkrcast_outbkr!K67</f>
        <v/>
      </c>
      <c r="N67" s="21">
        <f>soundcast!K67</f>
        <v/>
      </c>
      <c r="O67" s="12">
        <f>K67/K$102</f>
        <v/>
      </c>
      <c r="P67" s="12">
        <f>L67/L$102</f>
        <v/>
      </c>
      <c r="Q67" s="12">
        <f>M67/M$102</f>
        <v/>
      </c>
      <c r="R67" s="12">
        <f>N67/N$102</f>
        <v/>
      </c>
      <c r="S67" s="12">
        <f>E67/E$102</f>
        <v/>
      </c>
    </row>
    <row r="68" spans="1:27">
      <c r="A68" t="n">
        <v>57</v>
      </c>
      <c r="B68" s="5">
        <f>bkrcast_all!B68</f>
        <v/>
      </c>
      <c r="C68" s="5">
        <f>bkrcast_all!C68</f>
        <v/>
      </c>
      <c r="D68" s="5">
        <f>bkrcast_all!D68</f>
        <v/>
      </c>
      <c r="E68" s="5">
        <f>SUM(B68:D68)</f>
        <v/>
      </c>
      <c r="G68" t="n">
        <v>57</v>
      </c>
      <c r="H68" s="5" t="n">
        <v>0</v>
      </c>
      <c r="I68" s="5" t="n">
        <v>0</v>
      </c>
      <c r="J68" s="7" t="n">
        <v>5.00201207243461</v>
      </c>
      <c r="K68" s="21">
        <f>bkrcast_all!K68</f>
        <v/>
      </c>
      <c r="L68" s="21">
        <f>bkrcast_inbkr!K68</f>
        <v/>
      </c>
      <c r="M68" s="21">
        <f>bkrcast_outbkr!K68</f>
        <v/>
      </c>
      <c r="N68" s="21">
        <f>soundcast!K68</f>
        <v/>
      </c>
      <c r="O68" s="12">
        <f>K68/K$102</f>
        <v/>
      </c>
      <c r="P68" s="12">
        <f>L68/L$102</f>
        <v/>
      </c>
      <c r="Q68" s="12">
        <f>M68/M$102</f>
        <v/>
      </c>
      <c r="R68" s="12">
        <f>N68/N$102</f>
        <v/>
      </c>
      <c r="S68" s="12">
        <f>E68/E$102</f>
        <v/>
      </c>
    </row>
    <row r="69" spans="1:27">
      <c r="A69" t="n">
        <v>58</v>
      </c>
      <c r="B69" s="5">
        <f>bkrcast_all!B69</f>
        <v/>
      </c>
      <c r="C69" s="5">
        <f>bkrcast_all!C69</f>
        <v/>
      </c>
      <c r="D69" s="5">
        <f>bkrcast_all!D69</f>
        <v/>
      </c>
      <c r="E69" s="5">
        <f>SUM(B69:D69)</f>
        <v/>
      </c>
      <c r="G69" t="n">
        <v>58</v>
      </c>
      <c r="H69" s="5" t="n">
        <v>0</v>
      </c>
      <c r="I69" s="5" t="n">
        <v>0</v>
      </c>
      <c r="J69" s="7" t="n">
        <v>0</v>
      </c>
      <c r="K69" s="21">
        <f>bkrcast_all!K69</f>
        <v/>
      </c>
      <c r="L69" s="21">
        <f>bkrcast_inbkr!K69</f>
        <v/>
      </c>
      <c r="M69" s="21">
        <f>bkrcast_outbkr!K69</f>
        <v/>
      </c>
      <c r="N69" s="21">
        <f>soundcast!K69</f>
        <v/>
      </c>
      <c r="O69" s="12">
        <f>K69/K$102</f>
        <v/>
      </c>
      <c r="P69" s="12">
        <f>L69/L$102</f>
        <v/>
      </c>
      <c r="Q69" s="12">
        <f>M69/M$102</f>
        <v/>
      </c>
      <c r="R69" s="12">
        <f>N69/N$102</f>
        <v/>
      </c>
      <c r="S69" s="12">
        <f>E69/E$102</f>
        <v/>
      </c>
    </row>
    <row r="70" spans="1:27">
      <c r="A70" t="n">
        <v>59</v>
      </c>
      <c r="B70" s="5">
        <f>bkrcast_all!B70</f>
        <v/>
      </c>
      <c r="C70" s="5">
        <f>bkrcast_all!C70</f>
        <v/>
      </c>
      <c r="D70" s="5">
        <f>bkrcast_all!D70</f>
        <v/>
      </c>
      <c r="E70" s="5">
        <f>SUM(B70:D70)</f>
        <v/>
      </c>
      <c r="G70" t="n">
        <v>59</v>
      </c>
      <c r="H70" s="5" t="n">
        <v>0</v>
      </c>
      <c r="I70" s="5" t="n">
        <v>0</v>
      </c>
      <c r="J70" s="7" t="n">
        <v>0</v>
      </c>
      <c r="K70" s="21">
        <f>bkrcast_all!K70</f>
        <v/>
      </c>
      <c r="L70" s="21">
        <f>bkrcast_inbkr!K70</f>
        <v/>
      </c>
      <c r="M70" s="21">
        <f>bkrcast_outbkr!K70</f>
        <v/>
      </c>
      <c r="N70" s="21">
        <f>soundcast!K70</f>
        <v/>
      </c>
      <c r="O70" s="12">
        <f>K70/K$102</f>
        <v/>
      </c>
      <c r="P70" s="12">
        <f>L70/L$102</f>
        <v/>
      </c>
      <c r="Q70" s="12">
        <f>M70/M$102</f>
        <v/>
      </c>
      <c r="R70" s="12">
        <f>N70/N$102</f>
        <v/>
      </c>
      <c r="S70" s="12">
        <f>E70/E$102</f>
        <v/>
      </c>
    </row>
    <row r="71" spans="1:27">
      <c r="A71" t="n">
        <v>60</v>
      </c>
      <c r="B71" s="5">
        <f>bkrcast_all!B71</f>
        <v/>
      </c>
      <c r="C71" s="5">
        <f>bkrcast_all!C71</f>
        <v/>
      </c>
      <c r="D71" s="5">
        <f>bkrcast_all!D71</f>
        <v/>
      </c>
      <c r="E71" s="5">
        <f>SUM(B71:D71)</f>
        <v/>
      </c>
      <c r="G71" t="n">
        <v>60</v>
      </c>
      <c r="H71" s="5" t="n">
        <v>0</v>
      </c>
      <c r="I71" s="5" t="n">
        <v>0</v>
      </c>
      <c r="J71" s="7" t="n">
        <v>9.97706422018349</v>
      </c>
      <c r="K71" s="21">
        <f>bkrcast_all!K71</f>
        <v/>
      </c>
      <c r="L71" s="21">
        <f>bkrcast_inbkr!K71</f>
        <v/>
      </c>
      <c r="M71" s="21">
        <f>bkrcast_outbkr!K71</f>
        <v/>
      </c>
      <c r="N71" s="21">
        <f>soundcast!K71</f>
        <v/>
      </c>
      <c r="O71" s="12">
        <f>K71/K$102</f>
        <v/>
      </c>
      <c r="P71" s="12">
        <f>L71/L$102</f>
        <v/>
      </c>
      <c r="Q71" s="12">
        <f>M71/M$102</f>
        <v/>
      </c>
      <c r="R71" s="12">
        <f>N71/N$102</f>
        <v/>
      </c>
      <c r="S71" s="12">
        <f>E71/E$102</f>
        <v/>
      </c>
    </row>
    <row r="72" spans="1:27">
      <c r="A72" t="n">
        <v>61</v>
      </c>
      <c r="B72" s="5">
        <f>bkrcast_all!B72</f>
        <v/>
      </c>
      <c r="C72" s="5">
        <f>bkrcast_all!C72</f>
        <v/>
      </c>
      <c r="D72" s="5">
        <f>bkrcast_all!D72</f>
        <v/>
      </c>
      <c r="E72" s="5">
        <f>SUM(B72:D72)</f>
        <v/>
      </c>
      <c r="G72" t="n">
        <v>61</v>
      </c>
      <c r="H72" s="5" t="n">
        <v>0</v>
      </c>
      <c r="I72" s="5" t="n">
        <v>0</v>
      </c>
      <c r="J72" s="7" t="n">
        <v>0</v>
      </c>
      <c r="K72" s="21">
        <f>bkrcast_all!K72</f>
        <v/>
      </c>
      <c r="L72" s="21">
        <f>bkrcast_inbkr!K72</f>
        <v/>
      </c>
      <c r="M72" s="21">
        <f>bkrcast_outbkr!K72</f>
        <v/>
      </c>
      <c r="N72" s="21">
        <f>soundcast!K72</f>
        <v/>
      </c>
      <c r="O72" s="12">
        <f>K72/K$102</f>
        <v/>
      </c>
      <c r="P72" s="12">
        <f>L72/L$102</f>
        <v/>
      </c>
      <c r="Q72" s="12">
        <f>M72/M$102</f>
        <v/>
      </c>
      <c r="R72" s="12">
        <f>N72/N$102</f>
        <v/>
      </c>
      <c r="S72" s="12">
        <f>E72/E$102</f>
        <v/>
      </c>
    </row>
    <row r="73" spans="1:27">
      <c r="A73" t="n">
        <v>62</v>
      </c>
      <c r="B73" s="5">
        <f>bkrcast_all!B73</f>
        <v/>
      </c>
      <c r="C73" s="5">
        <f>bkrcast_all!C73</f>
        <v/>
      </c>
      <c r="D73" s="5">
        <f>bkrcast_all!D73</f>
        <v/>
      </c>
      <c r="E73" s="5">
        <f>SUM(B73:D73)</f>
        <v/>
      </c>
      <c r="G73" t="n">
        <v>62</v>
      </c>
      <c r="H73" s="5" t="n">
        <v>0</v>
      </c>
      <c r="I73" s="5" t="n">
        <v>0</v>
      </c>
      <c r="J73" s="7" t="n">
        <v>0</v>
      </c>
      <c r="K73" s="21">
        <f>bkrcast_all!K73</f>
        <v/>
      </c>
      <c r="L73" s="21">
        <f>bkrcast_inbkr!K73</f>
        <v/>
      </c>
      <c r="M73" s="21">
        <f>bkrcast_outbkr!K73</f>
        <v/>
      </c>
      <c r="N73" s="21">
        <f>soundcast!K73</f>
        <v/>
      </c>
      <c r="O73" s="12">
        <f>K73/K$102</f>
        <v/>
      </c>
      <c r="P73" s="12">
        <f>L73/L$102</f>
        <v/>
      </c>
      <c r="Q73" s="12">
        <f>M73/M$102</f>
        <v/>
      </c>
      <c r="R73" s="12">
        <f>N73/N$102</f>
        <v/>
      </c>
      <c r="S73" s="12">
        <f>E73/E$102</f>
        <v/>
      </c>
    </row>
    <row r="74" spans="1:27">
      <c r="A74" t="n">
        <v>63</v>
      </c>
      <c r="B74" s="5">
        <f>bkrcast_all!B74</f>
        <v/>
      </c>
      <c r="C74" s="5">
        <f>bkrcast_all!C74</f>
        <v/>
      </c>
      <c r="D74" s="5">
        <f>bkrcast_all!D74</f>
        <v/>
      </c>
      <c r="E74" s="5">
        <f>SUM(B74:D74)</f>
        <v/>
      </c>
      <c r="G74" t="n">
        <v>63</v>
      </c>
      <c r="H74" s="5" t="n">
        <v>0</v>
      </c>
      <c r="I74" s="5" t="n">
        <v>0</v>
      </c>
      <c r="J74" s="7" t="n">
        <v>0</v>
      </c>
      <c r="K74" s="21">
        <f>bkrcast_all!K74</f>
        <v/>
      </c>
      <c r="L74" s="21">
        <f>bkrcast_inbkr!K74</f>
        <v/>
      </c>
      <c r="M74" s="21">
        <f>bkrcast_outbkr!K74</f>
        <v/>
      </c>
      <c r="N74" s="21">
        <f>soundcast!K74</f>
        <v/>
      </c>
      <c r="O74" s="12">
        <f>K74/K$102</f>
        <v/>
      </c>
      <c r="P74" s="12">
        <f>L74/L$102</f>
        <v/>
      </c>
      <c r="Q74" s="12">
        <f>M74/M$102</f>
        <v/>
      </c>
      <c r="R74" s="12">
        <f>N74/N$102</f>
        <v/>
      </c>
      <c r="S74" s="12">
        <f>E74/E$102</f>
        <v/>
      </c>
    </row>
    <row r="75" spans="1:27">
      <c r="A75" t="n">
        <v>64</v>
      </c>
      <c r="B75" s="5">
        <f>bkrcast_all!B75</f>
        <v/>
      </c>
      <c r="C75" s="5">
        <f>bkrcast_all!C75</f>
        <v/>
      </c>
      <c r="D75" s="5">
        <f>bkrcast_all!D75</f>
        <v/>
      </c>
      <c r="E75" s="5">
        <f>SUM(B75:D75)</f>
        <v/>
      </c>
      <c r="G75" t="n">
        <v>64</v>
      </c>
      <c r="H75" s="5" t="n">
        <v>0</v>
      </c>
      <c r="I75" s="5" t="n">
        <v>0</v>
      </c>
      <c r="J75" s="7" t="n">
        <v>0</v>
      </c>
      <c r="K75" s="21">
        <f>bkrcast_all!K75</f>
        <v/>
      </c>
      <c r="L75" s="21">
        <f>bkrcast_inbkr!K75</f>
        <v/>
      </c>
      <c r="M75" s="21">
        <f>bkrcast_outbkr!K75</f>
        <v/>
      </c>
      <c r="N75" s="21">
        <f>soundcast!K75</f>
        <v/>
      </c>
      <c r="O75" s="12">
        <f>K75/K$102</f>
        <v/>
      </c>
      <c r="P75" s="12">
        <f>L75/L$102</f>
        <v/>
      </c>
      <c r="Q75" s="12">
        <f>M75/M$102</f>
        <v/>
      </c>
      <c r="R75" s="12">
        <f>N75/N$102</f>
        <v/>
      </c>
      <c r="S75" s="12">
        <f>E75/E$102</f>
        <v/>
      </c>
    </row>
    <row r="76" spans="1:27">
      <c r="A76" t="n">
        <v>65</v>
      </c>
      <c r="B76" s="5">
        <f>bkrcast_all!B76</f>
        <v/>
      </c>
      <c r="C76" s="5">
        <f>bkrcast_all!C76</f>
        <v/>
      </c>
      <c r="D76" s="5">
        <f>bkrcast_all!D76</f>
        <v/>
      </c>
      <c r="E76" s="5">
        <f>SUM(B76:D76)</f>
        <v/>
      </c>
      <c r="G76" t="n">
        <v>65</v>
      </c>
      <c r="H76" s="5" t="n">
        <v>0</v>
      </c>
      <c r="I76" s="5" t="n">
        <v>0</v>
      </c>
      <c r="J76" s="7" t="n">
        <v>0</v>
      </c>
      <c r="K76" s="21">
        <f>bkrcast_all!K76</f>
        <v/>
      </c>
      <c r="L76" s="21">
        <f>bkrcast_inbkr!K76</f>
        <v/>
      </c>
      <c r="M76" s="21">
        <f>bkrcast_outbkr!K76</f>
        <v/>
      </c>
      <c r="N76" s="21">
        <f>soundcast!K76</f>
        <v/>
      </c>
      <c r="O76" s="12">
        <f>K76/K$102</f>
        <v/>
      </c>
      <c r="P76" s="12">
        <f>L76/L$102</f>
        <v/>
      </c>
      <c r="Q76" s="12">
        <f>M76/M$102</f>
        <v/>
      </c>
      <c r="R76" s="12">
        <f>N76/N$102</f>
        <v/>
      </c>
      <c r="S76" s="12">
        <f>E76/E$102</f>
        <v/>
      </c>
    </row>
    <row r="77" spans="1:27">
      <c r="A77" t="n">
        <v>66</v>
      </c>
      <c r="B77" s="5">
        <f>bkrcast_all!B77</f>
        <v/>
      </c>
      <c r="C77" s="5">
        <f>bkrcast_all!C77</f>
        <v/>
      </c>
      <c r="D77" s="5">
        <f>bkrcast_all!D77</f>
        <v/>
      </c>
      <c r="E77" s="5">
        <f>SUM(B77:D77)</f>
        <v/>
      </c>
      <c r="G77" t="n">
        <v>66</v>
      </c>
      <c r="H77" s="5" t="n">
        <v>0</v>
      </c>
      <c r="I77" s="5" t="n">
        <v>0</v>
      </c>
      <c r="J77" s="5" t="n">
        <v>0</v>
      </c>
      <c r="K77" s="21">
        <f>bkrcast_all!K77</f>
        <v/>
      </c>
      <c r="L77" s="21">
        <f>bkrcast_inbkr!K77</f>
        <v/>
      </c>
      <c r="M77" s="21">
        <f>bkrcast_outbkr!K77</f>
        <v/>
      </c>
      <c r="N77" s="21">
        <f>soundcast!K77</f>
        <v/>
      </c>
      <c r="O77" s="12">
        <f>K77/K$102</f>
        <v/>
      </c>
      <c r="P77" s="12">
        <f>L77/L$102</f>
        <v/>
      </c>
      <c r="Q77" s="12">
        <f>M77/M$102</f>
        <v/>
      </c>
      <c r="R77" s="12">
        <f>N77/N$102</f>
        <v/>
      </c>
      <c r="S77" s="12">
        <f>E77/E$102</f>
        <v/>
      </c>
    </row>
    <row r="78" spans="1:27">
      <c r="A78" t="n">
        <v>67</v>
      </c>
      <c r="B78" s="5">
        <f>bkrcast_all!B78</f>
        <v/>
      </c>
      <c r="C78" s="5">
        <f>bkrcast_all!C78</f>
        <v/>
      </c>
      <c r="D78" s="5">
        <f>bkrcast_all!D78</f>
        <v/>
      </c>
      <c r="E78" s="5">
        <f>SUM(B78:D78)</f>
        <v/>
      </c>
      <c r="G78" t="n">
        <v>67</v>
      </c>
      <c r="H78" s="5" t="n">
        <v>0</v>
      </c>
      <c r="I78" s="5" t="n">
        <v>0</v>
      </c>
      <c r="J78" s="5" t="n">
        <v>0</v>
      </c>
      <c r="K78" s="21">
        <f>bkrcast_all!K78</f>
        <v/>
      </c>
      <c r="L78" s="21">
        <f>bkrcast_inbkr!K78</f>
        <v/>
      </c>
      <c r="M78" s="21">
        <f>bkrcast_outbkr!K78</f>
        <v/>
      </c>
      <c r="N78" s="21">
        <f>soundcast!K78</f>
        <v/>
      </c>
      <c r="O78" s="12">
        <f>K78/K$102</f>
        <v/>
      </c>
      <c r="P78" s="12">
        <f>L78/L$102</f>
        <v/>
      </c>
      <c r="Q78" s="12">
        <f>M78/M$102</f>
        <v/>
      </c>
      <c r="R78" s="12">
        <f>N78/N$102</f>
        <v/>
      </c>
      <c r="S78" s="12">
        <f>E78/E$102</f>
        <v/>
      </c>
    </row>
    <row r="79" spans="1:27">
      <c r="A79" t="n">
        <v>68</v>
      </c>
      <c r="B79" s="5">
        <f>bkrcast_all!B79</f>
        <v/>
      </c>
      <c r="C79" s="5">
        <f>bkrcast_all!C79</f>
        <v/>
      </c>
      <c r="D79" s="5">
        <f>bkrcast_all!D79</f>
        <v/>
      </c>
      <c r="E79" s="5">
        <f>SUM(B79:D79)</f>
        <v/>
      </c>
      <c r="G79" t="n">
        <v>68</v>
      </c>
      <c r="H79" s="5" t="n">
        <v>0</v>
      </c>
      <c r="I79" s="5" t="n">
        <v>0</v>
      </c>
      <c r="J79" s="7" t="n">
        <v>0</v>
      </c>
      <c r="K79" s="21">
        <f>bkrcast_all!K79</f>
        <v/>
      </c>
      <c r="L79" s="21">
        <f>bkrcast_inbkr!K79</f>
        <v/>
      </c>
      <c r="M79" s="21">
        <f>bkrcast_outbkr!K79</f>
        <v/>
      </c>
      <c r="N79" s="21">
        <f>soundcast!K79</f>
        <v/>
      </c>
      <c r="O79" s="12">
        <f>K79/K$102</f>
        <v/>
      </c>
      <c r="P79" s="12">
        <f>L79/L$102</f>
        <v/>
      </c>
      <c r="Q79" s="12">
        <f>M79/M$102</f>
        <v/>
      </c>
      <c r="R79" s="12">
        <f>N79/N$102</f>
        <v/>
      </c>
      <c r="S79" s="12">
        <f>E79/E$102</f>
        <v/>
      </c>
    </row>
    <row r="80" spans="1:27">
      <c r="A80" t="n">
        <v>69</v>
      </c>
      <c r="B80" s="5">
        <f>bkrcast_all!B80</f>
        <v/>
      </c>
      <c r="C80" s="5">
        <f>bkrcast_all!C80</f>
        <v/>
      </c>
      <c r="D80" s="5">
        <f>bkrcast_all!D80</f>
        <v/>
      </c>
      <c r="E80" s="5">
        <f>SUM(B80:D80)</f>
        <v/>
      </c>
      <c r="G80" t="n">
        <v>69</v>
      </c>
      <c r="H80" s="5" t="n">
        <v>0</v>
      </c>
      <c r="I80" s="5" t="n">
        <v>0</v>
      </c>
      <c r="J80" s="5" t="n">
        <v>0</v>
      </c>
      <c r="K80" s="21">
        <f>bkrcast_all!K80</f>
        <v/>
      </c>
      <c r="L80" s="21">
        <f>bkrcast_inbkr!K80</f>
        <v/>
      </c>
      <c r="M80" s="21">
        <f>bkrcast_outbkr!K80</f>
        <v/>
      </c>
      <c r="N80" s="21">
        <f>soundcast!K80</f>
        <v/>
      </c>
      <c r="O80" s="12">
        <f>K80/K$102</f>
        <v/>
      </c>
      <c r="P80" s="12">
        <f>L80/L$102</f>
        <v/>
      </c>
      <c r="Q80" s="12">
        <f>M80/M$102</f>
        <v/>
      </c>
      <c r="R80" s="12">
        <f>N80/N$102</f>
        <v/>
      </c>
      <c r="S80" s="12">
        <f>E80/E$102</f>
        <v/>
      </c>
    </row>
    <row r="81" spans="1:27">
      <c r="A81" t="n">
        <v>70</v>
      </c>
      <c r="B81" s="5">
        <f>bkrcast_all!B81</f>
        <v/>
      </c>
      <c r="C81" s="5">
        <f>bkrcast_all!C81</f>
        <v/>
      </c>
      <c r="D81" s="5">
        <f>bkrcast_all!D81</f>
        <v/>
      </c>
      <c r="E81" s="5">
        <f>SUM(B81:D81)</f>
        <v/>
      </c>
      <c r="G81" t="n">
        <v>70</v>
      </c>
      <c r="H81" s="5" t="n">
        <v>0</v>
      </c>
      <c r="I81" s="5" t="n">
        <v>0</v>
      </c>
      <c r="J81" s="7" t="n">
        <v>10.0325203252033</v>
      </c>
      <c r="K81" s="21">
        <f>bkrcast_all!K81</f>
        <v/>
      </c>
      <c r="L81" s="21">
        <f>bkrcast_inbkr!K81</f>
        <v/>
      </c>
      <c r="M81" s="21">
        <f>bkrcast_outbkr!K81</f>
        <v/>
      </c>
      <c r="N81" s="21">
        <f>soundcast!K81</f>
        <v/>
      </c>
      <c r="O81" s="12">
        <f>K81/K$102</f>
        <v/>
      </c>
      <c r="P81" s="12">
        <f>L81/L$102</f>
        <v/>
      </c>
      <c r="Q81" s="12">
        <f>M81/M$102</f>
        <v/>
      </c>
      <c r="R81" s="12">
        <f>N81/N$102</f>
        <v/>
      </c>
      <c r="S81" s="12">
        <f>E81/E$102</f>
        <v/>
      </c>
    </row>
    <row r="82" spans="1:27">
      <c r="A82" t="n">
        <v>71</v>
      </c>
      <c r="B82" s="5">
        <f>bkrcast_all!B82</f>
        <v/>
      </c>
      <c r="C82" s="5">
        <f>bkrcast_all!C82</f>
        <v/>
      </c>
      <c r="D82" s="5">
        <f>bkrcast_all!D82</f>
        <v/>
      </c>
      <c r="E82" s="5">
        <f>SUM(B82:D82)</f>
        <v/>
      </c>
      <c r="G82" t="n">
        <v>71</v>
      </c>
      <c r="H82" s="5" t="n">
        <v>0</v>
      </c>
      <c r="I82" s="5" t="n">
        <v>0</v>
      </c>
      <c r="J82" s="7" t="n">
        <v>0</v>
      </c>
      <c r="K82" s="21">
        <f>bkrcast_all!K82</f>
        <v/>
      </c>
      <c r="L82" s="21">
        <f>bkrcast_inbkr!K82</f>
        <v/>
      </c>
      <c r="M82" s="21">
        <f>bkrcast_outbkr!K82</f>
        <v/>
      </c>
      <c r="N82" s="21">
        <f>soundcast!K82</f>
        <v/>
      </c>
      <c r="O82" s="12">
        <f>K82/K$102</f>
        <v/>
      </c>
      <c r="P82" s="12">
        <f>L82/L$102</f>
        <v/>
      </c>
      <c r="Q82" s="12">
        <f>M82/M$102</f>
        <v/>
      </c>
      <c r="R82" s="12">
        <f>N82/N$102</f>
        <v/>
      </c>
      <c r="S82" s="12">
        <f>E82/E$102</f>
        <v/>
      </c>
    </row>
    <row r="83" spans="1:27">
      <c r="A83" t="n">
        <v>72</v>
      </c>
      <c r="B83" s="5">
        <f>bkrcast_all!B83</f>
        <v/>
      </c>
      <c r="C83" s="5">
        <f>bkrcast_all!C83</f>
        <v/>
      </c>
      <c r="D83" s="5">
        <f>bkrcast_all!D83</f>
        <v/>
      </c>
      <c r="E83" s="5">
        <f>SUM(B83:D83)</f>
        <v/>
      </c>
      <c r="G83" t="n">
        <v>72</v>
      </c>
      <c r="H83" s="5" t="n">
        <v>0</v>
      </c>
      <c r="I83" s="5" t="n">
        <v>0</v>
      </c>
      <c r="J83" s="5" t="n">
        <v>0</v>
      </c>
      <c r="K83" s="21">
        <f>bkrcast_all!K83</f>
        <v/>
      </c>
      <c r="L83" s="21">
        <f>bkrcast_inbkr!K83</f>
        <v/>
      </c>
      <c r="M83" s="21">
        <f>bkrcast_outbkr!K83</f>
        <v/>
      </c>
      <c r="N83" s="21">
        <f>soundcast!K83</f>
        <v/>
      </c>
      <c r="O83" s="12">
        <f>K83/K$102</f>
        <v/>
      </c>
      <c r="P83" s="12">
        <f>L83/L$102</f>
        <v/>
      </c>
      <c r="Q83" s="12">
        <f>M83/M$102</f>
        <v/>
      </c>
      <c r="R83" s="12">
        <f>N83/N$102</f>
        <v/>
      </c>
      <c r="S83" s="12">
        <f>E83/E$102</f>
        <v/>
      </c>
    </row>
    <row r="84" spans="1:27">
      <c r="A84" t="n">
        <v>73</v>
      </c>
      <c r="B84" s="5">
        <f>bkrcast_all!B84</f>
        <v/>
      </c>
      <c r="C84" s="5">
        <f>bkrcast_all!C84</f>
        <v/>
      </c>
      <c r="D84" s="5">
        <f>bkrcast_all!D84</f>
        <v/>
      </c>
      <c r="E84" s="5">
        <f>SUM(B84:D84)</f>
        <v/>
      </c>
      <c r="G84" t="n">
        <v>73</v>
      </c>
      <c r="H84" s="5" t="n">
        <v>0</v>
      </c>
      <c r="I84" s="5" t="n">
        <v>0</v>
      </c>
      <c r="J84" s="5" t="n">
        <v>0</v>
      </c>
      <c r="K84" s="21">
        <f>bkrcast_all!K84</f>
        <v/>
      </c>
      <c r="L84" s="21">
        <f>bkrcast_inbkr!K84</f>
        <v/>
      </c>
      <c r="M84" s="21">
        <f>bkrcast_outbkr!K84</f>
        <v/>
      </c>
      <c r="N84" s="21">
        <f>soundcast!K84</f>
        <v/>
      </c>
      <c r="O84" s="12">
        <f>K84/K$102</f>
        <v/>
      </c>
      <c r="P84" s="12">
        <f>L84/L$102</f>
        <v/>
      </c>
      <c r="Q84" s="12">
        <f>M84/M$102</f>
        <v/>
      </c>
      <c r="R84" s="12">
        <f>N84/N$102</f>
        <v/>
      </c>
      <c r="S84" s="12">
        <f>E84/E$102</f>
        <v/>
      </c>
    </row>
    <row r="85" spans="1:27">
      <c r="A85" t="n">
        <v>74</v>
      </c>
      <c r="B85" s="5">
        <f>bkrcast_all!B85</f>
        <v/>
      </c>
      <c r="C85" s="5">
        <f>bkrcast_all!C85</f>
        <v/>
      </c>
      <c r="D85" s="5">
        <f>bkrcast_all!D85</f>
        <v/>
      </c>
      <c r="E85" s="5">
        <f>SUM(B85:D85)</f>
        <v/>
      </c>
      <c r="G85" t="n">
        <v>74</v>
      </c>
      <c r="H85" s="5" t="n">
        <v>0</v>
      </c>
      <c r="I85" s="5" t="n">
        <v>0</v>
      </c>
      <c r="J85" s="5" t="n">
        <v>0</v>
      </c>
      <c r="K85" s="21">
        <f>bkrcast_all!K85</f>
        <v/>
      </c>
      <c r="L85" s="21">
        <f>bkrcast_inbkr!K85</f>
        <v/>
      </c>
      <c r="M85" s="21">
        <f>bkrcast_outbkr!K85</f>
        <v/>
      </c>
      <c r="N85" s="21">
        <f>soundcast!K85</f>
        <v/>
      </c>
      <c r="O85" s="12">
        <f>K85/K$102</f>
        <v/>
      </c>
      <c r="P85" s="12">
        <f>L85/L$102</f>
        <v/>
      </c>
      <c r="Q85" s="12">
        <f>M85/M$102</f>
        <v/>
      </c>
      <c r="R85" s="12">
        <f>N85/N$102</f>
        <v/>
      </c>
      <c r="S85" s="12">
        <f>E85/E$102</f>
        <v/>
      </c>
    </row>
    <row r="86" spans="1:27">
      <c r="A86" t="n">
        <v>75</v>
      </c>
      <c r="B86" s="5">
        <f>bkrcast_all!B86</f>
        <v/>
      </c>
      <c r="C86" s="5">
        <f>bkrcast_all!C86</f>
        <v/>
      </c>
      <c r="D86" s="5">
        <f>bkrcast_all!D86</f>
        <v/>
      </c>
      <c r="E86" s="5">
        <f>SUM(B86:D86)</f>
        <v/>
      </c>
      <c r="G86" t="n">
        <v>75</v>
      </c>
      <c r="H86" s="5" t="n">
        <v>0</v>
      </c>
      <c r="I86" s="5" t="n">
        <v>0</v>
      </c>
      <c r="J86" s="5" t="n">
        <v>0</v>
      </c>
      <c r="K86" s="21">
        <f>bkrcast_all!K86</f>
        <v/>
      </c>
      <c r="L86" s="21">
        <f>bkrcast_inbkr!K86</f>
        <v/>
      </c>
      <c r="M86" s="21">
        <f>bkrcast_outbkr!K86</f>
        <v/>
      </c>
      <c r="N86" s="21">
        <f>soundcast!K86</f>
        <v/>
      </c>
      <c r="O86" s="12">
        <f>K86/K$102</f>
        <v/>
      </c>
      <c r="P86" s="12">
        <f>L86/L$102</f>
        <v/>
      </c>
      <c r="Q86" s="12">
        <f>M86/M$102</f>
        <v/>
      </c>
      <c r="R86" s="12">
        <f>N86/N$102</f>
        <v/>
      </c>
      <c r="S86" s="12">
        <f>E86/E$102</f>
        <v/>
      </c>
    </row>
    <row r="87" spans="1:27">
      <c r="A87" t="n">
        <v>76</v>
      </c>
      <c r="B87" s="5">
        <f>bkrcast_all!B87</f>
        <v/>
      </c>
      <c r="C87" s="5">
        <f>bkrcast_all!C87</f>
        <v/>
      </c>
      <c r="D87" s="5">
        <f>bkrcast_all!D87</f>
        <v/>
      </c>
      <c r="E87" s="5">
        <f>SUM(B87:D87)</f>
        <v/>
      </c>
      <c r="G87" t="n">
        <v>76</v>
      </c>
      <c r="H87" s="5" t="n">
        <v>0</v>
      </c>
      <c r="I87" s="5" t="n">
        <v>0</v>
      </c>
      <c r="J87" s="7" t="n">
        <v>0</v>
      </c>
      <c r="K87" s="21">
        <f>bkrcast_all!K87</f>
        <v/>
      </c>
      <c r="L87" s="21">
        <f>bkrcast_inbkr!K87</f>
        <v/>
      </c>
      <c r="M87" s="21">
        <f>bkrcast_outbkr!K87</f>
        <v/>
      </c>
      <c r="N87" s="21">
        <f>soundcast!K87</f>
        <v/>
      </c>
      <c r="O87" s="12">
        <f>K87/K$102</f>
        <v/>
      </c>
      <c r="P87" s="12">
        <f>L87/L$102</f>
        <v/>
      </c>
      <c r="Q87" s="12">
        <f>M87/M$102</f>
        <v/>
      </c>
      <c r="R87" s="12">
        <f>N87/N$102</f>
        <v/>
      </c>
      <c r="S87" s="12">
        <f>E87/E$102</f>
        <v/>
      </c>
    </row>
    <row r="88" spans="1:27">
      <c r="A88" t="n">
        <v>77</v>
      </c>
      <c r="B88" s="5">
        <f>bkrcast_all!B88</f>
        <v/>
      </c>
      <c r="C88" s="5">
        <f>bkrcast_all!C88</f>
        <v/>
      </c>
      <c r="D88" s="5">
        <f>bkrcast_all!D88</f>
        <v/>
      </c>
      <c r="E88" s="5">
        <f>SUM(B88:D88)</f>
        <v/>
      </c>
      <c r="G88" t="n">
        <v>77</v>
      </c>
      <c r="H88" s="5" t="n">
        <v>0</v>
      </c>
      <c r="I88" s="5" t="n">
        <v>0</v>
      </c>
      <c r="J88" s="5" t="n">
        <v>0</v>
      </c>
      <c r="K88" s="21">
        <f>bkrcast_all!K88</f>
        <v/>
      </c>
      <c r="L88" s="21">
        <f>bkrcast_inbkr!K88</f>
        <v/>
      </c>
      <c r="M88" s="21">
        <f>bkrcast_outbkr!K88</f>
        <v/>
      </c>
      <c r="N88" s="21">
        <f>soundcast!K88</f>
        <v/>
      </c>
      <c r="O88" s="12">
        <f>K88/K$102</f>
        <v/>
      </c>
      <c r="P88" s="12">
        <f>L88/L$102</f>
        <v/>
      </c>
      <c r="Q88" s="12">
        <f>M88/M$102</f>
        <v/>
      </c>
      <c r="R88" s="12">
        <f>N88/N$102</f>
        <v/>
      </c>
      <c r="S88" s="12">
        <f>E88/E$102</f>
        <v/>
      </c>
    </row>
    <row r="89" spans="1:27">
      <c r="A89" t="n">
        <v>78</v>
      </c>
      <c r="B89" s="5">
        <f>bkrcast_all!B89</f>
        <v/>
      </c>
      <c r="C89" s="5">
        <f>bkrcast_all!C89</f>
        <v/>
      </c>
      <c r="D89" s="5">
        <f>bkrcast_all!D89</f>
        <v/>
      </c>
      <c r="E89" s="5">
        <f>SUM(B89:D89)</f>
        <v/>
      </c>
      <c r="G89" t="n">
        <v>78</v>
      </c>
      <c r="H89" s="5" t="n">
        <v>0</v>
      </c>
      <c r="I89" s="5" t="n">
        <v>0</v>
      </c>
      <c r="J89" s="7" t="n">
        <v>0</v>
      </c>
      <c r="K89" s="21">
        <f>bkrcast_all!K89</f>
        <v/>
      </c>
      <c r="L89" s="21">
        <f>bkrcast_inbkr!K89</f>
        <v/>
      </c>
      <c r="M89" s="21">
        <f>bkrcast_outbkr!K89</f>
        <v/>
      </c>
      <c r="N89" s="21">
        <f>soundcast!K89</f>
        <v/>
      </c>
      <c r="O89" s="12">
        <f>K89/K$102</f>
        <v/>
      </c>
      <c r="P89" s="12">
        <f>L89/L$102</f>
        <v/>
      </c>
      <c r="Q89" s="12">
        <f>M89/M$102</f>
        <v/>
      </c>
      <c r="R89" s="12">
        <f>N89/N$102</f>
        <v/>
      </c>
      <c r="S89" s="12">
        <f>E89/E$102</f>
        <v/>
      </c>
    </row>
    <row r="90" spans="1:27">
      <c r="A90" t="n">
        <v>79</v>
      </c>
      <c r="B90" s="5">
        <f>bkrcast_all!B90</f>
        <v/>
      </c>
      <c r="C90" s="5">
        <f>bkrcast_all!C90</f>
        <v/>
      </c>
      <c r="D90" s="5">
        <f>bkrcast_all!D90</f>
        <v/>
      </c>
      <c r="E90" s="5">
        <f>SUM(B90:D90)</f>
        <v/>
      </c>
      <c r="G90" t="n">
        <v>79</v>
      </c>
      <c r="H90" s="5" t="n">
        <v>0</v>
      </c>
      <c r="I90" s="5" t="n">
        <v>0</v>
      </c>
      <c r="J90" s="5" t="n">
        <v>0</v>
      </c>
      <c r="K90" s="21">
        <f>bkrcast_all!K90</f>
        <v/>
      </c>
      <c r="L90" s="21">
        <f>bkrcast_inbkr!K90</f>
        <v/>
      </c>
      <c r="M90" s="21">
        <f>bkrcast_outbkr!K90</f>
        <v/>
      </c>
      <c r="N90" s="21">
        <f>soundcast!K90</f>
        <v/>
      </c>
      <c r="O90" s="12">
        <f>K90/K$102</f>
        <v/>
      </c>
      <c r="P90" s="12">
        <f>L90/L$102</f>
        <v/>
      </c>
      <c r="Q90" s="12">
        <f>M90/M$102</f>
        <v/>
      </c>
      <c r="R90" s="12">
        <f>N90/N$102</f>
        <v/>
      </c>
      <c r="S90" s="12">
        <f>E90/E$102</f>
        <v/>
      </c>
    </row>
    <row r="91" spans="1:27">
      <c r="A91" t="n">
        <v>80</v>
      </c>
      <c r="B91" s="5">
        <f>bkrcast_all!B91</f>
        <v/>
      </c>
      <c r="C91" s="5">
        <f>bkrcast_all!C91</f>
        <v/>
      </c>
      <c r="D91" s="5">
        <f>bkrcast_all!D91</f>
        <v/>
      </c>
      <c r="E91" s="5">
        <f>SUM(B91:D91)</f>
        <v/>
      </c>
      <c r="G91" t="n">
        <v>80</v>
      </c>
      <c r="H91" s="5" t="n">
        <v>0</v>
      </c>
      <c r="I91" s="5" t="n">
        <v>0</v>
      </c>
      <c r="J91" s="5" t="n">
        <v>0</v>
      </c>
      <c r="K91" s="21">
        <f>bkrcast_all!K91</f>
        <v/>
      </c>
      <c r="L91" s="21">
        <f>bkrcast_inbkr!K91</f>
        <v/>
      </c>
      <c r="M91" s="21">
        <f>bkrcast_outbkr!K91</f>
        <v/>
      </c>
      <c r="N91" s="21">
        <f>soundcast!K91</f>
        <v/>
      </c>
      <c r="O91" s="12">
        <f>K91/K$102</f>
        <v/>
      </c>
      <c r="P91" s="12">
        <f>L91/L$102</f>
        <v/>
      </c>
      <c r="Q91" s="12">
        <f>M91/M$102</f>
        <v/>
      </c>
      <c r="R91" s="12">
        <f>N91/N$102</f>
        <v/>
      </c>
      <c r="S91" s="12">
        <f>E91/E$102</f>
        <v/>
      </c>
    </row>
    <row r="92" spans="1:27">
      <c r="A92" t="n">
        <v>81</v>
      </c>
      <c r="B92" s="5">
        <f>bkrcast_all!B92</f>
        <v/>
      </c>
      <c r="C92" s="5">
        <f>bkrcast_all!C92</f>
        <v/>
      </c>
      <c r="D92" s="5">
        <f>bkrcast_all!D92</f>
        <v/>
      </c>
      <c r="E92" s="5">
        <f>SUM(B92:D92)</f>
        <v/>
      </c>
      <c r="G92" t="n">
        <v>81</v>
      </c>
      <c r="H92" s="5" t="n">
        <v>0</v>
      </c>
      <c r="I92" s="5" t="n">
        <v>0</v>
      </c>
      <c r="J92" s="7" t="n">
        <v>0</v>
      </c>
      <c r="K92" s="21">
        <f>bkrcast_all!K92</f>
        <v/>
      </c>
      <c r="L92" s="21">
        <f>bkrcast_inbkr!K92</f>
        <v/>
      </c>
      <c r="M92" s="21">
        <f>bkrcast_outbkr!K92</f>
        <v/>
      </c>
      <c r="N92" s="21">
        <f>soundcast!K92</f>
        <v/>
      </c>
      <c r="O92" s="12">
        <f>K92/K$102</f>
        <v/>
      </c>
      <c r="P92" s="12">
        <f>L92/L$102</f>
        <v/>
      </c>
      <c r="Q92" s="12">
        <f>M92/M$102</f>
        <v/>
      </c>
      <c r="R92" s="12">
        <f>N92/N$102</f>
        <v/>
      </c>
      <c r="S92" s="12">
        <f>E92/E$102</f>
        <v/>
      </c>
    </row>
    <row r="93" spans="1:27">
      <c r="A93" t="n">
        <v>82</v>
      </c>
      <c r="B93" s="5">
        <f>bkrcast_all!B93</f>
        <v/>
      </c>
      <c r="C93" s="5">
        <f>bkrcast_all!C93</f>
        <v/>
      </c>
      <c r="D93" s="5">
        <f>bkrcast_all!D93</f>
        <v/>
      </c>
      <c r="E93" s="5">
        <f>SUM(B93:D93)</f>
        <v/>
      </c>
      <c r="G93" t="n">
        <v>82</v>
      </c>
      <c r="H93" s="5" t="n">
        <v>0</v>
      </c>
      <c r="I93" s="5" t="n">
        <v>0</v>
      </c>
      <c r="J93" s="5" t="n">
        <v>0</v>
      </c>
      <c r="K93" s="21">
        <f>bkrcast_all!K93</f>
        <v/>
      </c>
      <c r="L93" s="21">
        <f>bkrcast_inbkr!K93</f>
        <v/>
      </c>
      <c r="M93" s="21">
        <f>bkrcast_outbkr!K93</f>
        <v/>
      </c>
      <c r="N93" s="21">
        <f>soundcast!K93</f>
        <v/>
      </c>
      <c r="O93" s="12">
        <f>K93/K$102</f>
        <v/>
      </c>
      <c r="P93" s="12">
        <f>L93/L$102</f>
        <v/>
      </c>
      <c r="Q93" s="12">
        <f>M93/M$102</f>
        <v/>
      </c>
      <c r="R93" s="12">
        <f>N93/N$102</f>
        <v/>
      </c>
      <c r="S93" s="12">
        <f>E93/E$102</f>
        <v/>
      </c>
    </row>
    <row r="94" spans="1:27">
      <c r="A94" t="n">
        <v>83</v>
      </c>
      <c r="B94" s="5">
        <f>bkrcast_all!B94</f>
        <v/>
      </c>
      <c r="C94" s="5">
        <f>bkrcast_all!C94</f>
        <v/>
      </c>
      <c r="D94" s="5">
        <f>bkrcast_all!D94</f>
        <v/>
      </c>
      <c r="E94" s="5">
        <f>SUM(B94:D94)</f>
        <v/>
      </c>
      <c r="G94" t="n">
        <v>83</v>
      </c>
      <c r="H94" s="5" t="n">
        <v>0</v>
      </c>
      <c r="I94" s="5" t="n">
        <v>0</v>
      </c>
      <c r="J94" s="5" t="n">
        <v>0</v>
      </c>
      <c r="K94" s="21">
        <f>bkrcast_all!K94</f>
        <v/>
      </c>
      <c r="L94" s="21">
        <f>bkrcast_inbkr!K94</f>
        <v/>
      </c>
      <c r="M94" s="21">
        <f>bkrcast_outbkr!K94</f>
        <v/>
      </c>
      <c r="N94" s="21">
        <f>soundcast!K94</f>
        <v/>
      </c>
      <c r="O94" s="12">
        <f>K94/K$102</f>
        <v/>
      </c>
      <c r="P94" s="12">
        <f>L94/L$102</f>
        <v/>
      </c>
      <c r="Q94" s="12">
        <f>M94/M$102</f>
        <v/>
      </c>
      <c r="R94" s="12">
        <f>N94/N$102</f>
        <v/>
      </c>
      <c r="S94" s="12">
        <f>E94/E$102</f>
        <v/>
      </c>
    </row>
    <row r="95" spans="1:27">
      <c r="A95" t="n">
        <v>84</v>
      </c>
      <c r="B95" s="5">
        <f>bkrcast_all!B95</f>
        <v/>
      </c>
      <c r="C95" s="5">
        <f>bkrcast_all!C95</f>
        <v/>
      </c>
      <c r="D95" s="5">
        <f>bkrcast_all!D95</f>
        <v/>
      </c>
      <c r="E95" s="5">
        <f>SUM(B95:D95)</f>
        <v/>
      </c>
      <c r="G95" t="n">
        <v>84</v>
      </c>
      <c r="H95" s="5" t="n">
        <v>0</v>
      </c>
      <c r="I95" s="5" t="n">
        <v>0</v>
      </c>
      <c r="J95" s="5" t="n">
        <v>0</v>
      </c>
      <c r="K95" s="21">
        <f>bkrcast_all!K95</f>
        <v/>
      </c>
      <c r="L95" s="21">
        <f>bkrcast_inbkr!K95</f>
        <v/>
      </c>
      <c r="M95" s="21">
        <f>bkrcast_outbkr!K95</f>
        <v/>
      </c>
      <c r="N95" s="21">
        <f>soundcast!K95</f>
        <v/>
      </c>
      <c r="O95" s="12">
        <f>K95/K$102</f>
        <v/>
      </c>
      <c r="P95" s="12">
        <f>L95/L$102</f>
        <v/>
      </c>
      <c r="Q95" s="12">
        <f>M95/M$102</f>
        <v/>
      </c>
      <c r="R95" s="12">
        <f>N95/N$102</f>
        <v/>
      </c>
      <c r="S95" s="12">
        <f>E95/E$102</f>
        <v/>
      </c>
    </row>
    <row r="96" spans="1:27">
      <c r="A96" t="n">
        <v>85</v>
      </c>
      <c r="B96" s="5">
        <f>bkrcast_all!B96</f>
        <v/>
      </c>
      <c r="C96" s="5">
        <f>bkrcast_all!C96</f>
        <v/>
      </c>
      <c r="D96" s="5">
        <f>bkrcast_all!D96</f>
        <v/>
      </c>
      <c r="E96" s="5">
        <f>SUM(B96:D96)</f>
        <v/>
      </c>
      <c r="G96" t="n">
        <v>85</v>
      </c>
      <c r="H96" s="5" t="n">
        <v>0</v>
      </c>
      <c r="I96" s="5" t="n">
        <v>0</v>
      </c>
      <c r="J96" s="5" t="n">
        <v>0</v>
      </c>
      <c r="K96" s="21">
        <f>bkrcast_all!K96</f>
        <v/>
      </c>
      <c r="L96" s="21">
        <f>bkrcast_inbkr!K96</f>
        <v/>
      </c>
      <c r="M96" s="21">
        <f>bkrcast_outbkr!K96</f>
        <v/>
      </c>
      <c r="N96" s="21">
        <f>soundcast!K96</f>
        <v/>
      </c>
      <c r="O96" s="12">
        <f>K96/K$102</f>
        <v/>
      </c>
      <c r="P96" s="12">
        <f>L96/L$102</f>
        <v/>
      </c>
      <c r="Q96" s="12">
        <f>M96/M$102</f>
        <v/>
      </c>
      <c r="R96" s="12">
        <f>N96/N$102</f>
        <v/>
      </c>
      <c r="S96" s="12">
        <f>E96/E$102</f>
        <v/>
      </c>
    </row>
    <row r="97" spans="1:27">
      <c r="A97" t="n">
        <v>86</v>
      </c>
      <c r="B97" s="5">
        <f>bkrcast_all!B97</f>
        <v/>
      </c>
      <c r="C97" s="5">
        <f>bkrcast_all!C97</f>
        <v/>
      </c>
      <c r="D97" s="5">
        <f>bkrcast_all!D97</f>
        <v/>
      </c>
      <c r="E97" s="5">
        <f>SUM(B97:D97)</f>
        <v/>
      </c>
      <c r="G97" t="n">
        <v>86</v>
      </c>
      <c r="H97" s="5" t="n">
        <v>0</v>
      </c>
      <c r="I97" s="5" t="n">
        <v>0</v>
      </c>
      <c r="J97" s="5" t="n">
        <v>0</v>
      </c>
      <c r="K97" s="21">
        <f>bkrcast_all!K97</f>
        <v/>
      </c>
      <c r="L97" s="21">
        <f>bkrcast_inbkr!K97</f>
        <v/>
      </c>
      <c r="M97" s="21">
        <f>bkrcast_outbkr!K97</f>
        <v/>
      </c>
      <c r="N97" s="21">
        <f>soundcast!K97</f>
        <v/>
      </c>
      <c r="O97" s="12">
        <f>K97/K$102</f>
        <v/>
      </c>
      <c r="P97" s="12">
        <f>L97/L$102</f>
        <v/>
      </c>
      <c r="Q97" s="12">
        <f>M97/M$102</f>
        <v/>
      </c>
      <c r="R97" s="12">
        <f>N97/N$102</f>
        <v/>
      </c>
      <c r="S97" s="12">
        <f>E97/E$102</f>
        <v/>
      </c>
    </row>
    <row r="98" spans="1:27">
      <c r="A98" t="n">
        <v>87</v>
      </c>
      <c r="B98" s="5">
        <f>bkrcast_all!B98</f>
        <v/>
      </c>
      <c r="C98" s="5">
        <f>bkrcast_all!C98</f>
        <v/>
      </c>
      <c r="D98" s="5">
        <f>bkrcast_all!D98</f>
        <v/>
      </c>
      <c r="E98" s="5">
        <f>SUM(B98:D98)</f>
        <v/>
      </c>
      <c r="G98" t="n">
        <v>87</v>
      </c>
      <c r="H98" s="5" t="n">
        <v>0</v>
      </c>
      <c r="I98" s="5" t="n">
        <v>0</v>
      </c>
      <c r="J98" s="5" t="n">
        <v>0</v>
      </c>
      <c r="K98" s="21">
        <f>bkrcast_all!K98</f>
        <v/>
      </c>
      <c r="L98" s="21">
        <f>bkrcast_inbkr!K98</f>
        <v/>
      </c>
      <c r="M98" s="21">
        <f>bkrcast_outbkr!K98</f>
        <v/>
      </c>
      <c r="N98" s="21">
        <f>soundcast!K98</f>
        <v/>
      </c>
      <c r="O98" s="12">
        <f>K98/K$102</f>
        <v/>
      </c>
      <c r="P98" s="12">
        <f>L98/L$102</f>
        <v/>
      </c>
      <c r="Q98" s="12">
        <f>M98/M$102</f>
        <v/>
      </c>
      <c r="R98" s="12">
        <f>N98/N$102</f>
        <v/>
      </c>
      <c r="S98" s="12">
        <f>E98/E$102</f>
        <v/>
      </c>
    </row>
    <row r="99" spans="1:27">
      <c r="A99" t="n">
        <v>88</v>
      </c>
      <c r="B99" s="5">
        <f>bkrcast_all!B99</f>
        <v/>
      </c>
      <c r="C99" s="5">
        <f>bkrcast_all!C99</f>
        <v/>
      </c>
      <c r="D99" s="5">
        <f>bkrcast_all!D99</f>
        <v/>
      </c>
      <c r="E99" s="5">
        <f>SUM(B99:D99)</f>
        <v/>
      </c>
      <c r="G99" t="n">
        <v>88</v>
      </c>
      <c r="H99" s="5" t="n">
        <v>0</v>
      </c>
      <c r="I99" s="5" t="n">
        <v>0</v>
      </c>
      <c r="J99" s="5" t="n">
        <v>0</v>
      </c>
      <c r="K99" s="21">
        <f>bkrcast_all!K99</f>
        <v/>
      </c>
      <c r="L99" s="21">
        <f>bkrcast_inbkr!K99</f>
        <v/>
      </c>
      <c r="M99" s="21">
        <f>bkrcast_outbkr!K99</f>
        <v/>
      </c>
      <c r="N99" s="21">
        <f>soundcast!K99</f>
        <v/>
      </c>
      <c r="O99" s="12">
        <f>K99/K$102</f>
        <v/>
      </c>
      <c r="P99" s="12">
        <f>L99/L$102</f>
        <v/>
      </c>
      <c r="Q99" s="12">
        <f>M99/M$102</f>
        <v/>
      </c>
      <c r="R99" s="12">
        <f>N99/N$102</f>
        <v/>
      </c>
      <c r="S99" s="12">
        <f>E99/E$102</f>
        <v/>
      </c>
    </row>
    <row r="100" spans="1:27">
      <c r="A100" t="n">
        <v>89</v>
      </c>
      <c r="B100" s="5">
        <f>bkrcast_all!B100</f>
        <v/>
      </c>
      <c r="C100" s="5">
        <f>bkrcast_all!C100</f>
        <v/>
      </c>
      <c r="D100" s="5">
        <f>bkrcast_all!D100</f>
        <v/>
      </c>
      <c r="E100" s="5">
        <f>SUM(B100:D100)</f>
        <v/>
      </c>
      <c r="G100" t="n">
        <v>89</v>
      </c>
      <c r="H100" s="5" t="n">
        <v>0</v>
      </c>
      <c r="I100" s="5" t="n">
        <v>0</v>
      </c>
      <c r="J100" s="5" t="n">
        <v>0</v>
      </c>
      <c r="K100" s="21">
        <f>bkrcast_all!K100</f>
        <v/>
      </c>
      <c r="L100" s="21">
        <f>bkrcast_inbkr!K100</f>
        <v/>
      </c>
      <c r="M100" s="21">
        <f>bkrcast_outbkr!K100</f>
        <v/>
      </c>
      <c r="N100" s="21">
        <f>soundcast!K100</f>
        <v/>
      </c>
      <c r="O100" s="12">
        <f>K100/K$102</f>
        <v/>
      </c>
      <c r="P100" s="12">
        <f>L100/L$102</f>
        <v/>
      </c>
      <c r="Q100" s="12">
        <f>M100/M$102</f>
        <v/>
      </c>
      <c r="R100" s="12">
        <f>N100/N$102</f>
        <v/>
      </c>
      <c r="S100" s="12">
        <f>E100/E$102</f>
        <v/>
      </c>
    </row>
    <row customHeight="1" ht="15.75" r="101" spans="1:27">
      <c r="A101" s="1" t="n">
        <v>90</v>
      </c>
      <c r="B101" s="5">
        <f>bkrcast_all!B101</f>
        <v/>
      </c>
      <c r="C101" s="5">
        <f>bkrcast_all!C101</f>
        <v/>
      </c>
      <c r="D101" s="5">
        <f>bkrcast_all!D101</f>
        <v/>
      </c>
      <c r="E101" s="6">
        <f>SUM(B101:D101)</f>
        <v/>
      </c>
      <c r="G101" s="1" t="n">
        <v>90</v>
      </c>
      <c r="H101" s="6" t="n">
        <v>21047.42564726121</v>
      </c>
      <c r="I101" s="6" t="n">
        <v>0</v>
      </c>
      <c r="J101" s="6" t="n">
        <v>0</v>
      </c>
      <c r="K101" s="21">
        <f>bkrcast_all!K101</f>
        <v/>
      </c>
      <c r="L101" s="21">
        <f>bkrcast_inbkr!K101</f>
        <v/>
      </c>
      <c r="M101" s="21">
        <f>bkrcast_outbkr!K101</f>
        <v/>
      </c>
      <c r="N101" s="21">
        <f>soundcast!K101</f>
        <v/>
      </c>
      <c r="O101" s="12">
        <f>K101/K$102</f>
        <v/>
      </c>
      <c r="P101" s="12">
        <f>L101/L$102</f>
        <v/>
      </c>
      <c r="Q101" s="12">
        <f>M101/M$102</f>
        <v/>
      </c>
      <c r="R101" s="12">
        <f>N101/N$102</f>
        <v/>
      </c>
      <c r="S101" s="12">
        <f>E101/E$102</f>
        <v/>
      </c>
    </row>
    <row r="102" spans="1:27">
      <c r="E102" s="11">
        <f>SUM(E11:E101)</f>
        <v/>
      </c>
      <c r="K102" s="28">
        <f>SUM(K11:K101)</f>
        <v/>
      </c>
      <c r="L102" s="28">
        <f>SUM(L11:L101)</f>
        <v/>
      </c>
      <c r="M102" s="28">
        <f>SUM(M11:M101)</f>
        <v/>
      </c>
      <c r="N102" s="28">
        <f>SUM(N11:N101)</f>
        <v/>
      </c>
    </row>
  </sheetData>
  <pageMargins bottom="0.75" footer="0.3" header="0.3" left="0.7" right="0.7" top="0.75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S101"/>
  <sheetViews>
    <sheetView workbookViewId="0">
      <selection activeCell="Q15" sqref="Q15"/>
    </sheetView>
  </sheetViews>
  <sheetFormatPr baseColWidth="10" defaultRowHeight="15" outlineLevelCol="0"/>
  <cols>
    <col collapsed="1" customWidth="1" max="1" min="1" style="13" width="13.5703125"/>
    <col collapsed="1" customWidth="1" max="2" min="2" style="13" width="10.5703125"/>
    <col collapsed="1" customWidth="1" max="4" min="3" style="13" width="9.5703125"/>
    <col collapsed="1" customWidth="1" max="5" min="5" style="13" width="10.5703125"/>
    <col collapsed="1" customWidth="1" max="7" min="7" style="13" width="13.140625"/>
    <col collapsed="1" customWidth="1" max="8" min="8" style="13" width="10.5703125"/>
    <col collapsed="1" customWidth="1" max="10" min="9" style="13" width="9.5703125"/>
    <col collapsed="1" customWidth="1" max="11" min="11" style="13" width="15.85546875"/>
    <col collapsed="1" customWidth="1" max="15" min="15" style="13" width="15.7109375"/>
  </cols>
  <sheetData>
    <row r="1" spans="1:19">
      <c r="A1" t="s">
        <v>0</v>
      </c>
    </row>
    <row r="2" spans="1:19">
      <c r="A2" t="s">
        <v>1</v>
      </c>
    </row>
    <row r="3" spans="1:19">
      <c r="A3" t="s">
        <v>2</v>
      </c>
    </row>
    <row r="4" spans="1:19">
      <c r="A4" t="s">
        <v>3</v>
      </c>
    </row>
    <row r="5" spans="1:19">
      <c r="A5" t="s">
        <v>4</v>
      </c>
    </row>
    <row r="7" spans="1:19">
      <c r="A7" t="s">
        <v>5</v>
      </c>
    </row>
    <row customHeight="1" ht="15.75" r="9" spans="1:19">
      <c r="A9" s="14" t="s">
        <v>6</v>
      </c>
      <c r="B9" s="15" t="n"/>
      <c r="C9" s="15" t="n"/>
      <c r="D9" s="15" t="n"/>
      <c r="E9" s="15" t="n"/>
      <c r="G9" s="14" t="s">
        <v>7</v>
      </c>
      <c r="H9" s="15" t="n"/>
      <c r="I9" s="15" t="n"/>
      <c r="J9" s="15" t="n"/>
      <c r="K9" s="15" t="n"/>
      <c r="M9" s="16" t="s">
        <v>20</v>
      </c>
      <c r="Q9" s="16" t="s">
        <v>21</v>
      </c>
    </row>
    <row r="10" spans="1:19">
      <c r="A10" s="17" t="s">
        <v>9</v>
      </c>
      <c r="B10" s="18" t="s">
        <v>10</v>
      </c>
      <c r="C10" s="18" t="s">
        <v>11</v>
      </c>
      <c r="D10" s="18" t="s">
        <v>12</v>
      </c>
      <c r="E10" s="18" t="s">
        <v>13</v>
      </c>
      <c r="G10" s="17" t="s">
        <v>9</v>
      </c>
      <c r="H10" s="18" t="s">
        <v>10</v>
      </c>
      <c r="I10" s="18" t="s">
        <v>11</v>
      </c>
      <c r="J10" s="18" t="s">
        <v>14</v>
      </c>
      <c r="K10" s="18" t="s">
        <v>22</v>
      </c>
      <c r="L10" s="18" t="n"/>
      <c r="M10" s="17" t="n"/>
      <c r="N10" s="18" t="s">
        <v>13</v>
      </c>
      <c r="O10" s="18" t="s">
        <v>22</v>
      </c>
      <c r="Q10" s="19" t="n"/>
      <c r="R10" s="20" t="s">
        <v>13</v>
      </c>
      <c r="S10" s="20" t="s">
        <v>23</v>
      </c>
    </row>
    <row customHeight="1" ht="15.75" r="11" spans="1:19">
      <c r="A11" t="n">
        <v>0</v>
      </c>
      <c r="B11" s="21" t="n">
        <v>123508.3771</v>
      </c>
      <c r="C11" s="21" t="n">
        <v>5239.0209</v>
      </c>
      <c r="D11" s="21" t="n">
        <v>8955.4406</v>
      </c>
      <c r="E11" s="21" t="n">
        <v>137702.8386</v>
      </c>
      <c r="G11" t="n">
        <v>0</v>
      </c>
      <c r="H11" s="21" t="n">
        <v>117358</v>
      </c>
      <c r="I11" s="21" t="n">
        <v>14793</v>
      </c>
      <c r="J11" s="22" t="n">
        <v>15496</v>
      </c>
      <c r="K11" s="21" t="n">
        <v>147647</v>
      </c>
      <c r="M11" t="s">
        <v>10</v>
      </c>
      <c r="N11" s="23" t="n">
        <v>3.417886092876937</v>
      </c>
      <c r="O11" s="23" t="n">
        <v>3.001179860331977</v>
      </c>
      <c r="Q11" s="15" t="s">
        <v>19</v>
      </c>
      <c r="R11" s="24" t="n"/>
      <c r="S11" s="24" t="n"/>
    </row>
    <row r="12" spans="1:19">
      <c r="A12" t="n">
        <v>1</v>
      </c>
      <c r="B12" s="21" t="n">
        <v>103080.9833</v>
      </c>
      <c r="C12" s="21" t="n">
        <v>13850.0637</v>
      </c>
      <c r="D12" s="21" t="n">
        <v>14546.5621</v>
      </c>
      <c r="E12" s="21" t="n">
        <v>131477.6091</v>
      </c>
      <c r="G12" t="n">
        <v>1</v>
      </c>
      <c r="H12" s="21" t="n">
        <v>117281</v>
      </c>
      <c r="I12" s="21" t="n">
        <v>20246</v>
      </c>
      <c r="J12" s="22" t="n">
        <v>25342</v>
      </c>
      <c r="K12" s="21" t="n">
        <v>162869</v>
      </c>
      <c r="M12" t="s">
        <v>11</v>
      </c>
      <c r="N12" s="23" t="n">
        <v>4.75629498079892</v>
      </c>
      <c r="O12" s="23" t="n">
        <v>4.755385421038322</v>
      </c>
      <c r="R12" s="23" t="n"/>
      <c r="S12" s="23" t="n"/>
    </row>
    <row r="13" spans="1:19">
      <c r="A13" t="n">
        <v>2</v>
      </c>
      <c r="B13" s="21" t="n">
        <v>56097.0253</v>
      </c>
      <c r="C13" s="21" t="n">
        <v>10799.0388</v>
      </c>
      <c r="D13" s="21" t="n">
        <v>4558.8024</v>
      </c>
      <c r="E13" s="21" t="n">
        <v>71454.8665</v>
      </c>
      <c r="G13" t="n">
        <v>2</v>
      </c>
      <c r="H13" s="21" t="n">
        <v>78032</v>
      </c>
      <c r="I13" s="21" t="n">
        <v>17645</v>
      </c>
      <c r="J13" s="22" t="n">
        <v>18310</v>
      </c>
      <c r="K13" s="21" t="n">
        <v>113987</v>
      </c>
      <c r="M13" s="25" t="s">
        <v>14</v>
      </c>
      <c r="N13" s="26" t="n">
        <v>7.097965741167195</v>
      </c>
      <c r="O13" s="26" t="n">
        <v>6.758774854187625</v>
      </c>
      <c r="R13" s="23" t="n"/>
      <c r="S13" s="23" t="n"/>
    </row>
    <row customHeight="1" ht="15.75" r="14" spans="1:19">
      <c r="A14" t="n">
        <v>3</v>
      </c>
      <c r="B14" s="21" t="n">
        <v>41090.5463</v>
      </c>
      <c r="C14" s="21" t="n">
        <v>9746.109899999999</v>
      </c>
      <c r="D14" s="21" t="n">
        <v>4294.3282</v>
      </c>
      <c r="E14" s="21" t="n">
        <v>55130.9844</v>
      </c>
      <c r="G14" t="n">
        <v>3</v>
      </c>
      <c r="H14" s="21" t="n">
        <v>55215</v>
      </c>
      <c r="I14" s="21" t="n">
        <v>14847</v>
      </c>
      <c r="J14" s="22" t="n">
        <v>16483</v>
      </c>
      <c r="K14" s="21" t="n">
        <v>86545</v>
      </c>
      <c r="M14" s="15" t="s">
        <v>19</v>
      </c>
      <c r="N14" s="24" t="n">
        <v>3.996002362560764</v>
      </c>
      <c r="O14" s="24" t="n">
        <v>4.112098217366403</v>
      </c>
    </row>
    <row r="15" spans="1:19">
      <c r="A15" t="n">
        <v>4</v>
      </c>
      <c r="B15" s="21" t="n">
        <v>22670.927</v>
      </c>
      <c r="C15" s="21" t="n">
        <v>10388.9041</v>
      </c>
      <c r="D15" s="21" t="n">
        <v>3294.5644</v>
      </c>
      <c r="E15" s="21" t="n">
        <v>36354.3955</v>
      </c>
      <c r="G15" t="n">
        <v>4</v>
      </c>
      <c r="H15" s="21" t="n">
        <v>32271</v>
      </c>
      <c r="I15" s="21" t="n">
        <v>11108</v>
      </c>
      <c r="J15" s="22" t="n">
        <v>13608</v>
      </c>
      <c r="K15" s="21" t="n">
        <v>56987</v>
      </c>
    </row>
    <row r="16" spans="1:19">
      <c r="A16" t="n">
        <v>5</v>
      </c>
      <c r="B16" s="21" t="n">
        <v>41754.8893</v>
      </c>
      <c r="C16" s="21" t="n">
        <v>3088.7138</v>
      </c>
      <c r="D16" s="21" t="n">
        <v>3947.2338</v>
      </c>
      <c r="E16" s="21" t="n">
        <v>48790.8369</v>
      </c>
      <c r="G16" t="n">
        <v>5</v>
      </c>
      <c r="H16" s="21" t="n">
        <v>22052</v>
      </c>
      <c r="I16" s="21" t="n">
        <v>8930</v>
      </c>
      <c r="J16" s="22" t="n">
        <v>11667</v>
      </c>
      <c r="K16" s="21" t="n">
        <v>42649</v>
      </c>
    </row>
    <row r="17" spans="1:19">
      <c r="A17" t="n">
        <v>6</v>
      </c>
      <c r="B17" s="21" t="n">
        <v>11127.3026</v>
      </c>
      <c r="C17" s="21" t="n">
        <v>1976.7915</v>
      </c>
      <c r="D17" s="21" t="n">
        <v>5592.084</v>
      </c>
      <c r="E17" s="21" t="n">
        <v>18696.1781</v>
      </c>
      <c r="G17" t="n">
        <v>6</v>
      </c>
      <c r="H17" s="21" t="n">
        <v>16715</v>
      </c>
      <c r="I17" s="21" t="n">
        <v>6997</v>
      </c>
      <c r="J17" s="22" t="n">
        <v>9758</v>
      </c>
      <c r="K17" s="21" t="n">
        <v>33470</v>
      </c>
    </row>
    <row r="18" spans="1:19">
      <c r="A18" t="n">
        <v>7</v>
      </c>
      <c r="B18" s="21" t="n">
        <v>9980.124400000001</v>
      </c>
      <c r="C18" s="21" t="n">
        <v>1667.3262</v>
      </c>
      <c r="D18" s="21" t="n">
        <v>2267.5128</v>
      </c>
      <c r="E18" s="21" t="n">
        <v>13914.9634</v>
      </c>
      <c r="G18" t="n">
        <v>7</v>
      </c>
      <c r="H18" s="21" t="n">
        <v>12827</v>
      </c>
      <c r="I18" s="21" t="n">
        <v>5229</v>
      </c>
      <c r="J18" s="22" t="n">
        <v>8756</v>
      </c>
      <c r="K18" s="21" t="n">
        <v>26812</v>
      </c>
    </row>
    <row r="19" spans="1:19">
      <c r="A19" t="n">
        <v>8</v>
      </c>
      <c r="B19" s="21" t="n">
        <v>17822.9756</v>
      </c>
      <c r="C19" s="21" t="n">
        <v>2183.5302</v>
      </c>
      <c r="D19" s="21" t="n">
        <v>3730.1446</v>
      </c>
      <c r="E19" s="21" t="n">
        <v>23736.6504</v>
      </c>
      <c r="G19" t="n">
        <v>8</v>
      </c>
      <c r="H19" s="21" t="n">
        <v>9028</v>
      </c>
      <c r="I19" s="21" t="n">
        <v>3939</v>
      </c>
      <c r="J19" s="22" t="n">
        <v>8770</v>
      </c>
      <c r="K19" s="21" t="n">
        <v>21737</v>
      </c>
    </row>
    <row r="20" spans="1:19">
      <c r="A20" t="n">
        <v>9</v>
      </c>
      <c r="B20" s="21" t="n">
        <v>5437.1362</v>
      </c>
      <c r="C20" s="21" t="n">
        <v>250.9536</v>
      </c>
      <c r="D20" s="21" t="n">
        <v>2310.8752</v>
      </c>
      <c r="E20" s="21" t="n">
        <v>7998.965</v>
      </c>
      <c r="G20" t="n">
        <v>9</v>
      </c>
      <c r="H20" s="21" t="n">
        <v>6935</v>
      </c>
      <c r="I20" s="21" t="n">
        <v>3205</v>
      </c>
      <c r="J20" s="22" t="n">
        <v>7103</v>
      </c>
      <c r="K20" s="21" t="n">
        <v>17243</v>
      </c>
    </row>
    <row r="21" spans="1:19">
      <c r="A21" t="n">
        <v>10</v>
      </c>
      <c r="B21" s="21" t="n">
        <v>5962.9443</v>
      </c>
      <c r="C21" s="21" t="n">
        <v>3217.6363</v>
      </c>
      <c r="D21" s="21" t="n">
        <v>1419.6895</v>
      </c>
      <c r="E21" s="21" t="n">
        <v>10600.2701</v>
      </c>
      <c r="G21" t="n">
        <v>10</v>
      </c>
      <c r="H21" s="21" t="n">
        <v>5011</v>
      </c>
      <c r="I21" s="21" t="n">
        <v>2634</v>
      </c>
      <c r="J21" s="22" t="n">
        <v>6271</v>
      </c>
      <c r="K21" s="21" t="n">
        <v>13916</v>
      </c>
    </row>
    <row r="22" spans="1:19">
      <c r="A22" t="n">
        <v>11</v>
      </c>
      <c r="B22" s="21" t="n">
        <v>3337.1918</v>
      </c>
      <c r="C22" s="21" t="n">
        <v>349.4206</v>
      </c>
      <c r="D22" s="21" t="n">
        <v>1351.573</v>
      </c>
      <c r="E22" s="21" t="n">
        <v>5038.1854</v>
      </c>
      <c r="G22" t="n">
        <v>11</v>
      </c>
      <c r="H22" s="21" t="n">
        <v>3566</v>
      </c>
      <c r="I22" s="21" t="n">
        <v>2109</v>
      </c>
      <c r="J22" s="22" t="n">
        <v>5406</v>
      </c>
      <c r="K22" s="21" t="n">
        <v>11081</v>
      </c>
    </row>
    <row r="23" spans="1:19">
      <c r="A23" t="n">
        <v>12</v>
      </c>
      <c r="B23" s="21" t="n">
        <v>4221.9161</v>
      </c>
      <c r="C23" s="21" t="n">
        <v>1507.2988</v>
      </c>
      <c r="D23" s="21" t="n">
        <v>1846.5716</v>
      </c>
      <c r="E23" s="21" t="n">
        <v>7575.786500000001</v>
      </c>
      <c r="G23" t="n">
        <v>12</v>
      </c>
      <c r="H23" s="21" t="n">
        <v>2599</v>
      </c>
      <c r="I23" s="21" t="n">
        <v>1568</v>
      </c>
      <c r="J23" s="22" t="n">
        <v>3876</v>
      </c>
      <c r="K23" s="21" t="n">
        <v>8043</v>
      </c>
    </row>
    <row r="24" spans="1:19">
      <c r="A24" t="n">
        <v>13</v>
      </c>
      <c r="B24" s="21" t="n">
        <v>2665.7147</v>
      </c>
      <c r="C24" s="21" t="n">
        <v>0</v>
      </c>
      <c r="D24" s="21" t="n">
        <v>1535.2967</v>
      </c>
      <c r="E24" s="21" t="n">
        <v>4201.011399999999</v>
      </c>
      <c r="G24" t="n">
        <v>13</v>
      </c>
      <c r="H24" s="21" t="n">
        <v>1776</v>
      </c>
      <c r="I24" s="21" t="n">
        <v>1273</v>
      </c>
      <c r="J24" s="22" t="n">
        <v>3411</v>
      </c>
      <c r="K24" s="21" t="n">
        <v>6460</v>
      </c>
    </row>
    <row r="25" spans="1:19">
      <c r="A25" t="n">
        <v>14</v>
      </c>
      <c r="B25" s="21" t="n">
        <v>522.3251</v>
      </c>
      <c r="C25" s="21" t="n">
        <v>1137.475</v>
      </c>
      <c r="D25" s="21" t="n">
        <v>879.4915999999999</v>
      </c>
      <c r="E25" s="21" t="n">
        <v>2539.2917</v>
      </c>
      <c r="G25" t="n">
        <v>14</v>
      </c>
      <c r="H25" s="21" t="n">
        <v>1322</v>
      </c>
      <c r="I25" s="21" t="n">
        <v>1046</v>
      </c>
      <c r="J25" s="22" t="n">
        <v>2802</v>
      </c>
      <c r="K25" s="21" t="n">
        <v>5170</v>
      </c>
    </row>
    <row r="26" spans="1:19">
      <c r="A26" t="n">
        <v>15</v>
      </c>
      <c r="B26" s="21" t="n">
        <v>82.1623</v>
      </c>
      <c r="C26" s="21" t="n">
        <v>1006.7866</v>
      </c>
      <c r="D26" s="21" t="n">
        <v>1073.7719</v>
      </c>
      <c r="E26" s="21" t="n">
        <v>2162.7208</v>
      </c>
      <c r="G26" t="n">
        <v>15</v>
      </c>
      <c r="H26" s="21" t="n">
        <v>900</v>
      </c>
      <c r="I26" s="21" t="n">
        <v>844</v>
      </c>
      <c r="J26" s="22" t="n">
        <v>2448</v>
      </c>
      <c r="K26" s="21" t="n">
        <v>4192</v>
      </c>
    </row>
    <row r="27" spans="1:19">
      <c r="A27" t="n">
        <v>16</v>
      </c>
      <c r="B27" s="21" t="n">
        <v>2301.3882</v>
      </c>
      <c r="C27" s="21" t="n">
        <v>254.1134</v>
      </c>
      <c r="D27" s="21" t="n">
        <v>1670.0171</v>
      </c>
      <c r="E27" s="21" t="n">
        <v>4225.518700000001</v>
      </c>
      <c r="G27" t="n">
        <v>16</v>
      </c>
      <c r="H27" s="21" t="n">
        <v>621</v>
      </c>
      <c r="I27" s="21" t="n">
        <v>630</v>
      </c>
      <c r="J27" s="22" t="n">
        <v>2037</v>
      </c>
      <c r="K27" s="21" t="n">
        <v>3288</v>
      </c>
    </row>
    <row r="28" spans="1:19">
      <c r="A28" t="n">
        <v>17</v>
      </c>
      <c r="B28" s="21" t="n">
        <v>6222.5291</v>
      </c>
      <c r="C28" s="21" t="n">
        <v>0</v>
      </c>
      <c r="D28" s="21" t="n">
        <v>1009.2793</v>
      </c>
      <c r="E28" s="21" t="n">
        <v>7231.8084</v>
      </c>
      <c r="G28" t="n">
        <v>17</v>
      </c>
      <c r="H28" s="21" t="n">
        <v>434</v>
      </c>
      <c r="I28" s="21" t="n">
        <v>543</v>
      </c>
      <c r="J28" s="22" t="n">
        <v>1940</v>
      </c>
      <c r="K28" s="21" t="n">
        <v>2917</v>
      </c>
    </row>
    <row r="29" spans="1:19">
      <c r="A29" t="n">
        <v>18</v>
      </c>
      <c r="B29" s="21" t="n">
        <v>279.8517</v>
      </c>
      <c r="C29" s="21" t="n">
        <v>438.0688</v>
      </c>
      <c r="D29" s="21" t="n">
        <v>428.4083</v>
      </c>
      <c r="E29" s="21" t="n">
        <v>1146.3288</v>
      </c>
      <c r="G29" t="n">
        <v>18</v>
      </c>
      <c r="H29" s="21" t="n">
        <v>265</v>
      </c>
      <c r="I29" s="21" t="n">
        <v>432</v>
      </c>
      <c r="J29" s="22" t="n">
        <v>1586</v>
      </c>
      <c r="K29" s="21" t="n">
        <v>2283</v>
      </c>
    </row>
    <row r="30" spans="1:19">
      <c r="A30" t="n">
        <v>19</v>
      </c>
      <c r="B30" s="21" t="n">
        <v>443.2208</v>
      </c>
      <c r="C30" s="21" t="n">
        <v>55.7339</v>
      </c>
      <c r="D30" s="21" t="n">
        <v>359.962</v>
      </c>
      <c r="E30" s="21" t="n">
        <v>858.9167</v>
      </c>
      <c r="G30" t="n">
        <v>19</v>
      </c>
      <c r="H30" s="21" t="n">
        <v>216</v>
      </c>
      <c r="I30" s="21" t="n">
        <v>361</v>
      </c>
      <c r="J30" s="22" t="n">
        <v>1254</v>
      </c>
      <c r="K30" s="21" t="n">
        <v>1831</v>
      </c>
    </row>
    <row r="31" spans="1:19">
      <c r="A31" t="n">
        <v>20</v>
      </c>
      <c r="B31" s="21" t="n">
        <v>353.8466</v>
      </c>
      <c r="C31" s="21" t="n">
        <v>0</v>
      </c>
      <c r="D31" s="21" t="n">
        <v>691.8633000000001</v>
      </c>
      <c r="E31" s="21" t="n">
        <v>1045.7099</v>
      </c>
      <c r="G31" t="n">
        <v>20</v>
      </c>
      <c r="H31" s="21" t="n">
        <v>150</v>
      </c>
      <c r="I31" s="21" t="n">
        <v>285</v>
      </c>
      <c r="J31" s="22" t="n">
        <v>910</v>
      </c>
      <c r="K31" s="21" t="n">
        <v>1345</v>
      </c>
    </row>
    <row r="32" spans="1:19">
      <c r="A32" t="n">
        <v>21</v>
      </c>
      <c r="B32" s="21" t="n">
        <v>0</v>
      </c>
      <c r="C32" s="21" t="n">
        <v>0</v>
      </c>
      <c r="D32" s="21" t="n">
        <v>16.31</v>
      </c>
      <c r="E32" s="21" t="n">
        <v>16.31</v>
      </c>
      <c r="G32" t="n">
        <v>21</v>
      </c>
      <c r="H32" s="21" t="n">
        <v>94</v>
      </c>
      <c r="I32" s="21" t="n">
        <v>226</v>
      </c>
      <c r="J32" s="22" t="n">
        <v>1047</v>
      </c>
      <c r="K32" s="21" t="n">
        <v>1367</v>
      </c>
    </row>
    <row r="33" spans="1:19">
      <c r="A33" t="n">
        <v>22</v>
      </c>
      <c r="B33" s="21" t="n">
        <v>0</v>
      </c>
      <c r="C33" s="21" t="n">
        <v>0</v>
      </c>
      <c r="D33" s="21" t="n">
        <v>28.037</v>
      </c>
      <c r="E33" s="21" t="n">
        <v>28.037</v>
      </c>
      <c r="G33" t="n">
        <v>22</v>
      </c>
      <c r="H33" s="21" t="n">
        <v>80</v>
      </c>
      <c r="I33" s="21" t="n">
        <v>185</v>
      </c>
      <c r="J33" s="22" t="n">
        <v>922</v>
      </c>
      <c r="K33" s="21" t="n">
        <v>1187</v>
      </c>
    </row>
    <row r="34" spans="1:19">
      <c r="A34" t="n">
        <v>23</v>
      </c>
      <c r="B34" s="21" t="n">
        <v>0</v>
      </c>
      <c r="C34" s="21" t="n">
        <v>0</v>
      </c>
      <c r="D34" s="21" t="n">
        <v>440.9461</v>
      </c>
      <c r="E34" s="21" t="n">
        <v>440.9461</v>
      </c>
      <c r="G34" t="n">
        <v>23</v>
      </c>
      <c r="H34" s="21" t="n">
        <v>44</v>
      </c>
      <c r="I34" s="21" t="n">
        <v>148</v>
      </c>
      <c r="J34" s="22" t="n">
        <v>1002</v>
      </c>
      <c r="K34" s="21" t="n">
        <v>1194</v>
      </c>
    </row>
    <row r="35" spans="1:19">
      <c r="A35" t="n">
        <v>24</v>
      </c>
      <c r="B35" s="21" t="n">
        <v>0</v>
      </c>
      <c r="C35" s="21" t="n">
        <v>846.0343</v>
      </c>
      <c r="D35" s="21" t="n">
        <v>114.071</v>
      </c>
      <c r="E35" s="21" t="n">
        <v>960.1053000000001</v>
      </c>
      <c r="G35" t="n">
        <v>24</v>
      </c>
      <c r="H35" s="21" t="n">
        <v>32</v>
      </c>
      <c r="I35" s="21" t="n">
        <v>121</v>
      </c>
      <c r="J35" s="22" t="n">
        <v>585</v>
      </c>
      <c r="K35" s="21" t="n">
        <v>738</v>
      </c>
    </row>
    <row r="36" spans="1:19">
      <c r="A36" t="n">
        <v>25</v>
      </c>
      <c r="B36" s="21" t="n">
        <v>0</v>
      </c>
      <c r="C36" s="21" t="n">
        <v>0</v>
      </c>
      <c r="D36" s="21" t="n">
        <v>0</v>
      </c>
      <c r="E36" s="21" t="n">
        <v>0</v>
      </c>
      <c r="G36" t="n">
        <v>25</v>
      </c>
      <c r="H36" s="21" t="n">
        <v>26</v>
      </c>
      <c r="I36" s="21" t="n">
        <v>89</v>
      </c>
      <c r="J36" s="22" t="n">
        <v>512</v>
      </c>
      <c r="K36" s="21" t="n">
        <v>627</v>
      </c>
    </row>
    <row r="37" spans="1:19">
      <c r="A37" t="n">
        <v>26</v>
      </c>
      <c r="B37" s="21" t="n">
        <v>0</v>
      </c>
      <c r="C37" s="21" t="n">
        <v>0</v>
      </c>
      <c r="D37" s="21" t="n">
        <v>46.474</v>
      </c>
      <c r="E37" s="21" t="n">
        <v>46.474</v>
      </c>
      <c r="G37" t="n">
        <v>26</v>
      </c>
      <c r="H37" s="21" t="n">
        <v>16</v>
      </c>
      <c r="I37" s="21" t="n">
        <v>79</v>
      </c>
      <c r="J37" s="22" t="n">
        <v>460</v>
      </c>
      <c r="K37" s="21" t="n">
        <v>555</v>
      </c>
    </row>
    <row r="38" spans="1:19">
      <c r="A38" t="n">
        <v>27</v>
      </c>
      <c r="B38" s="21" t="n">
        <v>775.4409000000001</v>
      </c>
      <c r="C38" s="21" t="n">
        <v>0</v>
      </c>
      <c r="D38" s="21" t="n">
        <v>180.7518</v>
      </c>
      <c r="E38" s="21" t="n">
        <v>956.1927000000001</v>
      </c>
      <c r="G38" t="n">
        <v>27</v>
      </c>
      <c r="H38" s="21" t="n">
        <v>8</v>
      </c>
      <c r="I38" s="21" t="n">
        <v>53</v>
      </c>
      <c r="J38" s="22" t="n">
        <v>390</v>
      </c>
      <c r="K38" s="21" t="n">
        <v>451</v>
      </c>
    </row>
    <row r="39" spans="1:19">
      <c r="A39" t="n">
        <v>28</v>
      </c>
      <c r="B39" s="21" t="n">
        <v>0</v>
      </c>
      <c r="C39" s="21" t="n">
        <v>0</v>
      </c>
      <c r="D39" s="21" t="n">
        <v>40.655</v>
      </c>
      <c r="E39" s="21" t="n">
        <v>40.655</v>
      </c>
      <c r="G39" t="n">
        <v>28</v>
      </c>
      <c r="H39" s="21" t="n">
        <v>5</v>
      </c>
      <c r="I39" s="21" t="n">
        <v>52</v>
      </c>
      <c r="J39" s="22" t="n">
        <v>329</v>
      </c>
      <c r="K39" s="21" t="n">
        <v>386</v>
      </c>
    </row>
    <row r="40" spans="1:19">
      <c r="A40" t="n">
        <v>29</v>
      </c>
      <c r="B40" s="21" t="n">
        <v>0</v>
      </c>
      <c r="C40" s="21" t="n">
        <v>0</v>
      </c>
      <c r="D40" s="21" t="n">
        <v>398.8691</v>
      </c>
      <c r="E40" s="21" t="n">
        <v>398.8691</v>
      </c>
      <c r="G40" t="n">
        <v>29</v>
      </c>
      <c r="H40" s="21" t="n">
        <v>7</v>
      </c>
      <c r="I40" s="21" t="n">
        <v>31</v>
      </c>
      <c r="J40" s="22" t="n">
        <v>341</v>
      </c>
      <c r="K40" s="21" t="n">
        <v>379</v>
      </c>
    </row>
    <row r="41" spans="1:19">
      <c r="A41" t="n">
        <v>30</v>
      </c>
      <c r="B41" s="21" t="n">
        <v>0</v>
      </c>
      <c r="C41" s="21" t="n">
        <v>0</v>
      </c>
      <c r="D41" s="21" t="n">
        <v>0</v>
      </c>
      <c r="E41" s="21" t="n">
        <v>0</v>
      </c>
      <c r="G41" t="n">
        <v>30</v>
      </c>
      <c r="H41" s="21" t="n">
        <v>3</v>
      </c>
      <c r="I41" s="21" t="n">
        <v>37</v>
      </c>
      <c r="J41" s="22" t="n">
        <v>274</v>
      </c>
      <c r="K41" s="21" t="n">
        <v>314</v>
      </c>
    </row>
    <row r="42" spans="1:19">
      <c r="A42" t="n">
        <v>31</v>
      </c>
      <c r="B42" s="21" t="n">
        <v>0</v>
      </c>
      <c r="C42" s="21" t="n">
        <v>0</v>
      </c>
      <c r="D42" s="21" t="n">
        <v>10.791</v>
      </c>
      <c r="E42" s="21" t="n">
        <v>10.791</v>
      </c>
      <c r="G42" t="n">
        <v>31</v>
      </c>
      <c r="H42" s="21" t="n">
        <v>3</v>
      </c>
      <c r="I42" s="21" t="n">
        <v>35</v>
      </c>
      <c r="J42" s="22" t="n">
        <v>252</v>
      </c>
      <c r="K42" s="21" t="n">
        <v>290</v>
      </c>
    </row>
    <row r="43" spans="1:19">
      <c r="A43" t="n">
        <v>32</v>
      </c>
      <c r="B43" s="21" t="n">
        <v>0</v>
      </c>
      <c r="C43" s="21" t="n">
        <v>0</v>
      </c>
      <c r="D43" s="21" t="n">
        <v>22.125</v>
      </c>
      <c r="E43" s="21" t="n">
        <v>22.125</v>
      </c>
      <c r="G43" t="n">
        <v>32</v>
      </c>
      <c r="H43" s="21" t="n">
        <v>1</v>
      </c>
      <c r="I43" s="21" t="n">
        <v>31</v>
      </c>
      <c r="J43" s="22" t="n">
        <v>177</v>
      </c>
      <c r="K43" s="21" t="n">
        <v>209</v>
      </c>
    </row>
    <row r="44" spans="1:19">
      <c r="A44" t="n">
        <v>33</v>
      </c>
      <c r="B44" s="21" t="n">
        <v>0</v>
      </c>
      <c r="C44" s="21" t="n">
        <v>0</v>
      </c>
      <c r="D44" s="21" t="n">
        <v>0</v>
      </c>
      <c r="E44" s="21" t="n">
        <v>0</v>
      </c>
      <c r="G44" t="n">
        <v>33</v>
      </c>
      <c r="H44" s="21" t="n">
        <v>4</v>
      </c>
      <c r="I44" s="21" t="n">
        <v>17</v>
      </c>
      <c r="J44" s="22" t="n">
        <v>116</v>
      </c>
      <c r="K44" s="21" t="n">
        <v>137</v>
      </c>
    </row>
    <row r="45" spans="1:19">
      <c r="A45" t="n">
        <v>34</v>
      </c>
      <c r="B45" s="21" t="n">
        <v>0</v>
      </c>
      <c r="C45" s="21" t="n">
        <v>0</v>
      </c>
      <c r="D45" s="21" t="n">
        <v>4.408</v>
      </c>
      <c r="E45" s="21" t="n">
        <v>4.408</v>
      </c>
      <c r="G45" t="n">
        <v>34</v>
      </c>
      <c r="H45" s="21" t="n">
        <v>0</v>
      </c>
      <c r="I45" s="21" t="n">
        <v>16</v>
      </c>
      <c r="J45" s="22" t="n">
        <v>108</v>
      </c>
      <c r="K45" s="21" t="n">
        <v>124</v>
      </c>
    </row>
    <row r="46" spans="1:19">
      <c r="A46" t="n">
        <v>35</v>
      </c>
      <c r="B46" s="21" t="n">
        <v>0</v>
      </c>
      <c r="C46" s="21" t="n">
        <v>0</v>
      </c>
      <c r="D46" s="21" t="n">
        <v>35.025</v>
      </c>
      <c r="E46" s="21" t="n">
        <v>35.025</v>
      </c>
      <c r="G46" t="n">
        <v>35</v>
      </c>
      <c r="H46" s="21" t="n">
        <v>0</v>
      </c>
      <c r="I46" s="21" t="n">
        <v>11</v>
      </c>
      <c r="J46" s="22" t="n">
        <v>85</v>
      </c>
      <c r="K46" s="21" t="n">
        <v>96</v>
      </c>
    </row>
    <row r="47" spans="1:19">
      <c r="A47" t="n">
        <v>36</v>
      </c>
      <c r="B47" s="21" t="n">
        <v>0</v>
      </c>
      <c r="C47" s="21" t="n">
        <v>0</v>
      </c>
      <c r="D47" s="21" t="n">
        <v>11.159</v>
      </c>
      <c r="E47" s="21" t="n">
        <v>11.159</v>
      </c>
      <c r="G47" t="n">
        <v>36</v>
      </c>
      <c r="H47" s="21" t="n">
        <v>1</v>
      </c>
      <c r="I47" s="21" t="n">
        <v>16</v>
      </c>
      <c r="J47" s="22" t="n">
        <v>79</v>
      </c>
      <c r="K47" s="21" t="n">
        <v>96</v>
      </c>
    </row>
    <row r="48" spans="1:19">
      <c r="A48" t="n">
        <v>37</v>
      </c>
      <c r="B48" s="21" t="n">
        <v>0</v>
      </c>
      <c r="C48" s="21" t="n">
        <v>0</v>
      </c>
      <c r="D48" s="21" t="n">
        <v>17.632</v>
      </c>
      <c r="E48" s="21" t="n">
        <v>17.632</v>
      </c>
      <c r="G48" t="n">
        <v>37</v>
      </c>
      <c r="H48" s="21" t="n">
        <v>0</v>
      </c>
      <c r="I48" s="21" t="n">
        <v>8</v>
      </c>
      <c r="J48" s="22" t="n">
        <v>72</v>
      </c>
      <c r="K48" s="21" t="n">
        <v>80</v>
      </c>
    </row>
    <row r="49" spans="1:19">
      <c r="A49" t="n">
        <v>38</v>
      </c>
      <c r="B49" s="21" t="n">
        <v>0</v>
      </c>
      <c r="C49" s="21" t="n">
        <v>78.9631</v>
      </c>
      <c r="D49" s="21" t="n">
        <v>364.7641</v>
      </c>
      <c r="E49" s="21" t="n">
        <v>443.7272</v>
      </c>
      <c r="G49" t="n">
        <v>38</v>
      </c>
      <c r="H49" s="21" t="n">
        <v>0</v>
      </c>
      <c r="I49" s="21" t="n">
        <v>6</v>
      </c>
      <c r="J49" s="22" t="n">
        <v>59</v>
      </c>
      <c r="K49" s="21" t="n">
        <v>65</v>
      </c>
    </row>
    <row r="50" spans="1:19">
      <c r="A50" t="n">
        <v>39</v>
      </c>
      <c r="B50" s="21" t="n">
        <v>0</v>
      </c>
      <c r="C50" s="21" t="n">
        <v>0</v>
      </c>
      <c r="D50" s="21" t="n">
        <v>4.128</v>
      </c>
      <c r="E50" s="21" t="n">
        <v>4.128</v>
      </c>
      <c r="G50" t="n">
        <v>39</v>
      </c>
      <c r="H50" s="21" t="n">
        <v>0</v>
      </c>
      <c r="I50" s="21" t="n">
        <v>9</v>
      </c>
      <c r="J50" s="22" t="n">
        <v>72</v>
      </c>
      <c r="K50" s="21" t="n">
        <v>81</v>
      </c>
    </row>
    <row r="51" spans="1:19">
      <c r="A51" t="n">
        <v>40</v>
      </c>
      <c r="B51" s="21" t="n">
        <v>0</v>
      </c>
      <c r="C51" s="21" t="n">
        <v>0</v>
      </c>
      <c r="D51" s="21" t="n">
        <v>0</v>
      </c>
      <c r="E51" s="21" t="n">
        <v>0</v>
      </c>
      <c r="G51" t="n">
        <v>40</v>
      </c>
      <c r="H51" s="21" t="n">
        <v>0</v>
      </c>
      <c r="I51" s="21" t="n">
        <v>0</v>
      </c>
      <c r="J51" s="22" t="n">
        <v>43</v>
      </c>
      <c r="K51" s="21" t="n">
        <v>43</v>
      </c>
    </row>
    <row r="52" spans="1:19">
      <c r="A52" t="n">
        <v>41</v>
      </c>
      <c r="B52" s="21" t="n">
        <v>0</v>
      </c>
      <c r="C52" s="21" t="n">
        <v>0</v>
      </c>
      <c r="D52" s="21" t="n">
        <v>770.8363999999999</v>
      </c>
      <c r="E52" s="21" t="n">
        <v>770.8363999999999</v>
      </c>
      <c r="G52" t="n">
        <v>41</v>
      </c>
      <c r="H52" s="21" t="n">
        <v>0</v>
      </c>
      <c r="I52" s="21" t="n">
        <v>6</v>
      </c>
      <c r="J52" s="22" t="n">
        <v>29</v>
      </c>
      <c r="K52" s="21" t="n">
        <v>35</v>
      </c>
    </row>
    <row r="53" spans="1:19">
      <c r="A53" t="n">
        <v>42</v>
      </c>
      <c r="B53" s="21" t="n">
        <v>0</v>
      </c>
      <c r="C53" s="21" t="n">
        <v>0</v>
      </c>
      <c r="D53" s="21" t="n">
        <v>0</v>
      </c>
      <c r="E53" s="21" t="n">
        <v>0</v>
      </c>
      <c r="G53" t="n">
        <v>42</v>
      </c>
      <c r="H53" s="21" t="n">
        <v>0</v>
      </c>
      <c r="I53" s="21" t="n">
        <v>7</v>
      </c>
      <c r="J53" s="22" t="n">
        <v>39</v>
      </c>
      <c r="K53" s="21" t="n">
        <v>46</v>
      </c>
    </row>
    <row r="54" spans="1:19">
      <c r="A54" t="n">
        <v>43</v>
      </c>
      <c r="B54" s="21" t="n">
        <v>0</v>
      </c>
      <c r="C54" s="21" t="n">
        <v>0</v>
      </c>
      <c r="D54" s="21" t="n">
        <v>0</v>
      </c>
      <c r="E54" s="21" t="n">
        <v>0</v>
      </c>
      <c r="G54" t="n">
        <v>43</v>
      </c>
      <c r="H54" s="21" t="n">
        <v>0</v>
      </c>
      <c r="I54" s="21" t="n">
        <v>2</v>
      </c>
      <c r="J54" s="22" t="n">
        <v>31</v>
      </c>
      <c r="K54" s="21" t="n">
        <v>33</v>
      </c>
    </row>
    <row r="55" spans="1:19">
      <c r="A55" t="n">
        <v>44</v>
      </c>
      <c r="B55" s="21" t="n">
        <v>0</v>
      </c>
      <c r="C55" s="21" t="n">
        <v>0</v>
      </c>
      <c r="D55" s="21" t="n">
        <v>0</v>
      </c>
      <c r="E55" s="21" t="n">
        <v>0</v>
      </c>
      <c r="G55" t="n">
        <v>44</v>
      </c>
      <c r="H55" s="21" t="n">
        <v>0</v>
      </c>
      <c r="I55" s="21" t="n">
        <v>3</v>
      </c>
      <c r="J55" s="22" t="n">
        <v>33</v>
      </c>
      <c r="K55" s="21" t="n">
        <v>36</v>
      </c>
    </row>
    <row r="56" spans="1:19">
      <c r="A56" t="n">
        <v>45</v>
      </c>
      <c r="B56" s="21" t="n">
        <v>0</v>
      </c>
      <c r="C56" s="21" t="n">
        <v>0</v>
      </c>
      <c r="D56" s="21" t="n">
        <v>4.128</v>
      </c>
      <c r="E56" s="21" t="n">
        <v>4.128</v>
      </c>
      <c r="G56" t="n">
        <v>45</v>
      </c>
      <c r="H56" s="21" t="n">
        <v>0</v>
      </c>
      <c r="I56" s="21" t="n">
        <v>2</v>
      </c>
      <c r="J56" s="22" t="n">
        <v>20</v>
      </c>
      <c r="K56" s="21" t="n">
        <v>22</v>
      </c>
    </row>
    <row r="57" spans="1:19">
      <c r="A57" t="n">
        <v>46</v>
      </c>
      <c r="B57" s="21" t="n">
        <v>0</v>
      </c>
      <c r="C57" s="21" t="n">
        <v>0</v>
      </c>
      <c r="D57" s="21" t="n">
        <v>468.9894</v>
      </c>
      <c r="E57" s="21" t="n">
        <v>468.9894</v>
      </c>
      <c r="G57" t="n">
        <v>46</v>
      </c>
      <c r="H57" s="21" t="n">
        <v>0</v>
      </c>
      <c r="I57" s="21" t="n">
        <v>2</v>
      </c>
      <c r="J57" s="22" t="n">
        <v>10</v>
      </c>
      <c r="K57" s="21" t="n">
        <v>12</v>
      </c>
    </row>
    <row r="58" spans="1:19">
      <c r="A58" t="n">
        <v>47</v>
      </c>
      <c r="B58" s="21" t="n">
        <v>0</v>
      </c>
      <c r="C58" s="21" t="n">
        <v>0</v>
      </c>
      <c r="D58" s="21" t="n">
        <v>0</v>
      </c>
      <c r="E58" s="21" t="n">
        <v>0</v>
      </c>
      <c r="G58" t="n">
        <v>47</v>
      </c>
      <c r="H58" s="21" t="n">
        <v>0</v>
      </c>
      <c r="I58" s="21" t="n">
        <v>0</v>
      </c>
      <c r="J58" s="22" t="n">
        <v>7</v>
      </c>
      <c r="K58" s="21" t="n">
        <v>7</v>
      </c>
    </row>
    <row r="59" spans="1:19">
      <c r="A59" t="n">
        <v>48</v>
      </c>
      <c r="B59" s="21" t="n">
        <v>0</v>
      </c>
      <c r="C59" s="21" t="n">
        <v>0</v>
      </c>
      <c r="D59" s="21" t="n">
        <v>0</v>
      </c>
      <c r="E59" s="21" t="n">
        <v>0</v>
      </c>
      <c r="G59" t="n">
        <v>48</v>
      </c>
      <c r="H59" s="21" t="n">
        <v>0</v>
      </c>
      <c r="I59" s="21" t="n">
        <v>1</v>
      </c>
      <c r="J59" s="22" t="n">
        <v>10</v>
      </c>
      <c r="K59" s="21" t="n">
        <v>11</v>
      </c>
    </row>
    <row r="60" spans="1:19">
      <c r="A60" t="n">
        <v>49</v>
      </c>
      <c r="B60" s="21" t="n">
        <v>0</v>
      </c>
      <c r="C60" s="21" t="n">
        <v>0</v>
      </c>
      <c r="D60" s="21" t="n">
        <v>0</v>
      </c>
      <c r="E60" s="21" t="n">
        <v>0</v>
      </c>
      <c r="G60" t="n">
        <v>49</v>
      </c>
      <c r="H60" s="21" t="n">
        <v>0</v>
      </c>
      <c r="I60" s="21" t="n">
        <v>0</v>
      </c>
      <c r="J60" s="22" t="n">
        <v>15</v>
      </c>
      <c r="K60" s="21" t="n">
        <v>15</v>
      </c>
    </row>
    <row r="61" spans="1:19">
      <c r="A61" t="n">
        <v>50</v>
      </c>
      <c r="B61" s="21" t="n">
        <v>0</v>
      </c>
      <c r="C61" s="21" t="n">
        <v>0</v>
      </c>
      <c r="D61" s="21" t="n">
        <v>0</v>
      </c>
      <c r="E61" s="21" t="n">
        <v>0</v>
      </c>
      <c r="G61" t="n">
        <v>50</v>
      </c>
      <c r="H61" s="21" t="n">
        <v>0</v>
      </c>
      <c r="I61" s="21" t="n">
        <v>1</v>
      </c>
      <c r="J61" s="22" t="n">
        <v>8</v>
      </c>
      <c r="K61" s="21" t="n">
        <v>9</v>
      </c>
    </row>
    <row r="62" spans="1:19">
      <c r="A62" t="n">
        <v>51</v>
      </c>
      <c r="B62" s="21" t="n">
        <v>0</v>
      </c>
      <c r="C62" s="21" t="n">
        <v>0</v>
      </c>
      <c r="D62" s="21" t="n">
        <v>0</v>
      </c>
      <c r="E62" s="21" t="n">
        <v>0</v>
      </c>
      <c r="G62" t="n">
        <v>51</v>
      </c>
      <c r="H62" s="21" t="n">
        <v>0</v>
      </c>
      <c r="I62" s="21" t="n">
        <v>0</v>
      </c>
      <c r="J62" s="22" t="n">
        <v>4</v>
      </c>
      <c r="K62" s="21" t="n">
        <v>4</v>
      </c>
    </row>
    <row r="63" spans="1:19">
      <c r="A63" t="n">
        <v>52</v>
      </c>
      <c r="B63" s="21" t="n">
        <v>0</v>
      </c>
      <c r="C63" s="21" t="n">
        <v>0</v>
      </c>
      <c r="D63" s="21" t="n">
        <v>238.0368</v>
      </c>
      <c r="E63" s="21" t="n">
        <v>238.0368</v>
      </c>
      <c r="G63" t="n">
        <v>52</v>
      </c>
      <c r="H63" s="21" t="n">
        <v>0</v>
      </c>
      <c r="I63" s="21" t="n">
        <v>2</v>
      </c>
      <c r="J63" s="22" t="n">
        <v>3</v>
      </c>
      <c r="K63" s="21" t="n">
        <v>5</v>
      </c>
    </row>
    <row r="64" spans="1:19">
      <c r="A64" t="n">
        <v>53</v>
      </c>
      <c r="B64" s="21" t="n">
        <v>0</v>
      </c>
      <c r="C64" s="21" t="n">
        <v>0</v>
      </c>
      <c r="D64" s="21" t="n">
        <v>0</v>
      </c>
      <c r="E64" s="21" t="n">
        <v>0</v>
      </c>
      <c r="G64" t="n">
        <v>53</v>
      </c>
      <c r="H64" s="21" t="n">
        <v>0</v>
      </c>
      <c r="I64" s="21" t="n">
        <v>1</v>
      </c>
      <c r="J64" s="22" t="n">
        <v>6</v>
      </c>
      <c r="K64" s="21" t="n">
        <v>7</v>
      </c>
    </row>
    <row r="65" spans="1:19">
      <c r="A65" t="n">
        <v>54</v>
      </c>
      <c r="B65" s="21" t="n">
        <v>0</v>
      </c>
      <c r="C65" s="21" t="n">
        <v>0</v>
      </c>
      <c r="D65" s="21" t="n">
        <v>0</v>
      </c>
      <c r="E65" s="21" t="n">
        <v>0</v>
      </c>
      <c r="G65" t="n">
        <v>54</v>
      </c>
      <c r="H65" s="21" t="n">
        <v>0</v>
      </c>
      <c r="I65" s="21" t="n">
        <v>0</v>
      </c>
      <c r="J65" s="22" t="n">
        <v>3</v>
      </c>
      <c r="K65" s="21" t="n">
        <v>3</v>
      </c>
    </row>
    <row r="66" spans="1:19">
      <c r="A66" t="n">
        <v>55</v>
      </c>
      <c r="B66" s="21" t="n">
        <v>0</v>
      </c>
      <c r="C66" s="21" t="n">
        <v>0</v>
      </c>
      <c r="D66" s="21" t="n">
        <v>0</v>
      </c>
      <c r="E66" s="21" t="n">
        <v>0</v>
      </c>
      <c r="G66" t="n">
        <v>55</v>
      </c>
      <c r="H66" s="21" t="n">
        <v>0</v>
      </c>
      <c r="I66" s="21" t="n">
        <v>0</v>
      </c>
      <c r="J66" s="22" t="n">
        <v>3</v>
      </c>
      <c r="K66" s="21" t="n">
        <v>3</v>
      </c>
    </row>
    <row r="67" spans="1:19">
      <c r="A67" t="n">
        <v>56</v>
      </c>
      <c r="B67" s="21" t="n">
        <v>0</v>
      </c>
      <c r="C67" s="21" t="n">
        <v>0</v>
      </c>
      <c r="D67" s="21" t="n">
        <v>0</v>
      </c>
      <c r="E67" s="21" t="n">
        <v>0</v>
      </c>
      <c r="G67" t="n">
        <v>56</v>
      </c>
      <c r="H67" s="21" t="n">
        <v>0</v>
      </c>
      <c r="I67" s="21" t="n">
        <v>1</v>
      </c>
      <c r="J67" s="22" t="n">
        <v>2</v>
      </c>
      <c r="K67" s="21" t="n">
        <v>3</v>
      </c>
    </row>
    <row r="68" spans="1:19">
      <c r="A68" t="n">
        <v>57</v>
      </c>
      <c r="B68" s="21" t="n">
        <v>0</v>
      </c>
      <c r="C68" s="21" t="n">
        <v>0</v>
      </c>
      <c r="D68" s="21" t="n">
        <v>0</v>
      </c>
      <c r="E68" s="21" t="n">
        <v>0</v>
      </c>
      <c r="G68" t="n">
        <v>57</v>
      </c>
      <c r="H68" s="21" t="n">
        <v>0</v>
      </c>
      <c r="I68" s="21" t="n">
        <v>0</v>
      </c>
      <c r="J68" s="22" t="n">
        <v>5</v>
      </c>
      <c r="K68" s="21" t="n">
        <v>5</v>
      </c>
    </row>
    <row r="69" spans="1:19">
      <c r="A69" t="n">
        <v>58</v>
      </c>
      <c r="B69" s="21" t="n">
        <v>0</v>
      </c>
      <c r="C69" s="21" t="n">
        <v>0</v>
      </c>
      <c r="D69" s="21" t="n">
        <v>0</v>
      </c>
      <c r="E69" s="21" t="n">
        <v>0</v>
      </c>
      <c r="G69" t="n">
        <v>58</v>
      </c>
      <c r="H69" s="21" t="n">
        <v>0</v>
      </c>
      <c r="I69" s="21" t="n">
        <v>1</v>
      </c>
      <c r="J69" s="22" t="n">
        <v>2</v>
      </c>
      <c r="K69" s="21" t="n">
        <v>3</v>
      </c>
    </row>
    <row r="70" spans="1:19">
      <c r="A70" t="n">
        <v>59</v>
      </c>
      <c r="B70" s="21" t="n">
        <v>0</v>
      </c>
      <c r="C70" s="21" t="n">
        <v>0</v>
      </c>
      <c r="D70" s="21" t="n">
        <v>13.487</v>
      </c>
      <c r="E70" s="21" t="n">
        <v>13.487</v>
      </c>
      <c r="G70" t="n">
        <v>59</v>
      </c>
      <c r="H70" s="21" t="n">
        <v>0</v>
      </c>
      <c r="I70" s="21" t="n">
        <v>0</v>
      </c>
      <c r="J70" s="22" t="n">
        <v>5</v>
      </c>
      <c r="K70" s="21" t="n">
        <v>5</v>
      </c>
    </row>
    <row r="71" spans="1:19">
      <c r="A71" t="n">
        <v>60</v>
      </c>
      <c r="B71" s="21" t="n">
        <v>0</v>
      </c>
      <c r="C71" s="21" t="n">
        <v>0</v>
      </c>
      <c r="D71" s="21" t="n">
        <v>0</v>
      </c>
      <c r="E71" s="21" t="n">
        <v>0</v>
      </c>
      <c r="G71" t="n">
        <v>60</v>
      </c>
      <c r="H71" s="21" t="n">
        <v>0</v>
      </c>
      <c r="I71" s="21" t="n">
        <v>1</v>
      </c>
      <c r="J71" s="22" t="n">
        <v>1</v>
      </c>
      <c r="K71" s="21" t="n">
        <v>2</v>
      </c>
    </row>
    <row r="72" spans="1:19">
      <c r="A72" t="n">
        <v>61</v>
      </c>
      <c r="B72" s="21" t="n">
        <v>0</v>
      </c>
      <c r="C72" s="21" t="n">
        <v>0</v>
      </c>
      <c r="D72" s="21" t="n">
        <v>0</v>
      </c>
      <c r="E72" s="21" t="n">
        <v>0</v>
      </c>
      <c r="G72" t="n">
        <v>61</v>
      </c>
      <c r="H72" s="21" t="n">
        <v>0</v>
      </c>
      <c r="I72" s="21" t="n">
        <v>0</v>
      </c>
      <c r="J72" s="22" t="n">
        <v>1</v>
      </c>
      <c r="K72" s="21" t="n">
        <v>1</v>
      </c>
    </row>
    <row r="73" spans="1:19">
      <c r="A73" t="n">
        <v>62</v>
      </c>
      <c r="B73" s="21" t="n">
        <v>0</v>
      </c>
      <c r="C73" s="21" t="n">
        <v>0</v>
      </c>
      <c r="D73" s="21" t="n">
        <v>0</v>
      </c>
      <c r="E73" s="21" t="n">
        <v>0</v>
      </c>
      <c r="G73" t="n">
        <v>62</v>
      </c>
      <c r="H73" s="21" t="n">
        <v>0</v>
      </c>
      <c r="I73" s="21" t="n">
        <v>0</v>
      </c>
      <c r="J73" s="22" t="n">
        <v>0</v>
      </c>
      <c r="K73" s="21" t="n">
        <v>0</v>
      </c>
    </row>
    <row r="74" spans="1:19">
      <c r="A74" t="n">
        <v>63</v>
      </c>
      <c r="B74" s="21" t="n">
        <v>0</v>
      </c>
      <c r="C74" s="21" t="n">
        <v>0</v>
      </c>
      <c r="D74" s="21" t="n">
        <v>0</v>
      </c>
      <c r="E74" s="21" t="n">
        <v>0</v>
      </c>
      <c r="G74" t="n">
        <v>63</v>
      </c>
      <c r="H74" s="21" t="n">
        <v>0</v>
      </c>
      <c r="I74" s="21" t="n">
        <v>0</v>
      </c>
      <c r="J74" s="22" t="n">
        <v>0</v>
      </c>
      <c r="K74" s="21" t="n">
        <v>0</v>
      </c>
    </row>
    <row r="75" spans="1:19">
      <c r="A75" t="n">
        <v>64</v>
      </c>
      <c r="B75" s="21" t="n">
        <v>0</v>
      </c>
      <c r="C75" s="21" t="n">
        <v>0</v>
      </c>
      <c r="D75" s="21" t="n">
        <v>0</v>
      </c>
      <c r="E75" s="21" t="n">
        <v>0</v>
      </c>
      <c r="G75" t="n">
        <v>64</v>
      </c>
      <c r="H75" s="21" t="n">
        <v>0</v>
      </c>
      <c r="I75" s="21" t="n">
        <v>0</v>
      </c>
      <c r="J75" s="22" t="n">
        <v>0</v>
      </c>
      <c r="K75" s="21" t="n">
        <v>0</v>
      </c>
    </row>
    <row r="76" spans="1:19">
      <c r="A76" t="n">
        <v>65</v>
      </c>
      <c r="B76" s="21" t="n">
        <v>0</v>
      </c>
      <c r="C76" s="21" t="n">
        <v>0</v>
      </c>
      <c r="D76" s="21" t="n">
        <v>0</v>
      </c>
      <c r="E76" s="21" t="n">
        <v>0</v>
      </c>
      <c r="G76" t="n">
        <v>65</v>
      </c>
      <c r="H76" s="21" t="n">
        <v>0</v>
      </c>
      <c r="I76" s="21" t="n">
        <v>0</v>
      </c>
      <c r="J76" s="22" t="n">
        <v>0</v>
      </c>
      <c r="K76" s="21" t="n">
        <v>0</v>
      </c>
    </row>
    <row r="77" spans="1:19">
      <c r="A77" t="n">
        <v>66</v>
      </c>
      <c r="B77" s="21" t="n">
        <v>0</v>
      </c>
      <c r="C77" s="21" t="n">
        <v>0</v>
      </c>
      <c r="D77" s="21" t="n">
        <v>0</v>
      </c>
      <c r="E77" s="21" t="n">
        <v>0</v>
      </c>
      <c r="G77" t="n">
        <v>66</v>
      </c>
      <c r="H77" s="21" t="n">
        <v>0</v>
      </c>
      <c r="I77" s="21" t="n">
        <v>0</v>
      </c>
      <c r="J77" s="21" t="n">
        <v>1</v>
      </c>
      <c r="K77" s="21" t="n">
        <v>1</v>
      </c>
    </row>
    <row r="78" spans="1:19">
      <c r="A78" t="n">
        <v>67</v>
      </c>
      <c r="B78" s="21" t="n">
        <v>0</v>
      </c>
      <c r="C78" s="21" t="n">
        <v>0</v>
      </c>
      <c r="D78" s="21" t="n">
        <v>0</v>
      </c>
      <c r="E78" s="21" t="n">
        <v>0</v>
      </c>
      <c r="G78" t="n">
        <v>67</v>
      </c>
      <c r="H78" s="21" t="n">
        <v>0</v>
      </c>
      <c r="I78" s="21" t="n">
        <v>0</v>
      </c>
      <c r="J78" s="21" t="n">
        <v>0</v>
      </c>
      <c r="K78" s="21" t="n">
        <v>0</v>
      </c>
    </row>
    <row r="79" spans="1:19">
      <c r="A79" t="n">
        <v>68</v>
      </c>
      <c r="B79" s="21" t="n">
        <v>0</v>
      </c>
      <c r="C79" s="21" t="n">
        <v>0</v>
      </c>
      <c r="D79" s="21" t="n">
        <v>0</v>
      </c>
      <c r="E79" s="21" t="n">
        <v>0</v>
      </c>
      <c r="G79" t="n">
        <v>68</v>
      </c>
      <c r="H79" s="21" t="n">
        <v>0</v>
      </c>
      <c r="I79" s="21" t="n">
        <v>0</v>
      </c>
      <c r="J79" s="22" t="n">
        <v>0</v>
      </c>
      <c r="K79" s="21" t="n">
        <v>0</v>
      </c>
    </row>
    <row r="80" spans="1:19">
      <c r="A80" t="n">
        <v>69</v>
      </c>
      <c r="B80" s="21" t="n">
        <v>0</v>
      </c>
      <c r="C80" s="21" t="n">
        <v>0</v>
      </c>
      <c r="D80" s="21" t="n">
        <v>0</v>
      </c>
      <c r="E80" s="21" t="n">
        <v>0</v>
      </c>
      <c r="G80" t="n">
        <v>69</v>
      </c>
      <c r="H80" s="21" t="n">
        <v>0</v>
      </c>
      <c r="I80" s="21" t="n">
        <v>0</v>
      </c>
      <c r="J80" s="21" t="n">
        <v>0</v>
      </c>
      <c r="K80" s="21" t="n">
        <v>0</v>
      </c>
    </row>
    <row r="81" spans="1:19">
      <c r="A81" t="n">
        <v>70</v>
      </c>
      <c r="B81" s="21" t="n">
        <v>0</v>
      </c>
      <c r="C81" s="21" t="n">
        <v>0</v>
      </c>
      <c r="D81" s="21" t="n">
        <v>0</v>
      </c>
      <c r="E81" s="21" t="n">
        <v>0</v>
      </c>
      <c r="G81" t="n">
        <v>70</v>
      </c>
      <c r="H81" s="21" t="n">
        <v>0</v>
      </c>
      <c r="I81" s="21" t="n">
        <v>0</v>
      </c>
      <c r="J81" s="22" t="n">
        <v>0</v>
      </c>
      <c r="K81" s="21" t="n">
        <v>0</v>
      </c>
    </row>
    <row r="82" spans="1:19">
      <c r="A82" t="n">
        <v>71</v>
      </c>
      <c r="B82" s="21" t="n">
        <v>0</v>
      </c>
      <c r="C82" s="21" t="n">
        <v>0</v>
      </c>
      <c r="D82" s="21" t="n">
        <v>0</v>
      </c>
      <c r="E82" s="21" t="n">
        <v>0</v>
      </c>
      <c r="G82" t="n">
        <v>71</v>
      </c>
      <c r="H82" s="21" t="n">
        <v>0</v>
      </c>
      <c r="I82" s="21" t="n">
        <v>0</v>
      </c>
      <c r="J82" s="22" t="n">
        <v>0</v>
      </c>
      <c r="K82" s="21" t="n">
        <v>0</v>
      </c>
    </row>
    <row r="83" spans="1:19">
      <c r="A83" t="n">
        <v>72</v>
      </c>
      <c r="B83" s="21" t="n">
        <v>0</v>
      </c>
      <c r="C83" s="21" t="n">
        <v>0</v>
      </c>
      <c r="D83" s="21" t="n">
        <v>0</v>
      </c>
      <c r="E83" s="21" t="n">
        <v>0</v>
      </c>
      <c r="G83" t="n">
        <v>72</v>
      </c>
      <c r="H83" s="21" t="n">
        <v>0</v>
      </c>
      <c r="I83" s="21" t="n">
        <v>0</v>
      </c>
      <c r="J83" s="21" t="n">
        <v>0</v>
      </c>
      <c r="K83" s="21" t="n">
        <v>0</v>
      </c>
    </row>
    <row r="84" spans="1:19">
      <c r="A84" t="n">
        <v>73</v>
      </c>
      <c r="B84" s="21" t="n">
        <v>0</v>
      </c>
      <c r="C84" s="21" t="n">
        <v>0</v>
      </c>
      <c r="D84" s="21" t="n">
        <v>0</v>
      </c>
      <c r="E84" s="21" t="n">
        <v>0</v>
      </c>
      <c r="G84" t="n">
        <v>73</v>
      </c>
      <c r="H84" s="21" t="n">
        <v>0</v>
      </c>
      <c r="I84" s="21" t="n">
        <v>0</v>
      </c>
      <c r="J84" s="21" t="n">
        <v>1</v>
      </c>
      <c r="K84" s="21" t="n">
        <v>1</v>
      </c>
    </row>
    <row r="85" spans="1:19">
      <c r="A85" t="n">
        <v>74</v>
      </c>
      <c r="B85" s="21" t="n">
        <v>0</v>
      </c>
      <c r="C85" s="21" t="n">
        <v>0</v>
      </c>
      <c r="D85" s="21" t="n">
        <v>0</v>
      </c>
      <c r="E85" s="21" t="n">
        <v>0</v>
      </c>
      <c r="G85" t="n">
        <v>74</v>
      </c>
      <c r="H85" s="21" t="n">
        <v>0</v>
      </c>
      <c r="I85" s="21" t="n">
        <v>0</v>
      </c>
      <c r="J85" s="21" t="n">
        <v>0</v>
      </c>
      <c r="K85" s="21" t="n">
        <v>0</v>
      </c>
    </row>
    <row r="86" spans="1:19">
      <c r="A86" t="n">
        <v>75</v>
      </c>
      <c r="B86" s="21" t="n">
        <v>0</v>
      </c>
      <c r="C86" s="21" t="n">
        <v>0</v>
      </c>
      <c r="D86" s="21" t="n">
        <v>0</v>
      </c>
      <c r="E86" s="21" t="n">
        <v>0</v>
      </c>
      <c r="G86" t="n">
        <v>75</v>
      </c>
      <c r="H86" s="21" t="n">
        <v>0</v>
      </c>
      <c r="I86" s="21" t="n">
        <v>0</v>
      </c>
      <c r="J86" s="21" t="n">
        <v>0</v>
      </c>
      <c r="K86" s="21" t="n">
        <v>0</v>
      </c>
    </row>
    <row r="87" spans="1:19">
      <c r="A87" t="n">
        <v>76</v>
      </c>
      <c r="B87" s="21" t="n">
        <v>0</v>
      </c>
      <c r="C87" s="21" t="n">
        <v>0</v>
      </c>
      <c r="D87" s="21" t="n">
        <v>0</v>
      </c>
      <c r="E87" s="21" t="n">
        <v>0</v>
      </c>
      <c r="G87" t="n">
        <v>76</v>
      </c>
      <c r="H87" s="21" t="n">
        <v>0</v>
      </c>
      <c r="I87" s="21" t="n">
        <v>0</v>
      </c>
      <c r="J87" s="22" t="n">
        <v>0</v>
      </c>
      <c r="K87" s="21" t="n">
        <v>0</v>
      </c>
    </row>
    <row r="88" spans="1:19">
      <c r="A88" t="n">
        <v>77</v>
      </c>
      <c r="B88" s="21" t="n">
        <v>0</v>
      </c>
      <c r="C88" s="21" t="n">
        <v>0</v>
      </c>
      <c r="D88" s="21" t="n">
        <v>0</v>
      </c>
      <c r="E88" s="21" t="n">
        <v>0</v>
      </c>
      <c r="G88" t="n">
        <v>77</v>
      </c>
      <c r="H88" s="21" t="n">
        <v>0</v>
      </c>
      <c r="I88" s="21" t="n">
        <v>0</v>
      </c>
      <c r="J88" s="21" t="n">
        <v>0</v>
      </c>
      <c r="K88" s="21" t="n">
        <v>0</v>
      </c>
    </row>
    <row r="89" spans="1:19">
      <c r="A89" t="n">
        <v>78</v>
      </c>
      <c r="B89" s="21" t="n">
        <v>0</v>
      </c>
      <c r="C89" s="21" t="n">
        <v>0</v>
      </c>
      <c r="D89" s="21" t="n">
        <v>0</v>
      </c>
      <c r="E89" s="21" t="n">
        <v>0</v>
      </c>
      <c r="G89" t="n">
        <v>78</v>
      </c>
      <c r="H89" s="21" t="n">
        <v>0</v>
      </c>
      <c r="I89" s="21" t="n">
        <v>0</v>
      </c>
      <c r="J89" s="22" t="n">
        <v>0</v>
      </c>
      <c r="K89" s="21" t="n">
        <v>0</v>
      </c>
    </row>
    <row r="90" spans="1:19">
      <c r="A90" t="n">
        <v>79</v>
      </c>
      <c r="B90" s="21" t="n">
        <v>0</v>
      </c>
      <c r="C90" s="21" t="n">
        <v>0</v>
      </c>
      <c r="D90" s="21" t="n">
        <v>0</v>
      </c>
      <c r="E90" s="21" t="n">
        <v>0</v>
      </c>
      <c r="G90" t="n">
        <v>79</v>
      </c>
      <c r="H90" s="21" t="n">
        <v>0</v>
      </c>
      <c r="I90" s="21" t="n">
        <v>0</v>
      </c>
      <c r="J90" s="21" t="n">
        <v>0</v>
      </c>
      <c r="K90" s="21" t="n">
        <v>0</v>
      </c>
    </row>
    <row r="91" spans="1:19">
      <c r="A91" t="n">
        <v>80</v>
      </c>
      <c r="B91" s="21" t="n">
        <v>0</v>
      </c>
      <c r="C91" s="21" t="n">
        <v>0</v>
      </c>
      <c r="D91" s="21" t="n">
        <v>0</v>
      </c>
      <c r="E91" s="21" t="n">
        <v>0</v>
      </c>
      <c r="G91" t="n">
        <v>80</v>
      </c>
      <c r="H91" s="21" t="n">
        <v>0</v>
      </c>
      <c r="I91" s="21" t="n">
        <v>0</v>
      </c>
      <c r="J91" s="21" t="n">
        <v>0</v>
      </c>
      <c r="K91" s="21" t="n">
        <v>0</v>
      </c>
    </row>
    <row r="92" spans="1:19">
      <c r="A92" t="n">
        <v>81</v>
      </c>
      <c r="B92" s="21" t="n">
        <v>0</v>
      </c>
      <c r="C92" s="21" t="n">
        <v>0</v>
      </c>
      <c r="D92" s="21" t="n">
        <v>0</v>
      </c>
      <c r="E92" s="21" t="n">
        <v>0</v>
      </c>
      <c r="G92" t="n">
        <v>81</v>
      </c>
      <c r="H92" s="21" t="n">
        <v>0</v>
      </c>
      <c r="I92" s="21" t="n">
        <v>0</v>
      </c>
      <c r="J92" s="22" t="n">
        <v>0</v>
      </c>
      <c r="K92" s="21" t="n">
        <v>0</v>
      </c>
    </row>
    <row r="93" spans="1:19">
      <c r="A93" t="n">
        <v>82</v>
      </c>
      <c r="B93" s="21" t="n">
        <v>0</v>
      </c>
      <c r="C93" s="21" t="n">
        <v>0</v>
      </c>
      <c r="D93" s="21" t="n">
        <v>0</v>
      </c>
      <c r="E93" s="21" t="n">
        <v>0</v>
      </c>
      <c r="G93" t="n">
        <v>82</v>
      </c>
      <c r="H93" s="21" t="n">
        <v>0</v>
      </c>
      <c r="I93" s="21" t="n">
        <v>0</v>
      </c>
      <c r="J93" s="21" t="n">
        <v>0</v>
      </c>
      <c r="K93" s="21" t="n">
        <v>0</v>
      </c>
    </row>
    <row r="94" spans="1:19">
      <c r="A94" t="n">
        <v>83</v>
      </c>
      <c r="B94" s="21" t="n">
        <v>0</v>
      </c>
      <c r="C94" s="21" t="n">
        <v>0</v>
      </c>
      <c r="D94" s="21" t="n">
        <v>0</v>
      </c>
      <c r="E94" s="21" t="n">
        <v>0</v>
      </c>
      <c r="G94" t="n">
        <v>83</v>
      </c>
      <c r="H94" s="21" t="n">
        <v>0</v>
      </c>
      <c r="I94" s="21" t="n">
        <v>0</v>
      </c>
      <c r="J94" s="21" t="n">
        <v>0</v>
      </c>
      <c r="K94" s="21" t="n">
        <v>0</v>
      </c>
    </row>
    <row r="95" spans="1:19">
      <c r="A95" t="n">
        <v>84</v>
      </c>
      <c r="B95" s="21" t="n">
        <v>0</v>
      </c>
      <c r="C95" s="21" t="n">
        <v>0</v>
      </c>
      <c r="D95" s="21" t="n">
        <v>0</v>
      </c>
      <c r="E95" s="21" t="n">
        <v>0</v>
      </c>
      <c r="G95" t="n">
        <v>84</v>
      </c>
      <c r="H95" s="21" t="n">
        <v>0</v>
      </c>
      <c r="I95" s="21" t="n">
        <v>0</v>
      </c>
      <c r="J95" s="21" t="n">
        <v>0</v>
      </c>
      <c r="K95" s="21" t="n">
        <v>0</v>
      </c>
    </row>
    <row r="96" spans="1:19">
      <c r="A96" t="n">
        <v>85</v>
      </c>
      <c r="B96" s="21" t="n">
        <v>0</v>
      </c>
      <c r="C96" s="21" t="n">
        <v>0</v>
      </c>
      <c r="D96" s="21" t="n">
        <v>0</v>
      </c>
      <c r="E96" s="21" t="n">
        <v>0</v>
      </c>
      <c r="G96" t="n">
        <v>85</v>
      </c>
      <c r="H96" s="21" t="n">
        <v>0</v>
      </c>
      <c r="I96" s="21" t="n">
        <v>0</v>
      </c>
      <c r="J96" s="21" t="n">
        <v>0</v>
      </c>
      <c r="K96" s="21" t="n">
        <v>0</v>
      </c>
    </row>
    <row r="97" spans="1:19">
      <c r="A97" t="n">
        <v>86</v>
      </c>
      <c r="B97" s="21" t="n">
        <v>0</v>
      </c>
      <c r="C97" s="21" t="n">
        <v>0</v>
      </c>
      <c r="D97" s="21" t="n">
        <v>0</v>
      </c>
      <c r="E97" s="21" t="n">
        <v>0</v>
      </c>
      <c r="G97" t="n">
        <v>86</v>
      </c>
      <c r="H97" s="21" t="n">
        <v>0</v>
      </c>
      <c r="I97" s="21" t="n">
        <v>0</v>
      </c>
      <c r="J97" s="21" t="n">
        <v>0</v>
      </c>
      <c r="K97" s="21" t="n">
        <v>0</v>
      </c>
    </row>
    <row r="98" spans="1:19">
      <c r="A98" t="n">
        <v>87</v>
      </c>
      <c r="B98" s="21" t="n">
        <v>0</v>
      </c>
      <c r="C98" s="21" t="n">
        <v>0</v>
      </c>
      <c r="D98" s="21" t="n">
        <v>0</v>
      </c>
      <c r="E98" s="21" t="n">
        <v>0</v>
      </c>
      <c r="G98" t="n">
        <v>87</v>
      </c>
      <c r="H98" s="21" t="n">
        <v>0</v>
      </c>
      <c r="I98" s="21" t="n">
        <v>0</v>
      </c>
      <c r="J98" s="21" t="n">
        <v>0</v>
      </c>
      <c r="K98" s="21" t="n">
        <v>0</v>
      </c>
    </row>
    <row r="99" spans="1:19">
      <c r="A99" t="n">
        <v>88</v>
      </c>
      <c r="B99" s="21" t="n">
        <v>0</v>
      </c>
      <c r="C99" s="21" t="n">
        <v>0</v>
      </c>
      <c r="D99" s="21" t="n">
        <v>0</v>
      </c>
      <c r="E99" s="21" t="n">
        <v>0</v>
      </c>
      <c r="G99" t="n">
        <v>88</v>
      </c>
      <c r="H99" s="21" t="n">
        <v>0</v>
      </c>
      <c r="I99" s="21" t="n">
        <v>0</v>
      </c>
      <c r="J99" s="21" t="n">
        <v>0</v>
      </c>
      <c r="K99" s="21" t="n">
        <v>0</v>
      </c>
    </row>
    <row r="100" spans="1:19">
      <c r="A100" t="n">
        <v>89</v>
      </c>
      <c r="B100" s="21" t="n">
        <v>0</v>
      </c>
      <c r="C100" s="21" t="n">
        <v>0</v>
      </c>
      <c r="D100" s="21" t="n">
        <v>0</v>
      </c>
      <c r="E100" s="21" t="n">
        <v>0</v>
      </c>
      <c r="G100" t="n">
        <v>89</v>
      </c>
      <c r="H100" s="21" t="n">
        <v>0</v>
      </c>
      <c r="I100" s="21" t="n">
        <v>0</v>
      </c>
      <c r="J100" s="21" t="n">
        <v>0</v>
      </c>
      <c r="K100" s="21" t="n">
        <v>0</v>
      </c>
    </row>
    <row customHeight="1" ht="15.75" r="101" spans="1:19">
      <c r="A101" s="15" t="n">
        <v>90</v>
      </c>
      <c r="B101" s="27" t="n">
        <v>56177.1072</v>
      </c>
      <c r="C101" s="27" t="n">
        <v>10417.5607</v>
      </c>
      <c r="D101" s="27" t="n">
        <v>42483.8395</v>
      </c>
      <c r="E101" s="27" t="n">
        <v>109078.5074</v>
      </c>
      <c r="G101" s="15" t="n">
        <v>90</v>
      </c>
      <c r="H101" s="27" t="n">
        <v>21334</v>
      </c>
      <c r="I101" s="27" t="n">
        <v>0</v>
      </c>
      <c r="J101" s="27" t="n">
        <v>0</v>
      </c>
      <c r="K101" s="27" t="n">
        <v>21334</v>
      </c>
    </row>
  </sheetData>
  <pageMargins bottom="0.75" footer="0.3" header="0.3" left="0.7" right="0.7" top="0.75"/>
  <pageSetup orientation="portrait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S101"/>
  <sheetViews>
    <sheetView workbookViewId="0">
      <selection activeCell="L21" sqref="L21"/>
    </sheetView>
  </sheetViews>
  <sheetFormatPr baseColWidth="10" defaultRowHeight="15" outlineLevelCol="0"/>
  <cols>
    <col collapsed="1" customWidth="1" max="1" min="1" style="13" width="13.5703125"/>
    <col collapsed="1" customWidth="1" max="2" min="2" style="13" width="10.5703125"/>
    <col collapsed="1" customWidth="1" max="4" min="3" style="13" width="9.5703125"/>
    <col collapsed="1" customWidth="1" max="5" min="5" style="13" width="10.5703125"/>
    <col collapsed="1" customWidth="1" max="7" min="7" style="13" width="13.140625"/>
    <col collapsed="1" customWidth="1" max="8" min="8" style="13" width="10.5703125"/>
    <col collapsed="1" customWidth="1" max="10" min="9" style="13" width="9.5703125"/>
    <col collapsed="1" customWidth="1" max="11" min="11" style="13" width="15.85546875"/>
    <col collapsed="1" customWidth="1" max="15" min="15" style="13" width="15.7109375"/>
  </cols>
  <sheetData>
    <row r="1" spans="1:19">
      <c r="A1" t="s">
        <v>0</v>
      </c>
    </row>
    <row r="2" spans="1:19">
      <c r="A2" t="s">
        <v>1</v>
      </c>
    </row>
    <row r="3" spans="1:19">
      <c r="A3" t="s">
        <v>2</v>
      </c>
    </row>
    <row r="4" spans="1:19">
      <c r="A4" t="s">
        <v>3</v>
      </c>
    </row>
    <row r="5" spans="1:19">
      <c r="A5" t="s">
        <v>4</v>
      </c>
    </row>
    <row r="7" spans="1:19">
      <c r="A7" t="s">
        <v>5</v>
      </c>
    </row>
    <row customHeight="1" ht="15.75" r="9" spans="1:19">
      <c r="A9" s="14" t="s">
        <v>6</v>
      </c>
      <c r="B9" s="15" t="n"/>
      <c r="C9" s="15" t="n"/>
      <c r="D9" s="15" t="n"/>
      <c r="E9" s="15" t="n"/>
      <c r="G9" s="14" t="s">
        <v>7</v>
      </c>
      <c r="H9" s="15" t="n"/>
      <c r="I9" s="15" t="n"/>
      <c r="J9" s="15" t="n"/>
      <c r="K9" s="15" t="n"/>
      <c r="M9" s="16" t="s">
        <v>20</v>
      </c>
      <c r="Q9" s="16" t="s">
        <v>21</v>
      </c>
    </row>
    <row r="10" spans="1:19">
      <c r="A10" s="17" t="s">
        <v>9</v>
      </c>
      <c r="B10" s="18" t="s">
        <v>10</v>
      </c>
      <c r="C10" s="18" t="s">
        <v>11</v>
      </c>
      <c r="D10" s="18" t="s">
        <v>12</v>
      </c>
      <c r="E10" s="18" t="s">
        <v>13</v>
      </c>
      <c r="G10" s="17" t="s">
        <v>9</v>
      </c>
      <c r="H10" s="18" t="s">
        <v>10</v>
      </c>
      <c r="I10" s="18" t="s">
        <v>11</v>
      </c>
      <c r="J10" s="18" t="s">
        <v>14</v>
      </c>
      <c r="K10" s="18" t="s">
        <v>22</v>
      </c>
      <c r="L10" s="18" t="n"/>
      <c r="M10" s="17" t="n"/>
      <c r="N10" s="18" t="s">
        <v>13</v>
      </c>
      <c r="O10" s="18" t="s">
        <v>22</v>
      </c>
      <c r="Q10" s="19" t="n"/>
      <c r="R10" s="20" t="s">
        <v>13</v>
      </c>
      <c r="S10" s="20" t="s">
        <v>23</v>
      </c>
    </row>
    <row customHeight="1" ht="15.75" r="11" spans="1:19">
      <c r="A11" t="n">
        <v>0</v>
      </c>
      <c r="B11" s="21" t="n">
        <v>20622.8836</v>
      </c>
      <c r="C11" s="21" t="n">
        <v>0</v>
      </c>
      <c r="D11" s="21" t="n">
        <v>7660.9199</v>
      </c>
      <c r="E11" s="21" t="n">
        <v>28283.8035</v>
      </c>
      <c r="G11" t="n">
        <v>0</v>
      </c>
      <c r="H11" s="21" t="n">
        <v>114370</v>
      </c>
      <c r="I11" s="21" t="n">
        <v>19387</v>
      </c>
      <c r="J11" s="22" t="n">
        <v>21380</v>
      </c>
      <c r="K11" s="21" t="n">
        <v>155137</v>
      </c>
      <c r="M11" t="s">
        <v>10</v>
      </c>
      <c r="N11" s="23" t="n">
        <v>5.295586660763182</v>
      </c>
      <c r="O11" s="23" t="n">
        <v>3.701708728967255</v>
      </c>
      <c r="Q11" s="15" t="s">
        <v>19</v>
      </c>
      <c r="R11" s="24" t="n"/>
      <c r="S11" s="24" t="n"/>
    </row>
    <row r="12" spans="1:19">
      <c r="A12" t="n">
        <v>1</v>
      </c>
      <c r="B12" s="21" t="n">
        <v>32911.2192</v>
      </c>
      <c r="C12" s="21" t="n">
        <v>3301.3162</v>
      </c>
      <c r="D12" s="21" t="n">
        <v>844.5823</v>
      </c>
      <c r="E12" s="21" t="n">
        <v>37057.1177</v>
      </c>
      <c r="G12" t="n">
        <v>1</v>
      </c>
      <c r="H12" s="21" t="n">
        <v>83203</v>
      </c>
      <c r="I12" s="21" t="n">
        <v>12898</v>
      </c>
      <c r="J12" s="22" t="n">
        <v>11250</v>
      </c>
      <c r="K12" s="21" t="n">
        <v>107351</v>
      </c>
      <c r="M12" t="s">
        <v>11</v>
      </c>
      <c r="N12" s="23" t="n">
        <v>6.415557529988825</v>
      </c>
      <c r="O12" s="23" t="n">
        <v>5.193994230501549</v>
      </c>
      <c r="R12" s="23" t="n"/>
      <c r="S12" s="23" t="n"/>
    </row>
    <row r="13" spans="1:19">
      <c r="A13" t="n">
        <v>2</v>
      </c>
      <c r="B13" s="21" t="n">
        <v>37425.1108</v>
      </c>
      <c r="C13" s="21" t="n">
        <v>2652.9</v>
      </c>
      <c r="D13" s="21" t="n">
        <v>1730.8838</v>
      </c>
      <c r="E13" s="21" t="n">
        <v>41808.89460000001</v>
      </c>
      <c r="G13" t="n">
        <v>2</v>
      </c>
      <c r="H13" s="21" t="n">
        <v>46190</v>
      </c>
      <c r="I13" s="21" t="n">
        <v>8743</v>
      </c>
      <c r="J13" s="22" t="n">
        <v>5735</v>
      </c>
      <c r="K13" s="21" t="n">
        <v>60668</v>
      </c>
      <c r="M13" s="25" t="s">
        <v>14</v>
      </c>
      <c r="N13" s="26" t="n">
        <v>8.107806487595949</v>
      </c>
      <c r="O13" s="26" t="n">
        <v>7.946057676188577</v>
      </c>
      <c r="R13" s="23" t="n"/>
      <c r="S13" s="23" t="n"/>
    </row>
    <row customHeight="1" ht="15.75" r="14" spans="1:19">
      <c r="A14" t="n">
        <v>3</v>
      </c>
      <c r="B14" s="21" t="n">
        <v>52295.9745</v>
      </c>
      <c r="C14" s="21" t="n">
        <v>5458.6975</v>
      </c>
      <c r="D14" s="21" t="n">
        <v>3422.2806</v>
      </c>
      <c r="E14" s="21" t="n">
        <v>61176.9526</v>
      </c>
      <c r="G14" t="n">
        <v>3</v>
      </c>
      <c r="H14" s="21" t="n">
        <v>25156</v>
      </c>
      <c r="I14" s="21" t="n">
        <v>5771</v>
      </c>
      <c r="J14" s="22" t="n">
        <v>4657</v>
      </c>
      <c r="K14" s="21" t="n">
        <v>35584</v>
      </c>
      <c r="M14" s="15" t="s">
        <v>19</v>
      </c>
      <c r="N14" s="24" t="n">
        <v>5.739509620086852</v>
      </c>
      <c r="O14" s="24" t="n">
        <v>4.881283241331096</v>
      </c>
    </row>
    <row r="15" spans="1:19">
      <c r="A15" t="n">
        <v>4</v>
      </c>
      <c r="B15" s="21" t="n">
        <v>99648.9129</v>
      </c>
      <c r="C15" s="21" t="n">
        <v>12602.233</v>
      </c>
      <c r="D15" s="21" t="n">
        <v>11868.1322</v>
      </c>
      <c r="E15" s="21" t="n">
        <v>124119.2781</v>
      </c>
      <c r="G15" t="n">
        <v>4</v>
      </c>
      <c r="H15" s="21" t="n">
        <v>86248</v>
      </c>
      <c r="I15" s="21" t="n">
        <v>22836</v>
      </c>
      <c r="J15" s="22" t="n">
        <v>21819</v>
      </c>
      <c r="K15" s="21" t="n">
        <v>130903</v>
      </c>
    </row>
    <row r="16" spans="1:19">
      <c r="A16" t="n">
        <v>5</v>
      </c>
      <c r="B16" s="21" t="n">
        <v>41873.7112</v>
      </c>
      <c r="C16" s="21" t="n">
        <v>8814.9107</v>
      </c>
      <c r="D16" s="21" t="n">
        <v>4964.6667</v>
      </c>
      <c r="E16" s="21" t="n">
        <v>55653.2886</v>
      </c>
      <c r="G16" t="n">
        <v>5</v>
      </c>
      <c r="H16" s="21" t="n">
        <v>29092</v>
      </c>
      <c r="I16" s="21" t="n">
        <v>10670</v>
      </c>
      <c r="J16" s="22" t="n">
        <v>20126</v>
      </c>
      <c r="K16" s="21" t="n">
        <v>59888</v>
      </c>
    </row>
    <row r="17" spans="1:19">
      <c r="A17" t="n">
        <v>6</v>
      </c>
      <c r="B17" s="21" t="n">
        <v>72254.489</v>
      </c>
      <c r="C17" s="21" t="n">
        <v>13808.6239</v>
      </c>
      <c r="D17" s="21" t="n">
        <v>7645.2999</v>
      </c>
      <c r="E17" s="21" t="n">
        <v>93708.41280000001</v>
      </c>
      <c r="G17" t="n">
        <v>6</v>
      </c>
      <c r="H17" s="21" t="n">
        <v>35216</v>
      </c>
      <c r="I17" s="21" t="n">
        <v>11820</v>
      </c>
      <c r="J17" s="22" t="n">
        <v>15545</v>
      </c>
      <c r="K17" s="21" t="n">
        <v>62581</v>
      </c>
    </row>
    <row r="18" spans="1:19">
      <c r="A18" t="n">
        <v>7</v>
      </c>
      <c r="B18" s="21" t="n">
        <v>20062.4445</v>
      </c>
      <c r="C18" s="21" t="n">
        <v>2110.6226</v>
      </c>
      <c r="D18" s="21" t="n">
        <v>6027.5196</v>
      </c>
      <c r="E18" s="21" t="n">
        <v>28200.5867</v>
      </c>
      <c r="G18" t="n">
        <v>7</v>
      </c>
      <c r="H18" s="21" t="n">
        <v>15554</v>
      </c>
      <c r="I18" s="21" t="n">
        <v>5450</v>
      </c>
      <c r="J18" s="22" t="n">
        <v>10299</v>
      </c>
      <c r="K18" s="21" t="n">
        <v>31303</v>
      </c>
    </row>
    <row r="19" spans="1:19">
      <c r="A19" t="n">
        <v>8</v>
      </c>
      <c r="B19" s="21" t="n">
        <v>16886.6081</v>
      </c>
      <c r="C19" s="21" t="n">
        <v>5540.8172</v>
      </c>
      <c r="D19" s="21" t="n">
        <v>1215.9076</v>
      </c>
      <c r="E19" s="21" t="n">
        <v>23643.3329</v>
      </c>
      <c r="G19" t="n">
        <v>8</v>
      </c>
      <c r="H19" s="21" t="n">
        <v>16728</v>
      </c>
      <c r="I19" s="21" t="n">
        <v>5928</v>
      </c>
      <c r="J19" s="22" t="n">
        <v>15040</v>
      </c>
      <c r="K19" s="21" t="n">
        <v>37696</v>
      </c>
    </row>
    <row r="20" spans="1:19">
      <c r="A20" t="n">
        <v>9</v>
      </c>
      <c r="B20" s="21" t="n">
        <v>9186.5568</v>
      </c>
      <c r="C20" s="21" t="n">
        <v>3760.0686</v>
      </c>
      <c r="D20" s="21" t="n">
        <v>942.7076999999999</v>
      </c>
      <c r="E20" s="21" t="n">
        <v>13889.3331</v>
      </c>
      <c r="G20" t="n">
        <v>9</v>
      </c>
      <c r="H20" s="21" t="n">
        <v>8960</v>
      </c>
      <c r="I20" s="21" t="n">
        <v>3162</v>
      </c>
      <c r="J20" s="22" t="n">
        <v>7804</v>
      </c>
      <c r="K20" s="21" t="n">
        <v>19926</v>
      </c>
    </row>
    <row r="21" spans="1:19">
      <c r="A21" t="n">
        <v>10</v>
      </c>
      <c r="B21" s="21" t="n">
        <v>20560.6374</v>
      </c>
      <c r="C21" s="21" t="n">
        <v>3606.0438</v>
      </c>
      <c r="D21" s="21" t="n">
        <v>4530.4183</v>
      </c>
      <c r="E21" s="21" t="n">
        <v>28697.0995</v>
      </c>
      <c r="G21" t="n">
        <v>10</v>
      </c>
      <c r="H21" s="21" t="n">
        <v>5029</v>
      </c>
      <c r="I21" s="21" t="n">
        <v>2192</v>
      </c>
      <c r="J21" s="22" t="n">
        <v>3537</v>
      </c>
      <c r="K21" s="21" t="n">
        <v>10758</v>
      </c>
    </row>
    <row r="22" spans="1:19">
      <c r="A22" t="n">
        <v>11</v>
      </c>
      <c r="B22" s="21" t="n">
        <v>9027.6644</v>
      </c>
      <c r="C22" s="21" t="n">
        <v>1609.5451</v>
      </c>
      <c r="D22" s="21" t="n">
        <v>753.3503999999999</v>
      </c>
      <c r="E22" s="21" t="n">
        <v>11390.5599</v>
      </c>
      <c r="G22" t="n">
        <v>11</v>
      </c>
      <c r="H22" s="21" t="n">
        <v>4498</v>
      </c>
      <c r="I22" s="21" t="n">
        <v>1793</v>
      </c>
      <c r="J22" s="22" t="n">
        <v>3728</v>
      </c>
      <c r="K22" s="21" t="n">
        <v>10019</v>
      </c>
    </row>
    <row r="23" spans="1:19">
      <c r="A23" t="n">
        <v>12</v>
      </c>
      <c r="B23" s="21" t="n">
        <v>2878.1041</v>
      </c>
      <c r="C23" s="21" t="n">
        <v>1171.11</v>
      </c>
      <c r="D23" s="21" t="n">
        <v>2602.9287</v>
      </c>
      <c r="E23" s="21" t="n">
        <v>6652.1428</v>
      </c>
      <c r="G23" t="n">
        <v>12</v>
      </c>
      <c r="H23" s="21" t="n">
        <v>3854</v>
      </c>
      <c r="I23" s="21" t="n">
        <v>1667</v>
      </c>
      <c r="J23" s="22" t="n">
        <v>4229</v>
      </c>
      <c r="K23" s="21" t="n">
        <v>9750</v>
      </c>
    </row>
    <row r="24" spans="1:19">
      <c r="A24" t="n">
        <v>13</v>
      </c>
      <c r="B24" s="21" t="n">
        <v>1833.3625</v>
      </c>
      <c r="C24" s="21" t="n">
        <v>0</v>
      </c>
      <c r="D24" s="21" t="n">
        <v>372.1817</v>
      </c>
      <c r="E24" s="21" t="n">
        <v>2205.5442</v>
      </c>
      <c r="G24" t="n">
        <v>13</v>
      </c>
      <c r="H24" s="21" t="n">
        <v>3231</v>
      </c>
      <c r="I24" s="21" t="n">
        <v>1508</v>
      </c>
      <c r="J24" s="22" t="n">
        <v>5608</v>
      </c>
      <c r="K24" s="21" t="n">
        <v>10347</v>
      </c>
    </row>
    <row r="25" spans="1:19">
      <c r="A25" t="n">
        <v>14</v>
      </c>
      <c r="B25" s="21" t="n">
        <v>1492.6573</v>
      </c>
      <c r="C25" s="21" t="n">
        <v>0</v>
      </c>
      <c r="D25" s="21" t="n">
        <v>2312.1342</v>
      </c>
      <c r="E25" s="21" t="n">
        <v>3804.7915</v>
      </c>
      <c r="G25" t="n">
        <v>14</v>
      </c>
      <c r="H25" s="21" t="n">
        <v>1763</v>
      </c>
      <c r="I25" s="21" t="n">
        <v>1054</v>
      </c>
      <c r="J25" s="22" t="n">
        <v>2470</v>
      </c>
      <c r="K25" s="21" t="n">
        <v>5287</v>
      </c>
    </row>
    <row r="26" spans="1:19">
      <c r="A26" t="n">
        <v>15</v>
      </c>
      <c r="B26" s="21" t="n">
        <v>1031.4047</v>
      </c>
      <c r="C26" s="21" t="n">
        <v>0</v>
      </c>
      <c r="D26" s="21" t="n">
        <v>1989.073</v>
      </c>
      <c r="E26" s="21" t="n">
        <v>3020.4777</v>
      </c>
      <c r="G26" t="n">
        <v>15</v>
      </c>
      <c r="H26" s="21" t="n">
        <v>1484</v>
      </c>
      <c r="I26" s="21" t="n">
        <v>869</v>
      </c>
      <c r="J26" s="22" t="n">
        <v>2265</v>
      </c>
      <c r="K26" s="21" t="n">
        <v>4618</v>
      </c>
    </row>
    <row r="27" spans="1:19">
      <c r="A27" t="n">
        <v>16</v>
      </c>
      <c r="B27" s="21" t="n">
        <v>4675.1829</v>
      </c>
      <c r="C27" s="21" t="n">
        <v>644.3416999999999</v>
      </c>
      <c r="D27" s="21" t="n">
        <v>867.7864</v>
      </c>
      <c r="E27" s="21" t="n">
        <v>6187.311</v>
      </c>
      <c r="G27" t="n">
        <v>16</v>
      </c>
      <c r="H27" s="21" t="n">
        <v>1147</v>
      </c>
      <c r="I27" s="21" t="n">
        <v>789</v>
      </c>
      <c r="J27" s="22" t="n">
        <v>1398</v>
      </c>
      <c r="K27" s="21" t="n">
        <v>3334</v>
      </c>
    </row>
    <row r="28" spans="1:19">
      <c r="A28" t="n">
        <v>17</v>
      </c>
      <c r="B28" s="21" t="n">
        <v>476.725</v>
      </c>
      <c r="C28" s="21" t="n">
        <v>542.7239</v>
      </c>
      <c r="D28" s="21" t="n">
        <v>384.1741</v>
      </c>
      <c r="E28" s="21" t="n">
        <v>1403.623</v>
      </c>
      <c r="G28" t="n">
        <v>17</v>
      </c>
      <c r="H28" s="21" t="n">
        <v>858</v>
      </c>
      <c r="I28" s="21" t="n">
        <v>613</v>
      </c>
      <c r="J28" s="22" t="n">
        <v>2128</v>
      </c>
      <c r="K28" s="21" t="n">
        <v>3599</v>
      </c>
    </row>
    <row r="29" spans="1:19">
      <c r="A29" t="n">
        <v>18</v>
      </c>
      <c r="B29" s="21" t="n">
        <v>1154.3296</v>
      </c>
      <c r="C29" s="21" t="n">
        <v>522.3251</v>
      </c>
      <c r="D29" s="21" t="n">
        <v>1611.5688</v>
      </c>
      <c r="E29" s="21" t="n">
        <v>3288.2235</v>
      </c>
      <c r="G29" t="n">
        <v>18</v>
      </c>
      <c r="H29" s="21" t="n">
        <v>581</v>
      </c>
      <c r="I29" s="21" t="n">
        <v>517</v>
      </c>
      <c r="J29" s="22" t="n">
        <v>2350</v>
      </c>
      <c r="K29" s="21" t="n">
        <v>3448</v>
      </c>
    </row>
    <row r="30" spans="1:19">
      <c r="A30" t="n">
        <v>19</v>
      </c>
      <c r="B30" s="21" t="n">
        <v>279.8517</v>
      </c>
      <c r="C30" s="21" t="n">
        <v>438.0688</v>
      </c>
      <c r="D30" s="21" t="n">
        <v>1147.553</v>
      </c>
      <c r="E30" s="21" t="n">
        <v>1865.4735</v>
      </c>
      <c r="G30" t="n">
        <v>19</v>
      </c>
      <c r="H30" s="21" t="n">
        <v>649</v>
      </c>
      <c r="I30" s="21" t="n">
        <v>394</v>
      </c>
      <c r="J30" s="22" t="n">
        <v>1047</v>
      </c>
      <c r="K30" s="21" t="n">
        <v>2090</v>
      </c>
    </row>
    <row r="31" spans="1:19">
      <c r="A31" t="n">
        <v>20</v>
      </c>
      <c r="B31" s="21" t="n">
        <v>0</v>
      </c>
      <c r="C31" s="21" t="n">
        <v>262.7907</v>
      </c>
      <c r="D31" s="21" t="n">
        <v>63.508</v>
      </c>
      <c r="E31" s="21" t="n">
        <v>326.2987</v>
      </c>
      <c r="G31" t="n">
        <v>20</v>
      </c>
      <c r="H31" s="21" t="n">
        <v>193</v>
      </c>
      <c r="I31" s="21" t="n">
        <v>222</v>
      </c>
      <c r="J31" s="22" t="n">
        <v>1480</v>
      </c>
      <c r="K31" s="21" t="n">
        <v>1895</v>
      </c>
    </row>
    <row r="32" spans="1:19">
      <c r="A32" t="n">
        <v>21</v>
      </c>
      <c r="B32" s="21" t="n">
        <v>5789.6123</v>
      </c>
      <c r="C32" s="21" t="n">
        <v>309.8473</v>
      </c>
      <c r="D32" s="21" t="n">
        <v>91.32329999999999</v>
      </c>
      <c r="E32" s="21" t="n">
        <v>6190.7829</v>
      </c>
      <c r="G32" t="n">
        <v>21</v>
      </c>
      <c r="H32" s="21" t="n">
        <v>218</v>
      </c>
      <c r="I32" s="21" t="n">
        <v>243</v>
      </c>
      <c r="J32" s="22" t="n">
        <v>1349</v>
      </c>
      <c r="K32" s="21" t="n">
        <v>1810</v>
      </c>
    </row>
    <row r="33" spans="1:19">
      <c r="A33" t="n">
        <v>22</v>
      </c>
      <c r="B33" s="21" t="n">
        <v>212.6231</v>
      </c>
      <c r="C33" s="21" t="n">
        <v>0</v>
      </c>
      <c r="D33" s="21" t="n">
        <v>53.512</v>
      </c>
      <c r="E33" s="21" t="n">
        <v>266.1351</v>
      </c>
      <c r="G33" t="n">
        <v>22</v>
      </c>
      <c r="H33" s="21" t="n">
        <v>113</v>
      </c>
      <c r="I33" s="21" t="n">
        <v>205</v>
      </c>
      <c r="J33" s="22" t="n">
        <v>1069</v>
      </c>
      <c r="K33" s="21" t="n">
        <v>1387</v>
      </c>
    </row>
    <row r="34" spans="1:19">
      <c r="A34" t="n">
        <v>23</v>
      </c>
      <c r="B34" s="21" t="n">
        <v>2931.9003</v>
      </c>
      <c r="C34" s="21" t="n">
        <v>0</v>
      </c>
      <c r="D34" s="21" t="n">
        <v>138.8796</v>
      </c>
      <c r="E34" s="21" t="n">
        <v>3070.7799</v>
      </c>
      <c r="G34" t="n">
        <v>23</v>
      </c>
      <c r="H34" s="21" t="n">
        <v>65</v>
      </c>
      <c r="I34" s="21" t="n">
        <v>165</v>
      </c>
      <c r="J34" s="22" t="n">
        <v>794</v>
      </c>
      <c r="K34" s="21" t="n">
        <v>1024</v>
      </c>
    </row>
    <row r="35" spans="1:19">
      <c r="A35" t="n">
        <v>24</v>
      </c>
      <c r="B35" s="21" t="n">
        <v>0</v>
      </c>
      <c r="C35" s="21" t="n">
        <v>0</v>
      </c>
      <c r="D35" s="21" t="n">
        <v>458.124</v>
      </c>
      <c r="E35" s="21" t="n">
        <v>458.124</v>
      </c>
      <c r="G35" t="n">
        <v>24</v>
      </c>
      <c r="H35" s="21" t="n">
        <v>72</v>
      </c>
      <c r="I35" s="21" t="n">
        <v>160</v>
      </c>
      <c r="J35" s="22" t="n">
        <v>498</v>
      </c>
      <c r="K35" s="21" t="n">
        <v>730</v>
      </c>
    </row>
    <row r="36" spans="1:19">
      <c r="A36" t="n">
        <v>25</v>
      </c>
      <c r="B36" s="21" t="n">
        <v>0</v>
      </c>
      <c r="C36" s="21" t="n">
        <v>0</v>
      </c>
      <c r="D36" s="21" t="n">
        <v>87.069</v>
      </c>
      <c r="E36" s="21" t="n">
        <v>87.069</v>
      </c>
      <c r="G36" t="n">
        <v>25</v>
      </c>
      <c r="H36" s="21" t="n">
        <v>82</v>
      </c>
      <c r="I36" s="21" t="n">
        <v>116</v>
      </c>
      <c r="J36" s="22" t="n">
        <v>475</v>
      </c>
      <c r="K36" s="21" t="n">
        <v>673</v>
      </c>
    </row>
    <row r="37" spans="1:19">
      <c r="A37" t="n">
        <v>26</v>
      </c>
      <c r="B37" s="21" t="n">
        <v>775.4409000000001</v>
      </c>
      <c r="C37" s="21" t="n">
        <v>846.0343</v>
      </c>
      <c r="D37" s="21" t="n">
        <v>0</v>
      </c>
      <c r="E37" s="21" t="n">
        <v>1621.4752</v>
      </c>
      <c r="G37" t="n">
        <v>26</v>
      </c>
      <c r="H37" s="21" t="n">
        <v>78</v>
      </c>
      <c r="I37" s="21" t="n">
        <v>107</v>
      </c>
      <c r="J37" s="22" t="n">
        <v>511</v>
      </c>
      <c r="K37" s="21" t="n">
        <v>696</v>
      </c>
    </row>
    <row r="38" spans="1:19">
      <c r="A38" t="n">
        <v>27</v>
      </c>
      <c r="B38" s="21" t="n">
        <v>0</v>
      </c>
      <c r="C38" s="21" t="n">
        <v>0</v>
      </c>
      <c r="D38" s="21" t="n">
        <v>569.2839</v>
      </c>
      <c r="E38" s="21" t="n">
        <v>569.2839</v>
      </c>
      <c r="G38" t="n">
        <v>27</v>
      </c>
      <c r="H38" s="21" t="n">
        <v>31</v>
      </c>
      <c r="I38" s="21" t="n">
        <v>86</v>
      </c>
      <c r="J38" s="22" t="n">
        <v>623</v>
      </c>
      <c r="K38" s="21" t="n">
        <v>740</v>
      </c>
    </row>
    <row r="39" spans="1:19">
      <c r="A39" t="n">
        <v>28</v>
      </c>
      <c r="B39" s="21" t="n">
        <v>1297.2364</v>
      </c>
      <c r="C39" s="21" t="n">
        <v>0</v>
      </c>
      <c r="D39" s="21" t="n">
        <v>0</v>
      </c>
      <c r="E39" s="21" t="n">
        <v>1297.2364</v>
      </c>
      <c r="G39" t="n">
        <v>28</v>
      </c>
      <c r="H39" s="21" t="n">
        <v>62</v>
      </c>
      <c r="I39" s="21" t="n">
        <v>77</v>
      </c>
      <c r="J39" s="22" t="n">
        <v>452</v>
      </c>
      <c r="K39" s="21" t="n">
        <v>591</v>
      </c>
    </row>
    <row r="40" spans="1:19">
      <c r="A40" t="n">
        <v>29</v>
      </c>
      <c r="B40" s="21" t="n">
        <v>0</v>
      </c>
      <c r="C40" s="21" t="n">
        <v>0</v>
      </c>
      <c r="D40" s="21" t="n">
        <v>31.814</v>
      </c>
      <c r="E40" s="21" t="n">
        <v>31.814</v>
      </c>
      <c r="G40" t="n">
        <v>29</v>
      </c>
      <c r="H40" s="21" t="n">
        <v>5</v>
      </c>
      <c r="I40" s="21" t="n">
        <v>45</v>
      </c>
      <c r="J40" s="22" t="n">
        <v>307</v>
      </c>
      <c r="K40" s="21" t="n">
        <v>357</v>
      </c>
    </row>
    <row r="41" spans="1:19">
      <c r="A41" t="n">
        <v>30</v>
      </c>
      <c r="B41" s="21" t="n">
        <v>0</v>
      </c>
      <c r="C41" s="21" t="n">
        <v>0</v>
      </c>
      <c r="D41" s="21" t="n">
        <v>13.399</v>
      </c>
      <c r="E41" s="21" t="n">
        <v>13.399</v>
      </c>
      <c r="G41" t="n">
        <v>30</v>
      </c>
      <c r="H41" s="21" t="n">
        <v>7</v>
      </c>
      <c r="I41" s="21" t="n">
        <v>39</v>
      </c>
      <c r="J41" s="22" t="n">
        <v>447</v>
      </c>
      <c r="K41" s="21" t="n">
        <v>493</v>
      </c>
    </row>
    <row r="42" spans="1:19">
      <c r="A42" t="n">
        <v>31</v>
      </c>
      <c r="B42" s="21" t="n">
        <v>0</v>
      </c>
      <c r="C42" s="21" t="n">
        <v>0</v>
      </c>
      <c r="D42" s="21" t="n">
        <v>0</v>
      </c>
      <c r="E42" s="21" t="n">
        <v>0</v>
      </c>
      <c r="G42" t="n">
        <v>31</v>
      </c>
      <c r="H42" s="21" t="n">
        <v>41</v>
      </c>
      <c r="I42" s="21" t="n">
        <v>51</v>
      </c>
      <c r="J42" s="22" t="n">
        <v>360</v>
      </c>
      <c r="K42" s="21" t="n">
        <v>452</v>
      </c>
    </row>
    <row r="43" spans="1:19">
      <c r="A43" t="n">
        <v>32</v>
      </c>
      <c r="B43" s="21" t="n">
        <v>0</v>
      </c>
      <c r="C43" s="21" t="n">
        <v>0</v>
      </c>
      <c r="D43" s="21" t="n">
        <v>12.739</v>
      </c>
      <c r="E43" s="21" t="n">
        <v>12.739</v>
      </c>
      <c r="G43" t="n">
        <v>32</v>
      </c>
      <c r="H43" s="21" t="n">
        <v>15</v>
      </c>
      <c r="I43" s="21" t="n">
        <v>30</v>
      </c>
      <c r="J43" s="22" t="n">
        <v>192</v>
      </c>
      <c r="K43" s="21" t="n">
        <v>237</v>
      </c>
    </row>
    <row r="44" spans="1:19">
      <c r="A44" t="n">
        <v>33</v>
      </c>
      <c r="B44" s="21" t="n">
        <v>0</v>
      </c>
      <c r="C44" s="21" t="n">
        <v>0</v>
      </c>
      <c r="D44" s="21" t="n">
        <v>10.791</v>
      </c>
      <c r="E44" s="21" t="n">
        <v>10.791</v>
      </c>
      <c r="G44" t="n">
        <v>33</v>
      </c>
      <c r="H44" s="21" t="n">
        <v>17</v>
      </c>
      <c r="I44" s="21" t="n">
        <v>35</v>
      </c>
      <c r="J44" s="22" t="n">
        <v>194</v>
      </c>
      <c r="K44" s="21" t="n">
        <v>246</v>
      </c>
    </row>
    <row r="45" spans="1:19">
      <c r="A45" t="n">
        <v>34</v>
      </c>
      <c r="B45" s="21" t="n">
        <v>0</v>
      </c>
      <c r="C45" s="21" t="n">
        <v>78.9631</v>
      </c>
      <c r="D45" s="21" t="n">
        <v>0</v>
      </c>
      <c r="E45" s="21" t="n">
        <v>78.9631</v>
      </c>
      <c r="G45" t="n">
        <v>34</v>
      </c>
      <c r="H45" s="21" t="n">
        <v>39</v>
      </c>
      <c r="I45" s="21" t="n">
        <v>31</v>
      </c>
      <c r="J45" s="22" t="n">
        <v>1227</v>
      </c>
      <c r="K45" s="21" t="n">
        <v>1297</v>
      </c>
    </row>
    <row r="46" spans="1:19">
      <c r="A46" t="n">
        <v>35</v>
      </c>
      <c r="B46" s="21" t="n">
        <v>0</v>
      </c>
      <c r="C46" s="21" t="n">
        <v>0</v>
      </c>
      <c r="D46" s="21" t="n">
        <v>25.786</v>
      </c>
      <c r="E46" s="21" t="n">
        <v>25.786</v>
      </c>
      <c r="G46" t="n">
        <v>35</v>
      </c>
      <c r="H46" s="21" t="n">
        <v>2</v>
      </c>
      <c r="I46" s="21" t="n">
        <v>15</v>
      </c>
      <c r="J46" s="22" t="n">
        <v>238</v>
      </c>
      <c r="K46" s="21" t="n">
        <v>255</v>
      </c>
    </row>
    <row r="47" spans="1:19">
      <c r="A47" t="n">
        <v>36</v>
      </c>
      <c r="B47" s="21" t="n">
        <v>0</v>
      </c>
      <c r="C47" s="21" t="n">
        <v>0</v>
      </c>
      <c r="D47" s="21" t="n">
        <v>0</v>
      </c>
      <c r="E47" s="21" t="n">
        <v>0</v>
      </c>
      <c r="G47" t="n">
        <v>36</v>
      </c>
      <c r="H47" s="21" t="n">
        <v>14</v>
      </c>
      <c r="I47" s="21" t="n">
        <v>23</v>
      </c>
      <c r="J47" s="22" t="n">
        <v>126</v>
      </c>
      <c r="K47" s="21" t="n">
        <v>163</v>
      </c>
    </row>
    <row r="48" spans="1:19">
      <c r="A48" t="n">
        <v>37</v>
      </c>
      <c r="B48" s="21" t="n">
        <v>0</v>
      </c>
      <c r="C48" s="21" t="n">
        <v>0</v>
      </c>
      <c r="D48" s="21" t="n">
        <v>0</v>
      </c>
      <c r="E48" s="21" t="n">
        <v>0</v>
      </c>
      <c r="G48" t="n">
        <v>37</v>
      </c>
      <c r="H48" s="21" t="n">
        <v>3</v>
      </c>
      <c r="I48" s="21" t="n">
        <v>13</v>
      </c>
      <c r="J48" s="22" t="n">
        <v>124</v>
      </c>
      <c r="K48" s="21" t="n">
        <v>140</v>
      </c>
    </row>
    <row r="49" spans="1:19">
      <c r="A49" t="n">
        <v>38</v>
      </c>
      <c r="B49" s="21" t="n">
        <v>0</v>
      </c>
      <c r="C49" s="21" t="n">
        <v>0</v>
      </c>
      <c r="D49" s="21" t="n">
        <v>0</v>
      </c>
      <c r="E49" s="21" t="n">
        <v>0</v>
      </c>
      <c r="G49" t="n">
        <v>38</v>
      </c>
      <c r="H49" s="21" t="n">
        <v>7</v>
      </c>
      <c r="I49" s="21" t="n">
        <v>15</v>
      </c>
      <c r="J49" s="22" t="n">
        <v>223</v>
      </c>
      <c r="K49" s="21" t="n">
        <v>245</v>
      </c>
    </row>
    <row r="50" spans="1:19">
      <c r="A50" t="n">
        <v>39</v>
      </c>
      <c r="B50" s="21" t="n">
        <v>0</v>
      </c>
      <c r="C50" s="21" t="n">
        <v>0</v>
      </c>
      <c r="D50" s="21" t="n">
        <v>4.128</v>
      </c>
      <c r="E50" s="21" t="n">
        <v>4.128</v>
      </c>
      <c r="G50" t="n">
        <v>39</v>
      </c>
      <c r="H50" s="21" t="n">
        <v>2</v>
      </c>
      <c r="I50" s="21" t="n">
        <v>11</v>
      </c>
      <c r="J50" s="22" t="n">
        <v>159</v>
      </c>
      <c r="K50" s="21" t="n">
        <v>172</v>
      </c>
    </row>
    <row r="51" spans="1:19">
      <c r="A51" t="n">
        <v>40</v>
      </c>
      <c r="B51" s="21" t="n">
        <v>0</v>
      </c>
      <c r="C51" s="21" t="n">
        <v>0</v>
      </c>
      <c r="D51" s="21" t="n">
        <v>860.3701</v>
      </c>
      <c r="E51" s="21" t="n">
        <v>860.3701</v>
      </c>
      <c r="G51" t="n">
        <v>40</v>
      </c>
      <c r="H51" s="21" t="n">
        <v>1</v>
      </c>
      <c r="I51" s="21" t="n">
        <v>7</v>
      </c>
      <c r="J51" s="22" t="n">
        <v>33</v>
      </c>
      <c r="K51" s="21" t="n">
        <v>41</v>
      </c>
    </row>
    <row r="52" spans="1:19">
      <c r="A52" t="n">
        <v>41</v>
      </c>
      <c r="B52" s="21" t="n">
        <v>0</v>
      </c>
      <c r="C52" s="21" t="n">
        <v>0</v>
      </c>
      <c r="D52" s="21" t="n">
        <v>0</v>
      </c>
      <c r="E52" s="21" t="n">
        <v>0</v>
      </c>
      <c r="G52" t="n">
        <v>41</v>
      </c>
      <c r="H52" s="21" t="n">
        <v>2</v>
      </c>
      <c r="I52" s="21" t="n">
        <v>12</v>
      </c>
      <c r="J52" s="22" t="n">
        <v>80</v>
      </c>
      <c r="K52" s="21" t="n">
        <v>94</v>
      </c>
    </row>
    <row r="53" spans="1:19">
      <c r="A53" t="n">
        <v>42</v>
      </c>
      <c r="B53" s="21" t="n">
        <v>0</v>
      </c>
      <c r="C53" s="21" t="n">
        <v>0</v>
      </c>
      <c r="D53" s="21" t="n">
        <v>286.7204</v>
      </c>
      <c r="E53" s="21" t="n">
        <v>286.7204</v>
      </c>
      <c r="G53" t="n">
        <v>42</v>
      </c>
      <c r="H53" s="21" t="n">
        <v>3</v>
      </c>
      <c r="I53" s="21" t="n">
        <v>6</v>
      </c>
      <c r="J53" s="22" t="n">
        <v>42</v>
      </c>
      <c r="K53" s="21" t="n">
        <v>51</v>
      </c>
    </row>
    <row r="54" spans="1:19">
      <c r="A54" t="n">
        <v>43</v>
      </c>
      <c r="B54" s="21" t="n">
        <v>0</v>
      </c>
      <c r="C54" s="21" t="n">
        <v>0</v>
      </c>
      <c r="D54" s="21" t="n">
        <v>0</v>
      </c>
      <c r="E54" s="21" t="n">
        <v>0</v>
      </c>
      <c r="G54" t="n">
        <v>43</v>
      </c>
      <c r="H54" s="21" t="n">
        <v>5</v>
      </c>
      <c r="I54" s="21" t="n">
        <v>8</v>
      </c>
      <c r="J54" s="22" t="n">
        <v>172</v>
      </c>
      <c r="K54" s="21" t="n">
        <v>185</v>
      </c>
    </row>
    <row r="55" spans="1:19">
      <c r="A55" t="n">
        <v>44</v>
      </c>
      <c r="B55" s="21" t="n">
        <v>0</v>
      </c>
      <c r="C55" s="21" t="n">
        <v>0</v>
      </c>
      <c r="D55" s="21" t="n">
        <v>0</v>
      </c>
      <c r="E55" s="21" t="n">
        <v>0</v>
      </c>
      <c r="G55" t="n">
        <v>44</v>
      </c>
      <c r="H55" s="21" t="n">
        <v>2</v>
      </c>
      <c r="I55" s="21" t="n">
        <v>0</v>
      </c>
      <c r="J55" s="22" t="n">
        <v>61</v>
      </c>
      <c r="K55" s="21" t="n">
        <v>63</v>
      </c>
    </row>
    <row r="56" spans="1:19">
      <c r="A56" t="n">
        <v>45</v>
      </c>
      <c r="B56" s="21" t="n">
        <v>0</v>
      </c>
      <c r="C56" s="21" t="n">
        <v>0</v>
      </c>
      <c r="D56" s="21" t="n">
        <v>0</v>
      </c>
      <c r="E56" s="21" t="n">
        <v>0</v>
      </c>
      <c r="G56" t="n">
        <v>45</v>
      </c>
      <c r="H56" s="21" t="n">
        <v>2</v>
      </c>
      <c r="I56" s="21" t="n">
        <v>13</v>
      </c>
      <c r="J56" s="22" t="n">
        <v>178</v>
      </c>
      <c r="K56" s="21" t="n">
        <v>193</v>
      </c>
    </row>
    <row r="57" spans="1:19">
      <c r="A57" t="n">
        <v>46</v>
      </c>
      <c r="B57" s="21" t="n">
        <v>0</v>
      </c>
      <c r="C57" s="21" t="n">
        <v>0</v>
      </c>
      <c r="D57" s="21" t="n">
        <v>0</v>
      </c>
      <c r="E57" s="21" t="n">
        <v>0</v>
      </c>
      <c r="G57" t="n">
        <v>46</v>
      </c>
      <c r="H57" s="21" t="n">
        <v>2</v>
      </c>
      <c r="I57" s="21" t="n">
        <v>3</v>
      </c>
      <c r="J57" s="22" t="n">
        <v>72</v>
      </c>
      <c r="K57" s="21" t="n">
        <v>77</v>
      </c>
    </row>
    <row r="58" spans="1:19">
      <c r="A58" t="n">
        <v>47</v>
      </c>
      <c r="B58" s="21" t="n">
        <v>0</v>
      </c>
      <c r="C58" s="21" t="n">
        <v>0</v>
      </c>
      <c r="D58" s="21" t="n">
        <v>0</v>
      </c>
      <c r="E58" s="21" t="n">
        <v>0</v>
      </c>
      <c r="G58" t="n">
        <v>47</v>
      </c>
      <c r="H58" s="21" t="n">
        <v>0</v>
      </c>
      <c r="I58" s="21" t="n">
        <v>13</v>
      </c>
      <c r="J58" s="22" t="n">
        <v>94</v>
      </c>
      <c r="K58" s="21" t="n">
        <v>107</v>
      </c>
    </row>
    <row r="59" spans="1:19">
      <c r="A59" t="n">
        <v>48</v>
      </c>
      <c r="B59" s="21" t="n">
        <v>0</v>
      </c>
      <c r="C59" s="21" t="n">
        <v>0</v>
      </c>
      <c r="D59" s="21" t="n">
        <v>468.9894</v>
      </c>
      <c r="E59" s="21" t="n">
        <v>468.9894</v>
      </c>
      <c r="G59" t="n">
        <v>48</v>
      </c>
      <c r="H59" s="21" t="n">
        <v>1</v>
      </c>
      <c r="I59" s="21" t="n">
        <v>4</v>
      </c>
      <c r="J59" s="22" t="n">
        <v>33</v>
      </c>
      <c r="K59" s="21" t="n">
        <v>38</v>
      </c>
    </row>
    <row r="60" spans="1:19">
      <c r="A60" t="n">
        <v>49</v>
      </c>
      <c r="B60" s="21" t="n">
        <v>0</v>
      </c>
      <c r="C60" s="21" t="n">
        <v>0</v>
      </c>
      <c r="D60" s="21" t="n">
        <v>0</v>
      </c>
      <c r="E60" s="21" t="n">
        <v>0</v>
      </c>
      <c r="G60" t="n">
        <v>49</v>
      </c>
      <c r="H60" s="21" t="n">
        <v>1</v>
      </c>
      <c r="I60" s="21" t="n">
        <v>4</v>
      </c>
      <c r="J60" s="22" t="n">
        <v>133</v>
      </c>
      <c r="K60" s="21" t="n">
        <v>138</v>
      </c>
    </row>
    <row r="61" spans="1:19">
      <c r="A61" t="n">
        <v>50</v>
      </c>
      <c r="B61" s="21" t="n">
        <v>0</v>
      </c>
      <c r="C61" s="21" t="n">
        <v>0</v>
      </c>
      <c r="D61" s="21" t="n">
        <v>249.3058</v>
      </c>
      <c r="E61" s="21" t="n">
        <v>249.3058</v>
      </c>
      <c r="G61" t="n">
        <v>50</v>
      </c>
      <c r="H61" s="21" t="n">
        <v>1</v>
      </c>
      <c r="I61" s="21" t="n">
        <v>6</v>
      </c>
      <c r="J61" s="22" t="n">
        <v>26</v>
      </c>
      <c r="K61" s="21" t="n">
        <v>33</v>
      </c>
    </row>
    <row r="62" spans="1:19">
      <c r="A62" t="n">
        <v>51</v>
      </c>
      <c r="B62" s="21" t="n">
        <v>0</v>
      </c>
      <c r="C62" s="21" t="n">
        <v>0</v>
      </c>
      <c r="D62" s="21" t="n">
        <v>0</v>
      </c>
      <c r="E62" s="21" t="n">
        <v>0</v>
      </c>
      <c r="G62" t="n">
        <v>51</v>
      </c>
      <c r="H62" s="21" t="n">
        <v>0</v>
      </c>
      <c r="I62" s="21" t="n">
        <v>6</v>
      </c>
      <c r="J62" s="22" t="n">
        <v>53</v>
      </c>
      <c r="K62" s="21" t="n">
        <v>59</v>
      </c>
    </row>
    <row r="63" spans="1:19">
      <c r="A63" t="n">
        <v>52</v>
      </c>
      <c r="B63" s="21" t="n">
        <v>0</v>
      </c>
      <c r="C63" s="21" t="n">
        <v>0</v>
      </c>
      <c r="D63" s="21" t="n">
        <v>0</v>
      </c>
      <c r="E63" s="21" t="n">
        <v>0</v>
      </c>
      <c r="G63" t="n">
        <v>52</v>
      </c>
      <c r="H63" s="21" t="n">
        <v>0</v>
      </c>
      <c r="I63" s="21" t="n">
        <v>0</v>
      </c>
      <c r="J63" s="22" t="n">
        <v>19</v>
      </c>
      <c r="K63" s="21" t="n">
        <v>19</v>
      </c>
    </row>
    <row r="64" spans="1:19">
      <c r="A64" t="n">
        <v>53</v>
      </c>
      <c r="B64" s="21" t="n">
        <v>0</v>
      </c>
      <c r="C64" s="21" t="n">
        <v>0</v>
      </c>
      <c r="D64" s="21" t="n">
        <v>13.487</v>
      </c>
      <c r="E64" s="21" t="n">
        <v>13.487</v>
      </c>
      <c r="G64" t="n">
        <v>53</v>
      </c>
      <c r="H64" s="21" t="n">
        <v>0</v>
      </c>
      <c r="I64" s="21" t="n">
        <v>5</v>
      </c>
      <c r="J64" s="22" t="n">
        <v>65</v>
      </c>
      <c r="K64" s="21" t="n">
        <v>70</v>
      </c>
    </row>
    <row r="65" spans="1:19">
      <c r="A65" t="n">
        <v>54</v>
      </c>
      <c r="B65" s="21" t="n">
        <v>0</v>
      </c>
      <c r="C65" s="21" t="n">
        <v>0</v>
      </c>
      <c r="D65" s="21" t="n">
        <v>0</v>
      </c>
      <c r="E65" s="21" t="n">
        <v>0</v>
      </c>
      <c r="G65" t="n">
        <v>54</v>
      </c>
      <c r="H65" s="21" t="n">
        <v>0</v>
      </c>
      <c r="I65" s="21" t="n">
        <v>3</v>
      </c>
      <c r="J65" s="22" t="n">
        <v>8</v>
      </c>
      <c r="K65" s="21" t="n">
        <v>11</v>
      </c>
    </row>
    <row r="66" spans="1:19">
      <c r="A66" t="n">
        <v>55</v>
      </c>
      <c r="B66" s="21" t="n">
        <v>0</v>
      </c>
      <c r="C66" s="21" t="n">
        <v>0</v>
      </c>
      <c r="D66" s="21" t="n">
        <v>3.675</v>
      </c>
      <c r="E66" s="21" t="n">
        <v>3.675</v>
      </c>
      <c r="G66" t="n">
        <v>55</v>
      </c>
      <c r="H66" s="21" t="n">
        <v>0</v>
      </c>
      <c r="I66" s="21" t="n">
        <v>4</v>
      </c>
      <c r="J66" s="22" t="n">
        <v>15</v>
      </c>
      <c r="K66" s="21" t="n">
        <v>19</v>
      </c>
    </row>
    <row r="67" spans="1:19">
      <c r="A67" t="n">
        <v>56</v>
      </c>
      <c r="B67" s="21" t="n">
        <v>0</v>
      </c>
      <c r="C67" s="21" t="n">
        <v>0</v>
      </c>
      <c r="D67" s="21" t="n">
        <v>0</v>
      </c>
      <c r="E67" s="21" t="n">
        <v>0</v>
      </c>
      <c r="G67" t="n">
        <v>56</v>
      </c>
      <c r="H67" s="21" t="n">
        <v>0</v>
      </c>
      <c r="I67" s="21" t="n">
        <v>4</v>
      </c>
      <c r="J67" s="22" t="n">
        <v>14</v>
      </c>
      <c r="K67" s="21" t="n">
        <v>18</v>
      </c>
    </row>
    <row r="68" spans="1:19">
      <c r="A68" t="n">
        <v>57</v>
      </c>
      <c r="B68" s="21" t="n">
        <v>0</v>
      </c>
      <c r="C68" s="21" t="n">
        <v>0</v>
      </c>
      <c r="D68" s="21" t="n">
        <v>0</v>
      </c>
      <c r="E68" s="21" t="n">
        <v>0</v>
      </c>
      <c r="G68" t="n">
        <v>57</v>
      </c>
      <c r="H68" s="21" t="n">
        <v>0</v>
      </c>
      <c r="I68" s="21" t="n">
        <v>2</v>
      </c>
      <c r="J68" s="22" t="n">
        <v>0</v>
      </c>
      <c r="K68" s="21" t="n">
        <v>2</v>
      </c>
    </row>
    <row r="69" spans="1:19">
      <c r="A69" t="n">
        <v>58</v>
      </c>
      <c r="B69" s="21" t="n">
        <v>0</v>
      </c>
      <c r="C69" s="21" t="n">
        <v>0</v>
      </c>
      <c r="D69" s="21" t="n">
        <v>0</v>
      </c>
      <c r="E69" s="21" t="n">
        <v>0</v>
      </c>
      <c r="G69" t="n">
        <v>58</v>
      </c>
      <c r="H69" s="21" t="n">
        <v>1</v>
      </c>
      <c r="I69" s="21" t="n">
        <v>2</v>
      </c>
      <c r="J69" s="22" t="n">
        <v>1</v>
      </c>
      <c r="K69" s="21" t="n">
        <v>4</v>
      </c>
    </row>
    <row r="70" spans="1:19">
      <c r="A70" t="n">
        <v>59</v>
      </c>
      <c r="B70" s="21" t="n">
        <v>0</v>
      </c>
      <c r="C70" s="21" t="n">
        <v>0</v>
      </c>
      <c r="D70" s="21" t="n">
        <v>0</v>
      </c>
      <c r="E70" s="21" t="n">
        <v>0</v>
      </c>
      <c r="G70" t="n">
        <v>59</v>
      </c>
      <c r="H70" s="21" t="n">
        <v>0</v>
      </c>
      <c r="I70" s="21" t="n">
        <v>3</v>
      </c>
      <c r="J70" s="22" t="n">
        <v>2</v>
      </c>
      <c r="K70" s="21" t="n">
        <v>5</v>
      </c>
    </row>
    <row r="71" spans="1:19">
      <c r="A71" t="n">
        <v>60</v>
      </c>
      <c r="B71" s="21" t="n">
        <v>0</v>
      </c>
      <c r="C71" s="21" t="n">
        <v>0</v>
      </c>
      <c r="D71" s="21" t="n">
        <v>0</v>
      </c>
      <c r="E71" s="21" t="n">
        <v>0</v>
      </c>
      <c r="G71" t="n">
        <v>60</v>
      </c>
      <c r="H71" s="21" t="n">
        <v>0</v>
      </c>
      <c r="I71" s="21" t="n">
        <v>0</v>
      </c>
      <c r="J71" s="22" t="n">
        <v>8</v>
      </c>
      <c r="K71" s="21" t="n">
        <v>8</v>
      </c>
    </row>
    <row r="72" spans="1:19">
      <c r="A72" t="n">
        <v>61</v>
      </c>
      <c r="B72" s="21" t="n">
        <v>0</v>
      </c>
      <c r="C72" s="21" t="n">
        <v>0</v>
      </c>
      <c r="D72" s="21" t="n">
        <v>0</v>
      </c>
      <c r="E72" s="21" t="n">
        <v>0</v>
      </c>
      <c r="G72" t="n">
        <v>61</v>
      </c>
      <c r="H72" s="21" t="n">
        <v>0</v>
      </c>
      <c r="I72" s="21" t="n">
        <v>3</v>
      </c>
      <c r="J72" s="22" t="n">
        <v>0</v>
      </c>
      <c r="K72" s="21" t="n">
        <v>3</v>
      </c>
    </row>
    <row r="73" spans="1:19">
      <c r="A73" t="n">
        <v>62</v>
      </c>
      <c r="B73" s="21" t="n">
        <v>0</v>
      </c>
      <c r="C73" s="21" t="n">
        <v>0</v>
      </c>
      <c r="D73" s="21" t="n">
        <v>0</v>
      </c>
      <c r="E73" s="21" t="n">
        <v>0</v>
      </c>
      <c r="G73" t="n">
        <v>62</v>
      </c>
      <c r="H73" s="21" t="n">
        <v>0</v>
      </c>
      <c r="I73" s="21" t="n">
        <v>0</v>
      </c>
      <c r="J73" s="22" t="n">
        <v>1</v>
      </c>
      <c r="K73" s="21" t="n">
        <v>1</v>
      </c>
    </row>
    <row r="74" spans="1:19">
      <c r="A74" t="n">
        <v>63</v>
      </c>
      <c r="B74" s="21" t="n">
        <v>0</v>
      </c>
      <c r="C74" s="21" t="n">
        <v>0</v>
      </c>
      <c r="D74" s="21" t="n">
        <v>0</v>
      </c>
      <c r="E74" s="21" t="n">
        <v>0</v>
      </c>
      <c r="G74" t="n">
        <v>63</v>
      </c>
      <c r="H74" s="21" t="n">
        <v>0</v>
      </c>
      <c r="I74" s="21" t="n">
        <v>1</v>
      </c>
      <c r="J74" s="22" t="n">
        <v>0</v>
      </c>
      <c r="K74" s="21" t="n">
        <v>1</v>
      </c>
    </row>
    <row r="75" spans="1:19">
      <c r="A75" t="n">
        <v>64</v>
      </c>
      <c r="B75" s="21" t="n">
        <v>0</v>
      </c>
      <c r="C75" s="21" t="n">
        <v>0</v>
      </c>
      <c r="D75" s="21" t="n">
        <v>0</v>
      </c>
      <c r="E75" s="21" t="n">
        <v>0</v>
      </c>
      <c r="G75" t="n">
        <v>64</v>
      </c>
      <c r="H75" s="21" t="n">
        <v>0</v>
      </c>
      <c r="I75" s="21" t="n">
        <v>1</v>
      </c>
      <c r="J75" s="22" t="n">
        <v>3</v>
      </c>
      <c r="K75" s="21" t="n">
        <v>4</v>
      </c>
    </row>
    <row r="76" spans="1:19">
      <c r="A76" t="n">
        <v>65</v>
      </c>
      <c r="B76" s="21" t="n">
        <v>0</v>
      </c>
      <c r="C76" s="21" t="n">
        <v>0</v>
      </c>
      <c r="D76" s="21" t="n">
        <v>0</v>
      </c>
      <c r="E76" s="21" t="n">
        <v>0</v>
      </c>
      <c r="G76" t="n">
        <v>65</v>
      </c>
      <c r="H76" s="21" t="n">
        <v>0</v>
      </c>
      <c r="I76" s="21" t="n">
        <v>1</v>
      </c>
      <c r="J76" s="22" t="n">
        <v>3</v>
      </c>
      <c r="K76" s="21" t="n">
        <v>4</v>
      </c>
    </row>
    <row r="77" spans="1:19">
      <c r="A77" t="n">
        <v>66</v>
      </c>
      <c r="B77" s="21" t="n">
        <v>0</v>
      </c>
      <c r="C77" s="21" t="n">
        <v>0</v>
      </c>
      <c r="D77" s="21" t="n">
        <v>0</v>
      </c>
      <c r="E77" s="21" t="n">
        <v>0</v>
      </c>
      <c r="G77" t="n">
        <v>66</v>
      </c>
      <c r="H77" s="21" t="n">
        <v>0</v>
      </c>
      <c r="I77" s="21" t="n">
        <v>1</v>
      </c>
      <c r="J77" s="21" t="n">
        <v>0</v>
      </c>
      <c r="K77" s="21" t="n">
        <v>1</v>
      </c>
    </row>
    <row r="78" spans="1:19">
      <c r="A78" t="n">
        <v>67</v>
      </c>
      <c r="B78" s="21" t="n">
        <v>0</v>
      </c>
      <c r="C78" s="21" t="n">
        <v>0</v>
      </c>
      <c r="D78" s="21" t="n">
        <v>0</v>
      </c>
      <c r="E78" s="21" t="n">
        <v>0</v>
      </c>
      <c r="G78" t="n">
        <v>67</v>
      </c>
      <c r="H78" s="21" t="n">
        <v>0</v>
      </c>
      <c r="I78" s="21" t="n">
        <v>0</v>
      </c>
      <c r="J78" s="21" t="n">
        <v>1</v>
      </c>
      <c r="K78" s="21" t="n">
        <v>1</v>
      </c>
    </row>
    <row r="79" spans="1:19">
      <c r="A79" t="n">
        <v>68</v>
      </c>
      <c r="B79" s="21" t="n">
        <v>0</v>
      </c>
      <c r="C79" s="21" t="n">
        <v>0</v>
      </c>
      <c r="D79" s="21" t="n">
        <v>0</v>
      </c>
      <c r="E79" s="21" t="n">
        <v>0</v>
      </c>
      <c r="G79" t="n">
        <v>68</v>
      </c>
      <c r="H79" s="21" t="n">
        <v>0</v>
      </c>
      <c r="I79" s="21" t="n">
        <v>0</v>
      </c>
      <c r="J79" s="22" t="n">
        <v>0</v>
      </c>
      <c r="K79" s="21" t="n">
        <v>0</v>
      </c>
    </row>
    <row r="80" spans="1:19">
      <c r="A80" t="n">
        <v>69</v>
      </c>
      <c r="B80" s="21" t="n">
        <v>0</v>
      </c>
      <c r="C80" s="21" t="n">
        <v>0</v>
      </c>
      <c r="D80" s="21" t="n">
        <v>0</v>
      </c>
      <c r="E80" s="21" t="n">
        <v>0</v>
      </c>
      <c r="G80" t="n">
        <v>69</v>
      </c>
      <c r="H80" s="21" t="n">
        <v>0</v>
      </c>
      <c r="I80" s="21" t="n">
        <v>2</v>
      </c>
      <c r="J80" s="21" t="n">
        <v>4</v>
      </c>
      <c r="K80" s="21" t="n">
        <v>6</v>
      </c>
    </row>
    <row r="81" spans="1:19">
      <c r="A81" t="n">
        <v>70</v>
      </c>
      <c r="B81" s="21" t="n">
        <v>0</v>
      </c>
      <c r="C81" s="21" t="n">
        <v>0</v>
      </c>
      <c r="D81" s="21" t="n">
        <v>0</v>
      </c>
      <c r="E81" s="21" t="n">
        <v>0</v>
      </c>
      <c r="G81" t="n">
        <v>70</v>
      </c>
      <c r="H81" s="21" t="n">
        <v>0</v>
      </c>
      <c r="I81" s="21" t="n">
        <v>0</v>
      </c>
      <c r="J81" s="22" t="n">
        <v>11</v>
      </c>
      <c r="K81" s="21" t="n">
        <v>11</v>
      </c>
    </row>
    <row r="82" spans="1:19">
      <c r="A82" t="n">
        <v>71</v>
      </c>
      <c r="B82" s="21" t="n">
        <v>0</v>
      </c>
      <c r="C82" s="21" t="n">
        <v>0</v>
      </c>
      <c r="D82" s="21" t="n">
        <v>0</v>
      </c>
      <c r="E82" s="21" t="n">
        <v>0</v>
      </c>
      <c r="G82" t="n">
        <v>71</v>
      </c>
      <c r="H82" s="21" t="n">
        <v>0</v>
      </c>
      <c r="I82" s="21" t="n">
        <v>0</v>
      </c>
      <c r="J82" s="22" t="n">
        <v>1</v>
      </c>
      <c r="K82" s="21" t="n">
        <v>1</v>
      </c>
    </row>
    <row r="83" spans="1:19">
      <c r="A83" t="n">
        <v>72</v>
      </c>
      <c r="B83" s="21" t="n">
        <v>0</v>
      </c>
      <c r="C83" s="21" t="n">
        <v>0</v>
      </c>
      <c r="D83" s="21" t="n">
        <v>0</v>
      </c>
      <c r="E83" s="21" t="n">
        <v>0</v>
      </c>
      <c r="G83" t="n">
        <v>72</v>
      </c>
      <c r="H83" s="21" t="n">
        <v>0</v>
      </c>
      <c r="I83" s="21" t="n">
        <v>0</v>
      </c>
      <c r="J83" s="21" t="n">
        <v>0</v>
      </c>
      <c r="K83" s="21" t="n">
        <v>0</v>
      </c>
    </row>
    <row r="84" spans="1:19">
      <c r="A84" t="n">
        <v>73</v>
      </c>
      <c r="B84" s="21" t="n">
        <v>0</v>
      </c>
      <c r="C84" s="21" t="n">
        <v>0</v>
      </c>
      <c r="D84" s="21" t="n">
        <v>0</v>
      </c>
      <c r="E84" s="21" t="n">
        <v>0</v>
      </c>
      <c r="G84" t="n">
        <v>73</v>
      </c>
      <c r="H84" s="21" t="n">
        <v>0</v>
      </c>
      <c r="I84" s="21" t="n">
        <v>0</v>
      </c>
      <c r="J84" s="21" t="n">
        <v>0</v>
      </c>
      <c r="K84" s="21" t="n">
        <v>0</v>
      </c>
    </row>
    <row r="85" spans="1:19">
      <c r="A85" t="n">
        <v>74</v>
      </c>
      <c r="B85" s="21" t="n">
        <v>0</v>
      </c>
      <c r="C85" s="21" t="n">
        <v>0</v>
      </c>
      <c r="D85" s="21" t="n">
        <v>0</v>
      </c>
      <c r="E85" s="21" t="n">
        <v>0</v>
      </c>
      <c r="G85" t="n">
        <v>74</v>
      </c>
      <c r="H85" s="21" t="n">
        <v>0</v>
      </c>
      <c r="I85" s="21" t="n">
        <v>0</v>
      </c>
      <c r="J85" s="21" t="n">
        <v>1</v>
      </c>
      <c r="K85" s="21" t="n">
        <v>1</v>
      </c>
    </row>
    <row r="86" spans="1:19">
      <c r="A86" t="n">
        <v>75</v>
      </c>
      <c r="B86" s="21" t="n">
        <v>0</v>
      </c>
      <c r="C86" s="21" t="n">
        <v>0</v>
      </c>
      <c r="D86" s="21" t="n">
        <v>0</v>
      </c>
      <c r="E86" s="21" t="n">
        <v>0</v>
      </c>
      <c r="G86" t="n">
        <v>75</v>
      </c>
      <c r="H86" s="21" t="n">
        <v>0</v>
      </c>
      <c r="I86" s="21" t="n">
        <v>0</v>
      </c>
      <c r="J86" s="21" t="n">
        <v>0</v>
      </c>
      <c r="K86" s="21" t="n">
        <v>0</v>
      </c>
    </row>
    <row r="87" spans="1:19">
      <c r="A87" t="n">
        <v>76</v>
      </c>
      <c r="B87" s="21" t="n">
        <v>0</v>
      </c>
      <c r="C87" s="21" t="n">
        <v>0</v>
      </c>
      <c r="D87" s="21" t="n">
        <v>0</v>
      </c>
      <c r="E87" s="21" t="n">
        <v>0</v>
      </c>
      <c r="G87" t="n">
        <v>76</v>
      </c>
      <c r="H87" s="21" t="n">
        <v>0</v>
      </c>
      <c r="I87" s="21" t="n">
        <v>0</v>
      </c>
      <c r="J87" s="22" t="n">
        <v>0</v>
      </c>
      <c r="K87" s="21" t="n">
        <v>0</v>
      </c>
    </row>
    <row r="88" spans="1:19">
      <c r="A88" t="n">
        <v>77</v>
      </c>
      <c r="B88" s="21" t="n">
        <v>0</v>
      </c>
      <c r="C88" s="21" t="n">
        <v>0</v>
      </c>
      <c r="D88" s="21" t="n">
        <v>0</v>
      </c>
      <c r="E88" s="21" t="n">
        <v>0</v>
      </c>
      <c r="G88" t="n">
        <v>77</v>
      </c>
      <c r="H88" s="21" t="n">
        <v>0</v>
      </c>
      <c r="I88" s="21" t="n">
        <v>0</v>
      </c>
      <c r="J88" s="21" t="n">
        <v>0</v>
      </c>
      <c r="K88" s="21" t="n">
        <v>0</v>
      </c>
    </row>
    <row r="89" spans="1:19">
      <c r="A89" t="n">
        <v>78</v>
      </c>
      <c r="B89" s="21" t="n">
        <v>0</v>
      </c>
      <c r="C89" s="21" t="n">
        <v>0</v>
      </c>
      <c r="D89" s="21" t="n">
        <v>0</v>
      </c>
      <c r="E89" s="21" t="n">
        <v>0</v>
      </c>
      <c r="G89" t="n">
        <v>78</v>
      </c>
      <c r="H89" s="21" t="n">
        <v>0</v>
      </c>
      <c r="I89" s="21" t="n">
        <v>0</v>
      </c>
      <c r="J89" s="22" t="n">
        <v>1</v>
      </c>
      <c r="K89" s="21" t="n">
        <v>1</v>
      </c>
    </row>
    <row r="90" spans="1:19">
      <c r="A90" t="n">
        <v>79</v>
      </c>
      <c r="B90" s="21" t="n">
        <v>0</v>
      </c>
      <c r="C90" s="21" t="n">
        <v>0</v>
      </c>
      <c r="D90" s="21" t="n">
        <v>0</v>
      </c>
      <c r="E90" s="21" t="n">
        <v>0</v>
      </c>
      <c r="G90" t="n">
        <v>79</v>
      </c>
      <c r="H90" s="21" t="n">
        <v>0</v>
      </c>
      <c r="I90" s="21" t="n">
        <v>0</v>
      </c>
      <c r="J90" s="21" t="n">
        <v>0</v>
      </c>
      <c r="K90" s="21" t="n">
        <v>0</v>
      </c>
    </row>
    <row r="91" spans="1:19">
      <c r="A91" t="n">
        <v>80</v>
      </c>
      <c r="B91" s="21" t="n">
        <v>0</v>
      </c>
      <c r="C91" s="21" t="n">
        <v>0</v>
      </c>
      <c r="D91" s="21" t="n">
        <v>0</v>
      </c>
      <c r="E91" s="21" t="n">
        <v>0</v>
      </c>
      <c r="G91" t="n">
        <v>80</v>
      </c>
      <c r="H91" s="21" t="n">
        <v>0</v>
      </c>
      <c r="I91" s="21" t="n">
        <v>0</v>
      </c>
      <c r="J91" s="21" t="n">
        <v>0</v>
      </c>
      <c r="K91" s="21" t="n">
        <v>0</v>
      </c>
    </row>
    <row r="92" spans="1:19">
      <c r="A92" t="n">
        <v>81</v>
      </c>
      <c r="B92" s="21" t="n">
        <v>0</v>
      </c>
      <c r="C92" s="21" t="n">
        <v>0</v>
      </c>
      <c r="D92" s="21" t="n">
        <v>0</v>
      </c>
      <c r="E92" s="21" t="n">
        <v>0</v>
      </c>
      <c r="G92" t="n">
        <v>81</v>
      </c>
      <c r="H92" s="21" t="n">
        <v>0</v>
      </c>
      <c r="I92" s="21" t="n">
        <v>0</v>
      </c>
      <c r="J92" s="22" t="n">
        <v>0</v>
      </c>
      <c r="K92" s="21" t="n">
        <v>0</v>
      </c>
    </row>
    <row r="93" spans="1:19">
      <c r="A93" t="n">
        <v>82</v>
      </c>
      <c r="B93" s="21" t="n">
        <v>0</v>
      </c>
      <c r="C93" s="21" t="n">
        <v>0</v>
      </c>
      <c r="D93" s="21" t="n">
        <v>0</v>
      </c>
      <c r="E93" s="21" t="n">
        <v>0</v>
      </c>
      <c r="G93" t="n">
        <v>82</v>
      </c>
      <c r="H93" s="21" t="n">
        <v>0</v>
      </c>
      <c r="I93" s="21" t="n">
        <v>0</v>
      </c>
      <c r="J93" s="21" t="n">
        <v>0</v>
      </c>
      <c r="K93" s="21" t="n">
        <v>0</v>
      </c>
    </row>
    <row r="94" spans="1:19">
      <c r="A94" t="n">
        <v>83</v>
      </c>
      <c r="B94" s="21" t="n">
        <v>0</v>
      </c>
      <c r="C94" s="21" t="n">
        <v>0</v>
      </c>
      <c r="D94" s="21" t="n">
        <v>0</v>
      </c>
      <c r="E94" s="21" t="n">
        <v>0</v>
      </c>
      <c r="G94" t="n">
        <v>83</v>
      </c>
      <c r="H94" s="21" t="n">
        <v>0</v>
      </c>
      <c r="I94" s="21" t="n">
        <v>0</v>
      </c>
      <c r="J94" s="21" t="n">
        <v>0</v>
      </c>
      <c r="K94" s="21" t="n">
        <v>0</v>
      </c>
    </row>
    <row r="95" spans="1:19">
      <c r="A95" t="n">
        <v>84</v>
      </c>
      <c r="B95" s="21" t="n">
        <v>0</v>
      </c>
      <c r="C95" s="21" t="n">
        <v>0</v>
      </c>
      <c r="D95" s="21" t="n">
        <v>0</v>
      </c>
      <c r="E95" s="21" t="n">
        <v>0</v>
      </c>
      <c r="G95" t="n">
        <v>84</v>
      </c>
      <c r="H95" s="21" t="n">
        <v>0</v>
      </c>
      <c r="I95" s="21" t="n">
        <v>0</v>
      </c>
      <c r="J95" s="21" t="n">
        <v>0</v>
      </c>
      <c r="K95" s="21" t="n">
        <v>0</v>
      </c>
    </row>
    <row r="96" spans="1:19">
      <c r="A96" t="n">
        <v>85</v>
      </c>
      <c r="B96" s="21" t="n">
        <v>0</v>
      </c>
      <c r="C96" s="21" t="n">
        <v>0</v>
      </c>
      <c r="D96" s="21" t="n">
        <v>0</v>
      </c>
      <c r="E96" s="21" t="n">
        <v>0</v>
      </c>
      <c r="G96" t="n">
        <v>85</v>
      </c>
      <c r="H96" s="21" t="n">
        <v>0</v>
      </c>
      <c r="I96" s="21" t="n">
        <v>0</v>
      </c>
      <c r="J96" s="21" t="n">
        <v>0</v>
      </c>
      <c r="K96" s="21" t="n">
        <v>0</v>
      </c>
    </row>
    <row r="97" spans="1:19">
      <c r="A97" t="n">
        <v>86</v>
      </c>
      <c r="B97" s="21" t="n">
        <v>0</v>
      </c>
      <c r="C97" s="21" t="n">
        <v>0</v>
      </c>
      <c r="D97" s="21" t="n">
        <v>0</v>
      </c>
      <c r="E97" s="21" t="n">
        <v>0</v>
      </c>
      <c r="G97" t="n">
        <v>86</v>
      </c>
      <c r="H97" s="21" t="n">
        <v>0</v>
      </c>
      <c r="I97" s="21" t="n">
        <v>0</v>
      </c>
      <c r="J97" s="21" t="n">
        <v>0</v>
      </c>
      <c r="K97" s="21" t="n">
        <v>0</v>
      </c>
    </row>
    <row r="98" spans="1:19">
      <c r="A98" t="n">
        <v>87</v>
      </c>
      <c r="B98" s="21" t="n">
        <v>0</v>
      </c>
      <c r="C98" s="21" t="n">
        <v>0</v>
      </c>
      <c r="D98" s="21" t="n">
        <v>0</v>
      </c>
      <c r="E98" s="21" t="n">
        <v>0</v>
      </c>
      <c r="G98" t="n">
        <v>87</v>
      </c>
      <c r="H98" s="21" t="n">
        <v>0</v>
      </c>
      <c r="I98" s="21" t="n">
        <v>0</v>
      </c>
      <c r="J98" s="21" t="n">
        <v>0</v>
      </c>
      <c r="K98" s="21" t="n">
        <v>0</v>
      </c>
    </row>
    <row r="99" spans="1:19">
      <c r="A99" t="n">
        <v>88</v>
      </c>
      <c r="B99" s="21" t="n">
        <v>0</v>
      </c>
      <c r="C99" s="21" t="n">
        <v>0</v>
      </c>
      <c r="D99" s="21" t="n">
        <v>0</v>
      </c>
      <c r="E99" s="21" t="n">
        <v>0</v>
      </c>
      <c r="G99" t="n">
        <v>88</v>
      </c>
      <c r="H99" s="21" t="n">
        <v>0</v>
      </c>
      <c r="I99" s="21" t="n">
        <v>0</v>
      </c>
      <c r="J99" s="21" t="n">
        <v>0</v>
      </c>
      <c r="K99" s="21" t="n">
        <v>0</v>
      </c>
    </row>
    <row r="100" spans="1:19">
      <c r="A100" t="n">
        <v>89</v>
      </c>
      <c r="B100" s="21" t="n">
        <v>0</v>
      </c>
      <c r="C100" s="21" t="n">
        <v>0</v>
      </c>
      <c r="D100" s="21" t="n">
        <v>0</v>
      </c>
      <c r="E100" s="21" t="n">
        <v>0</v>
      </c>
      <c r="G100" t="n">
        <v>89</v>
      </c>
      <c r="H100" s="21" t="n">
        <v>0</v>
      </c>
      <c r="I100" s="21" t="n">
        <v>0</v>
      </c>
      <c r="J100" s="21" t="n">
        <v>0</v>
      </c>
      <c r="K100" s="21" t="n">
        <v>0</v>
      </c>
    </row>
    <row customHeight="1" ht="15.75" r="101" spans="1:19">
      <c r="A101" s="15" t="n">
        <v>90</v>
      </c>
      <c r="B101" s="27" t="n">
        <v>56177.1072</v>
      </c>
      <c r="C101" s="27" t="n">
        <v>10417.5607</v>
      </c>
      <c r="D101" s="27" t="n">
        <v>42483.8395</v>
      </c>
      <c r="E101" s="27" t="n">
        <v>109078.5074</v>
      </c>
      <c r="G101" s="15" t="n">
        <v>90</v>
      </c>
      <c r="H101" s="27" t="n">
        <v>21334</v>
      </c>
      <c r="I101" s="27" t="n">
        <v>0</v>
      </c>
      <c r="J101" s="27" t="n">
        <v>0</v>
      </c>
      <c r="K101" s="27" t="n">
        <v>21334</v>
      </c>
    </row>
  </sheetData>
  <pageMargins bottom="0.75" footer="0.3" header="0.3" left="0.7" right="0.7" top="0.75"/>
  <pageSetup orientation="portrait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S101"/>
  <sheetViews>
    <sheetView workbookViewId="0">
      <selection activeCell="L21" sqref="L21"/>
    </sheetView>
  </sheetViews>
  <sheetFormatPr baseColWidth="10" defaultRowHeight="15" outlineLevelCol="0"/>
  <cols>
    <col collapsed="1" customWidth="1" max="1" min="1" style="13" width="13.5703125"/>
    <col collapsed="1" customWidth="1" max="2" min="2" style="13" width="10.5703125"/>
    <col collapsed="1" customWidth="1" max="4" min="3" style="13" width="9.5703125"/>
    <col collapsed="1" customWidth="1" max="5" min="5" style="13" width="10.5703125"/>
    <col collapsed="1" customWidth="1" max="7" min="7" style="13" width="13.140625"/>
    <col collapsed="1" customWidth="1" max="8" min="8" style="13" width="10.5703125"/>
    <col collapsed="1" customWidth="1" max="10" min="9" style="13" width="9.5703125"/>
    <col collapsed="1" customWidth="1" max="11" min="11" style="13" width="15.85546875"/>
    <col collapsed="1" customWidth="1" max="15" min="15" style="13" width="15.7109375"/>
  </cols>
  <sheetData>
    <row r="1" spans="1:19">
      <c r="A1" t="s">
        <v>0</v>
      </c>
    </row>
    <row r="2" spans="1:19">
      <c r="A2" t="s">
        <v>1</v>
      </c>
    </row>
    <row r="3" spans="1:19">
      <c r="A3" t="s">
        <v>2</v>
      </c>
    </row>
    <row r="4" spans="1:19">
      <c r="A4" t="s">
        <v>3</v>
      </c>
    </row>
    <row r="5" spans="1:19">
      <c r="A5" t="s">
        <v>4</v>
      </c>
    </row>
    <row r="7" spans="1:19">
      <c r="A7" t="s">
        <v>5</v>
      </c>
    </row>
    <row customHeight="1" ht="15.75" r="9" spans="1:19">
      <c r="A9" s="14" t="s">
        <v>6</v>
      </c>
      <c r="B9" s="15" t="n"/>
      <c r="C9" s="15" t="n"/>
      <c r="D9" s="15" t="n"/>
      <c r="E9" s="15" t="n"/>
      <c r="G9" s="14" t="s">
        <v>7</v>
      </c>
      <c r="H9" s="15" t="n"/>
      <c r="I9" s="15" t="n"/>
      <c r="J9" s="15" t="n"/>
      <c r="K9" s="15" t="n"/>
      <c r="M9" s="16" t="s">
        <v>20</v>
      </c>
      <c r="Q9" s="16" t="s">
        <v>21</v>
      </c>
    </row>
    <row r="10" spans="1:19">
      <c r="A10" s="17" t="s">
        <v>9</v>
      </c>
      <c r="B10" s="18" t="s">
        <v>10</v>
      </c>
      <c r="C10" s="18" t="s">
        <v>11</v>
      </c>
      <c r="D10" s="18" t="s">
        <v>12</v>
      </c>
      <c r="E10" s="18" t="s">
        <v>13</v>
      </c>
      <c r="G10" s="17" t="s">
        <v>9</v>
      </c>
      <c r="H10" s="18" t="s">
        <v>10</v>
      </c>
      <c r="I10" s="18" t="s">
        <v>11</v>
      </c>
      <c r="J10" s="18" t="s">
        <v>14</v>
      </c>
      <c r="K10" s="18" t="s">
        <v>22</v>
      </c>
      <c r="L10" s="18" t="n"/>
      <c r="M10" s="17" t="n"/>
      <c r="N10" s="18" t="s">
        <v>13</v>
      </c>
      <c r="O10" s="18" t="s">
        <v>22</v>
      </c>
      <c r="Q10" s="19" t="n"/>
      <c r="R10" s="20" t="s">
        <v>13</v>
      </c>
      <c r="S10" s="20" t="s">
        <v>23</v>
      </c>
    </row>
    <row customHeight="1" ht="15.75" r="11" spans="1:19">
      <c r="A11" t="n">
        <v>0</v>
      </c>
      <c r="B11" s="21" t="n">
        <v>14660.2321</v>
      </c>
      <c r="C11" s="21" t="n">
        <v>0</v>
      </c>
      <c r="D11" s="21" t="n">
        <v>174.321</v>
      </c>
      <c r="E11" s="21" t="n">
        <v>14834.5531</v>
      </c>
      <c r="G11" t="n">
        <v>0</v>
      </c>
      <c r="H11" s="21" t="n">
        <v>10372</v>
      </c>
      <c r="I11" s="21" t="n">
        <v>1280</v>
      </c>
      <c r="J11" s="22" t="n">
        <v>606</v>
      </c>
      <c r="K11" s="21" t="n">
        <v>12258</v>
      </c>
      <c r="M11" t="s">
        <v>10</v>
      </c>
      <c r="N11" s="23" t="n">
        <v>2.328533879132003</v>
      </c>
      <c r="O11" s="23" t="n">
        <v>3.460165398042289</v>
      </c>
      <c r="Q11" s="15" t="s">
        <v>19</v>
      </c>
      <c r="R11" s="24" t="n"/>
      <c r="S11" s="24" t="n"/>
    </row>
    <row r="12" spans="1:19">
      <c r="A12" t="n">
        <v>1</v>
      </c>
      <c r="B12" s="21" t="n">
        <v>15367.6228</v>
      </c>
      <c r="C12" s="21" t="n">
        <v>2889.7989</v>
      </c>
      <c r="D12" s="21" t="n">
        <v>294.6395</v>
      </c>
      <c r="E12" s="21" t="n">
        <v>18552.0612</v>
      </c>
      <c r="G12" t="n">
        <v>1</v>
      </c>
      <c r="H12" s="21" t="n">
        <v>10951</v>
      </c>
      <c r="I12" s="21" t="n">
        <v>1882</v>
      </c>
      <c r="J12" s="22" t="n">
        <v>2199</v>
      </c>
      <c r="K12" s="21" t="n">
        <v>15032</v>
      </c>
      <c r="M12" t="s">
        <v>11</v>
      </c>
      <c r="N12" s="23" t="n">
        <v>3.714006804866318</v>
      </c>
      <c r="O12" s="23" t="n">
        <v>4.931642819836934</v>
      </c>
      <c r="R12" s="23" t="n"/>
      <c r="S12" s="23" t="n"/>
    </row>
    <row r="13" spans="1:19">
      <c r="A13" t="n">
        <v>2</v>
      </c>
      <c r="B13" s="21" t="n">
        <v>6244.3326</v>
      </c>
      <c r="C13" s="21" t="n">
        <v>420.5407</v>
      </c>
      <c r="D13" s="21" t="n">
        <v>360.6093</v>
      </c>
      <c r="E13" s="21" t="n">
        <v>7025.482599999999</v>
      </c>
      <c r="G13" t="n">
        <v>2</v>
      </c>
      <c r="H13" s="21" t="n">
        <v>8825</v>
      </c>
      <c r="I13" s="21" t="n">
        <v>1875</v>
      </c>
      <c r="J13" s="22" t="n">
        <v>2026</v>
      </c>
      <c r="K13" s="21" t="n">
        <v>12726</v>
      </c>
      <c r="M13" s="25" t="s">
        <v>14</v>
      </c>
      <c r="N13" s="26" t="n">
        <v>12.00607037730015</v>
      </c>
      <c r="O13" s="26" t="n">
        <v>6.344352736184647</v>
      </c>
      <c r="R13" s="23" t="n"/>
      <c r="S13" s="23" t="n"/>
    </row>
    <row customHeight="1" ht="15.75" r="14" spans="1:19">
      <c r="A14" t="n">
        <v>3</v>
      </c>
      <c r="B14" s="21" t="n">
        <v>5314.468</v>
      </c>
      <c r="C14" s="21" t="n">
        <v>1939.7095</v>
      </c>
      <c r="D14" s="21" t="n">
        <v>0</v>
      </c>
      <c r="E14" s="21" t="n">
        <v>7254.1775</v>
      </c>
      <c r="G14" t="n">
        <v>3</v>
      </c>
      <c r="H14" s="21" t="n">
        <v>6287</v>
      </c>
      <c r="I14" s="21" t="n">
        <v>1623</v>
      </c>
      <c r="J14" s="22" t="n">
        <v>2377</v>
      </c>
      <c r="K14" s="21" t="n">
        <v>10287</v>
      </c>
      <c r="M14" s="15" t="s">
        <v>19</v>
      </c>
      <c r="N14" s="24" t="n">
        <v>3.108699666569315</v>
      </c>
      <c r="O14" s="24" t="n">
        <v>4.298782497739652</v>
      </c>
    </row>
    <row r="15" spans="1:19">
      <c r="A15" t="n">
        <v>4</v>
      </c>
      <c r="B15" s="21" t="n">
        <v>2955.2424</v>
      </c>
      <c r="C15" s="21" t="n">
        <v>555.7837</v>
      </c>
      <c r="D15" s="21" t="n">
        <v>0</v>
      </c>
      <c r="E15" s="21" t="n">
        <v>3511.0261</v>
      </c>
      <c r="G15" t="n">
        <v>4</v>
      </c>
      <c r="H15" s="21" t="n">
        <v>4661</v>
      </c>
      <c r="I15" s="21" t="n">
        <v>1422</v>
      </c>
      <c r="J15" s="22" t="n">
        <v>2625</v>
      </c>
      <c r="K15" s="21" t="n">
        <v>8708</v>
      </c>
    </row>
    <row r="16" spans="1:19">
      <c r="A16" t="n">
        <v>5</v>
      </c>
      <c r="B16" s="21" t="n">
        <v>5914.3087</v>
      </c>
      <c r="C16" s="21" t="n">
        <v>479.7253</v>
      </c>
      <c r="D16" s="21" t="n">
        <v>0</v>
      </c>
      <c r="E16" s="21" t="n">
        <v>6394.034</v>
      </c>
      <c r="G16" t="n">
        <v>5</v>
      </c>
      <c r="H16" s="21" t="n">
        <v>2986</v>
      </c>
      <c r="I16" s="21" t="n">
        <v>1217</v>
      </c>
      <c r="J16" s="22" t="n">
        <v>1436</v>
      </c>
      <c r="K16" s="21" t="n">
        <v>5639</v>
      </c>
    </row>
    <row r="17" spans="1:19">
      <c r="A17" t="n">
        <v>6</v>
      </c>
      <c r="B17" s="21" t="n">
        <v>626.6615</v>
      </c>
      <c r="C17" s="21" t="n">
        <v>542.4142000000001</v>
      </c>
      <c r="D17" s="21" t="n">
        <v>253.2591</v>
      </c>
      <c r="E17" s="21" t="n">
        <v>1422.3348</v>
      </c>
      <c r="G17" t="n">
        <v>6</v>
      </c>
      <c r="H17" s="21" t="n">
        <v>2227</v>
      </c>
      <c r="I17" s="21" t="n">
        <v>837</v>
      </c>
      <c r="J17" s="22" t="n">
        <v>763</v>
      </c>
      <c r="K17" s="21" t="n">
        <v>3827</v>
      </c>
    </row>
    <row r="18" spans="1:19">
      <c r="A18" t="n">
        <v>7</v>
      </c>
      <c r="B18" s="21" t="n">
        <v>1171.1244</v>
      </c>
      <c r="C18" s="21" t="n">
        <v>294.342</v>
      </c>
      <c r="D18" s="21" t="n">
        <v>565.822</v>
      </c>
      <c r="E18" s="21" t="n">
        <v>2031.2884</v>
      </c>
      <c r="G18" t="n">
        <v>7</v>
      </c>
      <c r="H18" s="21" t="n">
        <v>1738</v>
      </c>
      <c r="I18" s="21" t="n">
        <v>712</v>
      </c>
      <c r="J18" s="22" t="n">
        <v>627</v>
      </c>
      <c r="K18" s="21" t="n">
        <v>3077</v>
      </c>
    </row>
    <row r="19" spans="1:19">
      <c r="A19" t="n">
        <v>8</v>
      </c>
      <c r="B19" s="21" t="n">
        <v>555.9486000000001</v>
      </c>
      <c r="C19" s="21" t="n">
        <v>626.6615</v>
      </c>
      <c r="D19" s="21" t="n">
        <v>0</v>
      </c>
      <c r="E19" s="21" t="n">
        <v>1182.6101</v>
      </c>
      <c r="G19" t="n">
        <v>8</v>
      </c>
      <c r="H19" s="21" t="n">
        <v>1430</v>
      </c>
      <c r="I19" s="21" t="n">
        <v>509</v>
      </c>
      <c r="J19" s="22" t="n">
        <v>706</v>
      </c>
      <c r="K19" s="21" t="n">
        <v>2645</v>
      </c>
    </row>
    <row r="20" spans="1:19">
      <c r="A20" t="n">
        <v>9</v>
      </c>
      <c r="B20" s="21" t="n">
        <v>722.7306</v>
      </c>
      <c r="C20" s="21" t="n">
        <v>0</v>
      </c>
      <c r="D20" s="21" t="n">
        <v>169.878</v>
      </c>
      <c r="E20" s="21" t="n">
        <v>892.6086</v>
      </c>
      <c r="G20" t="n">
        <v>9</v>
      </c>
      <c r="H20" s="21" t="n">
        <v>898</v>
      </c>
      <c r="I20" s="21" t="n">
        <v>359</v>
      </c>
      <c r="J20" s="22" t="n">
        <v>502</v>
      </c>
      <c r="K20" s="21" t="n">
        <v>1759</v>
      </c>
    </row>
    <row r="21" spans="1:19">
      <c r="A21" t="n">
        <v>10</v>
      </c>
      <c r="B21" s="21" t="n">
        <v>975.4367</v>
      </c>
      <c r="C21" s="21" t="n">
        <v>0</v>
      </c>
      <c r="D21" s="21" t="n">
        <v>0</v>
      </c>
      <c r="E21" s="21" t="n">
        <v>975.4367</v>
      </c>
      <c r="G21" t="n">
        <v>10</v>
      </c>
      <c r="H21" s="21" t="n">
        <v>675</v>
      </c>
      <c r="I21" s="21" t="n">
        <v>324</v>
      </c>
      <c r="J21" s="22" t="n">
        <v>679</v>
      </c>
      <c r="K21" s="21" t="n">
        <v>1678</v>
      </c>
    </row>
    <row r="22" spans="1:19">
      <c r="A22" t="n">
        <v>11</v>
      </c>
      <c r="B22" s="21" t="n">
        <v>541.9792</v>
      </c>
      <c r="C22" s="21" t="n">
        <v>0</v>
      </c>
      <c r="D22" s="21" t="n">
        <v>170.7131</v>
      </c>
      <c r="E22" s="21" t="n">
        <v>712.6922999999999</v>
      </c>
      <c r="G22" t="n">
        <v>11</v>
      </c>
      <c r="H22" s="21" t="n">
        <v>459</v>
      </c>
      <c r="I22" s="21" t="n">
        <v>224</v>
      </c>
      <c r="J22" s="22" t="n">
        <v>395</v>
      </c>
      <c r="K22" s="21" t="n">
        <v>1078</v>
      </c>
    </row>
    <row r="23" spans="1:19">
      <c r="A23" t="n">
        <v>12</v>
      </c>
      <c r="B23" s="21" t="n">
        <v>0</v>
      </c>
      <c r="C23" s="21" t="n">
        <v>0</v>
      </c>
      <c r="D23" s="21" t="n">
        <v>16.52</v>
      </c>
      <c r="E23" s="21" t="n">
        <v>16.52</v>
      </c>
      <c r="G23" t="n">
        <v>12</v>
      </c>
      <c r="H23" s="21" t="n">
        <v>387</v>
      </c>
      <c r="I23" s="21" t="n">
        <v>192</v>
      </c>
      <c r="J23" s="22" t="n">
        <v>480</v>
      </c>
      <c r="K23" s="21" t="n">
        <v>1059</v>
      </c>
    </row>
    <row r="24" spans="1:19">
      <c r="A24" t="n">
        <v>13</v>
      </c>
      <c r="B24" s="21" t="n">
        <v>0</v>
      </c>
      <c r="C24" s="21" t="n">
        <v>0</v>
      </c>
      <c r="D24" s="21" t="n">
        <v>4.11</v>
      </c>
      <c r="E24" s="21" t="n">
        <v>4.11</v>
      </c>
      <c r="G24" t="n">
        <v>13</v>
      </c>
      <c r="H24" s="21" t="n">
        <v>272</v>
      </c>
      <c r="I24" s="21" t="n">
        <v>160</v>
      </c>
      <c r="J24" s="22" t="n">
        <v>383</v>
      </c>
      <c r="K24" s="21" t="n">
        <v>815</v>
      </c>
    </row>
    <row r="25" spans="1:19">
      <c r="A25" t="n">
        <v>14</v>
      </c>
      <c r="B25" s="21" t="n">
        <v>277.9743</v>
      </c>
      <c r="C25" s="21" t="n">
        <v>0</v>
      </c>
      <c r="D25" s="21" t="n">
        <v>138.3728</v>
      </c>
      <c r="E25" s="21" t="n">
        <v>416.3471</v>
      </c>
      <c r="G25" t="n">
        <v>14</v>
      </c>
      <c r="H25" s="21" t="n">
        <v>181</v>
      </c>
      <c r="I25" s="21" t="n">
        <v>113</v>
      </c>
      <c r="J25" s="22" t="n">
        <v>326</v>
      </c>
      <c r="K25" s="21" t="n">
        <v>620</v>
      </c>
    </row>
    <row r="26" spans="1:19">
      <c r="A26" t="n">
        <v>15</v>
      </c>
      <c r="B26" s="21" t="n">
        <v>0</v>
      </c>
      <c r="C26" s="21" t="n">
        <v>0</v>
      </c>
      <c r="D26" s="21" t="n">
        <v>901.9212</v>
      </c>
      <c r="E26" s="21" t="n">
        <v>901.9212</v>
      </c>
      <c r="G26" t="n">
        <v>15</v>
      </c>
      <c r="H26" s="21" t="n">
        <v>116</v>
      </c>
      <c r="I26" s="21" t="n">
        <v>88</v>
      </c>
      <c r="J26" s="22" t="n">
        <v>365</v>
      </c>
      <c r="K26" s="21" t="n">
        <v>569</v>
      </c>
    </row>
    <row r="27" spans="1:19">
      <c r="A27" t="n">
        <v>16</v>
      </c>
      <c r="B27" s="21" t="n">
        <v>82.1623</v>
      </c>
      <c r="C27" s="21" t="n">
        <v>0</v>
      </c>
      <c r="D27" s="21" t="n">
        <v>181.6983</v>
      </c>
      <c r="E27" s="21" t="n">
        <v>263.8606</v>
      </c>
      <c r="G27" t="n">
        <v>16</v>
      </c>
      <c r="H27" s="21" t="n">
        <v>99</v>
      </c>
      <c r="I27" s="21" t="n">
        <v>63</v>
      </c>
      <c r="J27" s="22" t="n">
        <v>268</v>
      </c>
      <c r="K27" s="21" t="n">
        <v>430</v>
      </c>
    </row>
    <row r="28" spans="1:19">
      <c r="A28" t="n">
        <v>17</v>
      </c>
      <c r="B28" s="21" t="n">
        <v>0</v>
      </c>
      <c r="C28" s="21" t="n">
        <v>0</v>
      </c>
      <c r="D28" s="21" t="n">
        <v>8.117999999999999</v>
      </c>
      <c r="E28" s="21" t="n">
        <v>8.117999999999999</v>
      </c>
      <c r="G28" t="n">
        <v>17</v>
      </c>
      <c r="H28" s="21" t="n">
        <v>76</v>
      </c>
      <c r="I28" s="21" t="n">
        <v>56</v>
      </c>
      <c r="J28" s="22" t="n">
        <v>214</v>
      </c>
      <c r="K28" s="21" t="n">
        <v>346</v>
      </c>
    </row>
    <row r="29" spans="1:19">
      <c r="A29" t="n">
        <v>18</v>
      </c>
      <c r="B29" s="21" t="n">
        <v>0</v>
      </c>
      <c r="C29" s="21" t="n">
        <v>0</v>
      </c>
      <c r="D29" s="21" t="n">
        <v>277.2167</v>
      </c>
      <c r="E29" s="21" t="n">
        <v>277.2167</v>
      </c>
      <c r="G29" t="n">
        <v>18</v>
      </c>
      <c r="H29" s="21" t="n">
        <v>62</v>
      </c>
      <c r="I29" s="21" t="n">
        <v>38</v>
      </c>
      <c r="J29" s="22" t="n">
        <v>146</v>
      </c>
      <c r="K29" s="21" t="n">
        <v>246</v>
      </c>
    </row>
    <row r="30" spans="1:19">
      <c r="A30" t="n">
        <v>19</v>
      </c>
      <c r="B30" s="21" t="n">
        <v>0</v>
      </c>
      <c r="C30" s="21" t="n">
        <v>0</v>
      </c>
      <c r="D30" s="21" t="n">
        <v>157.1503</v>
      </c>
      <c r="E30" s="21" t="n">
        <v>157.1503</v>
      </c>
      <c r="G30" t="n">
        <v>19</v>
      </c>
      <c r="H30" s="21" t="n">
        <v>26</v>
      </c>
      <c r="I30" s="21" t="n">
        <v>23</v>
      </c>
      <c r="J30" s="22" t="n">
        <v>107</v>
      </c>
      <c r="K30" s="21" t="n">
        <v>156</v>
      </c>
    </row>
    <row r="31" spans="1:19">
      <c r="A31" t="n">
        <v>20</v>
      </c>
      <c r="B31" s="21" t="n">
        <v>0</v>
      </c>
      <c r="C31" s="21" t="n">
        <v>262.7907</v>
      </c>
      <c r="D31" s="21" t="n">
        <v>15.915</v>
      </c>
      <c r="E31" s="21" t="n">
        <v>278.7057</v>
      </c>
      <c r="G31" t="n">
        <v>20</v>
      </c>
      <c r="H31" s="21" t="n">
        <v>22</v>
      </c>
      <c r="I31" s="21" t="n">
        <v>17</v>
      </c>
      <c r="J31" s="22" t="n">
        <v>156</v>
      </c>
      <c r="K31" s="21" t="n">
        <v>195</v>
      </c>
    </row>
    <row r="32" spans="1:19">
      <c r="A32" t="n">
        <v>21</v>
      </c>
      <c r="B32" s="21" t="n">
        <v>0</v>
      </c>
      <c r="C32" s="21" t="n">
        <v>0</v>
      </c>
      <c r="D32" s="21" t="n">
        <v>14.021</v>
      </c>
      <c r="E32" s="21" t="n">
        <v>14.021</v>
      </c>
      <c r="G32" t="n">
        <v>21</v>
      </c>
      <c r="H32" s="21" t="n">
        <v>19</v>
      </c>
      <c r="I32" s="21" t="n">
        <v>10</v>
      </c>
      <c r="J32" s="22" t="n">
        <v>56</v>
      </c>
      <c r="K32" s="21" t="n">
        <v>85</v>
      </c>
    </row>
    <row r="33" spans="1:19">
      <c r="A33" t="n">
        <v>22</v>
      </c>
      <c r="B33" s="21" t="n">
        <v>0</v>
      </c>
      <c r="C33" s="21" t="n">
        <v>0</v>
      </c>
      <c r="D33" s="21" t="n">
        <v>12.24</v>
      </c>
      <c r="E33" s="21" t="n">
        <v>12.24</v>
      </c>
      <c r="G33" t="n">
        <v>22</v>
      </c>
      <c r="H33" s="21" t="n">
        <v>11</v>
      </c>
      <c r="I33" s="21" t="n">
        <v>24</v>
      </c>
      <c r="J33" s="22" t="n">
        <v>57</v>
      </c>
      <c r="K33" s="21" t="n">
        <v>92</v>
      </c>
    </row>
    <row r="34" spans="1:19">
      <c r="A34" t="n">
        <v>23</v>
      </c>
      <c r="B34" s="21" t="n">
        <v>0</v>
      </c>
      <c r="C34" s="21" t="n">
        <v>0</v>
      </c>
      <c r="D34" s="21" t="n">
        <v>118.8946</v>
      </c>
      <c r="E34" s="21" t="n">
        <v>118.8946</v>
      </c>
      <c r="G34" t="n">
        <v>23</v>
      </c>
      <c r="H34" s="21" t="n">
        <v>7</v>
      </c>
      <c r="I34" s="21" t="n">
        <v>9</v>
      </c>
      <c r="J34" s="22" t="n">
        <v>24</v>
      </c>
      <c r="K34" s="21" t="n">
        <v>40</v>
      </c>
    </row>
    <row r="35" spans="1:19">
      <c r="A35" t="n">
        <v>24</v>
      </c>
      <c r="B35" s="21" t="n">
        <v>0</v>
      </c>
      <c r="C35" s="21" t="n">
        <v>0</v>
      </c>
      <c r="D35" s="21" t="n">
        <v>423.099</v>
      </c>
      <c r="E35" s="21" t="n">
        <v>423.099</v>
      </c>
      <c r="G35" t="n">
        <v>24</v>
      </c>
      <c r="H35" s="21" t="n">
        <v>6</v>
      </c>
      <c r="I35" s="21" t="n">
        <v>6</v>
      </c>
      <c r="J35" s="22" t="n">
        <v>9</v>
      </c>
      <c r="K35" s="21" t="n">
        <v>21</v>
      </c>
    </row>
    <row r="36" spans="1:19">
      <c r="A36" t="n">
        <v>25</v>
      </c>
      <c r="B36" s="21" t="n">
        <v>0</v>
      </c>
      <c r="C36" s="21" t="n">
        <v>0</v>
      </c>
      <c r="D36" s="21" t="n">
        <v>55.068</v>
      </c>
      <c r="E36" s="21" t="n">
        <v>55.068</v>
      </c>
      <c r="G36" t="n">
        <v>25</v>
      </c>
      <c r="H36" s="21" t="n">
        <v>2</v>
      </c>
      <c r="I36" s="21" t="n">
        <v>12</v>
      </c>
      <c r="J36" s="22" t="n">
        <v>25</v>
      </c>
      <c r="K36" s="21" t="n">
        <v>39</v>
      </c>
    </row>
    <row r="37" spans="1:19">
      <c r="A37" t="n">
        <v>26</v>
      </c>
      <c r="B37" s="21" t="n">
        <v>0</v>
      </c>
      <c r="C37" s="21" t="n">
        <v>0</v>
      </c>
      <c r="D37" s="21" t="n">
        <v>0</v>
      </c>
      <c r="E37" s="21" t="n">
        <v>0</v>
      </c>
      <c r="G37" t="n">
        <v>26</v>
      </c>
      <c r="H37" s="21" t="n">
        <v>5</v>
      </c>
      <c r="I37" s="21" t="n">
        <v>8</v>
      </c>
      <c r="J37" s="22" t="n">
        <v>6</v>
      </c>
      <c r="K37" s="21" t="n">
        <v>19</v>
      </c>
    </row>
    <row r="38" spans="1:19">
      <c r="A38" t="n">
        <v>27</v>
      </c>
      <c r="B38" s="21" t="n">
        <v>0</v>
      </c>
      <c r="C38" s="21" t="n">
        <v>0</v>
      </c>
      <c r="D38" s="21" t="n">
        <v>0</v>
      </c>
      <c r="E38" s="21" t="n">
        <v>0</v>
      </c>
      <c r="G38" t="n">
        <v>27</v>
      </c>
      <c r="H38" s="21" t="n">
        <v>3</v>
      </c>
      <c r="I38" s="21" t="n">
        <v>8</v>
      </c>
      <c r="J38" s="22" t="n">
        <v>17</v>
      </c>
      <c r="K38" s="21" t="n">
        <v>28</v>
      </c>
    </row>
    <row r="39" spans="1:19">
      <c r="A39" t="n">
        <v>28</v>
      </c>
      <c r="B39" s="21" t="n">
        <v>0</v>
      </c>
      <c r="C39" s="21" t="n">
        <v>0</v>
      </c>
      <c r="D39" s="21" t="n">
        <v>0</v>
      </c>
      <c r="E39" s="21" t="n">
        <v>0</v>
      </c>
      <c r="G39" t="n">
        <v>28</v>
      </c>
      <c r="H39" s="21" t="n">
        <v>0</v>
      </c>
      <c r="I39" s="21" t="n">
        <v>1</v>
      </c>
      <c r="J39" s="22" t="n">
        <v>4</v>
      </c>
      <c r="K39" s="21" t="n">
        <v>5</v>
      </c>
    </row>
    <row r="40" spans="1:19">
      <c r="A40" t="n">
        <v>29</v>
      </c>
      <c r="B40" s="21" t="n">
        <v>0</v>
      </c>
      <c r="C40" s="21" t="n">
        <v>0</v>
      </c>
      <c r="D40" s="21" t="n">
        <v>0</v>
      </c>
      <c r="E40" s="21" t="n">
        <v>0</v>
      </c>
      <c r="G40" t="n">
        <v>29</v>
      </c>
      <c r="H40" s="21" t="n">
        <v>0</v>
      </c>
      <c r="I40" s="21" t="n">
        <v>4</v>
      </c>
      <c r="J40" s="22" t="n">
        <v>4</v>
      </c>
      <c r="K40" s="21" t="n">
        <v>8</v>
      </c>
    </row>
    <row r="41" spans="1:19">
      <c r="A41" t="n">
        <v>30</v>
      </c>
      <c r="B41" s="21" t="n">
        <v>0</v>
      </c>
      <c r="C41" s="21" t="n">
        <v>0</v>
      </c>
      <c r="D41" s="21" t="n">
        <v>0</v>
      </c>
      <c r="E41" s="21" t="n">
        <v>0</v>
      </c>
      <c r="G41" t="n">
        <v>30</v>
      </c>
      <c r="H41" s="21" t="n">
        <v>0</v>
      </c>
      <c r="I41" s="21" t="n">
        <v>1</v>
      </c>
      <c r="J41" s="22" t="n">
        <v>0</v>
      </c>
      <c r="K41" s="21" t="n">
        <v>1</v>
      </c>
    </row>
    <row r="42" spans="1:19">
      <c r="A42" t="n">
        <v>31</v>
      </c>
      <c r="B42" s="21" t="n">
        <v>0</v>
      </c>
      <c r="C42" s="21" t="n">
        <v>0</v>
      </c>
      <c r="D42" s="21" t="n">
        <v>0</v>
      </c>
      <c r="E42" s="21" t="n">
        <v>0</v>
      </c>
      <c r="G42" t="n">
        <v>31</v>
      </c>
      <c r="H42" s="21" t="n">
        <v>0</v>
      </c>
      <c r="I42" s="21" t="n">
        <v>1</v>
      </c>
      <c r="J42" s="22" t="n">
        <v>2</v>
      </c>
      <c r="K42" s="21" t="n">
        <v>3</v>
      </c>
    </row>
    <row r="43" spans="1:19">
      <c r="A43" t="n">
        <v>32</v>
      </c>
      <c r="B43" s="21" t="n">
        <v>0</v>
      </c>
      <c r="C43" s="21" t="n">
        <v>0</v>
      </c>
      <c r="D43" s="21" t="n">
        <v>0</v>
      </c>
      <c r="E43" s="21" t="n">
        <v>0</v>
      </c>
      <c r="G43" t="n">
        <v>32</v>
      </c>
      <c r="H43" s="21" t="n">
        <v>0</v>
      </c>
      <c r="I43" s="21" t="n">
        <v>1</v>
      </c>
      <c r="J43" s="22" t="n">
        <v>3</v>
      </c>
      <c r="K43" s="21" t="n">
        <v>4</v>
      </c>
    </row>
    <row r="44" spans="1:19">
      <c r="A44" t="n">
        <v>33</v>
      </c>
      <c r="B44" s="21" t="n">
        <v>0</v>
      </c>
      <c r="C44" s="21" t="n">
        <v>0</v>
      </c>
      <c r="D44" s="21" t="n">
        <v>0</v>
      </c>
      <c r="E44" s="21" t="n">
        <v>0</v>
      </c>
      <c r="G44" t="n">
        <v>33</v>
      </c>
      <c r="H44" s="21" t="n">
        <v>0</v>
      </c>
      <c r="I44" s="21" t="n">
        <v>0</v>
      </c>
      <c r="J44" s="22" t="n">
        <v>0</v>
      </c>
      <c r="K44" s="21" t="n">
        <v>0</v>
      </c>
    </row>
    <row r="45" spans="1:19">
      <c r="A45" t="n">
        <v>34</v>
      </c>
      <c r="B45" s="21" t="n">
        <v>0</v>
      </c>
      <c r="C45" s="21" t="n">
        <v>0</v>
      </c>
      <c r="D45" s="21" t="n">
        <v>0</v>
      </c>
      <c r="E45" s="21" t="n">
        <v>0</v>
      </c>
      <c r="G45" t="n">
        <v>34</v>
      </c>
      <c r="H45" s="21" t="n">
        <v>0</v>
      </c>
      <c r="I45" s="21" t="n">
        <v>0</v>
      </c>
      <c r="J45" s="22" t="n">
        <v>0</v>
      </c>
      <c r="K45" s="21" t="n">
        <v>0</v>
      </c>
    </row>
    <row r="46" spans="1:19">
      <c r="A46" t="n">
        <v>35</v>
      </c>
      <c r="B46" s="21" t="n">
        <v>0</v>
      </c>
      <c r="C46" s="21" t="n">
        <v>0</v>
      </c>
      <c r="D46" s="21" t="n">
        <v>0</v>
      </c>
      <c r="E46" s="21" t="n">
        <v>0</v>
      </c>
      <c r="G46" t="n">
        <v>35</v>
      </c>
      <c r="H46" s="21" t="n">
        <v>0</v>
      </c>
      <c r="I46" s="21" t="n">
        <v>0</v>
      </c>
      <c r="J46" s="22" t="n">
        <v>1</v>
      </c>
      <c r="K46" s="21" t="n">
        <v>1</v>
      </c>
    </row>
    <row r="47" spans="1:19">
      <c r="A47" t="n">
        <v>36</v>
      </c>
      <c r="B47" s="21" t="n">
        <v>0</v>
      </c>
      <c r="C47" s="21" t="n">
        <v>0</v>
      </c>
      <c r="D47" s="21" t="n">
        <v>0</v>
      </c>
      <c r="E47" s="21" t="n">
        <v>0</v>
      </c>
      <c r="G47" t="n">
        <v>36</v>
      </c>
      <c r="H47" s="21" t="n">
        <v>0</v>
      </c>
      <c r="I47" s="21" t="n">
        <v>1</v>
      </c>
      <c r="J47" s="22" t="n">
        <v>0</v>
      </c>
      <c r="K47" s="21" t="n">
        <v>1</v>
      </c>
    </row>
    <row r="48" spans="1:19">
      <c r="A48" t="n">
        <v>37</v>
      </c>
      <c r="B48" s="21" t="n">
        <v>0</v>
      </c>
      <c r="C48" s="21" t="n">
        <v>0</v>
      </c>
      <c r="D48" s="21" t="n">
        <v>0</v>
      </c>
      <c r="E48" s="21" t="n">
        <v>0</v>
      </c>
      <c r="G48" t="n">
        <v>37</v>
      </c>
      <c r="H48" s="21" t="n">
        <v>0</v>
      </c>
      <c r="I48" s="21" t="n">
        <v>1</v>
      </c>
      <c r="J48" s="22" t="n">
        <v>0</v>
      </c>
      <c r="K48" s="21" t="n">
        <v>1</v>
      </c>
    </row>
    <row r="49" spans="1:19">
      <c r="A49" t="n">
        <v>38</v>
      </c>
      <c r="B49" s="21" t="n">
        <v>0</v>
      </c>
      <c r="C49" s="21" t="n">
        <v>0</v>
      </c>
      <c r="D49" s="21" t="n">
        <v>0</v>
      </c>
      <c r="E49" s="21" t="n">
        <v>0</v>
      </c>
      <c r="G49" t="n">
        <v>38</v>
      </c>
      <c r="H49" s="21" t="n">
        <v>0</v>
      </c>
      <c r="I49" s="21" t="n">
        <v>0</v>
      </c>
      <c r="J49" s="22" t="n">
        <v>0</v>
      </c>
      <c r="K49" s="21" t="n">
        <v>0</v>
      </c>
    </row>
    <row r="50" spans="1:19">
      <c r="A50" t="n">
        <v>39</v>
      </c>
      <c r="B50" s="21" t="n">
        <v>0</v>
      </c>
      <c r="C50" s="21" t="n">
        <v>0</v>
      </c>
      <c r="D50" s="21" t="n">
        <v>0</v>
      </c>
      <c r="E50" s="21" t="n">
        <v>0</v>
      </c>
      <c r="G50" t="n">
        <v>39</v>
      </c>
      <c r="H50" s="21" t="n">
        <v>0</v>
      </c>
      <c r="I50" s="21" t="n">
        <v>0</v>
      </c>
      <c r="J50" s="22" t="n">
        <v>0</v>
      </c>
      <c r="K50" s="21" t="n">
        <v>0</v>
      </c>
    </row>
    <row r="51" spans="1:19">
      <c r="A51" t="n">
        <v>40</v>
      </c>
      <c r="B51" s="21" t="n">
        <v>0</v>
      </c>
      <c r="C51" s="21" t="n">
        <v>0</v>
      </c>
      <c r="D51" s="21" t="n">
        <v>0</v>
      </c>
      <c r="E51" s="21" t="n">
        <v>0</v>
      </c>
      <c r="G51" t="n">
        <v>40</v>
      </c>
      <c r="H51" s="21" t="n">
        <v>0</v>
      </c>
      <c r="I51" s="21" t="n">
        <v>1</v>
      </c>
      <c r="J51" s="22" t="n">
        <v>0</v>
      </c>
      <c r="K51" s="21" t="n">
        <v>1</v>
      </c>
    </row>
    <row r="52" spans="1:19">
      <c r="A52" t="n">
        <v>41</v>
      </c>
      <c r="B52" s="21" t="n">
        <v>0</v>
      </c>
      <c r="C52" s="21" t="n">
        <v>0</v>
      </c>
      <c r="D52" s="21" t="n">
        <v>0</v>
      </c>
      <c r="E52" s="21" t="n">
        <v>0</v>
      </c>
      <c r="G52" t="n">
        <v>41</v>
      </c>
      <c r="H52" s="21" t="n">
        <v>0</v>
      </c>
      <c r="I52" s="21" t="n">
        <v>0</v>
      </c>
      <c r="J52" s="22" t="n">
        <v>0</v>
      </c>
      <c r="K52" s="21" t="n">
        <v>0</v>
      </c>
    </row>
    <row r="53" spans="1:19">
      <c r="A53" t="n">
        <v>42</v>
      </c>
      <c r="B53" s="21" t="n">
        <v>0</v>
      </c>
      <c r="C53" s="21" t="n">
        <v>0</v>
      </c>
      <c r="D53" s="21" t="n">
        <v>0</v>
      </c>
      <c r="E53" s="21" t="n">
        <v>0</v>
      </c>
      <c r="G53" t="n">
        <v>42</v>
      </c>
      <c r="H53" s="21" t="n">
        <v>0</v>
      </c>
      <c r="I53" s="21" t="n">
        <v>0</v>
      </c>
      <c r="J53" s="22" t="n">
        <v>0</v>
      </c>
      <c r="K53" s="21" t="n">
        <v>0</v>
      </c>
    </row>
    <row r="54" spans="1:19">
      <c r="A54" t="n">
        <v>43</v>
      </c>
      <c r="B54" s="21" t="n">
        <v>0</v>
      </c>
      <c r="C54" s="21" t="n">
        <v>0</v>
      </c>
      <c r="D54" s="21" t="n">
        <v>0</v>
      </c>
      <c r="E54" s="21" t="n">
        <v>0</v>
      </c>
      <c r="G54" t="n">
        <v>43</v>
      </c>
      <c r="H54" s="21" t="n">
        <v>0</v>
      </c>
      <c r="I54" s="21" t="n">
        <v>0</v>
      </c>
      <c r="J54" s="22" t="n">
        <v>0</v>
      </c>
      <c r="K54" s="21" t="n">
        <v>0</v>
      </c>
    </row>
    <row r="55" spans="1:19">
      <c r="A55" t="n">
        <v>44</v>
      </c>
      <c r="B55" s="21" t="n">
        <v>0</v>
      </c>
      <c r="C55" s="21" t="n">
        <v>0</v>
      </c>
      <c r="D55" s="21" t="n">
        <v>0</v>
      </c>
      <c r="E55" s="21" t="n">
        <v>0</v>
      </c>
      <c r="G55" t="n">
        <v>44</v>
      </c>
      <c r="H55" s="21" t="n">
        <v>0</v>
      </c>
      <c r="I55" s="21" t="n">
        <v>0</v>
      </c>
      <c r="J55" s="22" t="n">
        <v>0</v>
      </c>
      <c r="K55" s="21" t="n">
        <v>0</v>
      </c>
    </row>
    <row r="56" spans="1:19">
      <c r="A56" t="n">
        <v>45</v>
      </c>
      <c r="B56" s="21" t="n">
        <v>0</v>
      </c>
      <c r="C56" s="21" t="n">
        <v>0</v>
      </c>
      <c r="D56" s="21" t="n">
        <v>0</v>
      </c>
      <c r="E56" s="21" t="n">
        <v>0</v>
      </c>
      <c r="G56" t="n">
        <v>45</v>
      </c>
      <c r="H56" s="21" t="n">
        <v>0</v>
      </c>
      <c r="I56" s="21" t="n">
        <v>0</v>
      </c>
      <c r="J56" s="22" t="n">
        <v>0</v>
      </c>
      <c r="K56" s="21" t="n">
        <v>0</v>
      </c>
    </row>
    <row r="57" spans="1:19">
      <c r="A57" t="n">
        <v>46</v>
      </c>
      <c r="B57" s="21" t="n">
        <v>0</v>
      </c>
      <c r="C57" s="21" t="n">
        <v>0</v>
      </c>
      <c r="D57" s="21" t="n">
        <v>0</v>
      </c>
      <c r="E57" s="21" t="n">
        <v>0</v>
      </c>
      <c r="G57" t="n">
        <v>46</v>
      </c>
      <c r="H57" s="21" t="n">
        <v>0</v>
      </c>
      <c r="I57" s="21" t="n">
        <v>0</v>
      </c>
      <c r="J57" s="22" t="n">
        <v>0</v>
      </c>
      <c r="K57" s="21" t="n">
        <v>0</v>
      </c>
    </row>
    <row r="58" spans="1:19">
      <c r="A58" t="n">
        <v>47</v>
      </c>
      <c r="B58" s="21" t="n">
        <v>0</v>
      </c>
      <c r="C58" s="21" t="n">
        <v>0</v>
      </c>
      <c r="D58" s="21" t="n">
        <v>0</v>
      </c>
      <c r="E58" s="21" t="n">
        <v>0</v>
      </c>
      <c r="G58" t="n">
        <v>47</v>
      </c>
      <c r="H58" s="21" t="n">
        <v>0</v>
      </c>
      <c r="I58" s="21" t="n">
        <v>0</v>
      </c>
      <c r="J58" s="22" t="n">
        <v>0</v>
      </c>
      <c r="K58" s="21" t="n">
        <v>0</v>
      </c>
    </row>
    <row r="59" spans="1:19">
      <c r="A59" t="n">
        <v>48</v>
      </c>
      <c r="B59" s="21" t="n">
        <v>0</v>
      </c>
      <c r="C59" s="21" t="n">
        <v>0</v>
      </c>
      <c r="D59" s="21" t="n">
        <v>0</v>
      </c>
      <c r="E59" s="21" t="n">
        <v>0</v>
      </c>
      <c r="G59" t="n">
        <v>48</v>
      </c>
      <c r="H59" s="21" t="n">
        <v>0</v>
      </c>
      <c r="I59" s="21" t="n">
        <v>0</v>
      </c>
      <c r="J59" s="22" t="n">
        <v>0</v>
      </c>
      <c r="K59" s="21" t="n">
        <v>0</v>
      </c>
    </row>
    <row r="60" spans="1:19">
      <c r="A60" t="n">
        <v>49</v>
      </c>
      <c r="B60" s="21" t="n">
        <v>0</v>
      </c>
      <c r="C60" s="21" t="n">
        <v>0</v>
      </c>
      <c r="D60" s="21" t="n">
        <v>0</v>
      </c>
      <c r="E60" s="21" t="n">
        <v>0</v>
      </c>
      <c r="G60" t="n">
        <v>49</v>
      </c>
      <c r="H60" s="21" t="n">
        <v>0</v>
      </c>
      <c r="I60" s="21" t="n">
        <v>0</v>
      </c>
      <c r="J60" s="22" t="n">
        <v>0</v>
      </c>
      <c r="K60" s="21" t="n">
        <v>0</v>
      </c>
    </row>
    <row r="61" spans="1:19">
      <c r="A61" t="n">
        <v>50</v>
      </c>
      <c r="B61" s="21" t="n">
        <v>0</v>
      </c>
      <c r="C61" s="21" t="n">
        <v>0</v>
      </c>
      <c r="D61" s="21" t="n">
        <v>0</v>
      </c>
      <c r="E61" s="21" t="n">
        <v>0</v>
      </c>
      <c r="G61" t="n">
        <v>50</v>
      </c>
      <c r="H61" s="21" t="n">
        <v>0</v>
      </c>
      <c r="I61" s="21" t="n">
        <v>0</v>
      </c>
      <c r="J61" s="22" t="n">
        <v>0</v>
      </c>
      <c r="K61" s="21" t="n">
        <v>0</v>
      </c>
    </row>
    <row r="62" spans="1:19">
      <c r="A62" t="n">
        <v>51</v>
      </c>
      <c r="B62" s="21" t="n">
        <v>0</v>
      </c>
      <c r="C62" s="21" t="n">
        <v>0</v>
      </c>
      <c r="D62" s="21" t="n">
        <v>0</v>
      </c>
      <c r="E62" s="21" t="n">
        <v>0</v>
      </c>
      <c r="G62" t="n">
        <v>51</v>
      </c>
      <c r="H62" s="21" t="n">
        <v>0</v>
      </c>
      <c r="I62" s="21" t="n">
        <v>0</v>
      </c>
      <c r="J62" s="22" t="n">
        <v>0</v>
      </c>
      <c r="K62" s="21" t="n">
        <v>0</v>
      </c>
    </row>
    <row r="63" spans="1:19">
      <c r="A63" t="n">
        <v>52</v>
      </c>
      <c r="B63" s="21" t="n">
        <v>0</v>
      </c>
      <c r="C63" s="21" t="n">
        <v>0</v>
      </c>
      <c r="D63" s="21" t="n">
        <v>0</v>
      </c>
      <c r="E63" s="21" t="n">
        <v>0</v>
      </c>
      <c r="G63" t="n">
        <v>52</v>
      </c>
      <c r="H63" s="21" t="n">
        <v>0</v>
      </c>
      <c r="I63" s="21" t="n">
        <v>0</v>
      </c>
      <c r="J63" s="22" t="n">
        <v>0</v>
      </c>
      <c r="K63" s="21" t="n">
        <v>0</v>
      </c>
    </row>
    <row r="64" spans="1:19">
      <c r="A64" t="n">
        <v>53</v>
      </c>
      <c r="B64" s="21" t="n">
        <v>0</v>
      </c>
      <c r="C64" s="21" t="n">
        <v>0</v>
      </c>
      <c r="D64" s="21" t="n">
        <v>0</v>
      </c>
      <c r="E64" s="21" t="n">
        <v>0</v>
      </c>
      <c r="G64" t="n">
        <v>53</v>
      </c>
      <c r="H64" s="21" t="n">
        <v>0</v>
      </c>
      <c r="I64" s="21" t="n">
        <v>0</v>
      </c>
      <c r="J64" s="22" t="n">
        <v>0</v>
      </c>
      <c r="K64" s="21" t="n">
        <v>0</v>
      </c>
    </row>
    <row r="65" spans="1:19">
      <c r="A65" t="n">
        <v>54</v>
      </c>
      <c r="B65" s="21" t="n">
        <v>0</v>
      </c>
      <c r="C65" s="21" t="n">
        <v>0</v>
      </c>
      <c r="D65" s="21" t="n">
        <v>0</v>
      </c>
      <c r="E65" s="21" t="n">
        <v>0</v>
      </c>
      <c r="G65" t="n">
        <v>54</v>
      </c>
      <c r="H65" s="21" t="n">
        <v>0</v>
      </c>
      <c r="I65" s="21" t="n">
        <v>0</v>
      </c>
      <c r="J65" s="22" t="n">
        <v>0</v>
      </c>
      <c r="K65" s="21" t="n">
        <v>0</v>
      </c>
    </row>
    <row r="66" spans="1:19">
      <c r="A66" t="n">
        <v>55</v>
      </c>
      <c r="B66" s="21" t="n">
        <v>0</v>
      </c>
      <c r="C66" s="21" t="n">
        <v>0</v>
      </c>
      <c r="D66" s="21" t="n">
        <v>0</v>
      </c>
      <c r="E66" s="21" t="n">
        <v>0</v>
      </c>
      <c r="G66" t="n">
        <v>55</v>
      </c>
      <c r="H66" s="21" t="n">
        <v>0</v>
      </c>
      <c r="I66" s="21" t="n">
        <v>0</v>
      </c>
      <c r="J66" s="22" t="n">
        <v>0</v>
      </c>
      <c r="K66" s="21" t="n">
        <v>0</v>
      </c>
    </row>
    <row r="67" spans="1:19">
      <c r="A67" t="n">
        <v>56</v>
      </c>
      <c r="B67" s="21" t="n">
        <v>0</v>
      </c>
      <c r="C67" s="21" t="n">
        <v>0</v>
      </c>
      <c r="D67" s="21" t="n">
        <v>0</v>
      </c>
      <c r="E67" s="21" t="n">
        <v>0</v>
      </c>
      <c r="G67" t="n">
        <v>56</v>
      </c>
      <c r="H67" s="21" t="n">
        <v>0</v>
      </c>
      <c r="I67" s="21" t="n">
        <v>0</v>
      </c>
      <c r="J67" s="22" t="n">
        <v>0</v>
      </c>
      <c r="K67" s="21" t="n">
        <v>0</v>
      </c>
    </row>
    <row r="68" spans="1:19">
      <c r="A68" t="n">
        <v>57</v>
      </c>
      <c r="B68" s="21" t="n">
        <v>0</v>
      </c>
      <c r="C68" s="21" t="n">
        <v>0</v>
      </c>
      <c r="D68" s="21" t="n">
        <v>0</v>
      </c>
      <c r="E68" s="21" t="n">
        <v>0</v>
      </c>
      <c r="G68" t="n">
        <v>57</v>
      </c>
      <c r="H68" s="21" t="n">
        <v>0</v>
      </c>
      <c r="I68" s="21" t="n">
        <v>0</v>
      </c>
      <c r="J68" s="22" t="n">
        <v>0</v>
      </c>
      <c r="K68" s="21" t="n">
        <v>0</v>
      </c>
    </row>
    <row r="69" spans="1:19">
      <c r="A69" t="n">
        <v>58</v>
      </c>
      <c r="B69" s="21" t="n">
        <v>0</v>
      </c>
      <c r="C69" s="21" t="n">
        <v>0</v>
      </c>
      <c r="D69" s="21" t="n">
        <v>0</v>
      </c>
      <c r="E69" s="21" t="n">
        <v>0</v>
      </c>
      <c r="G69" t="n">
        <v>58</v>
      </c>
      <c r="H69" s="21" t="n">
        <v>0</v>
      </c>
      <c r="I69" s="21" t="n">
        <v>0</v>
      </c>
      <c r="J69" s="22" t="n">
        <v>0</v>
      </c>
      <c r="K69" s="21" t="n">
        <v>0</v>
      </c>
    </row>
    <row r="70" spans="1:19">
      <c r="A70" t="n">
        <v>59</v>
      </c>
      <c r="B70" s="21" t="n">
        <v>0</v>
      </c>
      <c r="C70" s="21" t="n">
        <v>0</v>
      </c>
      <c r="D70" s="21" t="n">
        <v>0</v>
      </c>
      <c r="E70" s="21" t="n">
        <v>0</v>
      </c>
      <c r="G70" t="n">
        <v>59</v>
      </c>
      <c r="H70" s="21" t="n">
        <v>0</v>
      </c>
      <c r="I70" s="21" t="n">
        <v>0</v>
      </c>
      <c r="J70" s="22" t="n">
        <v>0</v>
      </c>
      <c r="K70" s="21" t="n">
        <v>0</v>
      </c>
    </row>
    <row r="71" spans="1:19">
      <c r="A71" t="n">
        <v>60</v>
      </c>
      <c r="B71" s="21" t="n">
        <v>0</v>
      </c>
      <c r="C71" s="21" t="n">
        <v>0</v>
      </c>
      <c r="D71" s="21" t="n">
        <v>0</v>
      </c>
      <c r="E71" s="21" t="n">
        <v>0</v>
      </c>
      <c r="G71" t="n">
        <v>60</v>
      </c>
      <c r="H71" s="21" t="n">
        <v>0</v>
      </c>
      <c r="I71" s="21" t="n">
        <v>0</v>
      </c>
      <c r="J71" s="22" t="n">
        <v>0</v>
      </c>
      <c r="K71" s="21" t="n">
        <v>0</v>
      </c>
    </row>
    <row r="72" spans="1:19">
      <c r="A72" t="n">
        <v>61</v>
      </c>
      <c r="B72" s="21" t="n">
        <v>0</v>
      </c>
      <c r="C72" s="21" t="n">
        <v>0</v>
      </c>
      <c r="D72" s="21" t="n">
        <v>0</v>
      </c>
      <c r="E72" s="21" t="n">
        <v>0</v>
      </c>
      <c r="G72" t="n">
        <v>61</v>
      </c>
      <c r="H72" s="21" t="n">
        <v>0</v>
      </c>
      <c r="I72" s="21" t="n">
        <v>0</v>
      </c>
      <c r="J72" s="22" t="n">
        <v>0</v>
      </c>
      <c r="K72" s="21" t="n">
        <v>0</v>
      </c>
    </row>
    <row r="73" spans="1:19">
      <c r="A73" t="n">
        <v>62</v>
      </c>
      <c r="B73" s="21" t="n">
        <v>0</v>
      </c>
      <c r="C73" s="21" t="n">
        <v>0</v>
      </c>
      <c r="D73" s="21" t="n">
        <v>0</v>
      </c>
      <c r="E73" s="21" t="n">
        <v>0</v>
      </c>
      <c r="G73" t="n">
        <v>62</v>
      </c>
      <c r="H73" s="21" t="n">
        <v>0</v>
      </c>
      <c r="I73" s="21" t="n">
        <v>0</v>
      </c>
      <c r="J73" s="22" t="n">
        <v>0</v>
      </c>
      <c r="K73" s="21" t="n">
        <v>0</v>
      </c>
    </row>
    <row r="74" spans="1:19">
      <c r="A74" t="n">
        <v>63</v>
      </c>
      <c r="B74" s="21" t="n">
        <v>0</v>
      </c>
      <c r="C74" s="21" t="n">
        <v>0</v>
      </c>
      <c r="D74" s="21" t="n">
        <v>0</v>
      </c>
      <c r="E74" s="21" t="n">
        <v>0</v>
      </c>
      <c r="G74" t="n">
        <v>63</v>
      </c>
      <c r="H74" s="21" t="n">
        <v>0</v>
      </c>
      <c r="I74" s="21" t="n">
        <v>0</v>
      </c>
      <c r="J74" s="22" t="n">
        <v>0</v>
      </c>
      <c r="K74" s="21" t="n">
        <v>0</v>
      </c>
    </row>
    <row r="75" spans="1:19">
      <c r="A75" t="n">
        <v>64</v>
      </c>
      <c r="B75" s="21" t="n">
        <v>0</v>
      </c>
      <c r="C75" s="21" t="n">
        <v>0</v>
      </c>
      <c r="D75" s="21" t="n">
        <v>0</v>
      </c>
      <c r="E75" s="21" t="n">
        <v>0</v>
      </c>
      <c r="G75" t="n">
        <v>64</v>
      </c>
      <c r="H75" s="21" t="n">
        <v>0</v>
      </c>
      <c r="I75" s="21" t="n">
        <v>0</v>
      </c>
      <c r="J75" s="22" t="n">
        <v>0</v>
      </c>
      <c r="K75" s="21" t="n">
        <v>0</v>
      </c>
    </row>
    <row r="76" spans="1:19">
      <c r="A76" t="n">
        <v>65</v>
      </c>
      <c r="B76" s="21" t="n">
        <v>0</v>
      </c>
      <c r="C76" s="21" t="n">
        <v>0</v>
      </c>
      <c r="D76" s="21" t="n">
        <v>0</v>
      </c>
      <c r="E76" s="21" t="n">
        <v>0</v>
      </c>
      <c r="G76" t="n">
        <v>65</v>
      </c>
      <c r="H76" s="21" t="n">
        <v>0</v>
      </c>
      <c r="I76" s="21" t="n">
        <v>0</v>
      </c>
      <c r="J76" s="22" t="n">
        <v>0</v>
      </c>
      <c r="K76" s="21" t="n">
        <v>0</v>
      </c>
    </row>
    <row r="77" spans="1:19">
      <c r="A77" t="n">
        <v>66</v>
      </c>
      <c r="B77" s="21" t="n">
        <v>0</v>
      </c>
      <c r="C77" s="21" t="n">
        <v>0</v>
      </c>
      <c r="D77" s="21" t="n">
        <v>0</v>
      </c>
      <c r="E77" s="21" t="n">
        <v>0</v>
      </c>
      <c r="G77" t="n">
        <v>66</v>
      </c>
      <c r="H77" s="21" t="n">
        <v>0</v>
      </c>
      <c r="I77" s="21" t="n">
        <v>0</v>
      </c>
      <c r="J77" s="21" t="n">
        <v>0</v>
      </c>
      <c r="K77" s="21" t="n">
        <v>0</v>
      </c>
    </row>
    <row r="78" spans="1:19">
      <c r="A78" t="n">
        <v>67</v>
      </c>
      <c r="B78" s="21" t="n">
        <v>0</v>
      </c>
      <c r="C78" s="21" t="n">
        <v>0</v>
      </c>
      <c r="D78" s="21" t="n">
        <v>0</v>
      </c>
      <c r="E78" s="21" t="n">
        <v>0</v>
      </c>
      <c r="G78" t="n">
        <v>67</v>
      </c>
      <c r="H78" s="21" t="n">
        <v>0</v>
      </c>
      <c r="I78" s="21" t="n">
        <v>0</v>
      </c>
      <c r="J78" s="21" t="n">
        <v>0</v>
      </c>
      <c r="K78" s="21" t="n">
        <v>0</v>
      </c>
    </row>
    <row r="79" spans="1:19">
      <c r="A79" t="n">
        <v>68</v>
      </c>
      <c r="B79" s="21" t="n">
        <v>0</v>
      </c>
      <c r="C79" s="21" t="n">
        <v>0</v>
      </c>
      <c r="D79" s="21" t="n">
        <v>0</v>
      </c>
      <c r="E79" s="21" t="n">
        <v>0</v>
      </c>
      <c r="G79" t="n">
        <v>68</v>
      </c>
      <c r="H79" s="21" t="n">
        <v>0</v>
      </c>
      <c r="I79" s="21" t="n">
        <v>0</v>
      </c>
      <c r="J79" s="22" t="n">
        <v>0</v>
      </c>
      <c r="K79" s="21" t="n">
        <v>0</v>
      </c>
    </row>
    <row r="80" spans="1:19">
      <c r="A80" t="n">
        <v>69</v>
      </c>
      <c r="B80" s="21" t="n">
        <v>0</v>
      </c>
      <c r="C80" s="21" t="n">
        <v>0</v>
      </c>
      <c r="D80" s="21" t="n">
        <v>0</v>
      </c>
      <c r="E80" s="21" t="n">
        <v>0</v>
      </c>
      <c r="G80" t="n">
        <v>69</v>
      </c>
      <c r="H80" s="21" t="n">
        <v>0</v>
      </c>
      <c r="I80" s="21" t="n">
        <v>0</v>
      </c>
      <c r="J80" s="21" t="n">
        <v>0</v>
      </c>
      <c r="K80" s="21" t="n">
        <v>0</v>
      </c>
    </row>
    <row r="81" spans="1:19">
      <c r="A81" t="n">
        <v>70</v>
      </c>
      <c r="B81" s="21" t="n">
        <v>0</v>
      </c>
      <c r="C81" s="21" t="n">
        <v>0</v>
      </c>
      <c r="D81" s="21" t="n">
        <v>0</v>
      </c>
      <c r="E81" s="21" t="n">
        <v>0</v>
      </c>
      <c r="G81" t="n">
        <v>70</v>
      </c>
      <c r="H81" s="21" t="n">
        <v>0</v>
      </c>
      <c r="I81" s="21" t="n">
        <v>0</v>
      </c>
      <c r="J81" s="22" t="n">
        <v>0</v>
      </c>
      <c r="K81" s="21" t="n">
        <v>0</v>
      </c>
    </row>
    <row r="82" spans="1:19">
      <c r="A82" t="n">
        <v>71</v>
      </c>
      <c r="B82" s="21" t="n">
        <v>0</v>
      </c>
      <c r="C82" s="21" t="n">
        <v>0</v>
      </c>
      <c r="D82" s="21" t="n">
        <v>0</v>
      </c>
      <c r="E82" s="21" t="n">
        <v>0</v>
      </c>
      <c r="G82" t="n">
        <v>71</v>
      </c>
      <c r="H82" s="21" t="n">
        <v>0</v>
      </c>
      <c r="I82" s="21" t="n">
        <v>0</v>
      </c>
      <c r="J82" s="22" t="n">
        <v>0</v>
      </c>
      <c r="K82" s="21" t="n">
        <v>0</v>
      </c>
    </row>
    <row r="83" spans="1:19">
      <c r="A83" t="n">
        <v>72</v>
      </c>
      <c r="B83" s="21" t="n">
        <v>0</v>
      </c>
      <c r="C83" s="21" t="n">
        <v>0</v>
      </c>
      <c r="D83" s="21" t="n">
        <v>0</v>
      </c>
      <c r="E83" s="21" t="n">
        <v>0</v>
      </c>
      <c r="G83" t="n">
        <v>72</v>
      </c>
      <c r="H83" s="21" t="n">
        <v>0</v>
      </c>
      <c r="I83" s="21" t="n">
        <v>0</v>
      </c>
      <c r="J83" s="21" t="n">
        <v>0</v>
      </c>
      <c r="K83" s="21" t="n">
        <v>0</v>
      </c>
    </row>
    <row r="84" spans="1:19">
      <c r="A84" t="n">
        <v>73</v>
      </c>
      <c r="B84" s="21" t="n">
        <v>0</v>
      </c>
      <c r="C84" s="21" t="n">
        <v>0</v>
      </c>
      <c r="D84" s="21" t="n">
        <v>0</v>
      </c>
      <c r="E84" s="21" t="n">
        <v>0</v>
      </c>
      <c r="G84" t="n">
        <v>73</v>
      </c>
      <c r="H84" s="21" t="n">
        <v>0</v>
      </c>
      <c r="I84" s="21" t="n">
        <v>0</v>
      </c>
      <c r="J84" s="21" t="n">
        <v>0</v>
      </c>
      <c r="K84" s="21" t="n">
        <v>0</v>
      </c>
    </row>
    <row r="85" spans="1:19">
      <c r="A85" t="n">
        <v>74</v>
      </c>
      <c r="B85" s="21" t="n">
        <v>0</v>
      </c>
      <c r="C85" s="21" t="n">
        <v>0</v>
      </c>
      <c r="D85" s="21" t="n">
        <v>0</v>
      </c>
      <c r="E85" s="21" t="n">
        <v>0</v>
      </c>
      <c r="G85" t="n">
        <v>74</v>
      </c>
      <c r="H85" s="21" t="n">
        <v>0</v>
      </c>
      <c r="I85" s="21" t="n">
        <v>0</v>
      </c>
      <c r="J85" s="21" t="n">
        <v>0</v>
      </c>
      <c r="K85" s="21" t="n">
        <v>0</v>
      </c>
    </row>
    <row r="86" spans="1:19">
      <c r="A86" t="n">
        <v>75</v>
      </c>
      <c r="B86" s="21" t="n">
        <v>0</v>
      </c>
      <c r="C86" s="21" t="n">
        <v>0</v>
      </c>
      <c r="D86" s="21" t="n">
        <v>0</v>
      </c>
      <c r="E86" s="21" t="n">
        <v>0</v>
      </c>
      <c r="G86" t="n">
        <v>75</v>
      </c>
      <c r="H86" s="21" t="n">
        <v>0</v>
      </c>
      <c r="I86" s="21" t="n">
        <v>0</v>
      </c>
      <c r="J86" s="21" t="n">
        <v>0</v>
      </c>
      <c r="K86" s="21" t="n">
        <v>0</v>
      </c>
    </row>
    <row r="87" spans="1:19">
      <c r="A87" t="n">
        <v>76</v>
      </c>
      <c r="B87" s="21" t="n">
        <v>0</v>
      </c>
      <c r="C87" s="21" t="n">
        <v>0</v>
      </c>
      <c r="D87" s="21" t="n">
        <v>0</v>
      </c>
      <c r="E87" s="21" t="n">
        <v>0</v>
      </c>
      <c r="G87" t="n">
        <v>76</v>
      </c>
      <c r="H87" s="21" t="n">
        <v>0</v>
      </c>
      <c r="I87" s="21" t="n">
        <v>0</v>
      </c>
      <c r="J87" s="22" t="n">
        <v>0</v>
      </c>
      <c r="K87" s="21" t="n">
        <v>0</v>
      </c>
    </row>
    <row r="88" spans="1:19">
      <c r="A88" t="n">
        <v>77</v>
      </c>
      <c r="B88" s="21" t="n">
        <v>0</v>
      </c>
      <c r="C88" s="21" t="n">
        <v>0</v>
      </c>
      <c r="D88" s="21" t="n">
        <v>0</v>
      </c>
      <c r="E88" s="21" t="n">
        <v>0</v>
      </c>
      <c r="G88" t="n">
        <v>77</v>
      </c>
      <c r="H88" s="21" t="n">
        <v>0</v>
      </c>
      <c r="I88" s="21" t="n">
        <v>0</v>
      </c>
      <c r="J88" s="21" t="n">
        <v>0</v>
      </c>
      <c r="K88" s="21" t="n">
        <v>0</v>
      </c>
    </row>
    <row r="89" spans="1:19">
      <c r="A89" t="n">
        <v>78</v>
      </c>
      <c r="B89" s="21" t="n">
        <v>0</v>
      </c>
      <c r="C89" s="21" t="n">
        <v>0</v>
      </c>
      <c r="D89" s="21" t="n">
        <v>0</v>
      </c>
      <c r="E89" s="21" t="n">
        <v>0</v>
      </c>
      <c r="G89" t="n">
        <v>78</v>
      </c>
      <c r="H89" s="21" t="n">
        <v>0</v>
      </c>
      <c r="I89" s="21" t="n">
        <v>0</v>
      </c>
      <c r="J89" s="22" t="n">
        <v>0</v>
      </c>
      <c r="K89" s="21" t="n">
        <v>0</v>
      </c>
    </row>
    <row r="90" spans="1:19">
      <c r="A90" t="n">
        <v>79</v>
      </c>
      <c r="B90" s="21" t="n">
        <v>0</v>
      </c>
      <c r="C90" s="21" t="n">
        <v>0</v>
      </c>
      <c r="D90" s="21" t="n">
        <v>0</v>
      </c>
      <c r="E90" s="21" t="n">
        <v>0</v>
      </c>
      <c r="G90" t="n">
        <v>79</v>
      </c>
      <c r="H90" s="21" t="n">
        <v>0</v>
      </c>
      <c r="I90" s="21" t="n">
        <v>0</v>
      </c>
      <c r="J90" s="21" t="n">
        <v>0</v>
      </c>
      <c r="K90" s="21" t="n">
        <v>0</v>
      </c>
    </row>
    <row r="91" spans="1:19">
      <c r="A91" t="n">
        <v>80</v>
      </c>
      <c r="B91" s="21" t="n">
        <v>0</v>
      </c>
      <c r="C91" s="21" t="n">
        <v>0</v>
      </c>
      <c r="D91" s="21" t="n">
        <v>0</v>
      </c>
      <c r="E91" s="21" t="n">
        <v>0</v>
      </c>
      <c r="G91" t="n">
        <v>80</v>
      </c>
      <c r="H91" s="21" t="n">
        <v>0</v>
      </c>
      <c r="I91" s="21" t="n">
        <v>0</v>
      </c>
      <c r="J91" s="21" t="n">
        <v>0</v>
      </c>
      <c r="K91" s="21" t="n">
        <v>0</v>
      </c>
    </row>
    <row r="92" spans="1:19">
      <c r="A92" t="n">
        <v>81</v>
      </c>
      <c r="B92" s="21" t="n">
        <v>0</v>
      </c>
      <c r="C92" s="21" t="n">
        <v>0</v>
      </c>
      <c r="D92" s="21" t="n">
        <v>0</v>
      </c>
      <c r="E92" s="21" t="n">
        <v>0</v>
      </c>
      <c r="G92" t="n">
        <v>81</v>
      </c>
      <c r="H92" s="21" t="n">
        <v>0</v>
      </c>
      <c r="I92" s="21" t="n">
        <v>0</v>
      </c>
      <c r="J92" s="22" t="n">
        <v>0</v>
      </c>
      <c r="K92" s="21" t="n">
        <v>0</v>
      </c>
    </row>
    <row r="93" spans="1:19">
      <c r="A93" t="n">
        <v>82</v>
      </c>
      <c r="B93" s="21" t="n">
        <v>0</v>
      </c>
      <c r="C93" s="21" t="n">
        <v>0</v>
      </c>
      <c r="D93" s="21" t="n">
        <v>0</v>
      </c>
      <c r="E93" s="21" t="n">
        <v>0</v>
      </c>
      <c r="G93" t="n">
        <v>82</v>
      </c>
      <c r="H93" s="21" t="n">
        <v>0</v>
      </c>
      <c r="I93" s="21" t="n">
        <v>0</v>
      </c>
      <c r="J93" s="21" t="n">
        <v>0</v>
      </c>
      <c r="K93" s="21" t="n">
        <v>0</v>
      </c>
    </row>
    <row r="94" spans="1:19">
      <c r="A94" t="n">
        <v>83</v>
      </c>
      <c r="B94" s="21" t="n">
        <v>0</v>
      </c>
      <c r="C94" s="21" t="n">
        <v>0</v>
      </c>
      <c r="D94" s="21" t="n">
        <v>0</v>
      </c>
      <c r="E94" s="21" t="n">
        <v>0</v>
      </c>
      <c r="G94" t="n">
        <v>83</v>
      </c>
      <c r="H94" s="21" t="n">
        <v>0</v>
      </c>
      <c r="I94" s="21" t="n">
        <v>0</v>
      </c>
      <c r="J94" s="21" t="n">
        <v>0</v>
      </c>
      <c r="K94" s="21" t="n">
        <v>0</v>
      </c>
    </row>
    <row r="95" spans="1:19">
      <c r="A95" t="n">
        <v>84</v>
      </c>
      <c r="B95" s="21" t="n">
        <v>0</v>
      </c>
      <c r="C95" s="21" t="n">
        <v>0</v>
      </c>
      <c r="D95" s="21" t="n">
        <v>0</v>
      </c>
      <c r="E95" s="21" t="n">
        <v>0</v>
      </c>
      <c r="G95" t="n">
        <v>84</v>
      </c>
      <c r="H95" s="21" t="n">
        <v>0</v>
      </c>
      <c r="I95" s="21" t="n">
        <v>0</v>
      </c>
      <c r="J95" s="21" t="n">
        <v>0</v>
      </c>
      <c r="K95" s="21" t="n">
        <v>0</v>
      </c>
    </row>
    <row r="96" spans="1:19">
      <c r="A96" t="n">
        <v>85</v>
      </c>
      <c r="B96" s="21" t="n">
        <v>0</v>
      </c>
      <c r="C96" s="21" t="n">
        <v>0</v>
      </c>
      <c r="D96" s="21" t="n">
        <v>0</v>
      </c>
      <c r="E96" s="21" t="n">
        <v>0</v>
      </c>
      <c r="G96" t="n">
        <v>85</v>
      </c>
      <c r="H96" s="21" t="n">
        <v>0</v>
      </c>
      <c r="I96" s="21" t="n">
        <v>0</v>
      </c>
      <c r="J96" s="21" t="n">
        <v>0</v>
      </c>
      <c r="K96" s="21" t="n">
        <v>0</v>
      </c>
    </row>
    <row r="97" spans="1:19">
      <c r="A97" t="n">
        <v>86</v>
      </c>
      <c r="B97" s="21" t="n">
        <v>0</v>
      </c>
      <c r="C97" s="21" t="n">
        <v>0</v>
      </c>
      <c r="D97" s="21" t="n">
        <v>0</v>
      </c>
      <c r="E97" s="21" t="n">
        <v>0</v>
      </c>
      <c r="G97" t="n">
        <v>86</v>
      </c>
      <c r="H97" s="21" t="n">
        <v>0</v>
      </c>
      <c r="I97" s="21" t="n">
        <v>0</v>
      </c>
      <c r="J97" s="21" t="n">
        <v>0</v>
      </c>
      <c r="K97" s="21" t="n">
        <v>0</v>
      </c>
    </row>
    <row r="98" spans="1:19">
      <c r="A98" t="n">
        <v>87</v>
      </c>
      <c r="B98" s="21" t="n">
        <v>0</v>
      </c>
      <c r="C98" s="21" t="n">
        <v>0</v>
      </c>
      <c r="D98" s="21" t="n">
        <v>0</v>
      </c>
      <c r="E98" s="21" t="n">
        <v>0</v>
      </c>
      <c r="G98" t="n">
        <v>87</v>
      </c>
      <c r="H98" s="21" t="n">
        <v>0</v>
      </c>
      <c r="I98" s="21" t="n">
        <v>0</v>
      </c>
      <c r="J98" s="21" t="n">
        <v>0</v>
      </c>
      <c r="K98" s="21" t="n">
        <v>0</v>
      </c>
    </row>
    <row r="99" spans="1:19">
      <c r="A99" t="n">
        <v>88</v>
      </c>
      <c r="B99" s="21" t="n">
        <v>0</v>
      </c>
      <c r="C99" s="21" t="n">
        <v>0</v>
      </c>
      <c r="D99" s="21" t="n">
        <v>0</v>
      </c>
      <c r="E99" s="21" t="n">
        <v>0</v>
      </c>
      <c r="G99" t="n">
        <v>88</v>
      </c>
      <c r="H99" s="21" t="n">
        <v>0</v>
      </c>
      <c r="I99" s="21" t="n">
        <v>0</v>
      </c>
      <c r="J99" s="21" t="n">
        <v>0</v>
      </c>
      <c r="K99" s="21" t="n">
        <v>0</v>
      </c>
    </row>
    <row r="100" spans="1:19">
      <c r="A100" t="n">
        <v>89</v>
      </c>
      <c r="B100" s="21" t="n">
        <v>0</v>
      </c>
      <c r="C100" s="21" t="n">
        <v>0</v>
      </c>
      <c r="D100" s="21" t="n">
        <v>0</v>
      </c>
      <c r="E100" s="21" t="n">
        <v>0</v>
      </c>
      <c r="G100" t="n">
        <v>89</v>
      </c>
      <c r="H100" s="21" t="n">
        <v>0</v>
      </c>
      <c r="I100" s="21" t="n">
        <v>0</v>
      </c>
      <c r="J100" s="21" t="n">
        <v>0</v>
      </c>
      <c r="K100" s="21" t="n">
        <v>0</v>
      </c>
    </row>
    <row customHeight="1" ht="15.75" r="101" spans="1:19">
      <c r="A101" s="15" t="n">
        <v>90</v>
      </c>
      <c r="B101" s="27" t="n">
        <v>4846.176</v>
      </c>
      <c r="C101" s="27" t="n">
        <v>0</v>
      </c>
      <c r="D101" s="27" t="n">
        <v>3032.2763</v>
      </c>
      <c r="E101" s="27" t="n">
        <v>7878.452300000001</v>
      </c>
      <c r="G101" s="15" t="n">
        <v>90</v>
      </c>
      <c r="H101" s="27" t="n">
        <v>2382</v>
      </c>
      <c r="I101" s="27" t="n">
        <v>0</v>
      </c>
      <c r="J101" s="27" t="n">
        <v>0</v>
      </c>
      <c r="K101" s="27" t="n">
        <v>2382</v>
      </c>
    </row>
  </sheetData>
  <pageMargins bottom="0.75" footer="0.3" header="0.3" left="0.7" right="0.7" top="0.75"/>
  <pageSetup orientation="portrait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S101"/>
  <sheetViews>
    <sheetView workbookViewId="0">
      <selection activeCell="L21" sqref="L21"/>
    </sheetView>
  </sheetViews>
  <sheetFormatPr baseColWidth="10" defaultRowHeight="15" outlineLevelCol="0"/>
  <cols>
    <col collapsed="1" customWidth="1" max="1" min="1" style="13" width="13.5703125"/>
    <col collapsed="1" customWidth="1" max="2" min="2" style="13" width="10.5703125"/>
    <col collapsed="1" customWidth="1" max="4" min="3" style="13" width="9.5703125"/>
    <col collapsed="1" customWidth="1" max="5" min="5" style="13" width="10.5703125"/>
    <col collapsed="1" customWidth="1" max="7" min="7" style="13" width="13.140625"/>
    <col collapsed="1" customWidth="1" max="8" min="8" style="13" width="10.5703125"/>
    <col collapsed="1" customWidth="1" max="10" min="9" style="13" width="9.5703125"/>
    <col collapsed="1" customWidth="1" max="11" min="11" style="13" width="15.85546875"/>
    <col collapsed="1" customWidth="1" max="15" min="15" style="13" width="15.7109375"/>
  </cols>
  <sheetData>
    <row r="1" spans="1:19">
      <c r="A1" t="s">
        <v>0</v>
      </c>
    </row>
    <row r="2" spans="1:19">
      <c r="A2" t="s">
        <v>1</v>
      </c>
    </row>
    <row r="3" spans="1:19">
      <c r="A3" t="s">
        <v>2</v>
      </c>
    </row>
    <row r="4" spans="1:19">
      <c r="A4" t="s">
        <v>3</v>
      </c>
    </row>
    <row r="5" spans="1:19">
      <c r="A5" t="s">
        <v>4</v>
      </c>
    </row>
    <row r="6" spans="1:19"/>
    <row r="7" spans="1:19">
      <c r="A7" t="s">
        <v>5</v>
      </c>
    </row>
    <row r="8" spans="1:19"/>
    <row customHeight="1" ht="15.75" r="9" spans="1:19">
      <c r="A9" s="14" t="s">
        <v>6</v>
      </c>
      <c r="B9" s="15" t="n"/>
      <c r="C9" s="15" t="n"/>
      <c r="D9" s="15" t="n"/>
      <c r="E9" s="15" t="n"/>
      <c r="G9" s="14" t="s">
        <v>7</v>
      </c>
      <c r="H9" s="15" t="n"/>
      <c r="I9" s="15" t="n"/>
      <c r="J9" s="15" t="n"/>
      <c r="K9" s="15" t="n"/>
      <c r="M9" s="16" t="s">
        <v>20</v>
      </c>
      <c r="Q9" s="16" t="s">
        <v>21</v>
      </c>
    </row>
    <row r="10" spans="1:19">
      <c r="A10" s="17" t="s">
        <v>9</v>
      </c>
      <c r="B10" s="18" t="s">
        <v>10</v>
      </c>
      <c r="C10" s="18" t="s">
        <v>11</v>
      </c>
      <c r="D10" s="18" t="s">
        <v>12</v>
      </c>
      <c r="E10" s="18" t="s">
        <v>13</v>
      </c>
      <c r="G10" s="17" t="s">
        <v>9</v>
      </c>
      <c r="H10" s="18" t="s">
        <v>10</v>
      </c>
      <c r="I10" s="18" t="s">
        <v>11</v>
      </c>
      <c r="J10" s="18" t="s">
        <v>14</v>
      </c>
      <c r="K10" s="18" t="s">
        <v>22</v>
      </c>
      <c r="L10" s="18" t="n"/>
      <c r="M10" s="17" t="n"/>
      <c r="N10" s="18" t="s">
        <v>13</v>
      </c>
      <c r="O10" s="18" t="s">
        <v>22</v>
      </c>
      <c r="Q10" s="19" t="n"/>
      <c r="R10" s="20" t="s">
        <v>13</v>
      </c>
      <c r="S10" s="20" t="s">
        <v>23</v>
      </c>
    </row>
    <row customHeight="1" ht="15.75" r="11" spans="1:19">
      <c r="A11" t="n">
        <v>0</v>
      </c>
      <c r="B11" s="21" t="n">
        <v>5962.6515</v>
      </c>
      <c r="C11" s="21" t="n">
        <v>0</v>
      </c>
      <c r="D11" s="21" t="n">
        <v>7486.5989</v>
      </c>
      <c r="E11" s="21" t="n">
        <v>13449.2504</v>
      </c>
      <c r="G11" t="n">
        <v>0</v>
      </c>
      <c r="H11" s="21" t="n">
        <v>103998</v>
      </c>
      <c r="I11" s="21" t="n">
        <v>18107</v>
      </c>
      <c r="J11" s="22" t="n">
        <v>20774</v>
      </c>
      <c r="K11" s="21" t="n">
        <v>142879</v>
      </c>
      <c r="M11" t="s">
        <v>10</v>
      </c>
      <c r="N11" s="23" t="n">
        <v>5.704377106093364</v>
      </c>
      <c r="O11" s="23" t="n">
        <v>3.731225877980391</v>
      </c>
      <c r="Q11" s="15" t="s">
        <v>19</v>
      </c>
      <c r="R11" s="24" t="n"/>
      <c r="S11" s="24" t="n"/>
    </row>
    <row r="12" spans="1:19">
      <c r="A12" t="n">
        <v>1</v>
      </c>
      <c r="B12" s="21" t="n">
        <v>17543.5964</v>
      </c>
      <c r="C12" s="21" t="n">
        <v>411.5173</v>
      </c>
      <c r="D12" s="21" t="n">
        <v>549.9428</v>
      </c>
      <c r="E12" s="21" t="n">
        <v>18505.0565</v>
      </c>
      <c r="G12" t="n">
        <v>1</v>
      </c>
      <c r="H12" s="21" t="n">
        <v>72252</v>
      </c>
      <c r="I12" s="21" t="n">
        <v>11016</v>
      </c>
      <c r="J12" s="22" t="n">
        <v>9051</v>
      </c>
      <c r="K12" s="21" t="n">
        <v>92319</v>
      </c>
      <c r="M12" t="s">
        <v>11</v>
      </c>
      <c r="N12" s="23" t="n">
        <v>6.775872419438738</v>
      </c>
      <c r="O12" s="23" t="n">
        <v>5.226190406880109</v>
      </c>
      <c r="R12" s="23" t="n"/>
      <c r="S12" s="23" t="n"/>
    </row>
    <row r="13" spans="1:19">
      <c r="A13" t="n">
        <v>2</v>
      </c>
      <c r="B13" s="21" t="n">
        <v>31180.7782</v>
      </c>
      <c r="C13" s="21" t="n">
        <v>2232.3593</v>
      </c>
      <c r="D13" s="21" t="n">
        <v>1370.2745</v>
      </c>
      <c r="E13" s="21" t="n">
        <v>34783.412</v>
      </c>
      <c r="G13" t="n">
        <v>2</v>
      </c>
      <c r="H13" s="21" t="n">
        <v>37365</v>
      </c>
      <c r="I13" s="21" t="n">
        <v>6868</v>
      </c>
      <c r="J13" s="22" t="n">
        <v>3709</v>
      </c>
      <c r="K13" s="21" t="n">
        <v>47942</v>
      </c>
      <c r="M13" s="25" t="s">
        <v>14</v>
      </c>
      <c r="N13" s="26" t="n">
        <v>7.836691010091815</v>
      </c>
      <c r="O13" s="26" t="n">
        <v>8.125775009384343</v>
      </c>
      <c r="R13" s="23" t="n"/>
      <c r="S13" s="23" t="n"/>
    </row>
    <row customHeight="1" ht="15.75" r="14" spans="1:19">
      <c r="A14" t="n">
        <v>3</v>
      </c>
      <c r="B14" s="21" t="n">
        <v>46981.5065</v>
      </c>
      <c r="C14" s="21" t="n">
        <v>3518.988</v>
      </c>
      <c r="D14" s="21" t="n">
        <v>3422.2806</v>
      </c>
      <c r="E14" s="21" t="n">
        <v>53922.7751</v>
      </c>
      <c r="G14" t="n">
        <v>3</v>
      </c>
      <c r="H14" s="21" t="n">
        <v>18869</v>
      </c>
      <c r="I14" s="21" t="n">
        <v>4148</v>
      </c>
      <c r="J14" s="22" t="n">
        <v>2280</v>
      </c>
      <c r="K14" s="21" t="n">
        <v>25297</v>
      </c>
      <c r="M14" s="15" t="s">
        <v>19</v>
      </c>
      <c r="N14" s="24" t="n">
        <v>6.079411014239382</v>
      </c>
      <c r="O14" s="24" t="n">
        <v>4.951199809299032</v>
      </c>
    </row>
    <row r="15" spans="1:19">
      <c r="A15" t="n">
        <v>4</v>
      </c>
      <c r="B15" s="21" t="n">
        <v>96693.67050000001</v>
      </c>
      <c r="C15" s="21" t="n">
        <v>12046.4493</v>
      </c>
      <c r="D15" s="21" t="n">
        <v>11868.1322</v>
      </c>
      <c r="E15" s="21" t="n">
        <v>120608.252</v>
      </c>
      <c r="G15" t="n">
        <v>4</v>
      </c>
      <c r="H15" s="21" t="n">
        <v>81587</v>
      </c>
      <c r="I15" s="21" t="n">
        <v>21414</v>
      </c>
      <c r="J15" s="22" t="n">
        <v>19194</v>
      </c>
      <c r="K15" s="21" t="n">
        <v>122195</v>
      </c>
    </row>
    <row r="16" spans="1:19">
      <c r="A16" t="n">
        <v>5</v>
      </c>
      <c r="B16" s="21" t="n">
        <v>35959.4025</v>
      </c>
      <c r="C16" s="21" t="n">
        <v>8335.1854</v>
      </c>
      <c r="D16" s="21" t="n">
        <v>4964.6667</v>
      </c>
      <c r="E16" s="21" t="n">
        <v>49259.2546</v>
      </c>
      <c r="G16" t="n">
        <v>5</v>
      </c>
      <c r="H16" s="21" t="n">
        <v>26106</v>
      </c>
      <c r="I16" s="21" t="n">
        <v>9453</v>
      </c>
      <c r="J16" s="22" t="n">
        <v>18690</v>
      </c>
      <c r="K16" s="21" t="n">
        <v>54249</v>
      </c>
    </row>
    <row r="17" spans="1:19">
      <c r="A17" t="n">
        <v>6</v>
      </c>
      <c r="B17" s="21" t="n">
        <v>71627.8275</v>
      </c>
      <c r="C17" s="21" t="n">
        <v>13266.2097</v>
      </c>
      <c r="D17" s="21" t="n">
        <v>7392.0408</v>
      </c>
      <c r="E17" s="21" t="n">
        <v>92286.07799999999</v>
      </c>
      <c r="G17" t="n">
        <v>6</v>
      </c>
      <c r="H17" s="21" t="n">
        <v>32989</v>
      </c>
      <c r="I17" s="21" t="n">
        <v>10983</v>
      </c>
      <c r="J17" s="22" t="n">
        <v>14782</v>
      </c>
      <c r="K17" s="21" t="n">
        <v>58754</v>
      </c>
    </row>
    <row r="18" spans="1:19">
      <c r="A18" t="n">
        <v>7</v>
      </c>
      <c r="B18" s="21" t="n">
        <v>18891.3201</v>
      </c>
      <c r="C18" s="21" t="n">
        <v>1816.2806</v>
      </c>
      <c r="D18" s="21" t="n">
        <v>5461.6976</v>
      </c>
      <c r="E18" s="21" t="n">
        <v>26169.2983</v>
      </c>
      <c r="G18" t="n">
        <v>7</v>
      </c>
      <c r="H18" s="21" t="n">
        <v>13816</v>
      </c>
      <c r="I18" s="21" t="n">
        <v>4738</v>
      </c>
      <c r="J18" s="22" t="n">
        <v>9672</v>
      </c>
      <c r="K18" s="21" t="n">
        <v>28226</v>
      </c>
    </row>
    <row r="19" spans="1:19">
      <c r="A19" t="n">
        <v>8</v>
      </c>
      <c r="B19" s="21" t="n">
        <v>16330.6595</v>
      </c>
      <c r="C19" s="21" t="n">
        <v>4914.1557</v>
      </c>
      <c r="D19" s="21" t="n">
        <v>1215.9076</v>
      </c>
      <c r="E19" s="21" t="n">
        <v>22460.7228</v>
      </c>
      <c r="G19" t="n">
        <v>8</v>
      </c>
      <c r="H19" s="21" t="n">
        <v>15298</v>
      </c>
      <c r="I19" s="21" t="n">
        <v>5419</v>
      </c>
      <c r="J19" s="22" t="n">
        <v>14334</v>
      </c>
      <c r="K19" s="21" t="n">
        <v>35051</v>
      </c>
    </row>
    <row r="20" spans="1:19">
      <c r="A20" t="n">
        <v>9</v>
      </c>
      <c r="B20" s="21" t="n">
        <v>8463.8262</v>
      </c>
      <c r="C20" s="21" t="n">
        <v>3760.0686</v>
      </c>
      <c r="D20" s="21" t="n">
        <v>772.8297</v>
      </c>
      <c r="E20" s="21" t="n">
        <v>12996.7245</v>
      </c>
      <c r="G20" t="n">
        <v>9</v>
      </c>
      <c r="H20" s="21" t="n">
        <v>8062</v>
      </c>
      <c r="I20" s="21" t="n">
        <v>2803</v>
      </c>
      <c r="J20" s="22" t="n">
        <v>7302</v>
      </c>
      <c r="K20" s="21" t="n">
        <v>18167</v>
      </c>
    </row>
    <row r="21" spans="1:19">
      <c r="A21" t="n">
        <v>10</v>
      </c>
      <c r="B21" s="21" t="n">
        <v>19585.2007</v>
      </c>
      <c r="C21" s="21" t="n">
        <v>3606.0438</v>
      </c>
      <c r="D21" s="21" t="n">
        <v>4530.4183</v>
      </c>
      <c r="E21" s="21" t="n">
        <v>27721.6628</v>
      </c>
      <c r="G21" t="n">
        <v>10</v>
      </c>
      <c r="H21" s="21" t="n">
        <v>4354</v>
      </c>
      <c r="I21" s="21" t="n">
        <v>1868</v>
      </c>
      <c r="J21" s="22" t="n">
        <v>2858</v>
      </c>
      <c r="K21" s="21" t="n">
        <v>9080</v>
      </c>
    </row>
    <row r="22" spans="1:19">
      <c r="A22" t="n">
        <v>11</v>
      </c>
      <c r="B22" s="21" t="n">
        <v>8485.6852</v>
      </c>
      <c r="C22" s="21" t="n">
        <v>1609.5451</v>
      </c>
      <c r="D22" s="21" t="n">
        <v>582.6373</v>
      </c>
      <c r="E22" s="21" t="n">
        <v>10677.8676</v>
      </c>
      <c r="G22" t="n">
        <v>11</v>
      </c>
      <c r="H22" s="21" t="n">
        <v>4039</v>
      </c>
      <c r="I22" s="21" t="n">
        <v>1569</v>
      </c>
      <c r="J22" s="22" t="n">
        <v>3333</v>
      </c>
      <c r="K22" s="21" t="n">
        <v>8941</v>
      </c>
    </row>
    <row r="23" spans="1:19">
      <c r="A23" t="n">
        <v>12</v>
      </c>
      <c r="B23" s="21" t="n">
        <v>2878.1041</v>
      </c>
      <c r="C23" s="21" t="n">
        <v>1171.11</v>
      </c>
      <c r="D23" s="21" t="n">
        <v>2586.4087</v>
      </c>
      <c r="E23" s="21" t="n">
        <v>6635.6228</v>
      </c>
      <c r="G23" t="n">
        <v>12</v>
      </c>
      <c r="H23" s="21" t="n">
        <v>3467</v>
      </c>
      <c r="I23" s="21" t="n">
        <v>1475</v>
      </c>
      <c r="J23" s="22" t="n">
        <v>3749</v>
      </c>
      <c r="K23" s="21" t="n">
        <v>8691</v>
      </c>
    </row>
    <row r="24" spans="1:19">
      <c r="A24" t="n">
        <v>13</v>
      </c>
      <c r="B24" s="21" t="n">
        <v>1833.3625</v>
      </c>
      <c r="C24" s="21" t="n">
        <v>0</v>
      </c>
      <c r="D24" s="21" t="n">
        <v>368.0717</v>
      </c>
      <c r="E24" s="21" t="n">
        <v>2201.4342</v>
      </c>
      <c r="G24" t="n">
        <v>13</v>
      </c>
      <c r="H24" s="21" t="n">
        <v>2959</v>
      </c>
      <c r="I24" s="21" t="n">
        <v>1348</v>
      </c>
      <c r="J24" s="22" t="n">
        <v>5225</v>
      </c>
      <c r="K24" s="21" t="n">
        <v>9532</v>
      </c>
    </row>
    <row r="25" spans="1:19">
      <c r="A25" t="n">
        <v>14</v>
      </c>
      <c r="B25" s="21" t="n">
        <v>1214.683</v>
      </c>
      <c r="C25" s="21" t="n">
        <v>0</v>
      </c>
      <c r="D25" s="21" t="n">
        <v>2173.7614</v>
      </c>
      <c r="E25" s="21" t="n">
        <v>3388.4444</v>
      </c>
      <c r="G25" t="n">
        <v>14</v>
      </c>
      <c r="H25" s="21" t="n">
        <v>1582</v>
      </c>
      <c r="I25" s="21" t="n">
        <v>941</v>
      </c>
      <c r="J25" s="22" t="n">
        <v>2144</v>
      </c>
      <c r="K25" s="21" t="n">
        <v>4667</v>
      </c>
    </row>
    <row r="26" spans="1:19">
      <c r="A26" t="n">
        <v>15</v>
      </c>
      <c r="B26" s="21" t="n">
        <v>1031.4047</v>
      </c>
      <c r="C26" s="21" t="n">
        <v>0</v>
      </c>
      <c r="D26" s="21" t="n">
        <v>1087.1518</v>
      </c>
      <c r="E26" s="21" t="n">
        <v>2118.5565</v>
      </c>
      <c r="G26" t="n">
        <v>15</v>
      </c>
      <c r="H26" s="21" t="n">
        <v>1368</v>
      </c>
      <c r="I26" s="21" t="n">
        <v>781</v>
      </c>
      <c r="J26" s="22" t="n">
        <v>1900</v>
      </c>
      <c r="K26" s="21" t="n">
        <v>4049</v>
      </c>
    </row>
    <row r="27" spans="1:19">
      <c r="A27" t="n">
        <v>16</v>
      </c>
      <c r="B27" s="21" t="n">
        <v>4593.0206</v>
      </c>
      <c r="C27" s="21" t="n">
        <v>644.3416999999999</v>
      </c>
      <c r="D27" s="21" t="n">
        <v>686.0880999999999</v>
      </c>
      <c r="E27" s="21" t="n">
        <v>5923.4504</v>
      </c>
      <c r="G27" t="n">
        <v>16</v>
      </c>
      <c r="H27" s="21" t="n">
        <v>1048</v>
      </c>
      <c r="I27" s="21" t="n">
        <v>726</v>
      </c>
      <c r="J27" s="22" t="n">
        <v>1130</v>
      </c>
      <c r="K27" s="21" t="n">
        <v>2904</v>
      </c>
    </row>
    <row r="28" spans="1:19">
      <c r="A28" t="n">
        <v>17</v>
      </c>
      <c r="B28" s="21" t="n">
        <v>476.725</v>
      </c>
      <c r="C28" s="21" t="n">
        <v>542.7239</v>
      </c>
      <c r="D28" s="21" t="n">
        <v>376.0561</v>
      </c>
      <c r="E28" s="21" t="n">
        <v>1395.505</v>
      </c>
      <c r="G28" t="n">
        <v>17</v>
      </c>
      <c r="H28" s="21" t="n">
        <v>782</v>
      </c>
      <c r="I28" s="21" t="n">
        <v>557</v>
      </c>
      <c r="J28" s="22" t="n">
        <v>1914</v>
      </c>
      <c r="K28" s="21" t="n">
        <v>3253</v>
      </c>
    </row>
    <row r="29" spans="1:19">
      <c r="A29" t="n">
        <v>18</v>
      </c>
      <c r="B29" s="21" t="n">
        <v>1154.3296</v>
      </c>
      <c r="C29" s="21" t="n">
        <v>522.3251</v>
      </c>
      <c r="D29" s="21" t="n">
        <v>1334.3521</v>
      </c>
      <c r="E29" s="21" t="n">
        <v>3011.0068</v>
      </c>
      <c r="G29" t="n">
        <v>18</v>
      </c>
      <c r="H29" s="21" t="n">
        <v>519</v>
      </c>
      <c r="I29" s="21" t="n">
        <v>479</v>
      </c>
      <c r="J29" s="22" t="n">
        <v>2204</v>
      </c>
      <c r="K29" s="21" t="n">
        <v>3202</v>
      </c>
    </row>
    <row r="30" spans="1:19">
      <c r="A30" t="n">
        <v>19</v>
      </c>
      <c r="B30" s="21" t="n">
        <v>279.8517</v>
      </c>
      <c r="C30" s="21" t="n">
        <v>438.0688</v>
      </c>
      <c r="D30" s="21" t="n">
        <v>990.4027000000001</v>
      </c>
      <c r="E30" s="21" t="n">
        <v>1708.3232</v>
      </c>
      <c r="G30" t="n">
        <v>19</v>
      </c>
      <c r="H30" s="21" t="n">
        <v>623</v>
      </c>
      <c r="I30" s="21" t="n">
        <v>371</v>
      </c>
      <c r="J30" s="22" t="n">
        <v>940</v>
      </c>
      <c r="K30" s="21" t="n">
        <v>1934</v>
      </c>
    </row>
    <row r="31" spans="1:19">
      <c r="A31" t="n">
        <v>20</v>
      </c>
      <c r="B31" s="21" t="n">
        <v>0</v>
      </c>
      <c r="C31" s="21" t="n">
        <v>0</v>
      </c>
      <c r="D31" s="21" t="n">
        <v>47.593</v>
      </c>
      <c r="E31" s="21" t="n">
        <v>47.593</v>
      </c>
      <c r="G31" t="n">
        <v>20</v>
      </c>
      <c r="H31" s="21" t="n">
        <v>171</v>
      </c>
      <c r="I31" s="21" t="n">
        <v>205</v>
      </c>
      <c r="J31" s="22" t="n">
        <v>1324</v>
      </c>
      <c r="K31" s="21" t="n">
        <v>1700</v>
      </c>
    </row>
    <row r="32" spans="1:19">
      <c r="A32" t="n">
        <v>21</v>
      </c>
      <c r="B32" s="21" t="n">
        <v>5789.6123</v>
      </c>
      <c r="C32" s="21" t="n">
        <v>309.8473</v>
      </c>
      <c r="D32" s="21" t="n">
        <v>77.30229999999999</v>
      </c>
      <c r="E32" s="21" t="n">
        <v>6176.7619</v>
      </c>
      <c r="G32" t="n">
        <v>21</v>
      </c>
      <c r="H32" s="21" t="n">
        <v>199</v>
      </c>
      <c r="I32" s="21" t="n">
        <v>233</v>
      </c>
      <c r="J32" s="22" t="n">
        <v>1293</v>
      </c>
      <c r="K32" s="21" t="n">
        <v>1725</v>
      </c>
    </row>
    <row r="33" spans="1:19">
      <c r="A33" t="n">
        <v>22</v>
      </c>
      <c r="B33" s="21" t="n">
        <v>212.6231</v>
      </c>
      <c r="C33" s="21" t="n">
        <v>0</v>
      </c>
      <c r="D33" s="21" t="n">
        <v>41.272</v>
      </c>
      <c r="E33" s="21" t="n">
        <v>253.8951</v>
      </c>
      <c r="G33" t="n">
        <v>22</v>
      </c>
      <c r="H33" s="21" t="n">
        <v>102</v>
      </c>
      <c r="I33" s="21" t="n">
        <v>181</v>
      </c>
      <c r="J33" s="22" t="n">
        <v>1012</v>
      </c>
      <c r="K33" s="21" t="n">
        <v>1295</v>
      </c>
    </row>
    <row r="34" spans="1:19">
      <c r="A34" t="n">
        <v>23</v>
      </c>
      <c r="B34" s="21" t="n">
        <v>2931.9003</v>
      </c>
      <c r="C34" s="21" t="n">
        <v>0</v>
      </c>
      <c r="D34" s="21" t="n">
        <v>19.985</v>
      </c>
      <c r="E34" s="21" t="n">
        <v>2951.8853</v>
      </c>
      <c r="G34" t="n">
        <v>23</v>
      </c>
      <c r="H34" s="21" t="n">
        <v>58</v>
      </c>
      <c r="I34" s="21" t="n">
        <v>156</v>
      </c>
      <c r="J34" s="22" t="n">
        <v>770</v>
      </c>
      <c r="K34" s="21" t="n">
        <v>984</v>
      </c>
    </row>
    <row r="35" spans="1:19">
      <c r="A35" t="n">
        <v>24</v>
      </c>
      <c r="B35" s="21" t="n">
        <v>0</v>
      </c>
      <c r="C35" s="21" t="n">
        <v>0</v>
      </c>
      <c r="D35" s="21" t="n">
        <v>35.025</v>
      </c>
      <c r="E35" s="21" t="n">
        <v>35.025</v>
      </c>
      <c r="G35" t="n">
        <v>24</v>
      </c>
      <c r="H35" s="21" t="n">
        <v>66</v>
      </c>
      <c r="I35" s="21" t="n">
        <v>154</v>
      </c>
      <c r="J35" s="22" t="n">
        <v>489</v>
      </c>
      <c r="K35" s="21" t="n">
        <v>709</v>
      </c>
    </row>
    <row r="36" spans="1:19">
      <c r="A36" t="n">
        <v>25</v>
      </c>
      <c r="B36" s="21" t="n">
        <v>0</v>
      </c>
      <c r="C36" s="21" t="n">
        <v>0</v>
      </c>
      <c r="D36" s="21" t="n">
        <v>32.001</v>
      </c>
      <c r="E36" s="21" t="n">
        <v>32.001</v>
      </c>
      <c r="G36" t="n">
        <v>25</v>
      </c>
      <c r="H36" s="21" t="n">
        <v>80</v>
      </c>
      <c r="I36" s="21" t="n">
        <v>104</v>
      </c>
      <c r="J36" s="22" t="n">
        <v>450</v>
      </c>
      <c r="K36" s="21" t="n">
        <v>634</v>
      </c>
    </row>
    <row r="37" spans="1:19">
      <c r="A37" t="n">
        <v>26</v>
      </c>
      <c r="B37" s="21" t="n">
        <v>775.4409000000001</v>
      </c>
      <c r="C37" s="21" t="n">
        <v>846.0343</v>
      </c>
      <c r="D37" s="21" t="n">
        <v>0</v>
      </c>
      <c r="E37" s="21" t="n">
        <v>1621.4752</v>
      </c>
      <c r="G37" t="n">
        <v>26</v>
      </c>
      <c r="H37" s="21" t="n">
        <v>73</v>
      </c>
      <c r="I37" s="21" t="n">
        <v>99</v>
      </c>
      <c r="J37" s="22" t="n">
        <v>505</v>
      </c>
      <c r="K37" s="21" t="n">
        <v>677</v>
      </c>
    </row>
    <row r="38" spans="1:19">
      <c r="A38" t="n">
        <v>27</v>
      </c>
      <c r="B38" s="21" t="n">
        <v>0</v>
      </c>
      <c r="C38" s="21" t="n">
        <v>0</v>
      </c>
      <c r="D38" s="21" t="n">
        <v>569.2839</v>
      </c>
      <c r="E38" s="21" t="n">
        <v>569.2839</v>
      </c>
      <c r="G38" t="n">
        <v>27</v>
      </c>
      <c r="H38" s="21" t="n">
        <v>28</v>
      </c>
      <c r="I38" s="21" t="n">
        <v>78</v>
      </c>
      <c r="J38" s="22" t="n">
        <v>606</v>
      </c>
      <c r="K38" s="21" t="n">
        <v>712</v>
      </c>
    </row>
    <row r="39" spans="1:19">
      <c r="A39" t="n">
        <v>28</v>
      </c>
      <c r="B39" s="21" t="n">
        <v>1297.2364</v>
      </c>
      <c r="C39" s="21" t="n">
        <v>0</v>
      </c>
      <c r="D39" s="21" t="n">
        <v>0</v>
      </c>
      <c r="E39" s="21" t="n">
        <v>1297.2364</v>
      </c>
      <c r="G39" t="n">
        <v>28</v>
      </c>
      <c r="H39" s="21" t="n">
        <v>62</v>
      </c>
      <c r="I39" s="21" t="n">
        <v>76</v>
      </c>
      <c r="J39" s="22" t="n">
        <v>448</v>
      </c>
      <c r="K39" s="21" t="n">
        <v>586</v>
      </c>
    </row>
    <row r="40" spans="1:19">
      <c r="A40" t="n">
        <v>29</v>
      </c>
      <c r="B40" s="21" t="n">
        <v>0</v>
      </c>
      <c r="C40" s="21" t="n">
        <v>0</v>
      </c>
      <c r="D40" s="21" t="n">
        <v>31.814</v>
      </c>
      <c r="E40" s="21" t="n">
        <v>31.814</v>
      </c>
      <c r="G40" t="n">
        <v>29</v>
      </c>
      <c r="H40" s="21" t="n">
        <v>5</v>
      </c>
      <c r="I40" s="21" t="n">
        <v>41</v>
      </c>
      <c r="J40" s="22" t="n">
        <v>303</v>
      </c>
      <c r="K40" s="21" t="n">
        <v>349</v>
      </c>
    </row>
    <row r="41" spans="1:19">
      <c r="A41" t="n">
        <v>30</v>
      </c>
      <c r="B41" s="21" t="n">
        <v>0</v>
      </c>
      <c r="C41" s="21" t="n">
        <v>0</v>
      </c>
      <c r="D41" s="21" t="n">
        <v>13.399</v>
      </c>
      <c r="E41" s="21" t="n">
        <v>13.399</v>
      </c>
      <c r="G41" t="n">
        <v>30</v>
      </c>
      <c r="H41" s="21" t="n">
        <v>7</v>
      </c>
      <c r="I41" s="21" t="n">
        <v>38</v>
      </c>
      <c r="J41" s="22" t="n">
        <v>447</v>
      </c>
      <c r="K41" s="21" t="n">
        <v>492</v>
      </c>
    </row>
    <row r="42" spans="1:19">
      <c r="A42" t="n">
        <v>31</v>
      </c>
      <c r="B42" s="21" t="n">
        <v>0</v>
      </c>
      <c r="C42" s="21" t="n">
        <v>0</v>
      </c>
      <c r="D42" s="21" t="n">
        <v>0</v>
      </c>
      <c r="E42" s="21" t="n">
        <v>0</v>
      </c>
      <c r="G42" t="n">
        <v>31</v>
      </c>
      <c r="H42" s="21" t="n">
        <v>41</v>
      </c>
      <c r="I42" s="21" t="n">
        <v>50</v>
      </c>
      <c r="J42" s="22" t="n">
        <v>358</v>
      </c>
      <c r="K42" s="21" t="n">
        <v>449</v>
      </c>
    </row>
    <row r="43" spans="1:19">
      <c r="A43" t="n">
        <v>32</v>
      </c>
      <c r="B43" s="21" t="n">
        <v>0</v>
      </c>
      <c r="C43" s="21" t="n">
        <v>0</v>
      </c>
      <c r="D43" s="21" t="n">
        <v>12.739</v>
      </c>
      <c r="E43" s="21" t="n">
        <v>12.739</v>
      </c>
      <c r="G43" t="n">
        <v>32</v>
      </c>
      <c r="H43" s="21" t="n">
        <v>15</v>
      </c>
      <c r="I43" s="21" t="n">
        <v>29</v>
      </c>
      <c r="J43" s="22" t="n">
        <v>189</v>
      </c>
      <c r="K43" s="21" t="n">
        <v>233</v>
      </c>
    </row>
    <row r="44" spans="1:19">
      <c r="A44" t="n">
        <v>33</v>
      </c>
      <c r="B44" s="21" t="n">
        <v>0</v>
      </c>
      <c r="C44" s="21" t="n">
        <v>0</v>
      </c>
      <c r="D44" s="21" t="n">
        <v>10.791</v>
      </c>
      <c r="E44" s="21" t="n">
        <v>10.791</v>
      </c>
      <c r="G44" t="n">
        <v>33</v>
      </c>
      <c r="H44" s="21" t="n">
        <v>17</v>
      </c>
      <c r="I44" s="21" t="n">
        <v>35</v>
      </c>
      <c r="J44" s="22" t="n">
        <v>194</v>
      </c>
      <c r="K44" s="21" t="n">
        <v>246</v>
      </c>
    </row>
    <row r="45" spans="1:19">
      <c r="A45" t="n">
        <v>34</v>
      </c>
      <c r="B45" s="21" t="n">
        <v>0</v>
      </c>
      <c r="C45" s="21" t="n">
        <v>78.9631</v>
      </c>
      <c r="D45" s="21" t="n">
        <v>0</v>
      </c>
      <c r="E45" s="21" t="n">
        <v>78.9631</v>
      </c>
      <c r="G45" t="n">
        <v>34</v>
      </c>
      <c r="H45" s="21" t="n">
        <v>39</v>
      </c>
      <c r="I45" s="21" t="n">
        <v>31</v>
      </c>
      <c r="J45" s="22" t="n">
        <v>1227</v>
      </c>
      <c r="K45" s="21" t="n">
        <v>1297</v>
      </c>
    </row>
    <row r="46" spans="1:19">
      <c r="A46" t="n">
        <v>35</v>
      </c>
      <c r="B46" s="21" t="n">
        <v>0</v>
      </c>
      <c r="C46" s="21" t="n">
        <v>0</v>
      </c>
      <c r="D46" s="21" t="n">
        <v>25.786</v>
      </c>
      <c r="E46" s="21" t="n">
        <v>25.786</v>
      </c>
      <c r="G46" t="n">
        <v>35</v>
      </c>
      <c r="H46" s="21" t="n">
        <v>2</v>
      </c>
      <c r="I46" s="21" t="n">
        <v>15</v>
      </c>
      <c r="J46" s="22" t="n">
        <v>237</v>
      </c>
      <c r="K46" s="21" t="n">
        <v>254</v>
      </c>
    </row>
    <row r="47" spans="1:19">
      <c r="A47" t="n">
        <v>36</v>
      </c>
      <c r="B47" s="21" t="n">
        <v>0</v>
      </c>
      <c r="C47" s="21" t="n">
        <v>0</v>
      </c>
      <c r="D47" s="21" t="n">
        <v>0</v>
      </c>
      <c r="E47" s="21" t="n">
        <v>0</v>
      </c>
      <c r="G47" t="n">
        <v>36</v>
      </c>
      <c r="H47" s="21" t="n">
        <v>14</v>
      </c>
      <c r="I47" s="21" t="n">
        <v>22</v>
      </c>
      <c r="J47" s="22" t="n">
        <v>126</v>
      </c>
      <c r="K47" s="21" t="n">
        <v>162</v>
      </c>
    </row>
    <row r="48" spans="1:19">
      <c r="A48" t="n">
        <v>37</v>
      </c>
      <c r="B48" s="21" t="n">
        <v>0</v>
      </c>
      <c r="C48" s="21" t="n">
        <v>0</v>
      </c>
      <c r="D48" s="21" t="n">
        <v>0</v>
      </c>
      <c r="E48" s="21" t="n">
        <v>0</v>
      </c>
      <c r="G48" t="n">
        <v>37</v>
      </c>
      <c r="H48" s="21" t="n">
        <v>3</v>
      </c>
      <c r="I48" s="21" t="n">
        <v>12</v>
      </c>
      <c r="J48" s="22" t="n">
        <v>124</v>
      </c>
      <c r="K48" s="21" t="n">
        <v>139</v>
      </c>
    </row>
    <row r="49" spans="1:19">
      <c r="A49" t="n">
        <v>38</v>
      </c>
      <c r="B49" s="21" t="n">
        <v>0</v>
      </c>
      <c r="C49" s="21" t="n">
        <v>0</v>
      </c>
      <c r="D49" s="21" t="n">
        <v>0</v>
      </c>
      <c r="E49" s="21" t="n">
        <v>0</v>
      </c>
      <c r="G49" t="n">
        <v>38</v>
      </c>
      <c r="H49" s="21" t="n">
        <v>7</v>
      </c>
      <c r="I49" s="21" t="n">
        <v>15</v>
      </c>
      <c r="J49" s="22" t="n">
        <v>223</v>
      </c>
      <c r="K49" s="21" t="n">
        <v>245</v>
      </c>
    </row>
    <row r="50" spans="1:19">
      <c r="A50" t="n">
        <v>39</v>
      </c>
      <c r="B50" s="21" t="n">
        <v>0</v>
      </c>
      <c r="C50" s="21" t="n">
        <v>0</v>
      </c>
      <c r="D50" s="21" t="n">
        <v>4.128</v>
      </c>
      <c r="E50" s="21" t="n">
        <v>4.128</v>
      </c>
      <c r="G50" t="n">
        <v>39</v>
      </c>
      <c r="H50" s="21" t="n">
        <v>2</v>
      </c>
      <c r="I50" s="21" t="n">
        <v>11</v>
      </c>
      <c r="J50" s="22" t="n">
        <v>159</v>
      </c>
      <c r="K50" s="21" t="n">
        <v>172</v>
      </c>
    </row>
    <row r="51" spans="1:19">
      <c r="A51" t="n">
        <v>40</v>
      </c>
      <c r="B51" s="21" t="n">
        <v>0</v>
      </c>
      <c r="C51" s="21" t="n">
        <v>0</v>
      </c>
      <c r="D51" s="21" t="n">
        <v>860.3701</v>
      </c>
      <c r="E51" s="21" t="n">
        <v>860.3701</v>
      </c>
      <c r="G51" t="n">
        <v>40</v>
      </c>
      <c r="H51" s="21" t="n">
        <v>1</v>
      </c>
      <c r="I51" s="21" t="n">
        <v>6</v>
      </c>
      <c r="J51" s="22" t="n">
        <v>33</v>
      </c>
      <c r="K51" s="21" t="n">
        <v>40</v>
      </c>
    </row>
    <row r="52" spans="1:19">
      <c r="A52" t="n">
        <v>41</v>
      </c>
      <c r="B52" s="21" t="n">
        <v>0</v>
      </c>
      <c r="C52" s="21" t="n">
        <v>0</v>
      </c>
      <c r="D52" s="21" t="n">
        <v>0</v>
      </c>
      <c r="E52" s="21" t="n">
        <v>0</v>
      </c>
      <c r="G52" t="n">
        <v>41</v>
      </c>
      <c r="H52" s="21" t="n">
        <v>2</v>
      </c>
      <c r="I52" s="21" t="n">
        <v>12</v>
      </c>
      <c r="J52" s="22" t="n">
        <v>80</v>
      </c>
      <c r="K52" s="21" t="n">
        <v>94</v>
      </c>
    </row>
    <row r="53" spans="1:19">
      <c r="A53" t="n">
        <v>42</v>
      </c>
      <c r="B53" s="21" t="n">
        <v>0</v>
      </c>
      <c r="C53" s="21" t="n">
        <v>0</v>
      </c>
      <c r="D53" s="21" t="n">
        <v>286.7204</v>
      </c>
      <c r="E53" s="21" t="n">
        <v>286.7204</v>
      </c>
      <c r="G53" t="n">
        <v>42</v>
      </c>
      <c r="H53" s="21" t="n">
        <v>3</v>
      </c>
      <c r="I53" s="21" t="n">
        <v>6</v>
      </c>
      <c r="J53" s="22" t="n">
        <v>42</v>
      </c>
      <c r="K53" s="21" t="n">
        <v>51</v>
      </c>
    </row>
    <row r="54" spans="1:19">
      <c r="A54" t="n">
        <v>43</v>
      </c>
      <c r="B54" s="21" t="n">
        <v>0</v>
      </c>
      <c r="C54" s="21" t="n">
        <v>0</v>
      </c>
      <c r="D54" s="21" t="n">
        <v>0</v>
      </c>
      <c r="E54" s="21" t="n">
        <v>0</v>
      </c>
      <c r="G54" t="n">
        <v>43</v>
      </c>
      <c r="H54" s="21" t="n">
        <v>5</v>
      </c>
      <c r="I54" s="21" t="n">
        <v>8</v>
      </c>
      <c r="J54" s="22" t="n">
        <v>172</v>
      </c>
      <c r="K54" s="21" t="n">
        <v>185</v>
      </c>
    </row>
    <row r="55" spans="1:19">
      <c r="A55" t="n">
        <v>44</v>
      </c>
      <c r="B55" s="21" t="n">
        <v>0</v>
      </c>
      <c r="C55" s="21" t="n">
        <v>0</v>
      </c>
      <c r="D55" s="21" t="n">
        <v>0</v>
      </c>
      <c r="E55" s="21" t="n">
        <v>0</v>
      </c>
      <c r="G55" t="n">
        <v>44</v>
      </c>
      <c r="H55" s="21" t="n">
        <v>2</v>
      </c>
      <c r="I55" s="21" t="n">
        <v>0</v>
      </c>
      <c r="J55" s="22" t="n">
        <v>61</v>
      </c>
      <c r="K55" s="21" t="n">
        <v>63</v>
      </c>
    </row>
    <row r="56" spans="1:19">
      <c r="A56" t="n">
        <v>45</v>
      </c>
      <c r="B56" s="21" t="n">
        <v>0</v>
      </c>
      <c r="C56" s="21" t="n">
        <v>0</v>
      </c>
      <c r="D56" s="21" t="n">
        <v>0</v>
      </c>
      <c r="E56" s="21" t="n">
        <v>0</v>
      </c>
      <c r="G56" t="n">
        <v>45</v>
      </c>
      <c r="H56" s="21" t="n">
        <v>2</v>
      </c>
      <c r="I56" s="21" t="n">
        <v>13</v>
      </c>
      <c r="J56" s="22" t="n">
        <v>178</v>
      </c>
      <c r="K56" s="21" t="n">
        <v>193</v>
      </c>
    </row>
    <row r="57" spans="1:19">
      <c r="A57" t="n">
        <v>46</v>
      </c>
      <c r="B57" s="21" t="n">
        <v>0</v>
      </c>
      <c r="C57" s="21" t="n">
        <v>0</v>
      </c>
      <c r="D57" s="21" t="n">
        <v>0</v>
      </c>
      <c r="E57" s="21" t="n">
        <v>0</v>
      </c>
      <c r="G57" t="n">
        <v>46</v>
      </c>
      <c r="H57" s="21" t="n">
        <v>2</v>
      </c>
      <c r="I57" s="21" t="n">
        <v>3</v>
      </c>
      <c r="J57" s="22" t="n">
        <v>72</v>
      </c>
      <c r="K57" s="21" t="n">
        <v>77</v>
      </c>
    </row>
    <row r="58" spans="1:19">
      <c r="A58" t="n">
        <v>47</v>
      </c>
      <c r="B58" s="21" t="n">
        <v>0</v>
      </c>
      <c r="C58" s="21" t="n">
        <v>0</v>
      </c>
      <c r="D58" s="21" t="n">
        <v>0</v>
      </c>
      <c r="E58" s="21" t="n">
        <v>0</v>
      </c>
      <c r="G58" t="n">
        <v>47</v>
      </c>
      <c r="H58" s="21" t="n">
        <v>0</v>
      </c>
      <c r="I58" s="21" t="n">
        <v>13</v>
      </c>
      <c r="J58" s="22" t="n">
        <v>94</v>
      </c>
      <c r="K58" s="21" t="n">
        <v>107</v>
      </c>
    </row>
    <row r="59" spans="1:19">
      <c r="A59" t="n">
        <v>48</v>
      </c>
      <c r="B59" s="21" t="n">
        <v>0</v>
      </c>
      <c r="C59" s="21" t="n">
        <v>0</v>
      </c>
      <c r="D59" s="21" t="n">
        <v>468.9894</v>
      </c>
      <c r="E59" s="21" t="n">
        <v>468.9894</v>
      </c>
      <c r="G59" t="n">
        <v>48</v>
      </c>
      <c r="H59" s="21" t="n">
        <v>1</v>
      </c>
      <c r="I59" s="21" t="n">
        <v>4</v>
      </c>
      <c r="J59" s="22" t="n">
        <v>33</v>
      </c>
      <c r="K59" s="21" t="n">
        <v>38</v>
      </c>
    </row>
    <row r="60" spans="1:19">
      <c r="A60" t="n">
        <v>49</v>
      </c>
      <c r="B60" s="21" t="n">
        <v>0</v>
      </c>
      <c r="C60" s="21" t="n">
        <v>0</v>
      </c>
      <c r="D60" s="21" t="n">
        <v>0</v>
      </c>
      <c r="E60" s="21" t="n">
        <v>0</v>
      </c>
      <c r="G60" t="n">
        <v>49</v>
      </c>
      <c r="H60" s="21" t="n">
        <v>1</v>
      </c>
      <c r="I60" s="21" t="n">
        <v>4</v>
      </c>
      <c r="J60" s="22" t="n">
        <v>133</v>
      </c>
      <c r="K60" s="21" t="n">
        <v>138</v>
      </c>
    </row>
    <row r="61" spans="1:19">
      <c r="A61" t="n">
        <v>50</v>
      </c>
      <c r="B61" s="21" t="n">
        <v>0</v>
      </c>
      <c r="C61" s="21" t="n">
        <v>0</v>
      </c>
      <c r="D61" s="21" t="n">
        <v>249.3058</v>
      </c>
      <c r="E61" s="21" t="n">
        <v>249.3058</v>
      </c>
      <c r="G61" t="n">
        <v>50</v>
      </c>
      <c r="H61" s="21" t="n">
        <v>1</v>
      </c>
      <c r="I61" s="21" t="n">
        <v>6</v>
      </c>
      <c r="J61" s="22" t="n">
        <v>26</v>
      </c>
      <c r="K61" s="21" t="n">
        <v>33</v>
      </c>
    </row>
    <row r="62" spans="1:19">
      <c r="A62" t="n">
        <v>51</v>
      </c>
      <c r="B62" s="21" t="n">
        <v>0</v>
      </c>
      <c r="C62" s="21" t="n">
        <v>0</v>
      </c>
      <c r="D62" s="21" t="n">
        <v>0</v>
      </c>
      <c r="E62" s="21" t="n">
        <v>0</v>
      </c>
      <c r="G62" t="n">
        <v>51</v>
      </c>
      <c r="H62" s="21" t="n">
        <v>0</v>
      </c>
      <c r="I62" s="21" t="n">
        <v>6</v>
      </c>
      <c r="J62" s="22" t="n">
        <v>53</v>
      </c>
      <c r="K62" s="21" t="n">
        <v>59</v>
      </c>
    </row>
    <row r="63" spans="1:19">
      <c r="A63" t="n">
        <v>52</v>
      </c>
      <c r="B63" s="21" t="n">
        <v>0</v>
      </c>
      <c r="C63" s="21" t="n">
        <v>0</v>
      </c>
      <c r="D63" s="21" t="n">
        <v>0</v>
      </c>
      <c r="E63" s="21" t="n">
        <v>0</v>
      </c>
      <c r="G63" t="n">
        <v>52</v>
      </c>
      <c r="H63" s="21" t="n">
        <v>0</v>
      </c>
      <c r="I63" s="21" t="n">
        <v>0</v>
      </c>
      <c r="J63" s="22" t="n">
        <v>19</v>
      </c>
      <c r="K63" s="21" t="n">
        <v>19</v>
      </c>
    </row>
    <row r="64" spans="1:19">
      <c r="A64" t="n">
        <v>53</v>
      </c>
      <c r="B64" s="21" t="n">
        <v>0</v>
      </c>
      <c r="C64" s="21" t="n">
        <v>0</v>
      </c>
      <c r="D64" s="21" t="n">
        <v>13.487</v>
      </c>
      <c r="E64" s="21" t="n">
        <v>13.487</v>
      </c>
      <c r="G64" t="n">
        <v>53</v>
      </c>
      <c r="H64" s="21" t="n">
        <v>0</v>
      </c>
      <c r="I64" s="21" t="n">
        <v>5</v>
      </c>
      <c r="J64" s="22" t="n">
        <v>65</v>
      </c>
      <c r="K64" s="21" t="n">
        <v>70</v>
      </c>
    </row>
    <row r="65" spans="1:19">
      <c r="A65" t="n">
        <v>54</v>
      </c>
      <c r="B65" s="21" t="n">
        <v>0</v>
      </c>
      <c r="C65" s="21" t="n">
        <v>0</v>
      </c>
      <c r="D65" s="21" t="n">
        <v>0</v>
      </c>
      <c r="E65" s="21" t="n">
        <v>0</v>
      </c>
      <c r="G65" t="n">
        <v>54</v>
      </c>
      <c r="H65" s="21" t="n">
        <v>0</v>
      </c>
      <c r="I65" s="21" t="n">
        <v>3</v>
      </c>
      <c r="J65" s="22" t="n">
        <v>8</v>
      </c>
      <c r="K65" s="21" t="n">
        <v>11</v>
      </c>
    </row>
    <row r="66" spans="1:19">
      <c r="A66" t="n">
        <v>55</v>
      </c>
      <c r="B66" s="21" t="n">
        <v>0</v>
      </c>
      <c r="C66" s="21" t="n">
        <v>0</v>
      </c>
      <c r="D66" s="21" t="n">
        <v>3.675</v>
      </c>
      <c r="E66" s="21" t="n">
        <v>3.675</v>
      </c>
      <c r="G66" t="n">
        <v>55</v>
      </c>
      <c r="H66" s="21" t="n">
        <v>0</v>
      </c>
      <c r="I66" s="21" t="n">
        <v>4</v>
      </c>
      <c r="J66" s="22" t="n">
        <v>15</v>
      </c>
      <c r="K66" s="21" t="n">
        <v>19</v>
      </c>
    </row>
    <row r="67" spans="1:19">
      <c r="A67" t="n">
        <v>56</v>
      </c>
      <c r="B67" s="21" t="n">
        <v>0</v>
      </c>
      <c r="C67" s="21" t="n">
        <v>0</v>
      </c>
      <c r="D67" s="21" t="n">
        <v>0</v>
      </c>
      <c r="E67" s="21" t="n">
        <v>0</v>
      </c>
      <c r="G67" t="n">
        <v>56</v>
      </c>
      <c r="H67" s="21" t="n">
        <v>0</v>
      </c>
      <c r="I67" s="21" t="n">
        <v>4</v>
      </c>
      <c r="J67" s="22" t="n">
        <v>14</v>
      </c>
      <c r="K67" s="21" t="n">
        <v>18</v>
      </c>
    </row>
    <row r="68" spans="1:19">
      <c r="A68" t="n">
        <v>57</v>
      </c>
      <c r="B68" s="21" t="n">
        <v>0</v>
      </c>
      <c r="C68" s="21" t="n">
        <v>0</v>
      </c>
      <c r="D68" s="21" t="n">
        <v>0</v>
      </c>
      <c r="E68" s="21" t="n">
        <v>0</v>
      </c>
      <c r="G68" t="n">
        <v>57</v>
      </c>
      <c r="H68" s="21" t="n">
        <v>0</v>
      </c>
      <c r="I68" s="21" t="n">
        <v>2</v>
      </c>
      <c r="J68" s="22" t="n">
        <v>0</v>
      </c>
      <c r="K68" s="21" t="n">
        <v>2</v>
      </c>
    </row>
    <row r="69" spans="1:19">
      <c r="A69" t="n">
        <v>58</v>
      </c>
      <c r="B69" s="21" t="n">
        <v>0</v>
      </c>
      <c r="C69" s="21" t="n">
        <v>0</v>
      </c>
      <c r="D69" s="21" t="n">
        <v>0</v>
      </c>
      <c r="E69" s="21" t="n">
        <v>0</v>
      </c>
      <c r="G69" t="n">
        <v>58</v>
      </c>
      <c r="H69" s="21" t="n">
        <v>1</v>
      </c>
      <c r="I69" s="21" t="n">
        <v>2</v>
      </c>
      <c r="J69" s="22" t="n">
        <v>1</v>
      </c>
      <c r="K69" s="21" t="n">
        <v>4</v>
      </c>
    </row>
    <row r="70" spans="1:19">
      <c r="A70" t="n">
        <v>59</v>
      </c>
      <c r="B70" s="21" t="n">
        <v>0</v>
      </c>
      <c r="C70" s="21" t="n">
        <v>0</v>
      </c>
      <c r="D70" s="21" t="n">
        <v>0</v>
      </c>
      <c r="E70" s="21" t="n">
        <v>0</v>
      </c>
      <c r="G70" t="n">
        <v>59</v>
      </c>
      <c r="H70" s="21" t="n">
        <v>0</v>
      </c>
      <c r="I70" s="21" t="n">
        <v>3</v>
      </c>
      <c r="J70" s="22" t="n">
        <v>2</v>
      </c>
      <c r="K70" s="21" t="n">
        <v>5</v>
      </c>
    </row>
    <row r="71" spans="1:19">
      <c r="A71" t="n">
        <v>60</v>
      </c>
      <c r="B71" s="21" t="n">
        <v>0</v>
      </c>
      <c r="C71" s="21" t="n">
        <v>0</v>
      </c>
      <c r="D71" s="21" t="n">
        <v>0</v>
      </c>
      <c r="E71" s="21" t="n">
        <v>0</v>
      </c>
      <c r="G71" t="n">
        <v>60</v>
      </c>
      <c r="H71" s="21" t="n">
        <v>0</v>
      </c>
      <c r="I71" s="21" t="n">
        <v>0</v>
      </c>
      <c r="J71" s="22" t="n">
        <v>8</v>
      </c>
      <c r="K71" s="21" t="n">
        <v>8</v>
      </c>
    </row>
    <row r="72" spans="1:19">
      <c r="A72" t="n">
        <v>61</v>
      </c>
      <c r="B72" s="21" t="n">
        <v>0</v>
      </c>
      <c r="C72" s="21" t="n">
        <v>0</v>
      </c>
      <c r="D72" s="21" t="n">
        <v>0</v>
      </c>
      <c r="E72" s="21" t="n">
        <v>0</v>
      </c>
      <c r="G72" t="n">
        <v>61</v>
      </c>
      <c r="H72" s="21" t="n">
        <v>0</v>
      </c>
      <c r="I72" s="21" t="n">
        <v>3</v>
      </c>
      <c r="J72" s="22" t="n">
        <v>0</v>
      </c>
      <c r="K72" s="21" t="n">
        <v>3</v>
      </c>
    </row>
    <row r="73" spans="1:19">
      <c r="A73" t="n">
        <v>62</v>
      </c>
      <c r="B73" s="21" t="n">
        <v>0</v>
      </c>
      <c r="C73" s="21" t="n">
        <v>0</v>
      </c>
      <c r="D73" s="21" t="n">
        <v>0</v>
      </c>
      <c r="E73" s="21" t="n">
        <v>0</v>
      </c>
      <c r="G73" t="n">
        <v>62</v>
      </c>
      <c r="H73" s="21" t="n">
        <v>0</v>
      </c>
      <c r="I73" s="21" t="n">
        <v>0</v>
      </c>
      <c r="J73" s="22" t="n">
        <v>1</v>
      </c>
      <c r="K73" s="21" t="n">
        <v>1</v>
      </c>
    </row>
    <row r="74" spans="1:19">
      <c r="A74" t="n">
        <v>63</v>
      </c>
      <c r="B74" s="21" t="n">
        <v>0</v>
      </c>
      <c r="C74" s="21" t="n">
        <v>0</v>
      </c>
      <c r="D74" s="21" t="n">
        <v>0</v>
      </c>
      <c r="E74" s="21" t="n">
        <v>0</v>
      </c>
      <c r="G74" t="n">
        <v>63</v>
      </c>
      <c r="H74" s="21" t="n">
        <v>0</v>
      </c>
      <c r="I74" s="21" t="n">
        <v>1</v>
      </c>
      <c r="J74" s="22" t="n">
        <v>0</v>
      </c>
      <c r="K74" s="21" t="n">
        <v>1</v>
      </c>
    </row>
    <row r="75" spans="1:19">
      <c r="A75" t="n">
        <v>64</v>
      </c>
      <c r="B75" s="21" t="n">
        <v>0</v>
      </c>
      <c r="C75" s="21" t="n">
        <v>0</v>
      </c>
      <c r="D75" s="21" t="n">
        <v>0</v>
      </c>
      <c r="E75" s="21" t="n">
        <v>0</v>
      </c>
      <c r="G75" t="n">
        <v>64</v>
      </c>
      <c r="H75" s="21" t="n">
        <v>0</v>
      </c>
      <c r="I75" s="21" t="n">
        <v>1</v>
      </c>
      <c r="J75" s="22" t="n">
        <v>3</v>
      </c>
      <c r="K75" s="21" t="n">
        <v>4</v>
      </c>
    </row>
    <row r="76" spans="1:19">
      <c r="A76" t="n">
        <v>65</v>
      </c>
      <c r="B76" s="21" t="n">
        <v>0</v>
      </c>
      <c r="C76" s="21" t="n">
        <v>0</v>
      </c>
      <c r="D76" s="21" t="n">
        <v>0</v>
      </c>
      <c r="E76" s="21" t="n">
        <v>0</v>
      </c>
      <c r="G76" t="n">
        <v>65</v>
      </c>
      <c r="H76" s="21" t="n">
        <v>0</v>
      </c>
      <c r="I76" s="21" t="n">
        <v>1</v>
      </c>
      <c r="J76" s="22" t="n">
        <v>3</v>
      </c>
      <c r="K76" s="21" t="n">
        <v>4</v>
      </c>
    </row>
    <row r="77" spans="1:19">
      <c r="A77" t="n">
        <v>66</v>
      </c>
      <c r="B77" s="21" t="n">
        <v>0</v>
      </c>
      <c r="C77" s="21" t="n">
        <v>0</v>
      </c>
      <c r="D77" s="21" t="n">
        <v>0</v>
      </c>
      <c r="E77" s="21" t="n">
        <v>0</v>
      </c>
      <c r="G77" t="n">
        <v>66</v>
      </c>
      <c r="H77" s="21" t="n">
        <v>0</v>
      </c>
      <c r="I77" s="21" t="n">
        <v>1</v>
      </c>
      <c r="J77" s="21" t="n">
        <v>0</v>
      </c>
      <c r="K77" s="21" t="n">
        <v>1</v>
      </c>
    </row>
    <row r="78" spans="1:19">
      <c r="A78" t="n">
        <v>67</v>
      </c>
      <c r="B78" s="21" t="n">
        <v>0</v>
      </c>
      <c r="C78" s="21" t="n">
        <v>0</v>
      </c>
      <c r="D78" s="21" t="n">
        <v>0</v>
      </c>
      <c r="E78" s="21" t="n">
        <v>0</v>
      </c>
      <c r="G78" t="n">
        <v>67</v>
      </c>
      <c r="H78" s="21" t="n">
        <v>0</v>
      </c>
      <c r="I78" s="21" t="n">
        <v>0</v>
      </c>
      <c r="J78" s="21" t="n">
        <v>1</v>
      </c>
      <c r="K78" s="21" t="n">
        <v>1</v>
      </c>
    </row>
    <row r="79" spans="1:19">
      <c r="A79" t="n">
        <v>68</v>
      </c>
      <c r="B79" s="21" t="n">
        <v>0</v>
      </c>
      <c r="C79" s="21" t="n">
        <v>0</v>
      </c>
      <c r="D79" s="21" t="n">
        <v>0</v>
      </c>
      <c r="E79" s="21" t="n">
        <v>0</v>
      </c>
      <c r="G79" t="n">
        <v>68</v>
      </c>
      <c r="H79" s="21" t="n">
        <v>0</v>
      </c>
      <c r="I79" s="21" t="n">
        <v>0</v>
      </c>
      <c r="J79" s="22" t="n">
        <v>0</v>
      </c>
      <c r="K79" s="21" t="n">
        <v>0</v>
      </c>
    </row>
    <row r="80" spans="1:19">
      <c r="A80" t="n">
        <v>69</v>
      </c>
      <c r="B80" s="21" t="n">
        <v>0</v>
      </c>
      <c r="C80" s="21" t="n">
        <v>0</v>
      </c>
      <c r="D80" s="21" t="n">
        <v>0</v>
      </c>
      <c r="E80" s="21" t="n">
        <v>0</v>
      </c>
      <c r="G80" t="n">
        <v>69</v>
      </c>
      <c r="H80" s="21" t="n">
        <v>0</v>
      </c>
      <c r="I80" s="21" t="n">
        <v>2</v>
      </c>
      <c r="J80" s="21" t="n">
        <v>4</v>
      </c>
      <c r="K80" s="21" t="n">
        <v>6</v>
      </c>
    </row>
    <row r="81" spans="1:19">
      <c r="A81" t="n">
        <v>70</v>
      </c>
      <c r="B81" s="21" t="n">
        <v>0</v>
      </c>
      <c r="C81" s="21" t="n">
        <v>0</v>
      </c>
      <c r="D81" s="21" t="n">
        <v>0</v>
      </c>
      <c r="E81" s="21" t="n">
        <v>0</v>
      </c>
      <c r="G81" t="n">
        <v>70</v>
      </c>
      <c r="H81" s="21" t="n">
        <v>0</v>
      </c>
      <c r="I81" s="21" t="n">
        <v>0</v>
      </c>
      <c r="J81" s="22" t="n">
        <v>11</v>
      </c>
      <c r="K81" s="21" t="n">
        <v>11</v>
      </c>
    </row>
    <row r="82" spans="1:19">
      <c r="A82" t="n">
        <v>71</v>
      </c>
      <c r="B82" s="21" t="n">
        <v>0</v>
      </c>
      <c r="C82" s="21" t="n">
        <v>0</v>
      </c>
      <c r="D82" s="21" t="n">
        <v>0</v>
      </c>
      <c r="E82" s="21" t="n">
        <v>0</v>
      </c>
      <c r="G82" t="n">
        <v>71</v>
      </c>
      <c r="H82" s="21" t="n">
        <v>0</v>
      </c>
      <c r="I82" s="21" t="n">
        <v>0</v>
      </c>
      <c r="J82" s="22" t="n">
        <v>1</v>
      </c>
      <c r="K82" s="21" t="n">
        <v>1</v>
      </c>
    </row>
    <row r="83" spans="1:19">
      <c r="A83" t="n">
        <v>72</v>
      </c>
      <c r="B83" s="21" t="n">
        <v>0</v>
      </c>
      <c r="C83" s="21" t="n">
        <v>0</v>
      </c>
      <c r="D83" s="21" t="n">
        <v>0</v>
      </c>
      <c r="E83" s="21" t="n">
        <v>0</v>
      </c>
      <c r="G83" t="n">
        <v>72</v>
      </c>
      <c r="H83" s="21" t="n">
        <v>0</v>
      </c>
      <c r="I83" s="21" t="n">
        <v>0</v>
      </c>
      <c r="J83" s="21" t="n">
        <v>0</v>
      </c>
      <c r="K83" s="21" t="n">
        <v>0</v>
      </c>
    </row>
    <row r="84" spans="1:19">
      <c r="A84" t="n">
        <v>73</v>
      </c>
      <c r="B84" s="21" t="n">
        <v>0</v>
      </c>
      <c r="C84" s="21" t="n">
        <v>0</v>
      </c>
      <c r="D84" s="21" t="n">
        <v>0</v>
      </c>
      <c r="E84" s="21" t="n">
        <v>0</v>
      </c>
      <c r="G84" t="n">
        <v>73</v>
      </c>
      <c r="H84" s="21" t="n">
        <v>0</v>
      </c>
      <c r="I84" s="21" t="n">
        <v>0</v>
      </c>
      <c r="J84" s="21" t="n">
        <v>0</v>
      </c>
      <c r="K84" s="21" t="n">
        <v>0</v>
      </c>
    </row>
    <row r="85" spans="1:19">
      <c r="A85" t="n">
        <v>74</v>
      </c>
      <c r="B85" s="21" t="n">
        <v>0</v>
      </c>
      <c r="C85" s="21" t="n">
        <v>0</v>
      </c>
      <c r="D85" s="21" t="n">
        <v>0</v>
      </c>
      <c r="E85" s="21" t="n">
        <v>0</v>
      </c>
      <c r="G85" t="n">
        <v>74</v>
      </c>
      <c r="H85" s="21" t="n">
        <v>0</v>
      </c>
      <c r="I85" s="21" t="n">
        <v>0</v>
      </c>
      <c r="J85" s="21" t="n">
        <v>1</v>
      </c>
      <c r="K85" s="21" t="n">
        <v>1</v>
      </c>
    </row>
    <row r="86" spans="1:19">
      <c r="A86" t="n">
        <v>75</v>
      </c>
      <c r="B86" s="21" t="n">
        <v>0</v>
      </c>
      <c r="C86" s="21" t="n">
        <v>0</v>
      </c>
      <c r="D86" s="21" t="n">
        <v>0</v>
      </c>
      <c r="E86" s="21" t="n">
        <v>0</v>
      </c>
      <c r="G86" t="n">
        <v>75</v>
      </c>
      <c r="H86" s="21" t="n">
        <v>0</v>
      </c>
      <c r="I86" s="21" t="n">
        <v>0</v>
      </c>
      <c r="J86" s="21" t="n">
        <v>0</v>
      </c>
      <c r="K86" s="21" t="n">
        <v>0</v>
      </c>
    </row>
    <row r="87" spans="1:19">
      <c r="A87" t="n">
        <v>76</v>
      </c>
      <c r="B87" s="21" t="n">
        <v>0</v>
      </c>
      <c r="C87" s="21" t="n">
        <v>0</v>
      </c>
      <c r="D87" s="21" t="n">
        <v>0</v>
      </c>
      <c r="E87" s="21" t="n">
        <v>0</v>
      </c>
      <c r="G87" t="n">
        <v>76</v>
      </c>
      <c r="H87" s="21" t="n">
        <v>0</v>
      </c>
      <c r="I87" s="21" t="n">
        <v>0</v>
      </c>
      <c r="J87" s="22" t="n">
        <v>0</v>
      </c>
      <c r="K87" s="21" t="n">
        <v>0</v>
      </c>
    </row>
    <row r="88" spans="1:19">
      <c r="A88" t="n">
        <v>77</v>
      </c>
      <c r="B88" s="21" t="n">
        <v>0</v>
      </c>
      <c r="C88" s="21" t="n">
        <v>0</v>
      </c>
      <c r="D88" s="21" t="n">
        <v>0</v>
      </c>
      <c r="E88" s="21" t="n">
        <v>0</v>
      </c>
      <c r="G88" t="n">
        <v>77</v>
      </c>
      <c r="H88" s="21" t="n">
        <v>0</v>
      </c>
      <c r="I88" s="21" t="n">
        <v>0</v>
      </c>
      <c r="J88" s="21" t="n">
        <v>0</v>
      </c>
      <c r="K88" s="21" t="n">
        <v>0</v>
      </c>
    </row>
    <row r="89" spans="1:19">
      <c r="A89" t="n">
        <v>78</v>
      </c>
      <c r="B89" s="21" t="n">
        <v>0</v>
      </c>
      <c r="C89" s="21" t="n">
        <v>0</v>
      </c>
      <c r="D89" s="21" t="n">
        <v>0</v>
      </c>
      <c r="E89" s="21" t="n">
        <v>0</v>
      </c>
      <c r="G89" t="n">
        <v>78</v>
      </c>
      <c r="H89" s="21" t="n">
        <v>0</v>
      </c>
      <c r="I89" s="21" t="n">
        <v>0</v>
      </c>
      <c r="J89" s="22" t="n">
        <v>1</v>
      </c>
      <c r="K89" s="21" t="n">
        <v>1</v>
      </c>
    </row>
    <row r="90" spans="1:19">
      <c r="A90" t="n">
        <v>79</v>
      </c>
      <c r="B90" s="21" t="n">
        <v>0</v>
      </c>
      <c r="C90" s="21" t="n">
        <v>0</v>
      </c>
      <c r="D90" s="21" t="n">
        <v>0</v>
      </c>
      <c r="E90" s="21" t="n">
        <v>0</v>
      </c>
      <c r="G90" t="n">
        <v>79</v>
      </c>
      <c r="H90" s="21" t="n">
        <v>0</v>
      </c>
      <c r="I90" s="21" t="n">
        <v>0</v>
      </c>
      <c r="J90" s="21" t="n">
        <v>0</v>
      </c>
      <c r="K90" s="21" t="n">
        <v>0</v>
      </c>
    </row>
    <row r="91" spans="1:19">
      <c r="A91" t="n">
        <v>80</v>
      </c>
      <c r="B91" s="21" t="n">
        <v>0</v>
      </c>
      <c r="C91" s="21" t="n">
        <v>0</v>
      </c>
      <c r="D91" s="21" t="n">
        <v>0</v>
      </c>
      <c r="E91" s="21" t="n">
        <v>0</v>
      </c>
      <c r="G91" t="n">
        <v>80</v>
      </c>
      <c r="H91" s="21" t="n">
        <v>0</v>
      </c>
      <c r="I91" s="21" t="n">
        <v>0</v>
      </c>
      <c r="J91" s="21" t="n">
        <v>0</v>
      </c>
      <c r="K91" s="21" t="n">
        <v>0</v>
      </c>
    </row>
    <row r="92" spans="1:19">
      <c r="A92" t="n">
        <v>81</v>
      </c>
      <c r="B92" s="21" t="n">
        <v>0</v>
      </c>
      <c r="C92" s="21" t="n">
        <v>0</v>
      </c>
      <c r="D92" s="21" t="n">
        <v>0</v>
      </c>
      <c r="E92" s="21" t="n">
        <v>0</v>
      </c>
      <c r="G92" t="n">
        <v>81</v>
      </c>
      <c r="H92" s="21" t="n">
        <v>0</v>
      </c>
      <c r="I92" s="21" t="n">
        <v>0</v>
      </c>
      <c r="J92" s="22" t="n">
        <v>0</v>
      </c>
      <c r="K92" s="21" t="n">
        <v>0</v>
      </c>
    </row>
    <row r="93" spans="1:19">
      <c r="A93" t="n">
        <v>82</v>
      </c>
      <c r="B93" s="21" t="n">
        <v>0</v>
      </c>
      <c r="C93" s="21" t="n">
        <v>0</v>
      </c>
      <c r="D93" s="21" t="n">
        <v>0</v>
      </c>
      <c r="E93" s="21" t="n">
        <v>0</v>
      </c>
      <c r="G93" t="n">
        <v>82</v>
      </c>
      <c r="H93" s="21" t="n">
        <v>0</v>
      </c>
      <c r="I93" s="21" t="n">
        <v>0</v>
      </c>
      <c r="J93" s="21" t="n">
        <v>0</v>
      </c>
      <c r="K93" s="21" t="n">
        <v>0</v>
      </c>
    </row>
    <row r="94" spans="1:19">
      <c r="A94" t="n">
        <v>83</v>
      </c>
      <c r="B94" s="21" t="n">
        <v>0</v>
      </c>
      <c r="C94" s="21" t="n">
        <v>0</v>
      </c>
      <c r="D94" s="21" t="n">
        <v>0</v>
      </c>
      <c r="E94" s="21" t="n">
        <v>0</v>
      </c>
      <c r="G94" t="n">
        <v>83</v>
      </c>
      <c r="H94" s="21" t="n">
        <v>0</v>
      </c>
      <c r="I94" s="21" t="n">
        <v>0</v>
      </c>
      <c r="J94" s="21" t="n">
        <v>0</v>
      </c>
      <c r="K94" s="21" t="n">
        <v>0</v>
      </c>
    </row>
    <row r="95" spans="1:19">
      <c r="A95" t="n">
        <v>84</v>
      </c>
      <c r="B95" s="21" t="n">
        <v>0</v>
      </c>
      <c r="C95" s="21" t="n">
        <v>0</v>
      </c>
      <c r="D95" s="21" t="n">
        <v>0</v>
      </c>
      <c r="E95" s="21" t="n">
        <v>0</v>
      </c>
      <c r="G95" t="n">
        <v>84</v>
      </c>
      <c r="H95" s="21" t="n">
        <v>0</v>
      </c>
      <c r="I95" s="21" t="n">
        <v>0</v>
      </c>
      <c r="J95" s="21" t="n">
        <v>0</v>
      </c>
      <c r="K95" s="21" t="n">
        <v>0</v>
      </c>
    </row>
    <row r="96" spans="1:19">
      <c r="A96" t="n">
        <v>85</v>
      </c>
      <c r="B96" s="21" t="n">
        <v>0</v>
      </c>
      <c r="C96" s="21" t="n">
        <v>0</v>
      </c>
      <c r="D96" s="21" t="n">
        <v>0</v>
      </c>
      <c r="E96" s="21" t="n">
        <v>0</v>
      </c>
      <c r="G96" t="n">
        <v>85</v>
      </c>
      <c r="H96" s="21" t="n">
        <v>0</v>
      </c>
      <c r="I96" s="21" t="n">
        <v>0</v>
      </c>
      <c r="J96" s="21" t="n">
        <v>0</v>
      </c>
      <c r="K96" s="21" t="n">
        <v>0</v>
      </c>
    </row>
    <row r="97" spans="1:19">
      <c r="A97" t="n">
        <v>86</v>
      </c>
      <c r="B97" s="21" t="n">
        <v>0</v>
      </c>
      <c r="C97" s="21" t="n">
        <v>0</v>
      </c>
      <c r="D97" s="21" t="n">
        <v>0</v>
      </c>
      <c r="E97" s="21" t="n">
        <v>0</v>
      </c>
      <c r="G97" t="n">
        <v>86</v>
      </c>
      <c r="H97" s="21" t="n">
        <v>0</v>
      </c>
      <c r="I97" s="21" t="n">
        <v>0</v>
      </c>
      <c r="J97" s="21" t="n">
        <v>0</v>
      </c>
      <c r="K97" s="21" t="n">
        <v>0</v>
      </c>
    </row>
    <row r="98" spans="1:19">
      <c r="A98" t="n">
        <v>87</v>
      </c>
      <c r="B98" s="21" t="n">
        <v>0</v>
      </c>
      <c r="C98" s="21" t="n">
        <v>0</v>
      </c>
      <c r="D98" s="21" t="n">
        <v>0</v>
      </c>
      <c r="E98" s="21" t="n">
        <v>0</v>
      </c>
      <c r="G98" t="n">
        <v>87</v>
      </c>
      <c r="H98" s="21" t="n">
        <v>0</v>
      </c>
      <c r="I98" s="21" t="n">
        <v>0</v>
      </c>
      <c r="J98" s="21" t="n">
        <v>0</v>
      </c>
      <c r="K98" s="21" t="n">
        <v>0</v>
      </c>
    </row>
    <row r="99" spans="1:19">
      <c r="A99" t="n">
        <v>88</v>
      </c>
      <c r="B99" s="21" t="n">
        <v>0</v>
      </c>
      <c r="C99" s="21" t="n">
        <v>0</v>
      </c>
      <c r="D99" s="21" t="n">
        <v>0</v>
      </c>
      <c r="E99" s="21" t="n">
        <v>0</v>
      </c>
      <c r="G99" t="n">
        <v>88</v>
      </c>
      <c r="H99" s="21" t="n">
        <v>0</v>
      </c>
      <c r="I99" s="21" t="n">
        <v>0</v>
      </c>
      <c r="J99" s="21" t="n">
        <v>0</v>
      </c>
      <c r="K99" s="21" t="n">
        <v>0</v>
      </c>
    </row>
    <row r="100" spans="1:19">
      <c r="A100" t="n">
        <v>89</v>
      </c>
      <c r="B100" s="21" t="n">
        <v>0</v>
      </c>
      <c r="C100" s="21" t="n">
        <v>0</v>
      </c>
      <c r="D100" s="21" t="n">
        <v>0</v>
      </c>
      <c r="E100" s="21" t="n">
        <v>0</v>
      </c>
      <c r="G100" t="n">
        <v>89</v>
      </c>
      <c r="H100" s="21" t="n">
        <v>0</v>
      </c>
      <c r="I100" s="21" t="n">
        <v>0</v>
      </c>
      <c r="J100" s="21" t="n">
        <v>0</v>
      </c>
      <c r="K100" s="21" t="n">
        <v>0</v>
      </c>
    </row>
    <row customHeight="1" ht="15.75" r="101" spans="1:19">
      <c r="A101" s="15" t="n">
        <v>90</v>
      </c>
      <c r="B101" s="27" t="n">
        <v>51330.9312</v>
      </c>
      <c r="C101" s="27" t="n">
        <v>10417.5607</v>
      </c>
      <c r="D101" s="27" t="n">
        <v>39451.5632</v>
      </c>
      <c r="E101" s="27" t="n">
        <v>101200.0551</v>
      </c>
      <c r="G101" s="15" t="n">
        <v>90</v>
      </c>
      <c r="H101" s="27" t="n">
        <v>18952</v>
      </c>
      <c r="I101" s="27" t="n">
        <v>0</v>
      </c>
      <c r="J101" s="27" t="n">
        <v>0</v>
      </c>
      <c r="K101" s="27" t="n">
        <v>18952</v>
      </c>
    </row>
  </sheetData>
  <pageMargins bottom="0.75" footer="0.3" header="0.3" left="0.7" right="0.7" top="0.75"/>
  <pageSetup orientation="portrait"/>
</worksheet>
</file>

<file path=docProps/app.xml><?xml version="1.0" encoding="utf-8"?>
<Properties xmlns="http://schemas.openxmlformats.org/officeDocument/2006/extended-properties">
  <Application>Microsoft Excel</Application>
  <AppVersion>2.4</AppVersion>
</Properties>
</file>

<file path=docProps/core.xml><?xml version="1.0" encoding="utf-8"?>
<cp:coreProperties xmlns:cp="http://schemas.openxmlformats.org/package/2006/metadata/core-properties">
  <dc:creator xmlns:dc="http://purl.org/dc/elements/1.1/">Bhargava Sana</dc:creator>
  <dcterms:created xmlns:dcterms="http://purl.org/dc/terms/" xmlns:xsi="http://www.w3.org/2001/XMLSchema-instance" xsi:type="dcterms:W3CDTF">2011-01-31T15:16:09Z</dcterms:created>
  <dcterms:modified xmlns:dcterms="http://purl.org/dc/terms/" xmlns:xsi="http://www.w3.org/2001/XMLSchema-instance" xsi:type="dcterms:W3CDTF">2017-07-06T17:33:19Z</dcterms:modified>
  <cp:lastModifiedBy>Nagendra Dhakar</cp:lastModifiedBy>
</cp:coreProperties>
</file>