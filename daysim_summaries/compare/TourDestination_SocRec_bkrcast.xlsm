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<sst xmlns="http://schemas.openxmlformats.org/spreadsheetml/2006/main" uniqueCount="206">
  <si>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</si>
  <si>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</si>
  <si>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</si>
  <si>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</si>
  <si>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</si>
  <si>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</si>
  <si>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</si>
  <si>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</si>
  <si>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</si>
  <si>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</si>
  <si>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</si>
  <si>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</si>
  <si>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</si>
  <si>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</si>
  <si>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</si>
  <si>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</si>
  <si>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</si>
  <si>
    <t>Observed</t>
  </si>
  <si>
    <t>Estimated</t>
  </si>
  <si>
    <t>OtherTourDestinationCoefficients_SACOG-v1.8.F12</t>
  </si>
  <si>
    <t>Count</t>
  </si>
  <si>
    <t>Current</t>
  </si>
  <si>
    <t>Next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</si>
  <si>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</si>
  <si>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</si>
  <si>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</si>
  <si>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</si>
  <si>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</si>
  <si>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</si>
  <si>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</si>
  <si>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</si>
  <si>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</si>
  <si>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</si>
  <si>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</si>
  <si>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</si>
  <si>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</si>
  <si>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</si>
  <si>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Total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</si>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</sst>
</file>

<file path=xl/styles.xml><?xml version="1.0" encoding="utf-8"?>
<styleSheet xmlns="http://schemas.openxmlformats.org/spreadsheetml/2006/main">
  <numFmts count="5">
    <numFmt formatCode="0.0%" numFmtId="164"/>
    <numFmt formatCode="0.0000000000000" numFmtId="165"/>
    <numFmt formatCode="0.00000000000" numFmtId="166"/>
    <numFmt formatCode="0.000000000" numFmtId="167"/>
    <numFmt formatCode="_(* #,##0_);_(* \(#,##0\);_(* &quot;-&quot;??_);_(@_)" numFmtId="168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59">
    <xf borderId="0" fillId="0" fontId="0" numFmtId="0" pivotButton="0" quotePrefix="0" xfId="0"/>
    <xf borderId="1" fillId="0" fontId="0" numFmtId="0" pivotButton="0" quotePrefix="0" xfId="7"/>
    <xf borderId="2" fillId="0" fontId="0" numFmtId="0" pivotButton="0" quotePrefix="0" xfId="7"/>
    <xf borderId="1" fillId="0" fontId="1" numFmtId="0" pivotButton="0" quotePrefix="0" xfId="7"/>
    <xf borderId="0" fillId="0" fontId="0" numFmtId="2" pivotButton="0" quotePrefix="0" xfId="7"/>
    <xf borderId="0" fillId="0" fontId="1" numFmtId="0" pivotButton="0" quotePrefix="0" xfId="7"/>
    <xf borderId="0" fillId="0" fontId="0" numFmtId="10" pivotButton="0" quotePrefix="0" xfId="7"/>
    <xf borderId="0" fillId="0" fontId="2" numFmtId="0" pivotButton="0" quotePrefix="0" xfId="1"/>
    <xf borderId="1" fillId="0" fontId="2" numFmtId="0" pivotButton="0" quotePrefix="0" xfId="1"/>
    <xf applyAlignment="1" borderId="0" fillId="0" fontId="0" numFmtId="1" pivotButton="0" quotePrefix="0" xfId="7">
      <alignment horizontal="right"/>
    </xf>
    <xf borderId="0" fillId="0" fontId="4" numFmtId="0" pivotButton="0" quotePrefix="0" xfId="7"/>
    <xf borderId="0" fillId="0" fontId="0" numFmtId="165" pivotButton="0" quotePrefix="0" xfId="7"/>
    <xf applyAlignment="1" borderId="0" fillId="0" fontId="1" numFmtId="0" pivotButton="0" quotePrefix="0" xfId="7">
      <alignment horizontal="right"/>
    </xf>
    <xf applyAlignment="1" borderId="2" fillId="0" fontId="0" numFmtId="0" pivotButton="0" quotePrefix="0" xfId="7">
      <alignment horizontal="center" vertical="top"/>
    </xf>
    <xf applyAlignment="1" borderId="2" fillId="0" fontId="0" numFmtId="1" pivotButton="0" quotePrefix="0" xfId="7">
      <alignment horizontal="center" vertical="top"/>
    </xf>
    <xf applyAlignment="1" borderId="0" fillId="0" fontId="0" numFmtId="0" pivotButton="0" quotePrefix="0" xfId="7">
      <alignment horizontal="center" vertical="top"/>
    </xf>
    <xf applyAlignment="1" borderId="0" fillId="0" fontId="0" numFmtId="0" pivotButton="0" quotePrefix="0" xfId="7">
      <alignment horizontal="left" vertical="top"/>
    </xf>
    <xf applyAlignment="1" borderId="0" fillId="0" fontId="0" numFmtId="3" pivotButton="0" quotePrefix="0" xfId="7">
      <alignment horizontal="right" vertical="top"/>
    </xf>
    <xf borderId="0" fillId="0" fontId="0" numFmtId="3" pivotButton="0" quotePrefix="0" xfId="7"/>
    <xf applyAlignment="1" borderId="0" fillId="0" fontId="0" numFmtId="3" pivotButton="0" quotePrefix="0" xfId="7">
      <alignment horizontal="right"/>
    </xf>
    <xf borderId="3" fillId="0" fontId="0" numFmtId="3" pivotButton="0" quotePrefix="0" xfId="7"/>
    <xf applyAlignment="1" borderId="3" fillId="0" fontId="0" numFmtId="3" pivotButton="0" quotePrefix="0" xfId="7">
      <alignment horizontal="right"/>
    </xf>
    <xf borderId="0" fillId="0" fontId="0" numFmtId="1" pivotButton="0" quotePrefix="0" xfId="7"/>
    <xf borderId="4" fillId="0" fontId="0" numFmtId="3" pivotButton="0" quotePrefix="0" xfId="7"/>
    <xf applyAlignment="1" borderId="4" fillId="0" fontId="0" numFmtId="3" pivotButton="0" quotePrefix="0" xfId="7">
      <alignment horizontal="right"/>
    </xf>
    <xf borderId="0" fillId="0" fontId="4" numFmtId="3" pivotButton="0" quotePrefix="0" xfId="7"/>
    <xf applyAlignment="1" borderId="0" fillId="0" fontId="0" numFmtId="164" pivotButton="0" quotePrefix="0" xfId="7">
      <alignment horizontal="right" vertical="top"/>
    </xf>
    <xf applyAlignment="1" borderId="0" fillId="0" fontId="0" numFmtId="164" pivotButton="0" quotePrefix="0" xfId="7">
      <alignment horizontal="right"/>
    </xf>
    <xf borderId="0" fillId="0" fontId="0" numFmtId="9" pivotButton="0" quotePrefix="0" xfId="7"/>
    <xf applyAlignment="1" borderId="4" fillId="0" fontId="0" numFmtId="164" pivotButton="0" quotePrefix="0" xfId="7">
      <alignment horizontal="right"/>
    </xf>
    <xf borderId="0" fillId="0" fontId="5" numFmtId="0" pivotButton="0" quotePrefix="0" xfId="7"/>
    <xf borderId="0" fillId="0" fontId="6" numFmtId="0" pivotButton="0" quotePrefix="0" xfId="7"/>
    <xf applyAlignment="1" borderId="2" fillId="0" fontId="5" numFmtId="0" pivotButton="0" quotePrefix="0" xfId="7">
      <alignment horizontal="left"/>
    </xf>
    <xf applyAlignment="1" borderId="2" fillId="0" fontId="5" numFmtId="1" pivotButton="0" quotePrefix="0" xfId="7">
      <alignment horizontal="right"/>
    </xf>
    <xf applyAlignment="1" borderId="0" fillId="0" fontId="6" numFmtId="165" pivotButton="0" quotePrefix="0" xfId="7">
      <alignment horizontal="right"/>
    </xf>
    <xf borderId="1" fillId="0" fontId="0" numFmtId="3" pivotButton="0" quotePrefix="0" xfId="7"/>
    <xf applyAlignment="1" borderId="1" fillId="0" fontId="6" numFmtId="165" pivotButton="0" quotePrefix="0" xfId="7">
      <alignment horizontal="right"/>
    </xf>
    <xf applyAlignment="1" borderId="0" fillId="0" fontId="6" numFmtId="1" pivotButton="0" quotePrefix="0" xfId="7">
      <alignment horizontal="right"/>
    </xf>
    <xf applyAlignment="1" borderId="0" fillId="0" fontId="5" numFmtId="1" pivotButton="0" quotePrefix="0" xfId="7">
      <alignment horizontal="right"/>
    </xf>
    <xf applyAlignment="1" borderId="0" fillId="0" fontId="0" numFmtId="166" pivotButton="0" quotePrefix="0" xfId="7">
      <alignment horizontal="right"/>
    </xf>
    <xf applyAlignment="1" borderId="0" fillId="0" fontId="0" numFmtId="167" pivotButton="0" quotePrefix="0" xfId="7">
      <alignment horizontal="right"/>
    </xf>
    <xf applyAlignment="1" borderId="0" fillId="0" fontId="5" numFmtId="165" pivotButton="0" quotePrefix="0" xfId="7">
      <alignment horizontal="right"/>
    </xf>
    <xf applyAlignment="1" borderId="2" fillId="0" fontId="5" numFmtId="165" pivotButton="0" quotePrefix="0" xfId="7">
      <alignment horizontal="right"/>
    </xf>
    <xf borderId="0" fillId="0" fontId="0" numFmtId="0" pivotButton="0" quotePrefix="0" xfId="7"/>
    <xf borderId="0" fillId="0" fontId="0" numFmtId="11" pivotButton="0" quotePrefix="0" xfId="7"/>
    <xf borderId="0" fillId="0" fontId="0" numFmtId="166" pivotButton="0" quotePrefix="0" xfId="7"/>
    <xf borderId="0" fillId="3" fontId="0" numFmtId="166" pivotButton="0" quotePrefix="0" xfId="7"/>
    <xf borderId="0" fillId="4" fontId="0" numFmtId="0" pivotButton="0" quotePrefix="0" xfId="7"/>
    <xf borderId="0" fillId="4" fontId="0" numFmtId="165" pivotButton="0" quotePrefix="0" xfId="7"/>
    <xf borderId="0" fillId="4" fontId="0" numFmtId="166" pivotButton="0" quotePrefix="0" xfId="7"/>
    <xf borderId="0" fillId="4" fontId="0" numFmtId="11" pivotButton="0" quotePrefix="0" xfId="7"/>
    <xf borderId="0" fillId="0" fontId="0" numFmtId="168" pivotButton="0" quotePrefix="0" xfId="6"/>
    <xf borderId="1" fillId="0" fontId="0" numFmtId="168" pivotButton="0" quotePrefix="0" xfId="6"/>
    <xf borderId="0" fillId="0" fontId="2" numFmtId="168" pivotButton="0" quotePrefix="0" xfId="6"/>
    <xf borderId="1" fillId="0" fontId="2" numFmtId="168" pivotButton="0" quotePrefix="0" xfId="6"/>
    <xf borderId="0" fillId="5" fontId="0" numFmtId="0" pivotButton="0" quotePrefix="0" xfId="0"/>
    <xf borderId="0" fillId="5" fontId="0" numFmtId="0" pivotButton="0" quotePrefix="0" xfId="7"/>
    <xf applyAlignment="1" borderId="2" fillId="5" fontId="0" numFmtId="0" pivotButton="0" quotePrefix="0" xfId="7">
      <alignment horizontal="center" vertical="top"/>
    </xf>
    <xf borderId="0" fillId="5" fontId="0" numFmtId="2" pivotButton="0" quotePrefix="0" xfId="7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Q3" sqref="Q3"/>
    </sheetView>
  </sheetViews>
  <sheetFormatPr baseColWidth="10" defaultRowHeight="15" outlineLevelCol="0"/>
  <cols>
    <col collapsed="1" customWidth="1" max="1" min="1" style="43" width="13.5703125"/>
    <col bestFit="1" collapsed="1" customWidth="1" max="2" min="2" style="43" width="11.5703125"/>
    <col bestFit="1" collapsed="1" customWidth="1" max="6" min="6" style="43" width="11.5703125"/>
    <col bestFit="1" customWidth="1" max="7" min="7" style="43" width="12.140625"/>
    <col bestFit="1" customWidth="1" max="8" min="8" style="43" width="15.7109375"/>
    <col bestFit="1" customWidth="1" max="9" min="9" style="43" width="17.42578125"/>
    <col bestFit="1" customWidth="1" max="10" min="10" style="43" width="10.28515625"/>
    <col customWidth="1" max="13" min="13" style="43" width="7.28515625"/>
    <col bestFit="1" customWidth="1" max="15" min="15" style="43" width="10.28515625"/>
    <col bestFit="1" customWidth="1" max="16" min="16" style="43" width="12.140625"/>
    <col bestFit="1" customWidth="1" max="17" min="17" style="43" width="15.7109375"/>
    <col bestFit="1" customWidth="1" max="18" min="18" style="43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pans="1:18">
      <c r="A9" s="3" t="s">
        <v>6</v>
      </c>
      <c r="B9" s="1" t="n"/>
      <c r="E9" s="3" t="s">
        <v>7</v>
      </c>
      <c r="F9" s="1" t="n"/>
      <c r="M9" s="5" t="s">
        <v>8</v>
      </c>
      <c r="N9" s="55" t="n"/>
      <c r="O9" s="56" t="n"/>
      <c r="P9" s="56" t="n"/>
      <c r="Q9" s="56" t="n"/>
      <c r="R9" s="56" t="n"/>
    </row>
    <row r="10" spans="1:18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12</v>
      </c>
      <c r="H10" s="13" t="s">
        <v>13</v>
      </c>
      <c r="I10" s="13" t="s">
        <v>14</v>
      </c>
      <c r="J10" s="13" t="s">
        <v>15</v>
      </c>
      <c r="K10">
        <f>C10</f>
        <v/>
      </c>
      <c r="M10" s="2" t="n"/>
      <c r="N10" s="57" t="s">
        <v>10</v>
      </c>
      <c r="O10" s="57" t="s">
        <v>15</v>
      </c>
      <c r="P10" s="57" t="s">
        <v>12</v>
      </c>
      <c r="Q10" s="57" t="s">
        <v>13</v>
      </c>
      <c r="R10" s="57" t="s">
        <v>14</v>
      </c>
    </row>
    <row r="11" spans="1:18">
      <c r="A11" t="n">
        <v>0</v>
      </c>
      <c r="B11" s="51" t="n">
        <v>344003.2348078454</v>
      </c>
      <c r="C11" s="6">
        <f>bkrcast_all!C11</f>
        <v/>
      </c>
      <c r="E11" s="7" t="n">
        <v>0</v>
      </c>
      <c r="F11" s="53" t="n">
        <v>95366.34329526589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 spans="1:18">
      <c r="A12" t="n">
        <v>1</v>
      </c>
      <c r="B12" s="51" t="n">
        <v>169289.8352801097</v>
      </c>
      <c r="C12" s="6">
        <f>bkrcast_all!C12</f>
        <v/>
      </c>
      <c r="E12" s="7" t="n">
        <v>1</v>
      </c>
      <c r="F12" s="53" t="n">
        <v>62429.0128925411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51" t="n">
        <v>96590.48574088341</v>
      </c>
      <c r="C13" s="6">
        <f>bkrcast_all!C13</f>
        <v/>
      </c>
      <c r="E13" s="7" t="n">
        <v>2</v>
      </c>
      <c r="F13" s="53" t="n">
        <v>36829.42496585497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51" t="n">
        <v>98162.75744744561</v>
      </c>
      <c r="C14" s="6">
        <f>bkrcast_all!C14</f>
        <v/>
      </c>
      <c r="E14" s="7" t="n">
        <v>3</v>
      </c>
      <c r="F14" s="53" t="n">
        <v>22159.95527107337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51" t="n">
        <v>52620.6645751629</v>
      </c>
      <c r="C15" s="6">
        <f>bkrcast_all!C15</f>
        <v/>
      </c>
      <c r="E15" s="7" t="n">
        <v>4</v>
      </c>
      <c r="F15" s="53" t="n">
        <v>107546.4319054448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51" t="n">
        <v>45085.8144665128</v>
      </c>
      <c r="C16" s="6">
        <f>bkrcast_all!C16</f>
        <v/>
      </c>
      <c r="E16" s="7" t="n">
        <v>5</v>
      </c>
      <c r="F16" s="53" t="n">
        <v>63836.42699449747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51" t="n">
        <v>25896.8982130059</v>
      </c>
      <c r="C17" s="6">
        <f>bkrcast_all!C17</f>
        <v/>
      </c>
      <c r="E17" s="7" t="n">
        <v>6</v>
      </c>
      <c r="F17" s="53" t="n">
        <v>57170.2661926065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51" t="n">
        <v>23007.2607463135</v>
      </c>
      <c r="C18" s="6">
        <f>bkrcast_all!C18</f>
        <v/>
      </c>
      <c r="E18" s="7" t="n">
        <v>7</v>
      </c>
      <c r="F18" s="53" t="n">
        <v>28664.90878241619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51" t="n">
        <v>27450.5879501756</v>
      </c>
      <c r="C19" s="6">
        <f>bkrcast_all!C19</f>
        <v/>
      </c>
      <c r="E19" s="7" t="n">
        <v>8</v>
      </c>
      <c r="F19" s="53" t="n">
        <v>50358.94228337402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51" t="n">
        <v>44821.2295285175</v>
      </c>
      <c r="C20" s="6">
        <f>bkrcast_all!C20</f>
        <v/>
      </c>
      <c r="E20" s="7" t="n">
        <v>9</v>
      </c>
      <c r="F20" s="53" t="n">
        <v>19609.79922566234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51" t="n">
        <v>11191.3929793201</v>
      </c>
      <c r="C21" s="6">
        <f>bkrcast_all!C21</f>
        <v/>
      </c>
      <c r="E21" s="7" t="n">
        <v>10</v>
      </c>
      <c r="F21" s="53" t="n">
        <v>18067.2710341485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51" t="n">
        <v>15906.6201664687</v>
      </c>
      <c r="C22" s="6">
        <f>bkrcast_all!C22</f>
        <v/>
      </c>
      <c r="E22" s="7" t="n">
        <v>11</v>
      </c>
      <c r="F22" s="53" t="n">
        <v>20400.2628551661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51" t="n">
        <v>12270.043523288</v>
      </c>
      <c r="C23" s="6">
        <f>bkrcast_all!C23</f>
        <v/>
      </c>
      <c r="E23" s="7" t="n">
        <v>12</v>
      </c>
      <c r="F23" s="53" t="n">
        <v>15125.05123949577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51" t="n">
        <v>10667.0694419637</v>
      </c>
      <c r="C24" s="6">
        <f>bkrcast_all!C24</f>
        <v/>
      </c>
      <c r="E24" s="7" t="n">
        <v>13</v>
      </c>
      <c r="F24" s="53" t="n">
        <v>14991.9400873048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51" t="n">
        <v>13248.3095984077</v>
      </c>
      <c r="C25" s="6">
        <f>bkrcast_all!C25</f>
        <v/>
      </c>
      <c r="E25" s="7" t="n">
        <v>14</v>
      </c>
      <c r="F25" s="53" t="n">
        <v>18058.37126625905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51" t="n">
        <v>15656.804913015</v>
      </c>
      <c r="C26" s="6">
        <f>bkrcast_all!C26</f>
        <v/>
      </c>
      <c r="E26" s="7" t="n">
        <v>15</v>
      </c>
      <c r="F26" s="53" t="n">
        <v>18672.29941272975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51" t="n">
        <v>10238.9372421273</v>
      </c>
      <c r="C27" s="6">
        <f>bkrcast_all!C27</f>
        <v/>
      </c>
      <c r="E27" s="7" t="n">
        <v>16</v>
      </c>
      <c r="F27" s="53" t="n">
        <v>11471.91541743777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51" t="n">
        <v>1453.1834939339</v>
      </c>
      <c r="C28" s="6">
        <f>bkrcast_all!C28</f>
        <v/>
      </c>
      <c r="E28" s="7" t="n">
        <v>17</v>
      </c>
      <c r="F28" s="53" t="n">
        <v>12379.98638665138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51" t="n">
        <v>2898.2537172341</v>
      </c>
      <c r="C29" s="6">
        <f>bkrcast_all!C29</f>
        <v/>
      </c>
      <c r="E29" s="7" t="n">
        <v>18</v>
      </c>
      <c r="F29" s="53" t="n">
        <v>9244.947184545297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51" t="n">
        <v>7232.8158174655</v>
      </c>
      <c r="C30" s="6">
        <f>bkrcast_all!C30</f>
        <v/>
      </c>
      <c r="E30" s="7" t="n">
        <v>19</v>
      </c>
      <c r="F30" s="53" t="n">
        <v>7032.421436068181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51" t="n">
        <v>4832.031716437</v>
      </c>
      <c r="C31" s="6">
        <f>bkrcast_all!C31</f>
        <v/>
      </c>
      <c r="E31" s="7" t="n">
        <v>20</v>
      </c>
      <c r="F31" s="53" t="n">
        <v>6131.617280485749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51" t="n">
        <v>939.4508993076</v>
      </c>
      <c r="C32" s="6">
        <f>bkrcast_all!C32</f>
        <v/>
      </c>
      <c r="E32" s="7" t="n">
        <v>21</v>
      </c>
      <c r="F32" s="53" t="n">
        <v>5722.564849204095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51" t="n">
        <v>4045.650170196</v>
      </c>
      <c r="C33" s="6">
        <f>bkrcast_all!C33</f>
        <v/>
      </c>
      <c r="E33" s="7" t="n">
        <v>22</v>
      </c>
      <c r="F33" s="53" t="n">
        <v>4822.941315045562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51" t="n">
        <v>3428.8514123402</v>
      </c>
      <c r="C34" s="6">
        <f>bkrcast_all!C34</f>
        <v/>
      </c>
      <c r="E34" s="7" t="n">
        <v>23</v>
      </c>
      <c r="F34" s="53" t="n">
        <v>5220.019830895126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51" t="n">
        <v>1605.8142199974</v>
      </c>
      <c r="C35" s="6">
        <f>bkrcast_all!C35</f>
        <v/>
      </c>
      <c r="E35" s="7" t="n">
        <v>24</v>
      </c>
      <c r="F35" s="53" t="n">
        <v>4450.003414303155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51" t="n">
        <v>12064.28153218</v>
      </c>
      <c r="C36" s="6">
        <f>bkrcast_all!C36</f>
        <v/>
      </c>
      <c r="E36" s="7" t="n">
        <v>25</v>
      </c>
      <c r="F36" s="53" t="n">
        <v>3716.946960015434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51" t="n">
        <v>4208.463337244</v>
      </c>
      <c r="C37" s="6">
        <f>bkrcast_all!C37</f>
        <v/>
      </c>
      <c r="E37" s="7" t="n">
        <v>26</v>
      </c>
      <c r="F37" s="53" t="n">
        <v>3135.958129372825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51" t="n">
        <v>2438.3755880077</v>
      </c>
      <c r="C38" s="6">
        <f>bkrcast_all!C38</f>
        <v/>
      </c>
      <c r="E38" s="7" t="n">
        <v>27</v>
      </c>
      <c r="F38" s="53" t="n">
        <v>4400.018792941066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51" t="n">
        <v>213.431582731</v>
      </c>
      <c r="C39" s="6">
        <f>bkrcast_all!C39</f>
        <v/>
      </c>
      <c r="E39" s="7" t="n">
        <v>28</v>
      </c>
      <c r="F39" s="53" t="n">
        <v>2186.162064953607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51" t="n">
        <v>624.4549371849999</v>
      </c>
      <c r="C40" s="6">
        <f>bkrcast_all!C40</f>
        <v/>
      </c>
      <c r="E40" s="7" t="n">
        <v>29</v>
      </c>
      <c r="F40" s="53" t="n">
        <v>2723.90648224033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51" t="n">
        <v>502.771848825</v>
      </c>
      <c r="C41" s="6">
        <f>bkrcast_all!C41</f>
        <v/>
      </c>
      <c r="E41" s="7" t="n">
        <v>30</v>
      </c>
      <c r="F41" s="53" t="n">
        <v>1623.145150991536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51" t="n">
        <v>0</v>
      </c>
      <c r="C42" s="6">
        <f>bkrcast_all!C42</f>
        <v/>
      </c>
      <c r="E42" s="7" t="n">
        <v>31</v>
      </c>
      <c r="F42" s="53" t="n">
        <v>1318.932843884091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51" t="n">
        <v>1242.78017335</v>
      </c>
      <c r="C43" s="6">
        <f>bkrcast_all!C43</f>
        <v/>
      </c>
      <c r="E43" s="7" t="n">
        <v>32</v>
      </c>
      <c r="F43" s="53" t="n">
        <v>1445.761976665441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51" t="n">
        <v>101.05851781</v>
      </c>
      <c r="C44" s="6">
        <f>bkrcast_all!C44</f>
        <v/>
      </c>
      <c r="E44" s="7" t="n">
        <v>33</v>
      </c>
      <c r="F44" s="53" t="n">
        <v>1452.196047747473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51" t="n">
        <v>295.105742956</v>
      </c>
      <c r="C45" s="6">
        <f>bkrcast_all!C45</f>
        <v/>
      </c>
      <c r="E45" s="7" t="n">
        <v>34</v>
      </c>
      <c r="F45" s="53" t="n">
        <v>778.8413064282719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51" t="n">
        <v>1586.0803951004</v>
      </c>
      <c r="C46" s="6">
        <f>bkrcast_all!C46</f>
        <v/>
      </c>
      <c r="E46" s="7" t="n">
        <v>35</v>
      </c>
      <c r="F46" s="53" t="n">
        <v>670.7254034053799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51" t="n">
        <v>58.5618827337</v>
      </c>
      <c r="C47" s="6">
        <f>bkrcast_all!C47</f>
        <v/>
      </c>
      <c r="E47" s="7" t="n">
        <v>36</v>
      </c>
      <c r="F47" s="53" t="n">
        <v>929.5211003274439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51" t="n">
        <v>1712.070330463</v>
      </c>
      <c r="C48" s="6">
        <f>bkrcast_all!C48</f>
        <v/>
      </c>
      <c r="E48" s="7" t="n">
        <v>37</v>
      </c>
      <c r="F48" s="53" t="n">
        <v>567.440820051712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51" t="n">
        <v>2059.0661007115</v>
      </c>
      <c r="C49" s="6">
        <f>bkrcast_all!C49</f>
        <v/>
      </c>
      <c r="E49" s="7" t="n">
        <v>38</v>
      </c>
      <c r="F49" s="53" t="n">
        <v>632.390785788343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51" t="n">
        <v>232.633777017</v>
      </c>
      <c r="C50" s="6">
        <f>bkrcast_all!C50</f>
        <v/>
      </c>
      <c r="E50" s="7" t="n">
        <v>39</v>
      </c>
      <c r="F50" s="53" t="n">
        <v>587.98386472206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51" t="n">
        <v>0</v>
      </c>
      <c r="C51" s="6">
        <f>bkrcast_all!C51</f>
        <v/>
      </c>
      <c r="E51" s="7" t="n">
        <v>40</v>
      </c>
      <c r="F51" s="53" t="n">
        <v>501.6169498876684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51" t="n">
        <v>448.6528905775</v>
      </c>
      <c r="C52" s="6">
        <f>bkrcast_all!C52</f>
        <v/>
      </c>
      <c r="E52" s="7" t="n">
        <v>41</v>
      </c>
      <c r="F52" s="53" t="n">
        <v>440.5335446283598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51" t="n">
        <v>62.0623590382</v>
      </c>
      <c r="C53" s="6">
        <f>bkrcast_all!C53</f>
        <v/>
      </c>
      <c r="E53" s="7" t="n">
        <v>42</v>
      </c>
      <c r="F53" s="53" t="n">
        <v>323.8317916679068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51" t="n">
        <v>617.666578062</v>
      </c>
      <c r="C54" s="6">
        <f>bkrcast_all!C54</f>
        <v/>
      </c>
      <c r="E54" s="7" t="n">
        <v>43</v>
      </c>
      <c r="F54" s="53" t="n">
        <v>188.3286927806514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190.8650883842851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51" t="n">
        <v>0</v>
      </c>
      <c r="C56" s="6">
        <f>bkrcast_all!C56</f>
        <v/>
      </c>
      <c r="E56" s="7" t="n">
        <v>45</v>
      </c>
      <c r="F56" s="53" t="n">
        <v>171.3396103252194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256.1683256855922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51" t="n">
        <v>840.555875</v>
      </c>
      <c r="C58" s="6">
        <f>bkrcast_all!C58</f>
        <v/>
      </c>
      <c r="E58" s="7" t="n">
        <v>47</v>
      </c>
      <c r="F58" s="53" t="n">
        <v>135.872673638442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51" t="n">
        <v>405.121063366</v>
      </c>
      <c r="C59" s="6">
        <f>bkrcast_all!C59</f>
        <v/>
      </c>
      <c r="E59" s="7" t="n">
        <v>48</v>
      </c>
      <c r="F59" s="53" t="n">
        <v>115.334619918881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49.85669528912627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51" t="n">
        <v>0</v>
      </c>
      <c r="C61" s="6">
        <f>bkrcast_all!C61</f>
        <v/>
      </c>
      <c r="E61" s="7" t="n">
        <v>50</v>
      </c>
      <c r="F61" s="53" t="n">
        <v>84.57253426021967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75.94325334104514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42.53487271153882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51" t="n">
        <v>181.031838601</v>
      </c>
      <c r="C64" s="6">
        <f>bkrcast_all!C64</f>
        <v/>
      </c>
      <c r="E64" s="7" t="n">
        <v>53</v>
      </c>
      <c r="F64" s="53" t="n">
        <v>68.69427036304918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53.72259941144547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53.01167759661435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26.76392375989404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51" t="n">
        <v>215.6958943</v>
      </c>
      <c r="C68" s="6">
        <f>bkrcast_all!C68</f>
        <v/>
      </c>
      <c r="E68" s="7" t="n">
        <v>57</v>
      </c>
      <c r="F68" s="53" t="n">
        <v>15.48814993451279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51" t="n">
        <v>667.663687339</v>
      </c>
      <c r="C69" s="6">
        <f>bkrcast_all!C69</f>
        <v/>
      </c>
      <c r="E69" s="7" t="n">
        <v>58</v>
      </c>
      <c r="F69" s="53" t="n">
        <v>15.23838043854873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36.02536893856562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18.02436036036033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5.01818181818182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4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51" t="n">
        <v>481.758028516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10.2634229667181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51" t="n">
        <v>39.1519720345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51" t="n">
        <v>4605.9932193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51" t="n">
        <v>1092.741662888</v>
      </c>
      <c r="C80" s="6">
        <f>bkrcast_all!C80</f>
        <v/>
      </c>
      <c r="E80" s="7" t="n">
        <v>69</v>
      </c>
      <c r="F80" s="53" t="n">
        <v>5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9.993865030674851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51" t="n">
        <v>240.321304484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10.0223880597015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pans="1:18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51" t="n">
        <v>1079781.550187295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344003.2348078454</v>
      </c>
      <c r="C11" s="6" t="n">
        <v>0.3185859535645667</v>
      </c>
      <c r="E11" s="7" t="n">
        <v>0</v>
      </c>
      <c r="F11" s="53" t="n">
        <v>186729</v>
      </c>
      <c r="G11" s="6" t="n">
        <v>0.1703041833417849</v>
      </c>
      <c r="K11" s="4" t="n">
        <v>5.208600253024653</v>
      </c>
      <c r="L11" s="4" t="n">
        <v>5.70623828218533</v>
      </c>
    </row>
    <row r="12" spans="1:12">
      <c r="A12" t="n">
        <v>1</v>
      </c>
      <c r="B12" s="51" t="n">
        <v>169289.8352801097</v>
      </c>
      <c r="C12" s="6" t="n">
        <v>0.1567815594281504</v>
      </c>
      <c r="E12" s="7" t="n">
        <v>1</v>
      </c>
      <c r="F12" s="53" t="n">
        <v>185416</v>
      </c>
      <c r="G12" s="6" t="n">
        <v>0.1691066757627384</v>
      </c>
      <c r="K12" s="4" t="n"/>
      <c r="L12" s="7" t="n"/>
    </row>
    <row r="13" spans="1:12">
      <c r="A13" t="n">
        <v>2</v>
      </c>
      <c r="B13" s="51" t="n">
        <v>96590.48574088341</v>
      </c>
      <c r="C13" s="6" t="n">
        <v>0.08945372860290972</v>
      </c>
      <c r="E13" s="7" t="n">
        <v>2</v>
      </c>
      <c r="F13" s="53" t="n">
        <v>139942</v>
      </c>
      <c r="G13" s="6" t="n">
        <v>0.1276326013914071</v>
      </c>
    </row>
    <row r="14" spans="1:12">
      <c r="A14" t="n">
        <v>3</v>
      </c>
      <c r="B14" s="51" t="n">
        <v>98162.75744744561</v>
      </c>
      <c r="C14" s="6" t="n">
        <v>0.09090983026188831</v>
      </c>
      <c r="E14" s="7" t="n">
        <v>3</v>
      </c>
      <c r="F14" s="53" t="n">
        <v>96119</v>
      </c>
      <c r="G14" s="6" t="n">
        <v>0.08766430387689658</v>
      </c>
    </row>
    <row r="15" spans="1:12">
      <c r="A15" t="n">
        <v>4</v>
      </c>
      <c r="B15" s="51" t="n">
        <v>52620.6645751629</v>
      </c>
      <c r="C15" s="6" t="n">
        <v>0.04873269465109448</v>
      </c>
      <c r="E15" s="7" t="n">
        <v>4</v>
      </c>
      <c r="F15" s="53" t="n">
        <v>76967</v>
      </c>
      <c r="G15" s="6" t="n">
        <v>0.07019692752206223</v>
      </c>
    </row>
    <row r="16" spans="1:12">
      <c r="A16" t="n">
        <v>5</v>
      </c>
      <c r="B16" s="51" t="n">
        <v>45085.8144665128</v>
      </c>
      <c r="C16" s="6" t="n">
        <v>0.04175457013383159</v>
      </c>
      <c r="E16" s="7" t="n">
        <v>5</v>
      </c>
      <c r="F16" s="53" t="n">
        <v>62442</v>
      </c>
      <c r="G16" s="6" t="n">
        <v>0.05694955693131615</v>
      </c>
    </row>
    <row r="17" spans="1:12">
      <c r="A17" t="n">
        <v>6</v>
      </c>
      <c r="B17" s="51" t="n">
        <v>25896.8982130059</v>
      </c>
      <c r="C17" s="6" t="n">
        <v>0.02398346055136238</v>
      </c>
      <c r="E17" s="7" t="n">
        <v>6</v>
      </c>
      <c r="F17" s="53" t="n">
        <v>51499</v>
      </c>
      <c r="G17" s="6" t="n">
        <v>0.0469691110535513</v>
      </c>
    </row>
    <row r="18" spans="1:12">
      <c r="A18" t="n">
        <v>7</v>
      </c>
      <c r="B18" s="51" t="n">
        <v>23007.2607463135</v>
      </c>
      <c r="C18" s="6" t="n">
        <v>0.02130732900772637</v>
      </c>
      <c r="E18" s="7" t="n">
        <v>7</v>
      </c>
      <c r="F18" s="53" t="n">
        <v>42115</v>
      </c>
      <c r="G18" s="6" t="n">
        <v>0.03841053441853848</v>
      </c>
    </row>
    <row r="19" spans="1:12">
      <c r="A19" t="n">
        <v>8</v>
      </c>
      <c r="B19" s="51" t="n">
        <v>27450.5879501756</v>
      </c>
      <c r="C19" s="6" t="n">
        <v>0.02542235320228812</v>
      </c>
      <c r="E19" s="7" t="n">
        <v>8</v>
      </c>
      <c r="F19" s="53" t="n">
        <v>33228</v>
      </c>
      <c r="G19" s="6" t="n">
        <v>0.03030524130735359</v>
      </c>
    </row>
    <row r="20" spans="1:12">
      <c r="A20" t="n">
        <v>9</v>
      </c>
      <c r="B20" s="51" t="n">
        <v>44821.2295285175</v>
      </c>
      <c r="C20" s="6" t="n">
        <v>0.04150953451718357</v>
      </c>
      <c r="E20" s="7" t="n">
        <v>9</v>
      </c>
      <c r="F20" s="53" t="n">
        <v>26943</v>
      </c>
      <c r="G20" s="6" t="n">
        <v>0.02457307441146105</v>
      </c>
    </row>
    <row r="21" spans="1:12">
      <c r="A21" t="n">
        <v>10</v>
      </c>
      <c r="B21" s="51" t="n">
        <v>11191.3929793201</v>
      </c>
      <c r="C21" s="6" t="n">
        <v>0.01036449731649785</v>
      </c>
      <c r="E21" s="7" t="n">
        <v>10</v>
      </c>
      <c r="F21" s="53" t="n">
        <v>23618</v>
      </c>
      <c r="G21" s="6" t="n">
        <v>0.02154054379430231</v>
      </c>
    </row>
    <row r="22" spans="1:12">
      <c r="A22" t="n">
        <v>11</v>
      </c>
      <c r="B22" s="51" t="n">
        <v>15906.6201664687</v>
      </c>
      <c r="C22" s="6" t="n">
        <v>0.01473133168807116</v>
      </c>
      <c r="E22" s="7" t="n">
        <v>11</v>
      </c>
      <c r="F22" s="53" t="n">
        <v>20546</v>
      </c>
      <c r="G22" s="6" t="n">
        <v>0.01873875911583264</v>
      </c>
    </row>
    <row r="23" spans="1:12">
      <c r="A23" t="n">
        <v>12</v>
      </c>
      <c r="B23" s="51" t="n">
        <v>12270.043523288</v>
      </c>
      <c r="C23" s="6" t="n">
        <v>0.011363449876653</v>
      </c>
      <c r="E23" s="7" t="n">
        <v>12</v>
      </c>
      <c r="F23" s="53" t="n">
        <v>18803</v>
      </c>
      <c r="G23" s="6" t="n">
        <v>0.01714907464494311</v>
      </c>
    </row>
    <row r="24" spans="1:12">
      <c r="A24" t="n">
        <v>13</v>
      </c>
      <c r="B24" s="51" t="n">
        <v>10667.0694419637</v>
      </c>
      <c r="C24" s="6" t="n">
        <v>0.009878914341621628</v>
      </c>
      <c r="E24" s="7" t="n">
        <v>13</v>
      </c>
      <c r="F24" s="53" t="n">
        <v>16846</v>
      </c>
      <c r="G24" s="6" t="n">
        <v>0.01536421376741539</v>
      </c>
    </row>
    <row r="25" spans="1:12">
      <c r="A25" t="n">
        <v>14</v>
      </c>
      <c r="B25" s="51" t="n">
        <v>13248.3095984077</v>
      </c>
      <c r="C25" s="6" t="n">
        <v>0.01226943505018186</v>
      </c>
      <c r="E25" s="7" t="n">
        <v>14</v>
      </c>
      <c r="F25" s="53" t="n">
        <v>14958</v>
      </c>
      <c r="G25" s="6" t="n">
        <v>0.01364228360043924</v>
      </c>
    </row>
    <row r="26" spans="1:12">
      <c r="A26" t="n">
        <v>15</v>
      </c>
      <c r="B26" s="51" t="n">
        <v>15656.804913015</v>
      </c>
      <c r="C26" s="6" t="n">
        <v>0.0144999744719654</v>
      </c>
      <c r="E26" s="7" t="n">
        <v>15</v>
      </c>
      <c r="F26" s="53" t="n">
        <v>12982</v>
      </c>
      <c r="G26" s="6" t="n">
        <v>0.01184009397652776</v>
      </c>
    </row>
    <row r="27" spans="1:12">
      <c r="A27" t="n">
        <v>16</v>
      </c>
      <c r="B27" s="51" t="n">
        <v>10238.9372421273</v>
      </c>
      <c r="C27" s="6" t="n">
        <v>0.009482415438892517</v>
      </c>
      <c r="E27" s="7" t="n">
        <v>16</v>
      </c>
      <c r="F27" s="53" t="n">
        <v>11354</v>
      </c>
      <c r="G27" s="6" t="n">
        <v>0.01035529402322417</v>
      </c>
    </row>
    <row r="28" spans="1:12">
      <c r="A28" t="n">
        <v>17</v>
      </c>
      <c r="B28" s="51" t="n">
        <v>1453.1834939339</v>
      </c>
      <c r="C28" s="6" t="n">
        <v>0.001345812487425662</v>
      </c>
      <c r="E28" s="7" t="n">
        <v>17</v>
      </c>
      <c r="F28" s="53" t="n">
        <v>10495</v>
      </c>
      <c r="G28" s="6" t="n">
        <v>0.009571852278821354</v>
      </c>
    </row>
    <row r="29" spans="1:12">
      <c r="A29" t="n">
        <v>18</v>
      </c>
      <c r="B29" s="51" t="n">
        <v>2898.2537172341</v>
      </c>
      <c r="C29" s="6" t="n">
        <v>0.002684111167422132</v>
      </c>
      <c r="E29" s="7" t="n">
        <v>18</v>
      </c>
      <c r="F29" s="53" t="n">
        <v>9053</v>
      </c>
      <c r="G29" s="6" t="n">
        <v>0.008256691632221983</v>
      </c>
    </row>
    <row r="30" spans="1:12">
      <c r="A30" t="n">
        <v>19</v>
      </c>
      <c r="B30" s="51" t="n">
        <v>7232.8158174655</v>
      </c>
      <c r="C30" s="6" t="n">
        <v>0.006698406558447793</v>
      </c>
      <c r="E30" s="7" t="n">
        <v>19</v>
      </c>
      <c r="F30" s="53" t="n">
        <v>7934</v>
      </c>
      <c r="G30" s="6" t="n">
        <v>0.007236119674146605</v>
      </c>
    </row>
    <row r="31" spans="1:12">
      <c r="A31" t="n">
        <v>20</v>
      </c>
      <c r="B31" s="51" t="n">
        <v>4832.031716437</v>
      </c>
      <c r="C31" s="6" t="n">
        <v>0.00447500859372792</v>
      </c>
      <c r="E31" s="7" t="n">
        <v>20</v>
      </c>
      <c r="F31" s="53" t="n">
        <v>6814</v>
      </c>
      <c r="G31" s="6" t="n">
        <v>0.006214635676787871</v>
      </c>
    </row>
    <row r="32" spans="1:12">
      <c r="A32" t="n">
        <v>21</v>
      </c>
      <c r="B32" s="51" t="n">
        <v>939.4508993076</v>
      </c>
      <c r="C32" s="6" t="n">
        <v>0.0008700379249345819</v>
      </c>
      <c r="E32" s="7" t="n">
        <v>21</v>
      </c>
      <c r="F32" s="53" t="n">
        <v>6146</v>
      </c>
      <c r="G32" s="6" t="n">
        <v>0.005605393435506054</v>
      </c>
    </row>
    <row r="33" spans="1:12">
      <c r="A33" t="n">
        <v>22</v>
      </c>
      <c r="B33" s="51" t="n">
        <v>4045.650170196</v>
      </c>
      <c r="C33" s="6" t="n">
        <v>0.003746730224733194</v>
      </c>
      <c r="E33" s="7" t="n">
        <v>22</v>
      </c>
      <c r="F33" s="53" t="n">
        <v>5288</v>
      </c>
      <c r="G33" s="6" t="n">
        <v>0.004822863730386595</v>
      </c>
    </row>
    <row r="34" spans="1:12">
      <c r="A34" t="n">
        <v>23</v>
      </c>
      <c r="B34" s="51" t="n">
        <v>3428.8514123402</v>
      </c>
      <c r="C34" s="6" t="n">
        <v>0.003175504722918672</v>
      </c>
      <c r="E34" s="7" t="n">
        <v>23</v>
      </c>
      <c r="F34" s="53" t="n">
        <v>4479</v>
      </c>
      <c r="G34" s="6" t="n">
        <v>0.004085023950151581</v>
      </c>
    </row>
    <row r="35" spans="1:12">
      <c r="A35" t="n">
        <v>24</v>
      </c>
      <c r="B35" s="51" t="n">
        <v>1605.8142199974</v>
      </c>
      <c r="C35" s="6" t="n">
        <v>0.001487165825086437</v>
      </c>
      <c r="E35" s="7" t="n">
        <v>24</v>
      </c>
      <c r="F35" s="53" t="n">
        <v>3839</v>
      </c>
      <c r="G35" s="6" t="n">
        <v>0.003501318808803733</v>
      </c>
    </row>
    <row r="36" spans="1:12">
      <c r="A36" t="n">
        <v>25</v>
      </c>
      <c r="B36" s="51" t="n">
        <v>12064.28153218</v>
      </c>
      <c r="C36" s="6" t="n">
        <v>0.01117289097048137</v>
      </c>
      <c r="E36" s="7" t="n">
        <v>25</v>
      </c>
      <c r="F36" s="53" t="n">
        <v>3289</v>
      </c>
      <c r="G36" s="6" t="n">
        <v>0.002999697202957926</v>
      </c>
    </row>
    <row r="37" spans="1:12">
      <c r="A37" t="n">
        <v>26</v>
      </c>
      <c r="B37" s="51" t="n">
        <v>4208.463337244</v>
      </c>
      <c r="C37" s="6" t="n">
        <v>0.003897513655900137</v>
      </c>
      <c r="E37" s="7" t="n">
        <v>26</v>
      </c>
      <c r="F37" s="53" t="n">
        <v>2874</v>
      </c>
      <c r="G37" s="6" t="n">
        <v>0.002621200900365181</v>
      </c>
    </row>
    <row r="38" spans="1:12">
      <c r="A38" t="n">
        <v>27</v>
      </c>
      <c r="B38" s="51" t="n">
        <v>2438.3755880077</v>
      </c>
      <c r="C38" s="6" t="n">
        <v>0.002258211938872959</v>
      </c>
      <c r="E38" s="7" t="n">
        <v>27</v>
      </c>
      <c r="F38" s="53" t="n">
        <v>2388</v>
      </c>
      <c r="G38" s="6" t="n">
        <v>0.002177949808654158</v>
      </c>
    </row>
    <row r="39" spans="1:12">
      <c r="A39" t="n">
        <v>28</v>
      </c>
      <c r="B39" s="51" t="n">
        <v>213.431582731</v>
      </c>
      <c r="C39" s="6" t="n">
        <v>0.0001976618165905678</v>
      </c>
      <c r="E39" s="7" t="n">
        <v>28</v>
      </c>
      <c r="F39" s="53" t="n">
        <v>2014</v>
      </c>
      <c r="G39" s="6" t="n">
        <v>0.00183684711667901</v>
      </c>
    </row>
    <row r="40" spans="1:12">
      <c r="A40" t="n">
        <v>29</v>
      </c>
      <c r="B40" s="51" t="n">
        <v>624.4549371849999</v>
      </c>
      <c r="C40" s="6" t="n">
        <v>0.0005783159909304659</v>
      </c>
      <c r="E40" s="7" t="n">
        <v>29</v>
      </c>
      <c r="F40" s="53" t="n">
        <v>1681</v>
      </c>
      <c r="G40" s="6" t="n">
        <v>0.001533138035321457</v>
      </c>
    </row>
    <row r="41" spans="1:12">
      <c r="A41" t="n">
        <v>30</v>
      </c>
      <c r="B41" s="51" t="n">
        <v>502.771848825</v>
      </c>
      <c r="C41" s="6" t="n">
        <v>0.0004656236705820646</v>
      </c>
      <c r="E41" s="7" t="n">
        <v>30</v>
      </c>
      <c r="F41" s="53" t="n">
        <v>1433</v>
      </c>
      <c r="G41" s="6" t="n">
        <v>0.001306952293049166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1190</v>
      </c>
      <c r="G42" s="6" t="n">
        <v>0.001085326747193655</v>
      </c>
    </row>
    <row r="43" spans="1:12">
      <c r="A43" t="n">
        <v>32</v>
      </c>
      <c r="B43" s="51" t="n">
        <v>1242.78017335</v>
      </c>
      <c r="C43" s="6" t="n">
        <v>0.001150955184531938</v>
      </c>
      <c r="E43" s="7" t="n">
        <v>32</v>
      </c>
      <c r="F43" s="53" t="n">
        <v>1058</v>
      </c>
      <c r="G43" s="6" t="n">
        <v>0.0009649375617906614</v>
      </c>
    </row>
    <row r="44" spans="1:12">
      <c r="A44" t="n">
        <v>33</v>
      </c>
      <c r="B44" s="51" t="n">
        <v>101.05851781</v>
      </c>
      <c r="C44" s="6" t="n">
        <v>9.359163230050631e-05</v>
      </c>
      <c r="E44" s="7" t="n">
        <v>33</v>
      </c>
      <c r="F44" s="53" t="n">
        <v>908</v>
      </c>
      <c r="G44" s="6" t="n">
        <v>0.0008281316692872596</v>
      </c>
    </row>
    <row r="45" spans="1:12">
      <c r="A45" t="n">
        <v>34</v>
      </c>
      <c r="B45" s="51" t="n">
        <v>295.105742956</v>
      </c>
      <c r="C45" s="6" t="n">
        <v>0.0002733013385020443</v>
      </c>
      <c r="E45" s="7" t="n">
        <v>34</v>
      </c>
      <c r="F45" s="53" t="n">
        <v>788</v>
      </c>
      <c r="G45" s="6" t="n">
        <v>0.0007186869552845381</v>
      </c>
    </row>
    <row r="46" spans="1:12">
      <c r="A46" t="n">
        <v>35</v>
      </c>
      <c r="B46" s="51" t="n">
        <v>1586.0803951004</v>
      </c>
      <c r="C46" s="6" t="n">
        <v>0.001468890068389559</v>
      </c>
      <c r="E46" s="7" t="n">
        <v>35</v>
      </c>
      <c r="F46" s="53" t="n">
        <v>637</v>
      </c>
      <c r="G46" s="6" t="n">
        <v>0.0005809690234977801</v>
      </c>
    </row>
    <row r="47" spans="1:12">
      <c r="A47" t="n">
        <v>36</v>
      </c>
      <c r="B47" s="51" t="n">
        <v>58.5618827337</v>
      </c>
      <c r="C47" s="6" t="n">
        <v>5.423493550481769e-05</v>
      </c>
      <c r="E47" s="7" t="n">
        <v>36</v>
      </c>
      <c r="F47" s="53" t="n">
        <v>564</v>
      </c>
      <c r="G47" s="6" t="n">
        <v>0.0005143901558127911</v>
      </c>
    </row>
    <row r="48" spans="1:12">
      <c r="A48" t="n">
        <v>37</v>
      </c>
      <c r="B48" s="51" t="n">
        <v>1712.070330463</v>
      </c>
      <c r="C48" s="6" t="n">
        <v>0.001585571016809864</v>
      </c>
      <c r="E48" s="7" t="n">
        <v>37</v>
      </c>
      <c r="F48" s="53" t="n">
        <v>482</v>
      </c>
      <c r="G48" s="6" t="n">
        <v>0.0004396029345775981</v>
      </c>
    </row>
    <row r="49" spans="1:12">
      <c r="A49" t="n">
        <v>38</v>
      </c>
      <c r="B49" s="51" t="n">
        <v>2059.0661007115</v>
      </c>
      <c r="C49" s="6" t="n">
        <v>0.001906928397095081</v>
      </c>
      <c r="E49" s="7" t="n">
        <v>38</v>
      </c>
      <c r="F49" s="53" t="n">
        <v>398</v>
      </c>
      <c r="G49" s="6" t="n">
        <v>0.0003629916347756931</v>
      </c>
    </row>
    <row r="50" spans="1:12">
      <c r="A50" t="n">
        <v>39</v>
      </c>
      <c r="B50" s="51" t="n">
        <v>232.633777017</v>
      </c>
      <c r="C50" s="6" t="n">
        <v>0.0002154452231348537</v>
      </c>
      <c r="E50" s="7" t="n">
        <v>39</v>
      </c>
      <c r="F50" s="53" t="n">
        <v>326</v>
      </c>
      <c r="G50" s="6" t="n">
        <v>0.0002973248063740602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282</v>
      </c>
      <c r="G51" s="6" t="n">
        <v>0.0002571950779063956</v>
      </c>
    </row>
    <row r="52" spans="1:12">
      <c r="A52" t="n">
        <v>41</v>
      </c>
      <c r="B52" s="51" t="n">
        <v>448.6528905775</v>
      </c>
      <c r="C52" s="6" t="n">
        <v>0.000415503386309646</v>
      </c>
      <c r="E52" s="7" t="n">
        <v>41</v>
      </c>
      <c r="F52" s="53" t="n">
        <v>232</v>
      </c>
      <c r="G52" s="6" t="n">
        <v>0.0002115931137385949</v>
      </c>
    </row>
    <row r="53" spans="1:12">
      <c r="A53" t="n">
        <v>42</v>
      </c>
      <c r="B53" s="51" t="n">
        <v>62.0623590382</v>
      </c>
      <c r="C53" s="6" t="n">
        <v>5.747677298934669e-05</v>
      </c>
      <c r="E53" s="7" t="n">
        <v>42</v>
      </c>
      <c r="F53" s="53" t="n">
        <v>224</v>
      </c>
      <c r="G53" s="6" t="n">
        <v>0.0002042967994717469</v>
      </c>
    </row>
    <row r="54" spans="1:12">
      <c r="A54" t="n">
        <v>43</v>
      </c>
      <c r="B54" s="51" t="n">
        <v>617.666578062</v>
      </c>
      <c r="C54" s="6" t="n">
        <v>0.0005720292016055116</v>
      </c>
      <c r="E54" s="7" t="n">
        <v>43</v>
      </c>
      <c r="F54" s="53" t="n">
        <v>181</v>
      </c>
      <c r="G54" s="6" t="n">
        <v>0.0001650791102874383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149</v>
      </c>
      <c r="G55" s="6" t="n">
        <v>0.0001358938532200459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145</v>
      </c>
      <c r="G56" s="6" t="n">
        <v>0.0001322456960866218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132</v>
      </c>
      <c r="G57" s="6" t="n">
        <v>0.0001203891854029937</v>
      </c>
    </row>
    <row r="58" spans="1:12">
      <c r="A58" t="n">
        <v>47</v>
      </c>
      <c r="B58" s="51" t="n">
        <v>840.555875</v>
      </c>
      <c r="C58" s="6" t="n">
        <v>0.0007784499326314664</v>
      </c>
      <c r="E58" s="7" t="n">
        <v>47</v>
      </c>
      <c r="F58" s="53" t="n">
        <v>93</v>
      </c>
      <c r="G58" s="6" t="n">
        <v>8.481965335210918e-05</v>
      </c>
    </row>
    <row r="59" spans="1:12">
      <c r="A59" t="n">
        <v>48</v>
      </c>
      <c r="B59" s="51" t="n">
        <v>405.121063366</v>
      </c>
      <c r="C59" s="6" t="n">
        <v>0.0003751879843619566</v>
      </c>
      <c r="E59" s="7" t="n">
        <v>48</v>
      </c>
      <c r="F59" s="53" t="n">
        <v>83</v>
      </c>
      <c r="G59" s="6" t="n">
        <v>7.569926051854906e-05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48</v>
      </c>
      <c r="G60" s="6" t="n">
        <v>4.377788560108861e-05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38</v>
      </c>
      <c r="G61" s="6" t="n">
        <v>3.465749276752849e-05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45</v>
      </c>
      <c r="G62" s="6" t="n">
        <v>4.104176775102057e-05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30</v>
      </c>
      <c r="G63" s="6" t="n">
        <v>2.736117850068038e-05</v>
      </c>
    </row>
    <row r="64" spans="1:12">
      <c r="A64" t="n">
        <v>53</v>
      </c>
      <c r="B64" s="51" t="n">
        <v>181.031838601</v>
      </c>
      <c r="C64" s="6" t="n">
        <v>0.0001676559842771891</v>
      </c>
      <c r="E64" s="7" t="n">
        <v>53</v>
      </c>
      <c r="F64" s="53" t="n">
        <v>28</v>
      </c>
      <c r="G64" s="6" t="n">
        <v>2.553709993396836e-05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23</v>
      </c>
      <c r="G65" s="6" t="n">
        <v>2.097690351718829e-05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16</v>
      </c>
      <c r="G66" s="6" t="n">
        <v>1.45926285336962e-05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16</v>
      </c>
      <c r="G67" s="6" t="n">
        <v>1.45926285336962e-05</v>
      </c>
    </row>
    <row r="68" spans="1:12">
      <c r="A68" t="n">
        <v>57</v>
      </c>
      <c r="B68" s="51" t="n">
        <v>215.6958943</v>
      </c>
      <c r="C68" s="6" t="n">
        <v>0.0001997588255352077</v>
      </c>
      <c r="E68" s="7" t="n">
        <v>57</v>
      </c>
      <c r="F68" s="53" t="n">
        <v>13</v>
      </c>
      <c r="G68" s="6" t="n">
        <v>1.185651068362817e-05</v>
      </c>
    </row>
    <row r="69" spans="1:12">
      <c r="A69" t="n">
        <v>58</v>
      </c>
      <c r="B69" s="51" t="n">
        <v>667.663687339</v>
      </c>
      <c r="C69" s="6" t="n">
        <v>0.0006183321869346533</v>
      </c>
      <c r="E69" s="7" t="n">
        <v>58</v>
      </c>
      <c r="F69" s="53" t="n">
        <v>20</v>
      </c>
      <c r="G69" s="6" t="n">
        <v>1.824078566712025e-05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12</v>
      </c>
      <c r="G70" s="6" t="n">
        <v>1.094447140027215e-05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10</v>
      </c>
      <c r="G71" s="6" t="n">
        <v>9.120392833560127e-06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6</v>
      </c>
      <c r="G72" s="6" t="n">
        <v>5.472235700136076e-06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10</v>
      </c>
      <c r="G73" s="6" t="n">
        <v>9.120392833560127e-06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2</v>
      </c>
      <c r="G74" s="6" t="n">
        <v>1.824078566712025e-06</v>
      </c>
    </row>
    <row r="75" spans="1:12">
      <c r="A75" t="n">
        <v>64</v>
      </c>
      <c r="B75" s="51" t="n">
        <v>481.758028516</v>
      </c>
      <c r="C75" s="6" t="n">
        <v>0.000446162493175065</v>
      </c>
      <c r="E75" s="7" t="n">
        <v>64</v>
      </c>
      <c r="F75" s="53" t="n">
        <v>2</v>
      </c>
      <c r="G75" s="6" t="n">
        <v>1.824078566712025e-06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9.120392833560127e-07</v>
      </c>
    </row>
    <row r="77" spans="1:12">
      <c r="A77" t="n">
        <v>66</v>
      </c>
      <c r="B77" s="51" t="n">
        <v>39.1519720345</v>
      </c>
      <c r="C77" s="6" t="n">
        <v>3.625916003816591e-05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3</v>
      </c>
      <c r="G78" s="6" t="n">
        <v>2.736117850068038e-06</v>
      </c>
    </row>
    <row r="79" spans="1:12">
      <c r="A79" t="n">
        <v>68</v>
      </c>
      <c r="B79" s="51" t="n">
        <v>4605.9932193</v>
      </c>
      <c r="C79" s="6" t="n">
        <v>0.00426567134667291</v>
      </c>
      <c r="E79" s="7" t="n">
        <v>68</v>
      </c>
      <c r="F79" s="53" t="n">
        <v>2</v>
      </c>
      <c r="G79" s="6" t="n">
        <v>1.824078566712025e-06</v>
      </c>
    </row>
    <row r="80" spans="1:12">
      <c r="A80" t="n">
        <v>69</v>
      </c>
      <c r="B80" s="51" t="n">
        <v>1092.741662888</v>
      </c>
      <c r="C80" s="6" t="n">
        <v>0.001012002532084807</v>
      </c>
      <c r="E80" s="7" t="n">
        <v>69</v>
      </c>
      <c r="F80" s="53" t="n">
        <v>6</v>
      </c>
      <c r="G80" s="6" t="n">
        <v>5.472235700136076e-06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9.120392833560127e-07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2</v>
      </c>
      <c r="G82" s="6" t="n">
        <v>1.824078566712025e-06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1</v>
      </c>
      <c r="G83" s="6" t="n">
        <v>9.120392833560127e-07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240.321304484</v>
      </c>
      <c r="C87" s="6" t="n">
        <v>0.0002225647441765557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1</v>
      </c>
      <c r="G90" s="6" t="n">
        <v>9.120392833560127e-07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1</v>
      </c>
      <c r="G92" s="6" t="n">
        <v>9.120392833560127e-07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1</v>
      </c>
      <c r="G94" s="6" t="n">
        <v>9.120392833560127e-07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1079781.550187295</v>
      </c>
      <c r="C102" s="6" t="n">
        <v>1</v>
      </c>
      <c r="F102" s="51" t="n">
        <v>1096444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E24" sqref="E24"/>
    </sheetView>
  </sheetViews>
  <sheetFormatPr baseColWidth="10" defaultRowHeight="15" outlineLevelCol="0"/>
  <cols>
    <col bestFit="1" collapsed="1" customWidth="1" max="1" min="1" style="43" width="12.7109375"/>
    <col collapsed="1" customWidth="1" max="2" min="2" style="9" width="11.5703125"/>
    <col bestFit="1" collapsed="1" customWidth="1" max="3" min="3" style="43" width="10.28515625"/>
    <col collapsed="1" customWidth="1" hidden="1" max="4" min="4" style="43" width="12.7109375"/>
    <col bestFit="1" collapsed="1" customWidth="1" max="5" min="5" style="9" width="12.140625"/>
    <col bestFit="1" customWidth="1" max="6" min="6" style="9" width="15.7109375"/>
    <col bestFit="1" customWidth="1" max="7" min="7" style="9" width="17.42578125"/>
    <col bestFit="1" customWidth="1" max="8" min="8" style="9" width="10.28515625"/>
    <col collapsed="1" customWidth="1" max="11" min="9" style="43" width="9.140625"/>
    <col collapsed="1" customWidth="1" max="12" min="12" style="43" width="13"/>
    <col bestFit="1" collapsed="1" customWidth="1" max="13" min="13" style="11" width="19.5703125"/>
    <col collapsed="1" customWidth="1" max="14" min="14" style="45" width="19.5703125"/>
    <col collapsed="1" customWidth="1" max="15" min="15" style="43" width="92.42578125"/>
    <col collapsed="1" customWidth="1" max="22" min="16" style="43" width="9.140625"/>
    <col collapsed="1" customWidth="1" max="16384" min="23" style="43" width="9.140625"/>
  </cols>
  <sheetData>
    <row r="1" spans="1:20">
      <c r="A1" s="5" t="s">
        <v>17</v>
      </c>
      <c r="D1" s="5" t="s">
        <v>18</v>
      </c>
      <c r="K1" s="10" t="s">
        <v>19</v>
      </c>
      <c r="Q1" s="10" t="n"/>
    </row>
    <row customHeight="1" ht="15.75" r="2" spans="1:20">
      <c r="A2" s="10" t="s">
        <v>20</v>
      </c>
      <c r="M2" s="11" t="s">
        <v>21</v>
      </c>
      <c r="N2" s="45" t="s">
        <v>22</v>
      </c>
      <c r="S2" s="12" t="n"/>
      <c r="T2" s="12" t="n"/>
    </row>
    <row r="3" spans="1:20">
      <c r="A3" s="13" t="s">
        <v>9</v>
      </c>
      <c r="B3" s="14" t="s">
        <v>10</v>
      </c>
      <c r="C3" s="14">
        <f>H3</f>
        <v/>
      </c>
      <c r="D3" s="13" t="s">
        <v>9</v>
      </c>
      <c r="E3" s="13" t="s">
        <v>12</v>
      </c>
      <c r="F3" s="13" t="s">
        <v>13</v>
      </c>
      <c r="G3" s="13" t="s">
        <v>14</v>
      </c>
      <c r="H3" s="13" t="s">
        <v>15</v>
      </c>
      <c r="I3" s="15" t="n"/>
      <c r="K3" t="n">
        <v>1</v>
      </c>
      <c r="L3" t="s">
        <v>23</v>
      </c>
      <c r="M3" s="11">
        <f>#REF!</f>
        <v/>
      </c>
      <c r="N3" s="46">
        <f>M3</f>
        <v/>
      </c>
      <c r="O3" t="s">
        <v>24</v>
      </c>
    </row>
    <row r="4" spans="1:20">
      <c r="A4" s="16" t="s">
        <v>25</v>
      </c>
      <c r="B4" s="17">
        <f>TLFD!B11</f>
        <v/>
      </c>
      <c r="C4" s="17">
        <f>H4</f>
        <v/>
      </c>
      <c r="D4" s="16" t="s">
        <v>25</v>
      </c>
      <c r="E4" s="17">
        <f>TLFD!F11</f>
        <v/>
      </c>
      <c r="F4" s="17" t="n">
        <v>8757.25</v>
      </c>
      <c r="G4" s="17" t="n">
        <v>86609.09329526589</v>
      </c>
      <c r="H4" s="17" t="n">
        <v>85621</v>
      </c>
      <c r="I4" s="22" t="n"/>
      <c r="K4" t="n">
        <v>2</v>
      </c>
      <c r="L4" t="s">
        <v>26</v>
      </c>
      <c r="M4" s="11">
        <f>#REF!</f>
        <v/>
      </c>
      <c r="N4" s="46">
        <f>M4</f>
        <v/>
      </c>
      <c r="O4" t="s">
        <v>27</v>
      </c>
    </row>
    <row r="5" spans="1:20">
      <c r="A5" s="18" t="s">
        <v>28</v>
      </c>
      <c r="B5" s="19">
        <f>TLFD!B12+TLFD!B13+(TLFD!B14/2)</f>
        <v/>
      </c>
      <c r="C5" s="19">
        <f>H5</f>
        <v/>
      </c>
      <c r="D5" s="18" t="s">
        <v>28</v>
      </c>
      <c r="E5" s="19">
        <f>TLFD!F12+TLFD!F13+(TLFD!F14/2)</f>
        <v/>
      </c>
      <c r="F5" s="19" t="n">
        <v>18292</v>
      </c>
      <c r="G5" s="19" t="n">
        <v>92046.41549393276</v>
      </c>
      <c r="H5" s="19" t="n">
        <v>201840.5</v>
      </c>
      <c r="I5" s="22" t="n"/>
      <c r="K5" t="n">
        <v>3</v>
      </c>
      <c r="L5" t="s">
        <v>29</v>
      </c>
      <c r="M5" s="11">
        <f>#REF!</f>
        <v/>
      </c>
      <c r="N5" s="46">
        <f>M5</f>
        <v/>
      </c>
      <c r="O5" t="s">
        <v>30</v>
      </c>
    </row>
    <row r="6" spans="1:20">
      <c r="A6" s="18" t="s">
        <v>31</v>
      </c>
      <c r="B6" s="19">
        <f>(TLFD!B14/2)+SUM(TLFD!B15:B20)</f>
        <v/>
      </c>
      <c r="C6" s="19">
        <f>H6</f>
        <v/>
      </c>
      <c r="D6" s="18" t="s">
        <v>31</v>
      </c>
      <c r="E6" s="19">
        <f>(TLFD!F14/2)+SUM(TLFD!F15:F20)</f>
        <v/>
      </c>
      <c r="F6" s="19" t="n">
        <v>31348.25</v>
      </c>
      <c r="G6" s="19" t="n">
        <v>306918.503019538</v>
      </c>
      <c r="H6" s="19" t="n">
        <v>261861.5</v>
      </c>
      <c r="I6" s="22" t="n"/>
      <c r="K6" t="n">
        <v>4</v>
      </c>
      <c r="L6" t="s">
        <v>32</v>
      </c>
      <c r="M6" s="11">
        <f>#REF!</f>
        <v/>
      </c>
      <c r="N6" s="46">
        <f>M6</f>
        <v/>
      </c>
      <c r="O6" t="s">
        <v>33</v>
      </c>
    </row>
    <row r="7" spans="1:20">
      <c r="A7" s="20" t="s">
        <v>34</v>
      </c>
      <c r="B7" s="21">
        <f>SUM(TLFD!B21:B101)</f>
        <v/>
      </c>
      <c r="C7" s="21">
        <f>H7</f>
        <v/>
      </c>
      <c r="D7" s="20" t="s">
        <v>34</v>
      </c>
      <c r="E7" s="21">
        <f>SUM(TLFD!F21:F101)</f>
        <v/>
      </c>
      <c r="F7" s="21" t="n">
        <v>32943.25</v>
      </c>
      <c r="G7" s="21" t="n">
        <v>167926.3599804725</v>
      </c>
      <c r="H7" s="21" t="n">
        <v>229546</v>
      </c>
      <c r="I7" s="22" t="n"/>
      <c r="K7" t="n">
        <v>5</v>
      </c>
      <c r="L7" t="s">
        <v>35</v>
      </c>
      <c r="M7" s="11">
        <f>#REF!</f>
        <v/>
      </c>
      <c r="N7" s="46">
        <f>M7</f>
        <v/>
      </c>
      <c r="O7" t="s">
        <v>36</v>
      </c>
    </row>
    <row customHeight="1" ht="15.75" r="8" spans="1:20">
      <c r="A8" s="23" t="s">
        <v>37</v>
      </c>
      <c r="B8" s="24">
        <f>SUM(B4:B7)</f>
        <v/>
      </c>
      <c r="C8" s="24">
        <f>H8</f>
        <v/>
      </c>
      <c r="D8" s="23" t="s">
        <v>37</v>
      </c>
      <c r="E8" s="24">
        <f>SUM(E4:E7)</f>
        <v/>
      </c>
      <c r="F8" s="24" t="n">
        <v>91340.75</v>
      </c>
      <c r="G8" s="24" t="n">
        <v>653500.3717892092</v>
      </c>
      <c r="H8" s="24" t="n">
        <v>778869</v>
      </c>
      <c r="K8" t="n">
        <v>6</v>
      </c>
      <c r="L8" t="s">
        <v>38</v>
      </c>
      <c r="M8" s="11">
        <f>#REF!</f>
        <v/>
      </c>
      <c r="N8" s="46">
        <f>M8</f>
        <v/>
      </c>
      <c r="O8" t="s">
        <v>39</v>
      </c>
    </row>
    <row r="9" spans="1:20">
      <c r="C9" s="9" t="n"/>
      <c r="K9" t="n">
        <v>7</v>
      </c>
      <c r="L9" t="s">
        <v>40</v>
      </c>
      <c r="M9" s="11">
        <f>#REF!</f>
        <v/>
      </c>
      <c r="N9" s="46">
        <f>M9</f>
        <v/>
      </c>
      <c r="O9" t="s">
        <v>41</v>
      </c>
    </row>
    <row customHeight="1" ht="15.75" r="10" spans="1:20">
      <c r="A10" s="25" t="s">
        <v>42</v>
      </c>
      <c r="C10" s="9" t="n"/>
      <c r="I10" s="15" t="n"/>
      <c r="K10" t="n">
        <v>8</v>
      </c>
      <c r="L10" t="s">
        <v>43</v>
      </c>
      <c r="M10" s="11">
        <f>#REF!</f>
        <v/>
      </c>
      <c r="N10" s="46">
        <f>M10</f>
        <v/>
      </c>
      <c r="O10" t="s">
        <v>44</v>
      </c>
    </row>
    <row r="11" spans="1:20">
      <c r="A11" s="13" t="s">
        <v>9</v>
      </c>
      <c r="B11" s="14" t="s">
        <v>10</v>
      </c>
      <c r="C11" s="14">
        <f>H11</f>
        <v/>
      </c>
      <c r="D11" s="13" t="s">
        <v>9</v>
      </c>
      <c r="E11" s="13" t="s">
        <v>12</v>
      </c>
      <c r="F11" s="13" t="s">
        <v>13</v>
      </c>
      <c r="G11" s="13" t="s">
        <v>14</v>
      </c>
      <c r="H11" s="13" t="s">
        <v>15</v>
      </c>
      <c r="I11" s="28" t="n"/>
      <c r="K11" t="n">
        <v>9</v>
      </c>
      <c r="L11" t="s">
        <v>45</v>
      </c>
      <c r="M11" s="11">
        <f>#REF!</f>
        <v/>
      </c>
      <c r="N11" s="46">
        <f>M11</f>
        <v/>
      </c>
      <c r="O11" t="s">
        <v>46</v>
      </c>
    </row>
    <row r="12" spans="1:20">
      <c r="A12" s="16" t="s">
        <v>25</v>
      </c>
      <c r="B12" s="26">
        <f>B4/B$8</f>
        <v/>
      </c>
      <c r="C12" s="26">
        <f>H12</f>
        <v/>
      </c>
      <c r="D12" s="16" t="s">
        <v>25</v>
      </c>
      <c r="E12" s="26">
        <f>E4/E$8</f>
        <v/>
      </c>
      <c r="F12" s="26" t="n">
        <v>0.09587451383966084</v>
      </c>
      <c r="G12" s="26" t="n">
        <v>0.1325310543560061</v>
      </c>
      <c r="H12" s="26" t="n">
        <v>0.1099299111917409</v>
      </c>
      <c r="I12" s="28" t="n"/>
      <c r="K12" t="n">
        <v>10</v>
      </c>
      <c r="L12" t="s">
        <v>47</v>
      </c>
      <c r="M12" s="11">
        <f>#REF!</f>
        <v/>
      </c>
      <c r="N12" s="46">
        <f>M12</f>
        <v/>
      </c>
      <c r="O12" t="s">
        <v>48</v>
      </c>
    </row>
    <row r="13" spans="1:20">
      <c r="A13" s="18" t="s">
        <v>28</v>
      </c>
      <c r="B13" s="27">
        <f>B5/B$8</f>
        <v/>
      </c>
      <c r="C13" s="27">
        <f>H13</f>
        <v/>
      </c>
      <c r="D13" s="18" t="s">
        <v>28</v>
      </c>
      <c r="E13" s="27">
        <f>E5/E$8</f>
        <v/>
      </c>
      <c r="F13" s="27" t="n">
        <v>0.2002611101835709</v>
      </c>
      <c r="G13" s="27" t="n">
        <v>0.1408513590312431</v>
      </c>
      <c r="H13" s="27" t="n">
        <v>0.2591456329626677</v>
      </c>
      <c r="I13" s="28" t="n"/>
      <c r="K13" t="n">
        <v>11</v>
      </c>
      <c r="L13" t="s">
        <v>49</v>
      </c>
      <c r="M13" s="11">
        <f>#REF!</f>
        <v/>
      </c>
      <c r="N13" s="46">
        <f>M13</f>
        <v/>
      </c>
      <c r="O13" t="s">
        <v>50</v>
      </c>
    </row>
    <row r="14" spans="1:20">
      <c r="A14" s="18" t="s">
        <v>31</v>
      </c>
      <c r="B14" s="27">
        <f>B6/B$8</f>
        <v/>
      </c>
      <c r="C14" s="27">
        <f>H14</f>
        <v/>
      </c>
      <c r="D14" s="18" t="s">
        <v>31</v>
      </c>
      <c r="E14" s="27">
        <f>E6/E$8</f>
        <v/>
      </c>
      <c r="F14" s="27" t="n">
        <v>0.3432011451624822</v>
      </c>
      <c r="G14" s="27" t="n">
        <v>0.4696531421691931</v>
      </c>
      <c r="H14" s="27" t="n">
        <v>0.336207372484975</v>
      </c>
      <c r="I14" s="28" t="n"/>
      <c r="K14" t="n">
        <v>12</v>
      </c>
      <c r="L14" t="s">
        <v>51</v>
      </c>
      <c r="M14" s="11">
        <f>#REF!</f>
        <v/>
      </c>
      <c r="N14" s="46">
        <f>M14</f>
        <v/>
      </c>
      <c r="O14" t="s">
        <v>52</v>
      </c>
    </row>
    <row r="15" spans="1:20">
      <c r="A15" s="20" t="s">
        <v>34</v>
      </c>
      <c r="B15" s="27">
        <f>B7/B$8</f>
        <v/>
      </c>
      <c r="C15" s="27">
        <f>H15</f>
        <v/>
      </c>
      <c r="D15" s="20" t="s">
        <v>34</v>
      </c>
      <c r="E15" s="27">
        <f>E7/E$8</f>
        <v/>
      </c>
      <c r="F15" s="27" t="n">
        <v>0.3606632308142861</v>
      </c>
      <c r="G15" s="27" t="n">
        <v>0.2569644444435576</v>
      </c>
      <c r="H15" s="27" t="n">
        <v>0.2947170833606165</v>
      </c>
      <c r="K15" t="n">
        <v>13</v>
      </c>
      <c r="L15" t="s">
        <v>53</v>
      </c>
      <c r="M15" s="11">
        <f>#REF!</f>
        <v/>
      </c>
      <c r="N15" s="46">
        <f>M15</f>
        <v/>
      </c>
      <c r="O15" t="s">
        <v>54</v>
      </c>
    </row>
    <row customHeight="1" ht="15.75" r="16" spans="1:20">
      <c r="A16" s="23" t="s">
        <v>37</v>
      </c>
      <c r="B16" s="29">
        <f>B8/B$8</f>
        <v/>
      </c>
      <c r="C16" s="29">
        <f>H16</f>
        <v/>
      </c>
      <c r="D16" s="23" t="s">
        <v>37</v>
      </c>
      <c r="E16" s="29">
        <f>E8/E$8</f>
        <v/>
      </c>
      <c r="F16" s="29" t="n">
        <v>1</v>
      </c>
      <c r="G16" s="29" t="n">
        <v>1</v>
      </c>
      <c r="H16" s="29" t="n">
        <v>1</v>
      </c>
      <c r="K16" t="n">
        <v>14</v>
      </c>
      <c r="L16" t="s">
        <v>55</v>
      </c>
      <c r="M16" s="11">
        <f>#REF!</f>
        <v/>
      </c>
      <c r="N16" s="46">
        <f>M16</f>
        <v/>
      </c>
      <c r="O16" t="s">
        <v>56</v>
      </c>
    </row>
    <row r="17" spans="1:20">
      <c r="K17" t="n">
        <v>15</v>
      </c>
      <c r="L17" t="s">
        <v>57</v>
      </c>
      <c r="M17" s="11">
        <f>#REF!</f>
        <v/>
      </c>
      <c r="N17" s="46">
        <f>M17</f>
        <v/>
      </c>
      <c r="O17" t="s">
        <v>58</v>
      </c>
    </row>
    <row r="18" spans="1:20">
      <c r="K18" t="n">
        <v>16</v>
      </c>
      <c r="L18" t="s">
        <v>59</v>
      </c>
      <c r="M18" s="11">
        <f>#REF!</f>
        <v/>
      </c>
      <c r="N18" s="46">
        <f>M18</f>
        <v/>
      </c>
      <c r="O18" t="s">
        <v>60</v>
      </c>
    </row>
    <row r="19" spans="1:20">
      <c r="A19" s="30" t="s">
        <v>61</v>
      </c>
      <c r="K19" t="n">
        <v>17</v>
      </c>
      <c r="L19" t="s">
        <v>62</v>
      </c>
      <c r="M19" s="11">
        <f>#REF!</f>
        <v/>
      </c>
      <c r="N19" s="46">
        <f>M19</f>
        <v/>
      </c>
      <c r="O19" t="s">
        <v>63</v>
      </c>
    </row>
    <row r="20" spans="1:20">
      <c r="A20" s="30" t="s">
        <v>64</v>
      </c>
      <c r="K20" t="n">
        <v>18</v>
      </c>
      <c r="L20" t="s">
        <v>65</v>
      </c>
      <c r="M20" s="11">
        <f>#REF!</f>
        <v/>
      </c>
      <c r="N20" s="46">
        <f>M20</f>
        <v/>
      </c>
      <c r="O20" t="s">
        <v>66</v>
      </c>
    </row>
    <row customHeight="1" ht="15.75" r="21" spans="1:20">
      <c r="A21" s="31" t="n"/>
      <c r="J21" t="s">
        <v>67</v>
      </c>
      <c r="K21" t="n">
        <v>19</v>
      </c>
      <c r="L21" t="s">
        <v>68</v>
      </c>
      <c r="M21" s="11">
        <f>#REF!</f>
        <v/>
      </c>
      <c r="N21" s="46">
        <f>M21</f>
        <v/>
      </c>
      <c r="O21" t="s">
        <v>69</v>
      </c>
    </row>
    <row r="22" spans="1:20">
      <c r="A22" s="32" t="s">
        <v>70</v>
      </c>
      <c r="B22" s="33" t="n"/>
      <c r="J22" t="s">
        <v>67</v>
      </c>
      <c r="K22" t="n">
        <v>20</v>
      </c>
      <c r="L22" t="s">
        <v>71</v>
      </c>
      <c r="M22" s="11">
        <f>#REF!</f>
        <v/>
      </c>
      <c r="N22" s="46">
        <f>M22</f>
        <v/>
      </c>
      <c r="O22" s="44" t="s">
        <v>72</v>
      </c>
    </row>
    <row r="23" spans="1:20">
      <c r="A23" s="16" t="s">
        <v>25</v>
      </c>
      <c r="B23" s="34">
        <f>M52</f>
        <v/>
      </c>
      <c r="J23" t="s">
        <v>67</v>
      </c>
      <c r="K23" t="n">
        <v>21</v>
      </c>
      <c r="L23" t="s">
        <v>73</v>
      </c>
      <c r="M23" s="11">
        <f>#REF!</f>
        <v/>
      </c>
      <c r="N23" s="46">
        <f>M23</f>
        <v/>
      </c>
      <c r="O23" t="s">
        <v>74</v>
      </c>
    </row>
    <row r="24" spans="1:20">
      <c r="A24" s="18" t="s">
        <v>28</v>
      </c>
      <c r="B24" s="34">
        <f>M53</f>
        <v/>
      </c>
      <c r="J24" t="s">
        <v>67</v>
      </c>
      <c r="K24" t="n">
        <v>22</v>
      </c>
      <c r="L24" t="s">
        <v>75</v>
      </c>
      <c r="M24" s="11">
        <f>#REF!</f>
        <v/>
      </c>
      <c r="N24" s="46">
        <f>M24</f>
        <v/>
      </c>
      <c r="O24" t="s">
        <v>76</v>
      </c>
    </row>
    <row r="25" spans="1:20">
      <c r="A25" s="18" t="s">
        <v>31</v>
      </c>
      <c r="B25" s="34">
        <f>M54</f>
        <v/>
      </c>
      <c r="J25" t="s">
        <v>67</v>
      </c>
      <c r="K25" t="n">
        <v>23</v>
      </c>
      <c r="L25" t="s">
        <v>77</v>
      </c>
      <c r="M25" s="11">
        <f>#REF!</f>
        <v/>
      </c>
      <c r="N25" s="46">
        <f>M25</f>
        <v/>
      </c>
      <c r="O25" t="s">
        <v>78</v>
      </c>
    </row>
    <row customHeight="1" ht="15.75" r="26" spans="1:20">
      <c r="A26" s="35" t="s">
        <v>34</v>
      </c>
      <c r="B26" s="36">
        <f>M55</f>
        <v/>
      </c>
      <c r="J26" t="s">
        <v>67</v>
      </c>
      <c r="K26" t="n">
        <v>24</v>
      </c>
      <c r="L26" t="s">
        <v>79</v>
      </c>
      <c r="M26" s="11">
        <f>#REF!</f>
        <v/>
      </c>
      <c r="N26" s="46">
        <f>M26</f>
        <v/>
      </c>
      <c r="O26" s="44" t="s">
        <v>80</v>
      </c>
    </row>
    <row r="27" spans="1:20">
      <c r="A27" s="31" t="n"/>
      <c r="B27" s="37" t="n"/>
      <c r="J27" t="s">
        <v>81</v>
      </c>
      <c r="K27" t="n">
        <v>25</v>
      </c>
      <c r="L27" t="s">
        <v>82</v>
      </c>
      <c r="M27" s="11">
        <f>#REF!</f>
        <v/>
      </c>
      <c r="N27" s="46">
        <f>M27</f>
        <v/>
      </c>
      <c r="O27" s="44" t="s">
        <v>83</v>
      </c>
    </row>
    <row r="28" spans="1:20">
      <c r="A28" s="31" t="n"/>
      <c r="B28" s="37" t="n"/>
      <c r="J28" t="s">
        <v>81</v>
      </c>
      <c r="K28" t="n">
        <v>26</v>
      </c>
      <c r="L28" t="s">
        <v>84</v>
      </c>
      <c r="M28" s="11">
        <f>#REF!</f>
        <v/>
      </c>
      <c r="N28" s="46">
        <f>M28</f>
        <v/>
      </c>
      <c r="O28" t="s">
        <v>72</v>
      </c>
    </row>
    <row r="29" spans="1:20">
      <c r="A29" s="30" t="s">
        <v>61</v>
      </c>
      <c r="B29" s="38" t="n"/>
      <c r="J29" t="s">
        <v>81</v>
      </c>
      <c r="K29" t="n">
        <v>27</v>
      </c>
      <c r="L29" t="s">
        <v>85</v>
      </c>
      <c r="M29" s="11">
        <f>#REF!</f>
        <v/>
      </c>
      <c r="N29" s="46">
        <f>M29</f>
        <v/>
      </c>
      <c r="O29" t="s">
        <v>74</v>
      </c>
    </row>
    <row r="30" spans="1:20">
      <c r="A30" s="30" t="s">
        <v>86</v>
      </c>
      <c r="B30" s="38" t="n"/>
      <c r="J30" t="s">
        <v>81</v>
      </c>
      <c r="K30" t="n">
        <v>28</v>
      </c>
      <c r="L30" t="s">
        <v>87</v>
      </c>
      <c r="M30" s="11">
        <f>#REF!</f>
        <v/>
      </c>
      <c r="N30" s="46">
        <f>M30</f>
        <v/>
      </c>
      <c r="O30" t="s">
        <v>76</v>
      </c>
    </row>
    <row customHeight="1" ht="15.75" r="31" spans="1:20">
      <c r="A31" s="31" t="n"/>
      <c r="B31" s="37" t="n"/>
      <c r="J31" t="s">
        <v>81</v>
      </c>
      <c r="K31" t="n">
        <v>29</v>
      </c>
      <c r="L31" t="s">
        <v>88</v>
      </c>
      <c r="M31" s="11">
        <f>#REF!</f>
        <v/>
      </c>
      <c r="N31" s="46">
        <f>M31</f>
        <v/>
      </c>
      <c r="O31" t="s">
        <v>78</v>
      </c>
    </row>
    <row r="32" spans="1:20">
      <c r="A32" s="32" t="s">
        <v>70</v>
      </c>
      <c r="B32" s="33" t="n"/>
      <c r="J32" t="s">
        <v>81</v>
      </c>
      <c r="K32" t="n">
        <v>30</v>
      </c>
      <c r="L32" t="s">
        <v>89</v>
      </c>
      <c r="M32" s="11">
        <f>#REF!</f>
        <v/>
      </c>
      <c r="N32" s="46">
        <f>M32</f>
        <v/>
      </c>
      <c r="O32" t="s">
        <v>90</v>
      </c>
    </row>
    <row r="33" spans="1:20">
      <c r="A33" s="16" t="s">
        <v>25</v>
      </c>
      <c r="B33" s="34">
        <f>LN(B12/E12)-LN(B12/E12)</f>
        <v/>
      </c>
      <c r="J33" t="s">
        <v>81</v>
      </c>
      <c r="K33" t="n">
        <v>31</v>
      </c>
      <c r="L33" t="s">
        <v>91</v>
      </c>
      <c r="M33" s="11">
        <f>#REF!</f>
        <v/>
      </c>
      <c r="N33" s="46">
        <f>M33</f>
        <v/>
      </c>
      <c r="O33" s="44" t="s">
        <v>92</v>
      </c>
    </row>
    <row r="34" spans="1:20">
      <c r="A34" s="18" t="s">
        <v>28</v>
      </c>
      <c r="B34" s="34">
        <f>LN(B13/E13)-LN(B12/E12)</f>
        <v/>
      </c>
      <c r="J34" t="s">
        <v>81</v>
      </c>
      <c r="K34" t="n">
        <v>32</v>
      </c>
      <c r="L34" t="s">
        <v>93</v>
      </c>
      <c r="M34" s="11">
        <f>#REF!</f>
        <v/>
      </c>
      <c r="N34" s="46">
        <f>M34</f>
        <v/>
      </c>
      <c r="O34" s="44" t="s">
        <v>94</v>
      </c>
    </row>
    <row r="35" spans="1:20">
      <c r="A35" s="18" t="s">
        <v>31</v>
      </c>
      <c r="B35" s="34">
        <f>LN(B14/E14)-LN(B13/E13)-LN(B12/E12)</f>
        <v/>
      </c>
      <c r="E35" s="39" t="n"/>
      <c r="F35" s="39" t="n"/>
      <c r="G35" s="39" t="n"/>
      <c r="H35" s="39" t="n"/>
      <c r="J35" t="s">
        <v>81</v>
      </c>
      <c r="K35" t="n">
        <v>33</v>
      </c>
      <c r="L35" t="s">
        <v>95</v>
      </c>
      <c r="M35" s="11">
        <f>#REF!</f>
        <v/>
      </c>
      <c r="N35" s="46">
        <f>M35</f>
        <v/>
      </c>
      <c r="O35" s="44" t="s">
        <v>96</v>
      </c>
    </row>
    <row customHeight="1" ht="15.75" r="36" spans="1:20">
      <c r="A36" s="35" t="s">
        <v>34</v>
      </c>
      <c r="B36" s="36">
        <f>LN(B15/E15)-LN(B14/E14)-LN(B13/E13)-LN(B12/E12)</f>
        <v/>
      </c>
      <c r="E36" s="40" t="n"/>
      <c r="F36" s="40" t="n"/>
      <c r="G36" s="40" t="n"/>
      <c r="H36" s="40" t="n"/>
      <c r="J36" t="s">
        <v>81</v>
      </c>
      <c r="K36" t="n">
        <v>34</v>
      </c>
      <c r="L36" t="s">
        <v>97</v>
      </c>
      <c r="M36" s="11">
        <f>#REF!</f>
        <v/>
      </c>
      <c r="N36" s="46">
        <f>M36</f>
        <v/>
      </c>
      <c r="O36" s="44" t="s">
        <v>98</v>
      </c>
    </row>
    <row r="37" spans="1:20">
      <c r="A37" s="31" t="n"/>
      <c r="B37" s="34" t="n"/>
      <c r="J37" t="s">
        <v>99</v>
      </c>
      <c r="K37" t="n">
        <v>35</v>
      </c>
      <c r="L37" t="s">
        <v>100</v>
      </c>
      <c r="M37" s="11">
        <f>#REF!</f>
        <v/>
      </c>
      <c r="N37" s="46">
        <f>M37</f>
        <v/>
      </c>
      <c r="O37" s="44" t="s">
        <v>101</v>
      </c>
    </row>
    <row r="38" spans="1:20">
      <c r="A38" s="31" t="n"/>
      <c r="B38" s="34" t="n"/>
      <c r="J38" t="s">
        <v>99</v>
      </c>
      <c r="K38" t="n">
        <v>36</v>
      </c>
      <c r="L38" t="s">
        <v>102</v>
      </c>
      <c r="M38" s="11">
        <f>#REF!</f>
        <v/>
      </c>
      <c r="N38" s="46">
        <f>M38</f>
        <v/>
      </c>
      <c r="O38" s="44" t="s">
        <v>72</v>
      </c>
    </row>
    <row r="39" spans="1:20">
      <c r="A39" s="30" t="s">
        <v>61</v>
      </c>
      <c r="B39" s="41" t="n"/>
      <c r="J39" t="s">
        <v>99</v>
      </c>
      <c r="K39" t="n">
        <v>37</v>
      </c>
      <c r="L39" t="s">
        <v>103</v>
      </c>
      <c r="M39" s="11">
        <f>#REF!</f>
        <v/>
      </c>
      <c r="N39" s="46">
        <f>M39</f>
        <v/>
      </c>
      <c r="O39" s="44" t="s">
        <v>74</v>
      </c>
    </row>
    <row r="40" spans="1:20">
      <c r="A40" s="30" t="s">
        <v>104</v>
      </c>
      <c r="B40" s="41" t="n"/>
      <c r="J40" t="s">
        <v>99</v>
      </c>
      <c r="K40" t="n">
        <v>38</v>
      </c>
      <c r="L40" t="s">
        <v>105</v>
      </c>
      <c r="M40" s="11">
        <f>#REF!</f>
        <v/>
      </c>
      <c r="N40" s="46">
        <f>M40</f>
        <v/>
      </c>
      <c r="O40" s="44" t="s">
        <v>76</v>
      </c>
    </row>
    <row customHeight="1" ht="15.75" r="41" spans="1:20">
      <c r="A41" s="31" t="n"/>
      <c r="B41" s="34" t="n"/>
      <c r="J41" t="s">
        <v>99</v>
      </c>
      <c r="K41" t="n">
        <v>39</v>
      </c>
      <c r="L41" t="s">
        <v>106</v>
      </c>
      <c r="M41" s="11">
        <f>#REF!</f>
        <v/>
      </c>
      <c r="N41" s="46">
        <f>M41</f>
        <v/>
      </c>
      <c r="O41" s="44" t="s">
        <v>78</v>
      </c>
    </row>
    <row r="42" spans="1:20">
      <c r="A42" s="32" t="s">
        <v>70</v>
      </c>
      <c r="B42" s="42" t="n"/>
      <c r="J42" t="s">
        <v>99</v>
      </c>
      <c r="K42" t="n">
        <v>40</v>
      </c>
      <c r="L42" t="s">
        <v>107</v>
      </c>
      <c r="M42" s="11">
        <f>#REF!</f>
        <v/>
      </c>
      <c r="N42" s="46">
        <f>M42</f>
        <v/>
      </c>
      <c r="O42" s="44" t="s">
        <v>90</v>
      </c>
    </row>
    <row r="43" spans="1:20">
      <c r="A43" s="16" t="s">
        <v>25</v>
      </c>
      <c r="B43" s="34">
        <f>B23+B33</f>
        <v/>
      </c>
      <c r="J43" t="s">
        <v>99</v>
      </c>
      <c r="K43" t="n">
        <v>41</v>
      </c>
      <c r="L43" t="s">
        <v>108</v>
      </c>
      <c r="M43" s="11">
        <f>#REF!</f>
        <v/>
      </c>
      <c r="N43" s="46">
        <f>M43</f>
        <v/>
      </c>
      <c r="O43" s="44" t="s">
        <v>92</v>
      </c>
    </row>
    <row r="44" spans="1:20">
      <c r="A44" s="18" t="s">
        <v>28</v>
      </c>
      <c r="B44" s="34">
        <f>B24+B34</f>
        <v/>
      </c>
      <c r="J44" t="s">
        <v>109</v>
      </c>
      <c r="K44" t="n">
        <v>42</v>
      </c>
      <c r="L44" t="s">
        <v>110</v>
      </c>
      <c r="M44" s="11">
        <f>#REF!</f>
        <v/>
      </c>
      <c r="N44" s="46">
        <f>M44</f>
        <v/>
      </c>
      <c r="O44" s="44" t="s">
        <v>111</v>
      </c>
    </row>
    <row r="45" spans="1:20">
      <c r="A45" s="18" t="s">
        <v>31</v>
      </c>
      <c r="B45" s="34">
        <f>B25+B35</f>
        <v/>
      </c>
      <c r="J45" t="s">
        <v>109</v>
      </c>
      <c r="K45" t="n">
        <v>43</v>
      </c>
      <c r="L45" t="s">
        <v>112</v>
      </c>
      <c r="M45" s="11">
        <f>#REF!</f>
        <v/>
      </c>
      <c r="N45" s="46">
        <f>M45</f>
        <v/>
      </c>
      <c r="O45" s="44" t="s">
        <v>72</v>
      </c>
    </row>
    <row customHeight="1" ht="15.75" r="46" spans="1:20">
      <c r="A46" s="35" t="s">
        <v>34</v>
      </c>
      <c r="B46" s="36">
        <f>B26+B36</f>
        <v/>
      </c>
      <c r="J46" t="s">
        <v>109</v>
      </c>
      <c r="K46" t="n">
        <v>44</v>
      </c>
      <c r="L46" t="s">
        <v>113</v>
      </c>
      <c r="M46" s="11">
        <f>#REF!</f>
        <v/>
      </c>
      <c r="N46" s="46">
        <f>M46</f>
        <v/>
      </c>
      <c r="O46" s="44" t="s">
        <v>114</v>
      </c>
    </row>
    <row r="47" spans="1:20">
      <c r="J47" t="s">
        <v>109</v>
      </c>
      <c r="K47" t="n">
        <v>45</v>
      </c>
      <c r="L47" t="s">
        <v>115</v>
      </c>
      <c r="M47" s="11">
        <f>#REF!</f>
        <v/>
      </c>
      <c r="N47" s="46">
        <f>M47</f>
        <v/>
      </c>
      <c r="O47" s="44" t="s">
        <v>116</v>
      </c>
    </row>
    <row r="48" spans="1:20">
      <c r="J48" t="s">
        <v>109</v>
      </c>
      <c r="K48" t="n">
        <v>46</v>
      </c>
      <c r="L48" t="s">
        <v>117</v>
      </c>
      <c r="M48" s="11">
        <f>#REF!</f>
        <v/>
      </c>
      <c r="N48" s="46">
        <f>M48</f>
        <v/>
      </c>
      <c r="O48" s="44" t="s">
        <v>118</v>
      </c>
    </row>
    <row r="49" spans="1:20">
      <c r="J49" t="s">
        <v>109</v>
      </c>
      <c r="K49" t="n">
        <v>47</v>
      </c>
      <c r="L49" t="s">
        <v>119</v>
      </c>
      <c r="M49" s="11">
        <f>#REF!</f>
        <v/>
      </c>
      <c r="N49" s="46">
        <f>M49</f>
        <v/>
      </c>
      <c r="O49" s="44" t="s">
        <v>120</v>
      </c>
    </row>
    <row r="50" spans="1:20">
      <c r="J50" t="s">
        <v>121</v>
      </c>
      <c r="K50" t="n">
        <v>48</v>
      </c>
      <c r="L50" t="s">
        <v>122</v>
      </c>
      <c r="M50" s="11">
        <f>#REF!</f>
        <v/>
      </c>
      <c r="N50" s="46">
        <f>M50</f>
        <v/>
      </c>
      <c r="O50" s="44" t="s">
        <v>123</v>
      </c>
    </row>
    <row r="51" spans="1:20">
      <c r="J51" t="s">
        <v>121</v>
      </c>
      <c r="K51" t="n">
        <v>49</v>
      </c>
      <c r="L51" t="s">
        <v>124</v>
      </c>
      <c r="M51" s="11">
        <f>#REF!</f>
        <v/>
      </c>
      <c r="N51" s="46">
        <f>M51</f>
        <v/>
      </c>
      <c r="O51" s="44" t="s">
        <v>72</v>
      </c>
    </row>
    <row r="52" spans="1:20">
      <c r="J52" s="47" t="s">
        <v>121</v>
      </c>
      <c r="K52" s="47" t="n">
        <v>50</v>
      </c>
      <c r="L52" s="47" t="s">
        <v>125</v>
      </c>
      <c r="M52" s="48">
        <f>#REF!</f>
        <v/>
      </c>
      <c r="N52" s="49">
        <f>B43</f>
        <v/>
      </c>
      <c r="O52" s="50" t="s">
        <v>74</v>
      </c>
    </row>
    <row r="53" spans="1:20">
      <c r="J53" s="47" t="s">
        <v>121</v>
      </c>
      <c r="K53" s="47" t="n">
        <v>51</v>
      </c>
      <c r="L53" s="47" t="s">
        <v>126</v>
      </c>
      <c r="M53" s="48">
        <f>#REF!</f>
        <v/>
      </c>
      <c r="N53" s="49">
        <f>B44</f>
        <v/>
      </c>
      <c r="O53" s="50" t="s">
        <v>76</v>
      </c>
    </row>
    <row r="54" spans="1:20">
      <c r="J54" s="47" t="s">
        <v>121</v>
      </c>
      <c r="K54" s="47" t="n">
        <v>52</v>
      </c>
      <c r="L54" s="47" t="s">
        <v>127</v>
      </c>
      <c r="M54" s="48">
        <f>#REF!</f>
        <v/>
      </c>
      <c r="N54" s="49">
        <f>B45</f>
        <v/>
      </c>
      <c r="O54" s="50" t="s">
        <v>78</v>
      </c>
    </row>
    <row r="55" spans="1:20">
      <c r="J55" s="47" t="s">
        <v>121</v>
      </c>
      <c r="K55" s="47" t="n">
        <v>53</v>
      </c>
      <c r="L55" s="47" t="s">
        <v>128</v>
      </c>
      <c r="M55" s="48">
        <f>#REF!</f>
        <v/>
      </c>
      <c r="N55" s="49">
        <f>B46</f>
        <v/>
      </c>
      <c r="O55" s="50" t="s">
        <v>90</v>
      </c>
    </row>
    <row r="56" spans="1:20">
      <c r="J56" t="s">
        <v>121</v>
      </c>
      <c r="K56" t="n">
        <v>54</v>
      </c>
      <c r="L56" t="s">
        <v>129</v>
      </c>
      <c r="M56" s="11">
        <f>#REF!</f>
        <v/>
      </c>
      <c r="N56" s="46">
        <f>M56</f>
        <v/>
      </c>
      <c r="O56" s="44" t="s">
        <v>130</v>
      </c>
    </row>
    <row r="57" spans="1:20">
      <c r="J57" t="s">
        <v>121</v>
      </c>
      <c r="K57" t="n">
        <v>55</v>
      </c>
      <c r="L57" t="s">
        <v>131</v>
      </c>
      <c r="M57" s="11">
        <f>#REF!</f>
        <v/>
      </c>
      <c r="N57" s="46">
        <f>M57</f>
        <v/>
      </c>
      <c r="O57" s="44" t="s">
        <v>94</v>
      </c>
    </row>
    <row r="58" spans="1:20">
      <c r="J58" t="s">
        <v>121</v>
      </c>
      <c r="K58" t="n">
        <v>56</v>
      </c>
      <c r="L58" t="s">
        <v>132</v>
      </c>
      <c r="M58" s="11">
        <f>#REF!</f>
        <v/>
      </c>
      <c r="N58" s="46">
        <f>M58</f>
        <v/>
      </c>
      <c r="O58" s="44" t="s">
        <v>98</v>
      </c>
    </row>
    <row r="59" spans="1:20">
      <c r="K59" t="n">
        <v>57</v>
      </c>
      <c r="L59" t="s">
        <v>133</v>
      </c>
      <c r="M59" s="11">
        <f>#REF!</f>
        <v/>
      </c>
      <c r="N59" s="46">
        <f>M59</f>
        <v/>
      </c>
      <c r="O59" s="44" t="s">
        <v>101</v>
      </c>
    </row>
    <row r="60" spans="1:20">
      <c r="J60" t="s">
        <v>67</v>
      </c>
      <c r="K60" t="n">
        <v>70</v>
      </c>
      <c r="L60" t="s">
        <v>134</v>
      </c>
      <c r="M60" s="11">
        <f>#REF!</f>
        <v/>
      </c>
      <c r="N60" s="46">
        <f>M60</f>
        <v/>
      </c>
      <c r="O60" s="44" t="n"/>
    </row>
    <row r="61" spans="1:20">
      <c r="J61" t="s">
        <v>67</v>
      </c>
      <c r="K61" t="n">
        <v>71</v>
      </c>
      <c r="L61" t="s">
        <v>135</v>
      </c>
      <c r="M61" s="11">
        <f>#REF!</f>
        <v/>
      </c>
      <c r="N61" s="46">
        <f>M61</f>
        <v/>
      </c>
      <c r="O61" t="s">
        <v>136</v>
      </c>
    </row>
    <row r="62" spans="1:20">
      <c r="J62" t="s">
        <v>67</v>
      </c>
      <c r="K62" t="n">
        <v>72</v>
      </c>
      <c r="L62" t="s">
        <v>137</v>
      </c>
      <c r="M62" s="11">
        <f>#REF!</f>
        <v/>
      </c>
      <c r="N62" s="46">
        <f>M62</f>
        <v/>
      </c>
      <c r="O62" t="s">
        <v>138</v>
      </c>
    </row>
    <row r="63" spans="1:20">
      <c r="J63" t="s">
        <v>67</v>
      </c>
      <c r="K63" t="n">
        <v>73</v>
      </c>
      <c r="L63" t="s">
        <v>139</v>
      </c>
      <c r="M63" s="11">
        <f>#REF!</f>
        <v/>
      </c>
      <c r="N63" s="46">
        <f>M63</f>
        <v/>
      </c>
      <c r="O63" t="s">
        <v>140</v>
      </c>
    </row>
    <row r="64" spans="1:20">
      <c r="J64" t="s">
        <v>67</v>
      </c>
      <c r="K64" t="n">
        <v>74</v>
      </c>
      <c r="L64" t="s">
        <v>141</v>
      </c>
      <c r="M64" s="11">
        <f>#REF!</f>
        <v/>
      </c>
      <c r="N64" s="46">
        <f>M64</f>
        <v/>
      </c>
      <c r="O64" t="s">
        <v>142</v>
      </c>
    </row>
    <row r="65" spans="1:20">
      <c r="J65" t="s">
        <v>67</v>
      </c>
      <c r="K65" t="n">
        <v>75</v>
      </c>
      <c r="L65" t="s">
        <v>143</v>
      </c>
      <c r="M65" s="11">
        <f>#REF!</f>
        <v/>
      </c>
      <c r="N65" s="46">
        <f>M65</f>
        <v/>
      </c>
      <c r="O65" t="s">
        <v>144</v>
      </c>
    </row>
    <row r="66" spans="1:20">
      <c r="J66" t="s">
        <v>67</v>
      </c>
      <c r="K66" t="n">
        <v>76</v>
      </c>
      <c r="L66" t="s">
        <v>145</v>
      </c>
      <c r="M66" s="11">
        <f>#REF!</f>
        <v/>
      </c>
      <c r="N66" s="46">
        <f>M66</f>
        <v/>
      </c>
      <c r="O66" t="s">
        <v>146</v>
      </c>
    </row>
    <row r="67" spans="1:20">
      <c r="J67" t="s">
        <v>67</v>
      </c>
      <c r="K67" t="n">
        <v>77</v>
      </c>
      <c r="L67" t="s">
        <v>147</v>
      </c>
      <c r="M67" s="11">
        <f>#REF!</f>
        <v/>
      </c>
      <c r="N67" s="46">
        <f>M67</f>
        <v/>
      </c>
      <c r="O67" t="s">
        <v>148</v>
      </c>
    </row>
    <row r="68" spans="1:20">
      <c r="J68" t="s">
        <v>67</v>
      </c>
      <c r="K68" t="n">
        <v>78</v>
      </c>
      <c r="L68" t="s">
        <v>149</v>
      </c>
      <c r="M68" s="11">
        <f>#REF!</f>
        <v/>
      </c>
      <c r="N68" s="46">
        <f>M68</f>
        <v/>
      </c>
      <c r="O68" t="s">
        <v>150</v>
      </c>
    </row>
    <row r="69" spans="1:20">
      <c r="J69" t="s">
        <v>67</v>
      </c>
      <c r="K69" t="n">
        <v>79</v>
      </c>
      <c r="L69" t="s">
        <v>151</v>
      </c>
      <c r="M69" s="11">
        <f>#REF!</f>
        <v/>
      </c>
      <c r="N69" s="46">
        <f>M69</f>
        <v/>
      </c>
      <c r="O69" t="s">
        <v>152</v>
      </c>
    </row>
    <row r="70" spans="1:20">
      <c r="J70" t="s">
        <v>67</v>
      </c>
      <c r="K70" t="n">
        <v>80</v>
      </c>
      <c r="L70" t="s">
        <v>153</v>
      </c>
      <c r="M70" s="11">
        <f>#REF!</f>
        <v/>
      </c>
      <c r="N70" s="46">
        <f>M70</f>
        <v/>
      </c>
      <c r="O70" t="s">
        <v>154</v>
      </c>
    </row>
    <row r="71" spans="1:20">
      <c r="J71" t="s">
        <v>67</v>
      </c>
      <c r="K71" t="n">
        <v>81</v>
      </c>
      <c r="L71" t="s">
        <v>155</v>
      </c>
      <c r="M71" s="11">
        <f>#REF!</f>
        <v/>
      </c>
      <c r="N71" s="46">
        <f>M71</f>
        <v/>
      </c>
      <c r="O71" t="s">
        <v>156</v>
      </c>
    </row>
    <row r="72" spans="1:20">
      <c r="J72" t="s">
        <v>67</v>
      </c>
      <c r="K72" t="n">
        <v>82</v>
      </c>
      <c r="L72" t="s">
        <v>157</v>
      </c>
      <c r="M72" s="11">
        <f>#REF!</f>
        <v/>
      </c>
      <c r="N72" s="46">
        <f>M72</f>
        <v/>
      </c>
      <c r="O72" t="s">
        <v>156</v>
      </c>
    </row>
    <row r="73" spans="1:20">
      <c r="J73" t="s">
        <v>67</v>
      </c>
      <c r="K73" t="n">
        <v>83</v>
      </c>
      <c r="L73" t="s">
        <v>158</v>
      </c>
      <c r="M73" s="11">
        <f>#REF!</f>
        <v/>
      </c>
      <c r="N73" s="46">
        <f>M73</f>
        <v/>
      </c>
      <c r="O73" t="s">
        <v>159</v>
      </c>
    </row>
    <row r="74" spans="1:20">
      <c r="J74" t="s">
        <v>67</v>
      </c>
      <c r="K74" t="n">
        <v>84</v>
      </c>
      <c r="L74" t="s">
        <v>160</v>
      </c>
      <c r="M74" s="11">
        <f>#REF!</f>
        <v/>
      </c>
      <c r="N74" s="46">
        <f>M74</f>
        <v/>
      </c>
      <c r="O74" t="s">
        <v>161</v>
      </c>
    </row>
    <row r="75" spans="1:20">
      <c r="J75" t="s">
        <v>67</v>
      </c>
      <c r="K75" t="n">
        <v>85</v>
      </c>
      <c r="L75" t="s">
        <v>162</v>
      </c>
      <c r="M75" s="11">
        <f>#REF!</f>
        <v/>
      </c>
      <c r="N75" s="46">
        <f>M75</f>
        <v/>
      </c>
      <c r="O75" t="s">
        <v>163</v>
      </c>
    </row>
    <row r="76" spans="1:20">
      <c r="J76" t="s">
        <v>67</v>
      </c>
      <c r="K76" t="n">
        <v>86</v>
      </c>
      <c r="L76" t="s">
        <v>164</v>
      </c>
      <c r="M76" s="11">
        <f>#REF!</f>
        <v/>
      </c>
      <c r="N76" s="46">
        <f>M76</f>
        <v/>
      </c>
      <c r="O76" t="s">
        <v>165</v>
      </c>
    </row>
    <row r="77" spans="1:20">
      <c r="J77" t="s">
        <v>67</v>
      </c>
      <c r="K77" t="n">
        <v>87</v>
      </c>
      <c r="L77" t="s">
        <v>166</v>
      </c>
      <c r="M77" s="11">
        <f>#REF!</f>
        <v/>
      </c>
      <c r="N77" s="46">
        <f>M77</f>
        <v/>
      </c>
      <c r="O77" t="s">
        <v>167</v>
      </c>
    </row>
    <row r="78" spans="1:20">
      <c r="J78" t="s">
        <v>81</v>
      </c>
      <c r="K78" t="n">
        <v>88</v>
      </c>
      <c r="L78" t="s">
        <v>168</v>
      </c>
      <c r="M78" s="11">
        <f>#REF!</f>
        <v/>
      </c>
      <c r="N78" s="46">
        <f>M78</f>
        <v/>
      </c>
      <c r="O78" t="s">
        <v>169</v>
      </c>
    </row>
    <row r="79" spans="1:20">
      <c r="J79" t="s">
        <v>81</v>
      </c>
      <c r="K79" t="n">
        <v>89</v>
      </c>
      <c r="L79" t="s">
        <v>170</v>
      </c>
      <c r="M79" s="11">
        <f>#REF!</f>
        <v/>
      </c>
      <c r="N79" s="46">
        <f>M79</f>
        <v/>
      </c>
      <c r="O79" t="s">
        <v>171</v>
      </c>
    </row>
    <row r="80" spans="1:20">
      <c r="J80" t="s">
        <v>81</v>
      </c>
      <c r="K80" t="n">
        <v>90</v>
      </c>
      <c r="L80" t="s">
        <v>172</v>
      </c>
      <c r="M80" s="11">
        <f>#REF!</f>
        <v/>
      </c>
      <c r="N80" s="46">
        <f>M80</f>
        <v/>
      </c>
      <c r="O80" t="s">
        <v>173</v>
      </c>
    </row>
    <row r="81" spans="1:20">
      <c r="J81" t="s">
        <v>81</v>
      </c>
      <c r="K81" t="n">
        <v>91</v>
      </c>
      <c r="L81" t="s">
        <v>174</v>
      </c>
      <c r="M81" s="11">
        <f>#REF!</f>
        <v/>
      </c>
      <c r="N81" s="46">
        <f>M81</f>
        <v/>
      </c>
      <c r="O81" t="s">
        <v>175</v>
      </c>
    </row>
    <row r="82" spans="1:20">
      <c r="J82" t="s">
        <v>81</v>
      </c>
      <c r="K82" t="n">
        <v>92</v>
      </c>
      <c r="L82" t="s">
        <v>176</v>
      </c>
      <c r="M82" s="11">
        <f>#REF!</f>
        <v/>
      </c>
      <c r="N82" s="46">
        <f>M82</f>
        <v/>
      </c>
      <c r="O82" t="s">
        <v>177</v>
      </c>
    </row>
    <row r="83" spans="1:20">
      <c r="J83" t="s">
        <v>81</v>
      </c>
      <c r="K83" t="n">
        <v>93</v>
      </c>
      <c r="L83" t="s">
        <v>178</v>
      </c>
      <c r="M83" s="11">
        <f>#REF!</f>
        <v/>
      </c>
      <c r="N83" s="46">
        <f>M83</f>
        <v/>
      </c>
      <c r="O83" t="s">
        <v>179</v>
      </c>
    </row>
    <row r="84" spans="1:20">
      <c r="J84" t="s">
        <v>81</v>
      </c>
      <c r="K84" t="n">
        <v>94</v>
      </c>
      <c r="L84" t="s">
        <v>180</v>
      </c>
      <c r="M84" s="11">
        <f>#REF!</f>
        <v/>
      </c>
      <c r="N84" s="46">
        <f>M84</f>
        <v/>
      </c>
      <c r="O84" t="s">
        <v>181</v>
      </c>
    </row>
    <row r="85" spans="1:20">
      <c r="J85" t="s">
        <v>81</v>
      </c>
      <c r="K85" t="n">
        <v>95</v>
      </c>
      <c r="L85" t="s">
        <v>182</v>
      </c>
      <c r="M85" s="11">
        <f>#REF!</f>
        <v/>
      </c>
      <c r="N85" s="46">
        <f>M85</f>
        <v/>
      </c>
      <c r="O85" t="s">
        <v>183</v>
      </c>
    </row>
    <row r="86" spans="1:20">
      <c r="J86" t="s">
        <v>81</v>
      </c>
      <c r="K86" t="n">
        <v>96</v>
      </c>
      <c r="L86" t="s">
        <v>184</v>
      </c>
      <c r="M86" s="11">
        <f>#REF!</f>
        <v/>
      </c>
      <c r="N86" s="46">
        <f>M86</f>
        <v/>
      </c>
      <c r="O86" t="s">
        <v>185</v>
      </c>
    </row>
    <row r="87" spans="1:20">
      <c r="J87" t="s">
        <v>99</v>
      </c>
      <c r="K87" t="n">
        <v>97</v>
      </c>
      <c r="L87" t="s">
        <v>186</v>
      </c>
      <c r="M87" s="11">
        <f>#REF!</f>
        <v/>
      </c>
      <c r="N87" s="46">
        <f>M87</f>
        <v/>
      </c>
      <c r="O87" t="s">
        <v>187</v>
      </c>
    </row>
    <row r="88" spans="1:20">
      <c r="J88" t="s">
        <v>99</v>
      </c>
      <c r="K88" t="n">
        <v>98</v>
      </c>
      <c r="L88" t="s">
        <v>188</v>
      </c>
      <c r="M88" s="11">
        <f>#REF!</f>
        <v/>
      </c>
      <c r="N88" s="46">
        <f>M88</f>
        <v/>
      </c>
      <c r="O88" t="s">
        <v>173</v>
      </c>
    </row>
    <row r="89" spans="1:20">
      <c r="J89" t="s">
        <v>99</v>
      </c>
      <c r="K89" t="n">
        <v>99</v>
      </c>
      <c r="L89" t="s">
        <v>189</v>
      </c>
      <c r="M89" s="11">
        <f>#REF!</f>
        <v/>
      </c>
      <c r="N89" s="46">
        <f>M89</f>
        <v/>
      </c>
      <c r="O89" t="s">
        <v>175</v>
      </c>
    </row>
    <row r="90" spans="1:20">
      <c r="J90" t="s">
        <v>99</v>
      </c>
      <c r="K90" t="n">
        <v>100</v>
      </c>
      <c r="L90" t="s">
        <v>190</v>
      </c>
      <c r="M90" s="11">
        <f>#REF!</f>
        <v/>
      </c>
      <c r="N90" s="46">
        <f>M90</f>
        <v/>
      </c>
      <c r="O90" t="s">
        <v>177</v>
      </c>
    </row>
    <row r="91" spans="1:20">
      <c r="J91" t="s">
        <v>109</v>
      </c>
      <c r="K91" t="n">
        <v>101</v>
      </c>
      <c r="L91" t="s">
        <v>191</v>
      </c>
      <c r="M91" s="11">
        <f>#REF!</f>
        <v/>
      </c>
      <c r="N91" s="46">
        <f>M91</f>
        <v/>
      </c>
      <c r="O91" t="s">
        <v>179</v>
      </c>
    </row>
    <row r="92" spans="1:20">
      <c r="J92" t="s">
        <v>109</v>
      </c>
      <c r="K92" t="n">
        <v>102</v>
      </c>
      <c r="L92" t="s">
        <v>192</v>
      </c>
      <c r="M92" s="11">
        <f>#REF!</f>
        <v/>
      </c>
      <c r="N92" s="46">
        <f>M92</f>
        <v/>
      </c>
      <c r="O92" t="s">
        <v>173</v>
      </c>
    </row>
    <row r="93" spans="1:20">
      <c r="J93" t="s">
        <v>109</v>
      </c>
      <c r="K93" t="n">
        <v>103</v>
      </c>
      <c r="L93" t="s">
        <v>193</v>
      </c>
      <c r="M93" s="11">
        <f>#REF!</f>
        <v/>
      </c>
      <c r="N93" s="46">
        <f>M93</f>
        <v/>
      </c>
      <c r="O93" t="s">
        <v>175</v>
      </c>
    </row>
    <row r="94" spans="1:20">
      <c r="J94" t="s">
        <v>109</v>
      </c>
      <c r="K94" t="n">
        <v>104</v>
      </c>
      <c r="L94" t="s">
        <v>194</v>
      </c>
      <c r="M94" s="11">
        <f>#REF!</f>
        <v/>
      </c>
      <c r="N94" s="46">
        <f>M94</f>
        <v/>
      </c>
      <c r="O94" t="s">
        <v>177</v>
      </c>
    </row>
    <row r="95" spans="1:20">
      <c r="J95" t="s">
        <v>121</v>
      </c>
      <c r="K95" t="n">
        <v>105</v>
      </c>
      <c r="L95" t="s">
        <v>195</v>
      </c>
      <c r="M95" s="11">
        <f>#REF!</f>
        <v/>
      </c>
      <c r="N95" s="46">
        <f>M95</f>
        <v/>
      </c>
      <c r="O95" t="s">
        <v>179</v>
      </c>
    </row>
    <row r="96" spans="1:20">
      <c r="J96" t="s">
        <v>121</v>
      </c>
      <c r="K96" t="n">
        <v>106</v>
      </c>
      <c r="L96" t="s">
        <v>196</v>
      </c>
      <c r="M96" s="11">
        <f>#REF!</f>
        <v/>
      </c>
      <c r="N96" s="46">
        <f>M96</f>
        <v/>
      </c>
      <c r="O96" t="s">
        <v>173</v>
      </c>
    </row>
    <row r="97" spans="1:20">
      <c r="J97" t="s">
        <v>121</v>
      </c>
      <c r="K97" t="n">
        <v>107</v>
      </c>
      <c r="L97" t="s">
        <v>197</v>
      </c>
      <c r="M97" s="11">
        <f>#REF!</f>
        <v/>
      </c>
      <c r="N97" s="46">
        <f>M97</f>
        <v/>
      </c>
      <c r="O97" t="s">
        <v>198</v>
      </c>
    </row>
    <row r="98" spans="1:20">
      <c r="J98" t="s">
        <v>121</v>
      </c>
      <c r="K98" t="n">
        <v>108</v>
      </c>
      <c r="L98" t="s">
        <v>199</v>
      </c>
      <c r="M98" s="11">
        <f>#REF!</f>
        <v/>
      </c>
      <c r="N98" s="46">
        <f>M98</f>
        <v/>
      </c>
      <c r="O98" t="s">
        <v>175</v>
      </c>
    </row>
    <row r="99" spans="1:20">
      <c r="J99" t="s">
        <v>121</v>
      </c>
      <c r="K99" t="n">
        <v>109</v>
      </c>
      <c r="L99" t="s">
        <v>200</v>
      </c>
      <c r="M99" s="11">
        <f>#REF!</f>
        <v/>
      </c>
      <c r="N99" s="46">
        <f>M99</f>
        <v/>
      </c>
      <c r="O99" t="s">
        <v>177</v>
      </c>
    </row>
    <row r="100" spans="1:20">
      <c r="J100" t="s">
        <v>121</v>
      </c>
      <c r="K100" t="n">
        <v>110</v>
      </c>
      <c r="L100" t="s">
        <v>201</v>
      </c>
      <c r="M100" s="11">
        <f>#REF!</f>
        <v/>
      </c>
      <c r="N100" s="46">
        <f>M100</f>
        <v/>
      </c>
      <c r="O100" t="s">
        <v>179</v>
      </c>
    </row>
    <row r="101" spans="1:20">
      <c r="J101" t="s">
        <v>121</v>
      </c>
      <c r="K101" t="n">
        <v>111</v>
      </c>
      <c r="L101" t="s">
        <v>202</v>
      </c>
      <c r="M101" s="11">
        <f>#REF!</f>
        <v/>
      </c>
      <c r="N101" s="46">
        <f>M101</f>
        <v/>
      </c>
      <c r="O101" t="s">
        <v>185</v>
      </c>
    </row>
    <row r="102" spans="1:20">
      <c r="J102" t="s">
        <v>121</v>
      </c>
      <c r="K102" t="n">
        <v>112</v>
      </c>
      <c r="L102" t="s">
        <v>203</v>
      </c>
      <c r="M102" s="11">
        <f>#REF!</f>
        <v/>
      </c>
      <c r="N102" s="46">
        <f>M102</f>
        <v/>
      </c>
      <c r="O102" t="s">
        <v>204</v>
      </c>
    </row>
    <row r="103" spans="1:20">
      <c r="J103" t="s">
        <v>121</v>
      </c>
      <c r="K103" t="n">
        <v>113</v>
      </c>
      <c r="L103" t="s">
        <v>205</v>
      </c>
      <c r="M103" s="11">
        <f>#REF!</f>
        <v/>
      </c>
      <c r="N103" s="46">
        <f>M103</f>
        <v/>
      </c>
      <c r="O103" t="s">
        <v>187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52948.7990929593</v>
      </c>
      <c r="C11" s="6" t="n">
        <v>0.04881807445435739</v>
      </c>
      <c r="E11" s="7" t="n">
        <v>0</v>
      </c>
      <c r="F11" s="53" t="n">
        <v>110238</v>
      </c>
      <c r="G11" s="6" t="n">
        <v>0.1044009432622098</v>
      </c>
      <c r="K11" s="4" t="n">
        <v>6.446202704159847</v>
      </c>
      <c r="L11" s="4" t="n">
        <v>6.559015101867232</v>
      </c>
    </row>
    <row r="12" spans="1:12">
      <c r="A12" t="n">
        <v>1</v>
      </c>
      <c r="B12" s="51" t="n">
        <v>90943.8491288353</v>
      </c>
      <c r="C12" s="6" t="n">
        <v>0.08384899514232197</v>
      </c>
      <c r="E12" s="7" t="n">
        <v>1</v>
      </c>
      <c r="F12" s="53" t="n">
        <v>85942</v>
      </c>
      <c r="G12" s="6" t="n">
        <v>0.08139140646456611</v>
      </c>
      <c r="K12" s="4" t="n"/>
      <c r="L12" s="7" t="n"/>
    </row>
    <row r="13" spans="1:12">
      <c r="A13" t="n">
        <v>2</v>
      </c>
      <c r="B13" s="51" t="n">
        <v>105270.4191231009</v>
      </c>
      <c r="C13" s="6" t="n">
        <v>0.09705789832117841</v>
      </c>
      <c r="E13" s="7" t="n">
        <v>2</v>
      </c>
      <c r="F13" s="53" t="n">
        <v>56148</v>
      </c>
      <c r="G13" s="6" t="n">
        <v>0.05317498650453164</v>
      </c>
    </row>
    <row r="14" spans="1:12">
      <c r="A14" t="n">
        <v>3</v>
      </c>
      <c r="B14" s="51" t="n">
        <v>115150.336610777</v>
      </c>
      <c r="C14" s="6" t="n">
        <v>0.1061670482127463</v>
      </c>
      <c r="E14" s="7" t="n">
        <v>3</v>
      </c>
      <c r="F14" s="53" t="n">
        <v>36451</v>
      </c>
      <c r="G14" s="6" t="n">
        <v>0.03452093454934606</v>
      </c>
    </row>
    <row r="15" spans="1:12">
      <c r="A15" t="n">
        <v>4</v>
      </c>
      <c r="B15" s="51" t="n">
        <v>179556.4996902292</v>
      </c>
      <c r="C15" s="6" t="n">
        <v>0.1655486568307644</v>
      </c>
      <c r="E15" s="7" t="n">
        <v>4</v>
      </c>
      <c r="F15" s="53" t="n">
        <v>189751</v>
      </c>
      <c r="G15" s="6" t="n">
        <v>0.1797037626312849</v>
      </c>
    </row>
    <row r="16" spans="1:12">
      <c r="A16" t="n">
        <v>5</v>
      </c>
      <c r="B16" s="51" t="n">
        <v>110231.594225431</v>
      </c>
      <c r="C16" s="6" t="n">
        <v>0.1016320344616685</v>
      </c>
      <c r="E16" s="7" t="n">
        <v>5</v>
      </c>
      <c r="F16" s="53" t="n">
        <v>98466</v>
      </c>
      <c r="G16" s="6" t="n">
        <v>0.0932522658181095</v>
      </c>
    </row>
    <row r="17" spans="1:12">
      <c r="A17" t="n">
        <v>6</v>
      </c>
      <c r="B17" s="51" t="n">
        <v>118783.7237489311</v>
      </c>
      <c r="C17" s="6" t="n">
        <v>0.1095169818631867</v>
      </c>
      <c r="E17" s="7" t="n">
        <v>6</v>
      </c>
      <c r="F17" s="53" t="n">
        <v>108085</v>
      </c>
      <c r="G17" s="6" t="n">
        <v>0.1023619437262645</v>
      </c>
    </row>
    <row r="18" spans="1:12">
      <c r="A18" t="n">
        <v>7</v>
      </c>
      <c r="B18" s="51" t="n">
        <v>39994.2570519872</v>
      </c>
      <c r="C18" s="6" t="n">
        <v>0.03687416243535237</v>
      </c>
      <c r="E18" s="7" t="n">
        <v>7</v>
      </c>
      <c r="F18" s="53" t="n">
        <v>65080</v>
      </c>
      <c r="G18" s="6" t="n">
        <v>0.06163404077999072</v>
      </c>
    </row>
    <row r="19" spans="1:12">
      <c r="A19" t="n">
        <v>8</v>
      </c>
      <c r="B19" s="51" t="n">
        <v>40096.4407649861</v>
      </c>
      <c r="C19" s="6" t="n">
        <v>0.03696837443250163</v>
      </c>
      <c r="E19" s="7" t="n">
        <v>8</v>
      </c>
      <c r="F19" s="53" t="n">
        <v>69205</v>
      </c>
      <c r="G19" s="6" t="n">
        <v>0.06554062372740101</v>
      </c>
    </row>
    <row r="20" spans="1:12">
      <c r="A20" t="n">
        <v>9</v>
      </c>
      <c r="B20" s="51" t="n">
        <v>25847.5781684811</v>
      </c>
      <c r="C20" s="6" t="n">
        <v>0.0238311164201932</v>
      </c>
      <c r="E20" s="7" t="n">
        <v>9</v>
      </c>
      <c r="F20" s="53" t="n">
        <v>36301</v>
      </c>
      <c r="G20" s="6" t="n">
        <v>0.03437887698762205</v>
      </c>
    </row>
    <row r="21" spans="1:12">
      <c r="A21" t="n">
        <v>10</v>
      </c>
      <c r="B21" s="51" t="n">
        <v>50274.7819215255</v>
      </c>
      <c r="C21" s="6" t="n">
        <v>0.04635266689831248</v>
      </c>
      <c r="E21" s="7" t="n">
        <v>10</v>
      </c>
      <c r="F21" s="53" t="n">
        <v>28152</v>
      </c>
      <c r="G21" s="6" t="n">
        <v>0.0266613631843623</v>
      </c>
    </row>
    <row r="22" spans="1:12">
      <c r="A22" t="n">
        <v>11</v>
      </c>
      <c r="B22" s="51" t="n">
        <v>11197.0207144197</v>
      </c>
      <c r="C22" s="6" t="n">
        <v>0.01032350119865528</v>
      </c>
      <c r="E22" s="7" t="n">
        <v>11</v>
      </c>
      <c r="F22" s="53" t="n">
        <v>27331</v>
      </c>
      <c r="G22" s="6" t="n">
        <v>0.02588383479652622</v>
      </c>
    </row>
    <row r="23" spans="1:12">
      <c r="A23" t="n">
        <v>12</v>
      </c>
      <c r="B23" s="51" t="n">
        <v>27854.5862875253</v>
      </c>
      <c r="C23" s="6" t="n">
        <v>0.02568155067865455</v>
      </c>
      <c r="E23" s="7" t="n">
        <v>12</v>
      </c>
      <c r="F23" s="53" t="n">
        <v>23525</v>
      </c>
      <c r="G23" s="6" t="n">
        <v>0.02227936093038232</v>
      </c>
    </row>
    <row r="24" spans="1:12">
      <c r="A24" t="n">
        <v>13</v>
      </c>
      <c r="B24" s="51" t="n">
        <v>8348.038819834101</v>
      </c>
      <c r="C24" s="6" t="n">
        <v>0.007696778541455487</v>
      </c>
      <c r="E24" s="7" t="n">
        <v>13</v>
      </c>
      <c r="F24" s="53" t="n">
        <v>23562</v>
      </c>
      <c r="G24" s="6" t="n">
        <v>0.02231440179560758</v>
      </c>
    </row>
    <row r="25" spans="1:12">
      <c r="A25" t="n">
        <v>14</v>
      </c>
      <c r="B25" s="51" t="n">
        <v>10446.3801021703</v>
      </c>
      <c r="C25" s="6" t="n">
        <v>0.009631420737436124</v>
      </c>
      <c r="E25" s="7" t="n">
        <v>14</v>
      </c>
      <c r="F25" s="53" t="n">
        <v>16153</v>
      </c>
      <c r="G25" s="6" t="n">
        <v>0.01529770529685295</v>
      </c>
    </row>
    <row r="26" spans="1:12">
      <c r="A26" t="n">
        <v>15</v>
      </c>
      <c r="B26" s="51" t="n">
        <v>18730.7674835545</v>
      </c>
      <c r="C26" s="6" t="n">
        <v>0.01726951351614336</v>
      </c>
      <c r="E26" s="7" t="n">
        <v>15</v>
      </c>
      <c r="F26" s="53" t="n">
        <v>16452</v>
      </c>
      <c r="G26" s="6" t="n">
        <v>0.01558087336988948</v>
      </c>
    </row>
    <row r="27" spans="1:12">
      <c r="A27" t="n">
        <v>16</v>
      </c>
      <c r="B27" s="51" t="n">
        <v>18685.6150767775</v>
      </c>
      <c r="C27" s="6" t="n">
        <v>0.01722788360963758</v>
      </c>
      <c r="E27" s="7" t="n">
        <v>16</v>
      </c>
      <c r="F27" s="53" t="n">
        <v>15093</v>
      </c>
      <c r="G27" s="6" t="n">
        <v>0.01429383186066994</v>
      </c>
    </row>
    <row r="28" spans="1:12">
      <c r="A28" t="n">
        <v>17</v>
      </c>
      <c r="B28" s="51" t="n">
        <v>7234.927318376</v>
      </c>
      <c r="C28" s="6" t="n">
        <v>0.006670504837706674</v>
      </c>
      <c r="E28" s="7" t="n">
        <v>17</v>
      </c>
      <c r="F28" s="53" t="n">
        <v>10978</v>
      </c>
      <c r="G28" s="6" t="n">
        <v>0.01039671941737459</v>
      </c>
    </row>
    <row r="29" spans="1:12">
      <c r="A29" t="n">
        <v>18</v>
      </c>
      <c r="B29" s="51" t="n">
        <v>8454.776645353901</v>
      </c>
      <c r="C29" s="6" t="n">
        <v>0.007795189368567422</v>
      </c>
      <c r="E29" s="7" t="n">
        <v>18</v>
      </c>
      <c r="F29" s="53" t="n">
        <v>8272</v>
      </c>
      <c r="G29" s="6" t="n">
        <v>0.007834001003873436</v>
      </c>
    </row>
    <row r="30" spans="1:12">
      <c r="A30" t="n">
        <v>19</v>
      </c>
      <c r="B30" s="51" t="n">
        <v>2832.1153928233</v>
      </c>
      <c r="C30" s="6" t="n">
        <v>0.002611171971387807</v>
      </c>
      <c r="E30" s="7" t="n">
        <v>19</v>
      </c>
      <c r="F30" s="53" t="n">
        <v>6070</v>
      </c>
      <c r="G30" s="6" t="n">
        <v>0.005748595997764961</v>
      </c>
    </row>
    <row r="31" spans="1:12">
      <c r="A31" t="n">
        <v>20</v>
      </c>
      <c r="B31" s="51" t="n">
        <v>3668.4584593365</v>
      </c>
      <c r="C31" s="6" t="n">
        <v>0.003382268932789072</v>
      </c>
      <c r="E31" s="7" t="n">
        <v>20</v>
      </c>
      <c r="F31" s="53" t="n">
        <v>4302</v>
      </c>
      <c r="G31" s="6" t="n">
        <v>0.004074210870244623</v>
      </c>
    </row>
    <row r="32" spans="1:12">
      <c r="A32" t="n">
        <v>21</v>
      </c>
      <c r="B32" s="51" t="n">
        <v>907.4706190122999</v>
      </c>
      <c r="C32" s="6" t="n">
        <v>0.000836675599881075</v>
      </c>
      <c r="E32" s="7" t="n">
        <v>21</v>
      </c>
      <c r="F32" s="53" t="n">
        <v>4249</v>
      </c>
      <c r="G32" s="6" t="n">
        <v>0.004024017198435472</v>
      </c>
    </row>
    <row r="33" spans="1:12">
      <c r="A33" t="n">
        <v>22</v>
      </c>
      <c r="B33" s="51" t="n">
        <v>2522.700778687</v>
      </c>
      <c r="C33" s="6" t="n">
        <v>0.00232589589470752</v>
      </c>
      <c r="E33" s="7" t="n">
        <v>22</v>
      </c>
      <c r="F33" s="53" t="n">
        <v>2915</v>
      </c>
      <c r="G33" s="6" t="n">
        <v>0.002760651949503272</v>
      </c>
    </row>
    <row r="34" spans="1:12">
      <c r="A34" t="n">
        <v>23</v>
      </c>
      <c r="B34" s="51" t="n">
        <v>1988.8132901981</v>
      </c>
      <c r="C34" s="6" t="n">
        <v>0.001833658873098343</v>
      </c>
      <c r="E34" s="7" t="n">
        <v>23</v>
      </c>
      <c r="F34" s="53" t="n">
        <v>2565</v>
      </c>
      <c r="G34" s="6" t="n">
        <v>0.002429184305480581</v>
      </c>
    </row>
    <row r="35" spans="1:12">
      <c r="A35" t="n">
        <v>24</v>
      </c>
      <c r="B35" s="51" t="n">
        <v>10809.509325089</v>
      </c>
      <c r="C35" s="6" t="n">
        <v>0.009966220954715372</v>
      </c>
      <c r="E35" s="7" t="n">
        <v>24</v>
      </c>
      <c r="F35" s="53" t="n">
        <v>2362</v>
      </c>
      <c r="G35" s="6" t="n">
        <v>0.00223693307194742</v>
      </c>
    </row>
    <row r="36" spans="1:12">
      <c r="A36" t="n">
        <v>25</v>
      </c>
      <c r="B36" s="51" t="n">
        <v>1546.810699568</v>
      </c>
      <c r="C36" s="6" t="n">
        <v>0.001426138480794143</v>
      </c>
      <c r="E36" s="7" t="n">
        <v>25</v>
      </c>
      <c r="F36" s="53" t="n">
        <v>1590</v>
      </c>
      <c r="G36" s="6" t="n">
        <v>0.001505810154274512</v>
      </c>
    </row>
    <row r="37" spans="1:12">
      <c r="A37" t="n">
        <v>26</v>
      </c>
      <c r="B37" s="51" t="n">
        <v>774.7254652844</v>
      </c>
      <c r="C37" s="6" t="n">
        <v>0.0007142863689796051</v>
      </c>
      <c r="E37" s="7" t="n">
        <v>26</v>
      </c>
      <c r="F37" s="53" t="n">
        <v>1256</v>
      </c>
      <c r="G37" s="6" t="n">
        <v>0.001189495316835715</v>
      </c>
    </row>
    <row r="38" spans="1:12">
      <c r="A38" t="n">
        <v>27</v>
      </c>
      <c r="B38" s="51" t="n">
        <v>2085.196875802</v>
      </c>
      <c r="C38" s="6" t="n">
        <v>0.001922523231474599</v>
      </c>
      <c r="E38" s="7" t="n">
        <v>27</v>
      </c>
      <c r="F38" s="53" t="n">
        <v>1781</v>
      </c>
      <c r="G38" s="6" t="n">
        <v>0.001686696782869752</v>
      </c>
    </row>
    <row r="39" spans="1:12">
      <c r="A39" t="n">
        <v>28</v>
      </c>
      <c r="B39" s="51" t="n">
        <v>638.5252072000001</v>
      </c>
      <c r="C39" s="6" t="n">
        <v>0.0005887115787337756</v>
      </c>
      <c r="E39" s="7" t="n">
        <v>28</v>
      </c>
      <c r="F39" s="53" t="n">
        <v>697</v>
      </c>
      <c r="G39" s="6" t="n">
        <v>0.0006600941368109024</v>
      </c>
    </row>
    <row r="40" spans="1:12">
      <c r="A40" t="n">
        <v>29</v>
      </c>
      <c r="B40" s="51" t="n">
        <v>550.7575783498</v>
      </c>
      <c r="C40" s="6" t="n">
        <v>0.0005077910155993947</v>
      </c>
      <c r="E40" s="7" t="n">
        <v>29</v>
      </c>
      <c r="F40" s="53" t="n">
        <v>601</v>
      </c>
      <c r="G40" s="6" t="n">
        <v>0.0005691772973075357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552</v>
      </c>
      <c r="G41" s="6" t="n">
        <v>0.0005227718271443589</v>
      </c>
    </row>
    <row r="42" spans="1:12">
      <c r="A42" t="n">
        <v>31</v>
      </c>
      <c r="B42" s="51" t="n">
        <v>1503.265838949</v>
      </c>
      <c r="C42" s="6" t="n">
        <v>0.001385990710037891</v>
      </c>
      <c r="E42" s="7" t="n">
        <v>31</v>
      </c>
      <c r="F42" s="53" t="n">
        <v>421</v>
      </c>
      <c r="G42" s="6" t="n">
        <v>0.000398708223238723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283</v>
      </c>
      <c r="G43" s="6" t="n">
        <v>0.0002680152664526333</v>
      </c>
    </row>
    <row r="44" spans="1:12">
      <c r="A44" t="n">
        <v>33</v>
      </c>
      <c r="B44" s="51" t="n">
        <v>771.224845006</v>
      </c>
      <c r="C44" s="6" t="n">
        <v>0.0007110588445727279</v>
      </c>
      <c r="E44" s="7" t="n">
        <v>33</v>
      </c>
      <c r="F44" s="53" t="n">
        <v>208</v>
      </c>
      <c r="G44" s="6" t="n">
        <v>0.000196986485590628</v>
      </c>
    </row>
    <row r="45" spans="1:12">
      <c r="A45" t="n">
        <v>34</v>
      </c>
      <c r="B45" s="51" t="n">
        <v>936.2129745479999</v>
      </c>
      <c r="C45" s="6" t="n">
        <v>0.0008631756617629694</v>
      </c>
      <c r="E45" s="7" t="n">
        <v>34</v>
      </c>
      <c r="F45" s="53" t="n">
        <v>179</v>
      </c>
      <c r="G45" s="6" t="n">
        <v>0.0001695220236573193</v>
      </c>
    </row>
    <row r="46" spans="1:12">
      <c r="A46" t="n">
        <v>35</v>
      </c>
      <c r="B46" s="51" t="n">
        <v>321.9730946164</v>
      </c>
      <c r="C46" s="6" t="n">
        <v>0.0002968548253131832</v>
      </c>
      <c r="E46" s="7" t="n">
        <v>35</v>
      </c>
      <c r="F46" s="53" t="n">
        <v>137</v>
      </c>
      <c r="G46" s="6" t="n">
        <v>0.0001297459063745963</v>
      </c>
    </row>
    <row r="47" spans="1:12">
      <c r="A47" t="n">
        <v>36</v>
      </c>
      <c r="B47" s="51" t="n">
        <v>727.467881212</v>
      </c>
      <c r="C47" s="6" t="n">
        <v>0.0006707155175665416</v>
      </c>
      <c r="E47" s="7" t="n">
        <v>36</v>
      </c>
      <c r="F47" s="53" t="n">
        <v>134</v>
      </c>
      <c r="G47" s="6" t="n">
        <v>0.0001269047551401161</v>
      </c>
    </row>
    <row r="48" spans="1:12">
      <c r="A48" t="n">
        <v>37</v>
      </c>
      <c r="B48" s="51" t="n">
        <v>637.7233689726</v>
      </c>
      <c r="C48" s="6" t="n">
        <v>0.0005879722947659403</v>
      </c>
      <c r="E48" s="7" t="n">
        <v>37</v>
      </c>
      <c r="F48" s="53" t="n">
        <v>92</v>
      </c>
      <c r="G48" s="6" t="n">
        <v>8.712863785739315e-05</v>
      </c>
    </row>
    <row r="49" spans="1:12">
      <c r="A49" t="n">
        <v>38</v>
      </c>
      <c r="B49" s="51" t="n">
        <v>627.269960355</v>
      </c>
      <c r="C49" s="6" t="n">
        <v>0.0005783343938326275</v>
      </c>
      <c r="E49" s="7" t="n">
        <v>38</v>
      </c>
      <c r="F49" s="53" t="n">
        <v>53</v>
      </c>
      <c r="G49" s="6" t="n">
        <v>5.01936718091504e-05</v>
      </c>
    </row>
    <row r="50" spans="1:12">
      <c r="A50" t="n">
        <v>39</v>
      </c>
      <c r="B50" s="51" t="n">
        <v>341.8573055842</v>
      </c>
      <c r="C50" s="6" t="n">
        <v>0.0003151877980740572</v>
      </c>
      <c r="E50" s="7" t="n">
        <v>39</v>
      </c>
      <c r="F50" s="53" t="n">
        <v>50</v>
      </c>
      <c r="G50" s="6" t="n">
        <v>4.735252057467019e-05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46</v>
      </c>
      <c r="G51" s="6" t="n">
        <v>4.356431892869657e-05</v>
      </c>
    </row>
    <row r="52" spans="1:12">
      <c r="A52" t="n">
        <v>41</v>
      </c>
      <c r="B52" s="51" t="n">
        <v>596.97480037</v>
      </c>
      <c r="C52" s="6" t="n">
        <v>0.0005504026673139981</v>
      </c>
      <c r="E52" s="7" t="n">
        <v>41</v>
      </c>
      <c r="F52" s="53" t="n">
        <v>26</v>
      </c>
      <c r="G52" s="6" t="n">
        <v>2.46233106988285e-05</v>
      </c>
    </row>
    <row r="53" spans="1:12">
      <c r="A53" t="n">
        <v>42</v>
      </c>
      <c r="B53" s="51" t="n">
        <v>133.5805418631</v>
      </c>
      <c r="C53" s="6" t="n">
        <v>0.0001231594474291552</v>
      </c>
      <c r="E53" s="7" t="n">
        <v>42</v>
      </c>
      <c r="F53" s="53" t="n">
        <v>23</v>
      </c>
      <c r="G53" s="6" t="n">
        <v>2.178215946434829e-05</v>
      </c>
    </row>
    <row r="54" spans="1:12">
      <c r="A54" t="n">
        <v>43</v>
      </c>
      <c r="B54" s="51" t="n">
        <v>1706.890736692</v>
      </c>
      <c r="C54" s="6" t="n">
        <v>0.001573730103358721</v>
      </c>
      <c r="E54" s="7" t="n">
        <v>43</v>
      </c>
      <c r="F54" s="53" t="n">
        <v>16</v>
      </c>
      <c r="G54" s="6" t="n">
        <v>1.515280658389446e-05</v>
      </c>
    </row>
    <row r="55" spans="1:12">
      <c r="A55" t="n">
        <v>44</v>
      </c>
      <c r="B55" s="51" t="n">
        <v>660.275957831</v>
      </c>
      <c r="C55" s="6" t="n">
        <v>0.0006087654757424334</v>
      </c>
      <c r="E55" s="7" t="n">
        <v>44</v>
      </c>
      <c r="F55" s="53" t="n">
        <v>58</v>
      </c>
      <c r="G55" s="6" t="n">
        <v>5.492892386661742e-05</v>
      </c>
    </row>
    <row r="56" spans="1:12">
      <c r="A56" t="n">
        <v>45</v>
      </c>
      <c r="B56" s="51" t="n">
        <v>617.666578062</v>
      </c>
      <c r="C56" s="6" t="n">
        <v>0.0005694802056390435</v>
      </c>
      <c r="E56" s="7" t="n">
        <v>45</v>
      </c>
      <c r="F56" s="53" t="n">
        <v>8</v>
      </c>
      <c r="G56" s="6" t="n">
        <v>7.57640329194723e-06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10</v>
      </c>
      <c r="G57" s="6" t="n">
        <v>9.470504114934037e-06</v>
      </c>
    </row>
    <row r="58" spans="1:12">
      <c r="A58" t="n">
        <v>47</v>
      </c>
      <c r="B58" s="51" t="n">
        <v>405.121063366</v>
      </c>
      <c r="C58" s="6" t="n">
        <v>0.0003735161245056385</v>
      </c>
      <c r="E58" s="7" t="n">
        <v>47</v>
      </c>
      <c r="F58" s="53" t="n">
        <v>12</v>
      </c>
      <c r="G58" s="6" t="n">
        <v>1.136460493792085e-05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10</v>
      </c>
      <c r="G59" s="6" t="n">
        <v>9.470504114934037e-06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3</v>
      </c>
      <c r="G60" s="6" t="n">
        <v>2.841151234480211e-06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</v>
      </c>
      <c r="G61" s="6" t="n">
        <v>9.470504114934038e-07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2</v>
      </c>
      <c r="G62" s="6" t="n">
        <v>1.894100822986808e-06</v>
      </c>
    </row>
    <row r="63" spans="1:12">
      <c r="A63" t="n">
        <v>52</v>
      </c>
      <c r="B63" s="51" t="n">
        <v>181.031838601</v>
      </c>
      <c r="C63" s="6" t="n">
        <v>0.0001669088992918818</v>
      </c>
      <c r="E63" s="7" t="n">
        <v>52</v>
      </c>
      <c r="F63" s="53" t="n">
        <v>2</v>
      </c>
      <c r="G63" s="6" t="n">
        <v>1.894100822986808e-06</v>
      </c>
    </row>
    <row r="64" spans="1:12">
      <c r="A64" t="n">
        <v>53</v>
      </c>
      <c r="B64" s="51" t="n">
        <v>39.1519720345</v>
      </c>
      <c r="C64" s="6" t="n">
        <v>3.609758707576224e-05</v>
      </c>
      <c r="E64" s="7" t="n">
        <v>53</v>
      </c>
      <c r="F64" s="53" t="n">
        <v>2</v>
      </c>
      <c r="G64" s="6" t="n">
        <v>1.894100822986808e-06</v>
      </c>
    </row>
    <row r="65" spans="1:12">
      <c r="A65" t="n">
        <v>54</v>
      </c>
      <c r="B65" s="51" t="n">
        <v>667.663687339</v>
      </c>
      <c r="C65" s="6" t="n">
        <v>0.0006155768621260418</v>
      </c>
      <c r="E65" s="7" t="n">
        <v>54</v>
      </c>
      <c r="F65" s="53" t="n">
        <v>8</v>
      </c>
      <c r="G65" s="6" t="n">
        <v>7.57640329194723e-06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1</v>
      </c>
      <c r="G67" s="6" t="n">
        <v>9.470504114934038e-07</v>
      </c>
    </row>
    <row r="68" spans="1:12">
      <c r="A68" t="n">
        <v>57</v>
      </c>
      <c r="B68" s="51" t="n">
        <v>542.140045727</v>
      </c>
      <c r="C68" s="6" t="n">
        <v>0.0004998457674275878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4605.9932193</v>
      </c>
      <c r="C82" s="6" t="n">
        <v>0.004246663262773643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215.6958943</v>
      </c>
      <c r="C87" s="6" t="n">
        <v>0.0001988686883898898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1084614.657271334</v>
      </c>
      <c r="C102" s="6" t="n">
        <v>1</v>
      </c>
      <c r="F102" s="51" t="n">
        <v>1055910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L12" sqref="L12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29293.1710115834</v>
      </c>
      <c r="C11" s="6" t="n">
        <v>0.2440903088514789</v>
      </c>
      <c r="E11" s="7" t="n">
        <v>0</v>
      </c>
      <c r="F11" s="53" t="n">
        <v>11434</v>
      </c>
      <c r="G11" s="6" t="n">
        <v>0.08928557484323876</v>
      </c>
      <c r="K11" s="4" t="n">
        <v>3.300222372865475</v>
      </c>
      <c r="L11" s="4" t="n">
        <v>6.928604301376972</v>
      </c>
    </row>
    <row r="12" spans="1:12">
      <c r="A12" t="n">
        <v>1</v>
      </c>
      <c r="B12" s="51" t="n">
        <v>27908.9979337818</v>
      </c>
      <c r="C12" s="6" t="n">
        <v>0.2325564522426845</v>
      </c>
      <c r="E12" s="7" t="n">
        <v>1</v>
      </c>
      <c r="F12" s="53" t="n">
        <v>11887</v>
      </c>
      <c r="G12" s="6" t="n">
        <v>0.09282295156214616</v>
      </c>
      <c r="K12" s="4" t="n"/>
      <c r="L12" s="7" t="n"/>
    </row>
    <row r="13" spans="1:12">
      <c r="A13" t="n">
        <v>2</v>
      </c>
      <c r="B13" s="51" t="n">
        <v>17297.3211751771</v>
      </c>
      <c r="C13" s="6" t="n">
        <v>0.1441328583471778</v>
      </c>
      <c r="E13" s="7" t="n">
        <v>2</v>
      </c>
      <c r="F13" s="53" t="n">
        <v>11318</v>
      </c>
      <c r="G13" s="6" t="n">
        <v>0.08837975652228235</v>
      </c>
    </row>
    <row r="14" spans="1:12">
      <c r="A14" t="n">
        <v>3</v>
      </c>
      <c r="B14" s="51" t="n">
        <v>11427.4019252002</v>
      </c>
      <c r="C14" s="6" t="n">
        <v>0.09522076200589964</v>
      </c>
      <c r="E14" s="7" t="n">
        <v>3</v>
      </c>
      <c r="F14" s="53" t="n">
        <v>11218</v>
      </c>
      <c r="G14" s="6" t="n">
        <v>0.08759887865938888</v>
      </c>
    </row>
    <row r="15" spans="1:12">
      <c r="A15" t="n">
        <v>4</v>
      </c>
      <c r="B15" s="51" t="n">
        <v>6995.91730371</v>
      </c>
      <c r="C15" s="6" t="n">
        <v>0.05829466583480256</v>
      </c>
      <c r="E15" s="7" t="n">
        <v>4</v>
      </c>
      <c r="F15" s="53" t="n">
        <v>11530</v>
      </c>
      <c r="G15" s="6" t="n">
        <v>0.09003521759161649</v>
      </c>
    </row>
    <row r="16" spans="1:12">
      <c r="A16" t="n">
        <v>5</v>
      </c>
      <c r="B16" s="51" t="n">
        <v>3451.2626606533</v>
      </c>
      <c r="C16" s="6" t="n">
        <v>0.02875823066179222</v>
      </c>
      <c r="E16" s="7" t="n">
        <v>5</v>
      </c>
      <c r="F16" s="53" t="n">
        <v>10185</v>
      </c>
      <c r="G16" s="6" t="n">
        <v>0.0795324103356994</v>
      </c>
    </row>
    <row r="17" spans="1:12">
      <c r="A17" t="n">
        <v>6</v>
      </c>
      <c r="B17" s="51" t="n">
        <v>3370.64253612</v>
      </c>
      <c r="C17" s="6" t="n">
        <v>0.02808644981945199</v>
      </c>
      <c r="E17" s="7" t="n">
        <v>6</v>
      </c>
      <c r="F17" s="53" t="n">
        <v>9002</v>
      </c>
      <c r="G17" s="6" t="n">
        <v>0.0702946252176697</v>
      </c>
    </row>
    <row r="18" spans="1:12">
      <c r="A18" t="n">
        <v>7</v>
      </c>
      <c r="B18" s="51" t="n">
        <v>4733.23117402</v>
      </c>
      <c r="C18" s="6" t="n">
        <v>0.03944045042700005</v>
      </c>
      <c r="E18" s="7" t="n">
        <v>7</v>
      </c>
      <c r="F18" s="53" t="n">
        <v>7263</v>
      </c>
      <c r="G18" s="6" t="n">
        <v>0.05671515918195235</v>
      </c>
    </row>
    <row r="19" spans="1:12">
      <c r="A19" t="n">
        <v>8</v>
      </c>
      <c r="B19" s="51" t="n">
        <v>876.279828843</v>
      </c>
      <c r="C19" s="6" t="n">
        <v>0.007301750089740365</v>
      </c>
      <c r="E19" s="7" t="n">
        <v>8</v>
      </c>
      <c r="F19" s="53" t="n">
        <v>8319</v>
      </c>
      <c r="G19" s="6" t="n">
        <v>0.06496122941410734</v>
      </c>
    </row>
    <row r="20" spans="1:12">
      <c r="A20" t="n">
        <v>9</v>
      </c>
      <c r="B20" s="51" t="n">
        <v>907.798349757</v>
      </c>
      <c r="C20" s="6" t="n">
        <v>0.007564383503562237</v>
      </c>
      <c r="E20" s="7" t="n">
        <v>9</v>
      </c>
      <c r="F20" s="53" t="n">
        <v>4926</v>
      </c>
      <c r="G20" s="6" t="n">
        <v>0.03846604352613208</v>
      </c>
    </row>
    <row r="21" spans="1:12">
      <c r="A21" t="n">
        <v>10</v>
      </c>
      <c r="B21" s="51" t="n">
        <v>4604.439044888</v>
      </c>
      <c r="C21" s="6" t="n">
        <v>0.03836726819742721</v>
      </c>
      <c r="E21" s="7" t="n">
        <v>10</v>
      </c>
      <c r="F21" s="53" t="n">
        <v>4787</v>
      </c>
      <c r="G21" s="6" t="n">
        <v>0.03738062329671016</v>
      </c>
    </row>
    <row r="22" spans="1:12">
      <c r="A22" t="n">
        <v>11</v>
      </c>
      <c r="B22" s="51" t="n">
        <v>2530.8362318957</v>
      </c>
      <c r="C22" s="6" t="n">
        <v>0.02108862155113411</v>
      </c>
      <c r="E22" s="7" t="n">
        <v>11</v>
      </c>
      <c r="F22" s="53" t="n">
        <v>4856</v>
      </c>
      <c r="G22" s="6" t="n">
        <v>0.03791942902210665</v>
      </c>
    </row>
    <row r="23" spans="1:12">
      <c r="A23" t="n">
        <v>12</v>
      </c>
      <c r="B23" s="51" t="n">
        <v>755.953614371</v>
      </c>
      <c r="C23" s="6" t="n">
        <v>0.006299111527947726</v>
      </c>
      <c r="E23" s="7" t="n">
        <v>12</v>
      </c>
      <c r="F23" s="53" t="n">
        <v>3974</v>
      </c>
      <c r="G23" s="6" t="n">
        <v>0.03103208627138629</v>
      </c>
    </row>
    <row r="24" spans="1:12">
      <c r="A24" t="n">
        <v>13</v>
      </c>
      <c r="B24" s="51" t="n">
        <v>1276.4358389535</v>
      </c>
      <c r="C24" s="6" t="n">
        <v>0.0106361178185883</v>
      </c>
      <c r="E24" s="7" t="n">
        <v>13</v>
      </c>
      <c r="F24" s="53" t="n">
        <v>3332</v>
      </c>
      <c r="G24" s="6" t="n">
        <v>0.02601885039161025</v>
      </c>
    </row>
    <row r="25" spans="1:12">
      <c r="A25" t="n">
        <v>14</v>
      </c>
      <c r="B25" s="51" t="n">
        <v>1174.265370274</v>
      </c>
      <c r="C25" s="6" t="n">
        <v>0.00978476508365844</v>
      </c>
      <c r="E25" s="7" t="n">
        <v>14</v>
      </c>
      <c r="F25" s="53" t="n">
        <v>2580</v>
      </c>
      <c r="G25" s="6" t="n">
        <v>0.02014664886265139</v>
      </c>
    </row>
    <row r="26" spans="1:12">
      <c r="A26" t="n">
        <v>15</v>
      </c>
      <c r="B26" s="51" t="n">
        <v>633.083767634</v>
      </c>
      <c r="C26" s="6" t="n">
        <v>0.005275277719490843</v>
      </c>
      <c r="E26" s="7" t="n">
        <v>15</v>
      </c>
      <c r="F26" s="53" t="n">
        <v>2472</v>
      </c>
      <c r="G26" s="6" t="n">
        <v>0.01930330077072645</v>
      </c>
    </row>
    <row r="27" spans="1:12">
      <c r="A27" t="n">
        <v>16</v>
      </c>
      <c r="B27" s="51" t="n">
        <v>617.245158555</v>
      </c>
      <c r="C27" s="6" t="n">
        <v>0.005143299826747781</v>
      </c>
      <c r="E27" s="7" t="n">
        <v>16</v>
      </c>
      <c r="F27" s="53" t="n">
        <v>1712</v>
      </c>
      <c r="G27" s="6" t="n">
        <v>0.01336862901273612</v>
      </c>
    </row>
    <row r="28" spans="1:12">
      <c r="A28" t="n">
        <v>17</v>
      </c>
      <c r="B28" s="51" t="n">
        <v>453.144517161</v>
      </c>
      <c r="C28" s="6" t="n">
        <v>0.003775903438533335</v>
      </c>
      <c r="E28" s="7" t="n">
        <v>17</v>
      </c>
      <c r="F28" s="53" t="n">
        <v>1458</v>
      </c>
      <c r="G28" s="6" t="n">
        <v>0.01138519924098672</v>
      </c>
    </row>
    <row r="29" spans="1:12">
      <c r="A29" t="n">
        <v>18</v>
      </c>
      <c r="B29" s="51" t="n">
        <v>145.750329985</v>
      </c>
      <c r="C29" s="6" t="n">
        <v>0.001214489310398512</v>
      </c>
      <c r="E29" s="7" t="n">
        <v>18</v>
      </c>
      <c r="F29" s="53" t="n">
        <v>1076</v>
      </c>
      <c r="G29" s="6" t="n">
        <v>0.008402245804733682</v>
      </c>
    </row>
    <row r="30" spans="1:12">
      <c r="A30" t="n">
        <v>19</v>
      </c>
      <c r="B30" s="51" t="n">
        <v>412.899422531</v>
      </c>
      <c r="C30" s="6" t="n">
        <v>0.003440554371199204</v>
      </c>
      <c r="E30" s="7" t="n">
        <v>19</v>
      </c>
      <c r="F30" s="53" t="n">
        <v>1064</v>
      </c>
      <c r="G30" s="6" t="n">
        <v>0.008308540461186465</v>
      </c>
    </row>
    <row r="31" spans="1:12">
      <c r="A31" t="n">
        <v>20</v>
      </c>
      <c r="B31" s="51" t="n">
        <v>210.080751366</v>
      </c>
      <c r="C31" s="6" t="n">
        <v>0.001750533442227902</v>
      </c>
      <c r="E31" s="7" t="n">
        <v>20</v>
      </c>
      <c r="F31" s="53" t="n">
        <v>875</v>
      </c>
      <c r="G31" s="6" t="n">
        <v>0.006832681300317818</v>
      </c>
    </row>
    <row r="32" spans="1:12">
      <c r="A32" t="n">
        <v>21</v>
      </c>
      <c r="B32" s="51" t="n">
        <v>0</v>
      </c>
      <c r="C32" s="6" t="n">
        <v>0</v>
      </c>
      <c r="E32" s="7" t="n">
        <v>21</v>
      </c>
      <c r="F32" s="53" t="n">
        <v>655</v>
      </c>
      <c r="G32" s="6" t="n">
        <v>0.005114750001952195</v>
      </c>
    </row>
    <row r="33" spans="1:12">
      <c r="A33" t="n">
        <v>22</v>
      </c>
      <c r="B33" s="51" t="n">
        <v>451.645852435</v>
      </c>
      <c r="C33" s="6" t="n">
        <v>0.003763415560874426</v>
      </c>
      <c r="E33" s="7" t="n">
        <v>22</v>
      </c>
      <c r="F33" s="53" t="n">
        <v>484</v>
      </c>
      <c r="G33" s="6" t="n">
        <v>0.00377944885640437</v>
      </c>
    </row>
    <row r="34" spans="1:12">
      <c r="A34" t="n">
        <v>23</v>
      </c>
      <c r="B34" s="51" t="n">
        <v>0</v>
      </c>
      <c r="C34" s="6" t="n">
        <v>0</v>
      </c>
      <c r="E34" s="7" t="n">
        <v>23</v>
      </c>
      <c r="F34" s="53" t="n">
        <v>440</v>
      </c>
      <c r="G34" s="6" t="n">
        <v>0.003435862596731245</v>
      </c>
    </row>
    <row r="35" spans="1:12">
      <c r="A35" t="n">
        <v>24</v>
      </c>
      <c r="B35" s="51" t="n">
        <v>0</v>
      </c>
      <c r="C35" s="6" t="n">
        <v>0</v>
      </c>
      <c r="E35" s="7" t="n">
        <v>24</v>
      </c>
      <c r="F35" s="53" t="n">
        <v>263</v>
      </c>
      <c r="G35" s="6" t="n">
        <v>0.002053708779409812</v>
      </c>
    </row>
    <row r="36" spans="1:12">
      <c r="A36" t="n">
        <v>25</v>
      </c>
      <c r="B36" s="51" t="n">
        <v>0</v>
      </c>
      <c r="C36" s="6" t="n">
        <v>0</v>
      </c>
      <c r="E36" s="7" t="n">
        <v>25</v>
      </c>
      <c r="F36" s="53" t="n">
        <v>171</v>
      </c>
      <c r="G36" s="6" t="n">
        <v>0.001335301145547825</v>
      </c>
    </row>
    <row r="37" spans="1:12">
      <c r="A37" t="n">
        <v>26</v>
      </c>
      <c r="B37" s="51" t="n">
        <v>0</v>
      </c>
      <c r="C37" s="6" t="n">
        <v>0</v>
      </c>
      <c r="E37" s="7" t="n">
        <v>26</v>
      </c>
      <c r="F37" s="53" t="n">
        <v>174</v>
      </c>
      <c r="G37" s="6" t="n">
        <v>0.001358727481434629</v>
      </c>
    </row>
    <row r="38" spans="1:12">
      <c r="A38" t="n">
        <v>27</v>
      </c>
      <c r="B38" s="51" t="n">
        <v>0</v>
      </c>
      <c r="C38" s="6" t="n">
        <v>0</v>
      </c>
      <c r="E38" s="7" t="n">
        <v>27</v>
      </c>
      <c r="F38" s="53" t="n">
        <v>120</v>
      </c>
      <c r="G38" s="6" t="n">
        <v>0.0009370534354721578</v>
      </c>
    </row>
    <row r="39" spans="1:12">
      <c r="A39" t="n">
        <v>28</v>
      </c>
      <c r="B39" s="51" t="n">
        <v>0</v>
      </c>
      <c r="C39" s="6" t="n">
        <v>0</v>
      </c>
      <c r="E39" s="7" t="n">
        <v>28</v>
      </c>
      <c r="F39" s="53" t="n">
        <v>94</v>
      </c>
      <c r="G39" s="6" t="n">
        <v>0.0007340251911198569</v>
      </c>
    </row>
    <row r="40" spans="1:12">
      <c r="A40" t="n">
        <v>29</v>
      </c>
      <c r="B40" s="51" t="n">
        <v>0</v>
      </c>
      <c r="C40" s="6" t="n">
        <v>0</v>
      </c>
      <c r="E40" s="7" t="n">
        <v>29</v>
      </c>
      <c r="F40" s="53" t="n">
        <v>85</v>
      </c>
      <c r="G40" s="6" t="n">
        <v>0.0006637461834594451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64</v>
      </c>
      <c r="G41" s="6" t="n">
        <v>0.0004997618322518175</v>
      </c>
    </row>
    <row r="42" spans="1:12">
      <c r="A42" t="n">
        <v>31</v>
      </c>
      <c r="B42" s="51" t="n">
        <v>0</v>
      </c>
      <c r="C42" s="6" t="n">
        <v>0</v>
      </c>
      <c r="E42" s="7" t="n">
        <v>31</v>
      </c>
      <c r="F42" s="53" t="n">
        <v>58</v>
      </c>
      <c r="G42" s="6" t="n">
        <v>0.0004529091604782096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46</v>
      </c>
      <c r="G43" s="6" t="n">
        <v>0.0003592038169309938</v>
      </c>
    </row>
    <row r="44" spans="1:12">
      <c r="A44" t="n">
        <v>33</v>
      </c>
      <c r="B44" s="51" t="n">
        <v>0</v>
      </c>
      <c r="C44" s="6" t="n">
        <v>0</v>
      </c>
      <c r="E44" s="7" t="n">
        <v>33</v>
      </c>
      <c r="F44" s="53" t="n">
        <v>29</v>
      </c>
      <c r="G44" s="6" t="n">
        <v>0.0002264545802391048</v>
      </c>
    </row>
    <row r="45" spans="1:12">
      <c r="A45" t="n">
        <v>34</v>
      </c>
      <c r="B45" s="51" t="n">
        <v>0</v>
      </c>
      <c r="C45" s="6" t="n">
        <v>0</v>
      </c>
      <c r="E45" s="7" t="n">
        <v>34</v>
      </c>
      <c r="F45" s="53" t="n">
        <v>25</v>
      </c>
      <c r="G45" s="6" t="n">
        <v>0.0001952194657233662</v>
      </c>
    </row>
    <row r="46" spans="1:12">
      <c r="A46" t="n">
        <v>35</v>
      </c>
      <c r="B46" s="51" t="n">
        <v>0</v>
      </c>
      <c r="C46" s="6" t="n">
        <v>0</v>
      </c>
      <c r="E46" s="7" t="n">
        <v>35</v>
      </c>
      <c r="F46" s="53" t="n">
        <v>22</v>
      </c>
      <c r="G46" s="6" t="n">
        <v>0.0001717931298365623</v>
      </c>
    </row>
    <row r="47" spans="1:12">
      <c r="A47" t="n">
        <v>36</v>
      </c>
      <c r="B47" s="51" t="n">
        <v>0</v>
      </c>
      <c r="C47" s="6" t="n">
        <v>0</v>
      </c>
      <c r="E47" s="7" t="n">
        <v>36</v>
      </c>
      <c r="F47" s="53" t="n">
        <v>12</v>
      </c>
      <c r="G47" s="6" t="n">
        <v>9.370534354721578e-05</v>
      </c>
    </row>
    <row r="48" spans="1:12">
      <c r="A48" t="n">
        <v>37</v>
      </c>
      <c r="B48" s="51" t="n">
        <v>481.758028516</v>
      </c>
      <c r="C48" s="6" t="n">
        <v>0.004014330368182073</v>
      </c>
      <c r="E48" s="7" t="n">
        <v>37</v>
      </c>
      <c r="F48" s="53" t="n">
        <v>12</v>
      </c>
      <c r="G48" s="6" t="n">
        <v>9.370534354721578e-05</v>
      </c>
    </row>
    <row r="49" spans="1:12">
      <c r="A49" t="n">
        <v>38</v>
      </c>
      <c r="B49" s="51" t="n">
        <v>0</v>
      </c>
      <c r="C49" s="6" t="n">
        <v>0</v>
      </c>
      <c r="E49" s="7" t="n">
        <v>38</v>
      </c>
      <c r="F49" s="53" t="n">
        <v>8</v>
      </c>
      <c r="G49" s="6" t="n">
        <v>6.247022903147719e-05</v>
      </c>
    </row>
    <row r="50" spans="1:12">
      <c r="A50" t="n">
        <v>39</v>
      </c>
      <c r="B50" s="51" t="n">
        <v>0</v>
      </c>
      <c r="C50" s="6" t="n">
        <v>0</v>
      </c>
      <c r="E50" s="7" t="n">
        <v>39</v>
      </c>
      <c r="F50" s="53" t="n">
        <v>5</v>
      </c>
      <c r="G50" s="6" t="n">
        <v>3.904389314467324e-05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11</v>
      </c>
      <c r="G51" s="6" t="n">
        <v>8.589656491828113e-05</v>
      </c>
    </row>
    <row r="52" spans="1:12">
      <c r="A52" t="n">
        <v>41</v>
      </c>
      <c r="B52" s="51" t="n">
        <v>0</v>
      </c>
      <c r="C52" s="6" t="n">
        <v>0</v>
      </c>
      <c r="E52" s="7" t="n">
        <v>41</v>
      </c>
      <c r="F52" s="53" t="n">
        <v>5</v>
      </c>
      <c r="G52" s="6" t="n">
        <v>3.904389314467324e-05</v>
      </c>
    </row>
    <row r="53" spans="1:12">
      <c r="A53" t="n">
        <v>42</v>
      </c>
      <c r="B53" s="51" t="n">
        <v>0</v>
      </c>
      <c r="C53" s="6" t="n">
        <v>0</v>
      </c>
      <c r="E53" s="7" t="n">
        <v>42</v>
      </c>
      <c r="F53" s="53" t="n">
        <v>3</v>
      </c>
      <c r="G53" s="6" t="n">
        <v>2.342633588680394e-05</v>
      </c>
    </row>
    <row r="54" spans="1:12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0</v>
      </c>
    </row>
    <row r="55" spans="1:12">
      <c r="A55" t="n">
        <v>44</v>
      </c>
      <c r="B55" s="51" t="n">
        <v>0</v>
      </c>
      <c r="C55" s="6" t="n">
        <v>0</v>
      </c>
      <c r="E55" s="7" t="n">
        <v>44</v>
      </c>
      <c r="F55" s="53" t="n">
        <v>2</v>
      </c>
      <c r="G55" s="6" t="n">
        <v>1.56175572578693e-05</v>
      </c>
    </row>
    <row r="56" spans="1:12">
      <c r="A56" t="n">
        <v>45</v>
      </c>
      <c r="B56" s="51" t="n">
        <v>0</v>
      </c>
      <c r="C56" s="6" t="n">
        <v>0</v>
      </c>
      <c r="E56" s="7" t="n">
        <v>45</v>
      </c>
      <c r="F56" s="53" t="n">
        <v>0</v>
      </c>
      <c r="G56" s="6" t="n">
        <v>0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1</v>
      </c>
      <c r="G57" s="6" t="n">
        <v>7.808778628934649e-06</v>
      </c>
    </row>
    <row r="58" spans="1:12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3</v>
      </c>
      <c r="G59" s="6" t="n">
        <v>2.342633588680394e-05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1</v>
      </c>
      <c r="G61" s="6" t="n">
        <v>7.808778628934649e-06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 spans="1:12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 spans="1:12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 spans="1:12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 spans="1:12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120009.561827411</v>
      </c>
      <c r="C102" s="6" t="n">
        <v>1</v>
      </c>
      <c r="F102" s="51" t="n">
        <v>128061</v>
      </c>
      <c r="G102" s="6" t="n"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3" sqref="I33"/>
    </sheetView>
  </sheetViews>
  <sheetFormatPr baseColWidth="10" defaultRowHeight="15" outlineLevelCol="0"/>
  <cols>
    <col collapsed="1" customWidth="1" max="1" min="1" style="43" width="13.5703125"/>
    <col collapsed="1" customWidth="1" max="2" min="2" style="43" width="11.5703125"/>
    <col collapsed="1" customWidth="1" max="6" min="6" style="43" width="11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13" t="s">
        <v>10</v>
      </c>
      <c r="C10" s="13" t="s">
        <v>10</v>
      </c>
      <c r="E10" s="2" t="s">
        <v>9</v>
      </c>
      <c r="F10" s="13" t="s">
        <v>11</v>
      </c>
      <c r="G10" s="13" t="s">
        <v>11</v>
      </c>
      <c r="J10" s="2" t="n"/>
      <c r="K10" s="13" t="s">
        <v>10</v>
      </c>
      <c r="L10" s="13" t="s">
        <v>11</v>
      </c>
    </row>
    <row r="11" spans="1:12">
      <c r="A11" t="n">
        <v>0</v>
      </c>
      <c r="B11" s="51" t="n">
        <v>23655.6280813759</v>
      </c>
      <c r="C11" s="6" t="n">
        <v>0.02452363997775616</v>
      </c>
      <c r="E11" s="7" t="n">
        <v>0</v>
      </c>
      <c r="F11" s="53" t="n">
        <v>98804</v>
      </c>
      <c r="G11" s="6" t="n">
        <v>0.1064871546986633</v>
      </c>
      <c r="K11" s="4" t="n">
        <v>6.837604038093853</v>
      </c>
      <c r="L11" s="4" t="n">
        <v>6.508004686941506</v>
      </c>
    </row>
    <row r="12" spans="1:12">
      <c r="A12" t="n">
        <v>1</v>
      </c>
      <c r="B12" s="51" t="n">
        <v>63034.8511950535</v>
      </c>
      <c r="C12" s="6" t="n">
        <v>0.06534783145225255</v>
      </c>
      <c r="E12" s="7" t="n">
        <v>1</v>
      </c>
      <c r="F12" s="53" t="n">
        <v>74055</v>
      </c>
      <c r="G12" s="6" t="n">
        <v>0.07981363346837686</v>
      </c>
      <c r="K12" s="4" t="n"/>
      <c r="L12" s="7" t="n"/>
    </row>
    <row r="13" spans="1:12">
      <c r="A13" t="n">
        <v>2</v>
      </c>
      <c r="B13" s="51" t="n">
        <v>87973.0979479238</v>
      </c>
      <c r="C13" s="6" t="n">
        <v>0.09120115409242935</v>
      </c>
      <c r="E13" s="7" t="n">
        <v>2</v>
      </c>
      <c r="F13" s="53" t="n">
        <v>44830</v>
      </c>
      <c r="G13" s="6" t="n">
        <v>0.04831605142647134</v>
      </c>
    </row>
    <row r="14" spans="1:12">
      <c r="A14" t="n">
        <v>3</v>
      </c>
      <c r="B14" s="51" t="n">
        <v>103722.9346855768</v>
      </c>
      <c r="C14" s="6" t="n">
        <v>0.1075289101990926</v>
      </c>
      <c r="E14" s="7" t="n">
        <v>3</v>
      </c>
      <c r="F14" s="53" t="n">
        <v>25233</v>
      </c>
      <c r="G14" s="6" t="n">
        <v>0.02719515783279391</v>
      </c>
    </row>
    <row r="15" spans="1:12">
      <c r="A15" t="n">
        <v>4</v>
      </c>
      <c r="B15" s="51" t="n">
        <v>172560.5823865192</v>
      </c>
      <c r="C15" s="6" t="n">
        <v>0.1788924640783746</v>
      </c>
      <c r="E15" s="7" t="n">
        <v>4</v>
      </c>
      <c r="F15" s="53" t="n">
        <v>178221</v>
      </c>
      <c r="G15" s="6" t="n">
        <v>0.1920797457344891</v>
      </c>
    </row>
    <row r="16" spans="1:12">
      <c r="A16" t="n">
        <v>5</v>
      </c>
      <c r="B16" s="51" t="n">
        <v>106780.3315647777</v>
      </c>
      <c r="C16" s="6" t="n">
        <v>0.1106984942015427</v>
      </c>
      <c r="E16" s="7" t="n">
        <v>5</v>
      </c>
      <c r="F16" s="53" t="n">
        <v>88281</v>
      </c>
      <c r="G16" s="6" t="n">
        <v>0.0951458696404264</v>
      </c>
    </row>
    <row r="17" spans="1:12">
      <c r="A17" t="n">
        <v>6</v>
      </c>
      <c r="B17" s="51" t="n">
        <v>115413.0812128111</v>
      </c>
      <c r="C17" s="6" t="n">
        <v>0.1196480111477086</v>
      </c>
      <c r="E17" s="7" t="n">
        <v>6</v>
      </c>
      <c r="F17" s="53" t="n">
        <v>99083</v>
      </c>
      <c r="G17" s="6" t="n">
        <v>0.1067878501782079</v>
      </c>
    </row>
    <row r="18" spans="1:12">
      <c r="A18" t="n">
        <v>7</v>
      </c>
      <c r="B18" s="51" t="n">
        <v>35261.0258779672</v>
      </c>
      <c r="C18" s="6" t="n">
        <v>0.03655488245346623</v>
      </c>
      <c r="E18" s="7" t="n">
        <v>7</v>
      </c>
      <c r="F18" s="53" t="n">
        <v>57817</v>
      </c>
      <c r="G18" s="6" t="n">
        <v>0.06231294100656465</v>
      </c>
    </row>
    <row r="19" spans="1:12">
      <c r="A19" t="n">
        <v>8</v>
      </c>
      <c r="B19" s="51" t="n">
        <v>39220.1609361431</v>
      </c>
      <c r="C19" s="6" t="n">
        <v>0.04065929272133222</v>
      </c>
      <c r="E19" s="7" t="n">
        <v>8</v>
      </c>
      <c r="F19" s="53" t="n">
        <v>60886</v>
      </c>
      <c r="G19" s="6" t="n">
        <v>0.06562059128155551</v>
      </c>
    </row>
    <row r="20" spans="1:12">
      <c r="A20" t="n">
        <v>9</v>
      </c>
      <c r="B20" s="51" t="n">
        <v>24939.7798187241</v>
      </c>
      <c r="C20" s="6" t="n">
        <v>0.0258549119598487</v>
      </c>
      <c r="E20" s="7" t="n">
        <v>9</v>
      </c>
      <c r="F20" s="53" t="n">
        <v>31375</v>
      </c>
      <c r="G20" s="6" t="n">
        <v>0.03381476942907736</v>
      </c>
    </row>
    <row r="21" spans="1:12">
      <c r="A21" t="n">
        <v>10</v>
      </c>
      <c r="B21" s="51" t="n">
        <v>45670.3428766375</v>
      </c>
      <c r="C21" s="6" t="n">
        <v>0.04734615553281877</v>
      </c>
      <c r="E21" s="7" t="n">
        <v>10</v>
      </c>
      <c r="F21" s="53" t="n">
        <v>23365</v>
      </c>
      <c r="G21" s="6" t="n">
        <v>0.02518189920989299</v>
      </c>
    </row>
    <row r="22" spans="1:12">
      <c r="A22" t="n">
        <v>11</v>
      </c>
      <c r="B22" s="51" t="n">
        <v>8666.184482524</v>
      </c>
      <c r="C22" s="6" t="n">
        <v>0.008984178627561273</v>
      </c>
      <c r="E22" s="7" t="n">
        <v>11</v>
      </c>
      <c r="F22" s="53" t="n">
        <v>22475</v>
      </c>
      <c r="G22" s="6" t="n">
        <v>0.02422269140776139</v>
      </c>
    </row>
    <row r="23" spans="1:12">
      <c r="A23" t="n">
        <v>12</v>
      </c>
      <c r="B23" s="51" t="n">
        <v>27098.6326731543</v>
      </c>
      <c r="C23" s="6" t="n">
        <v>0.02809298105633909</v>
      </c>
      <c r="E23" s="7" t="n">
        <v>12</v>
      </c>
      <c r="F23" s="53" t="n">
        <v>19551</v>
      </c>
      <c r="G23" s="6" t="n">
        <v>0.0210713165612077</v>
      </c>
    </row>
    <row r="24" spans="1:12">
      <c r="A24" t="n">
        <v>13</v>
      </c>
      <c r="B24" s="51" t="n">
        <v>7071.6029808806</v>
      </c>
      <c r="C24" s="6" t="n">
        <v>0.007331086072716791</v>
      </c>
      <c r="E24" s="7" t="n">
        <v>13</v>
      </c>
      <c r="F24" s="53" t="n">
        <v>20230</v>
      </c>
      <c r="G24" s="6" t="n">
        <v>0.02180311667092382</v>
      </c>
    </row>
    <row r="25" spans="1:12">
      <c r="A25" t="n">
        <v>14</v>
      </c>
      <c r="B25" s="51" t="n">
        <v>9272.114731896299</v>
      </c>
      <c r="C25" s="6" t="n">
        <v>0.009612342683747855</v>
      </c>
      <c r="E25" s="7" t="n">
        <v>14</v>
      </c>
      <c r="F25" s="53" t="n">
        <v>13573</v>
      </c>
      <c r="G25" s="6" t="n">
        <v>0.01462845786329457</v>
      </c>
    </row>
    <row r="26" spans="1:12">
      <c r="A26" t="n">
        <v>15</v>
      </c>
      <c r="B26" s="51" t="n">
        <v>18097.6837159205</v>
      </c>
      <c r="C26" s="6" t="n">
        <v>0.01876175421568939</v>
      </c>
      <c r="E26" s="7" t="n">
        <v>15</v>
      </c>
      <c r="F26" s="53" t="n">
        <v>13980</v>
      </c>
      <c r="G26" s="6" t="n">
        <v>0.01506710682449407</v>
      </c>
    </row>
    <row r="27" spans="1:12">
      <c r="A27" t="n">
        <v>16</v>
      </c>
      <c r="B27" s="51" t="n">
        <v>18068.3699182225</v>
      </c>
      <c r="C27" s="6" t="n">
        <v>0.01873136478706574</v>
      </c>
      <c r="E27" s="7" t="n">
        <v>16</v>
      </c>
      <c r="F27" s="53" t="n">
        <v>13381</v>
      </c>
      <c r="G27" s="6" t="n">
        <v>0.01442152764081224</v>
      </c>
    </row>
    <row r="28" spans="1:12">
      <c r="A28" t="n">
        <v>17</v>
      </c>
      <c r="B28" s="51" t="n">
        <v>6781.782801215</v>
      </c>
      <c r="C28" s="6" t="n">
        <v>0.007030631325966547</v>
      </c>
      <c r="E28" s="7" t="n">
        <v>17</v>
      </c>
      <c r="F28" s="53" t="n">
        <v>9520</v>
      </c>
      <c r="G28" s="6" t="n">
        <v>0.0102602901980818</v>
      </c>
    </row>
    <row r="29" spans="1:12">
      <c r="A29" t="n">
        <v>18</v>
      </c>
      <c r="B29" s="51" t="n">
        <v>8309.026315368899</v>
      </c>
      <c r="C29" s="6" t="n">
        <v>0.008613915015185545</v>
      </c>
      <c r="E29" s="7" t="n">
        <v>18</v>
      </c>
      <c r="F29" s="53" t="n">
        <v>7196</v>
      </c>
      <c r="G29" s="6" t="n">
        <v>0.007755572296785361</v>
      </c>
    </row>
    <row r="30" spans="1:12">
      <c r="A30" t="n">
        <v>19</v>
      </c>
      <c r="B30" s="51" t="n">
        <v>2419.2159702923</v>
      </c>
      <c r="C30" s="6" t="n">
        <v>0.002507985891551761</v>
      </c>
      <c r="E30" s="7" t="n">
        <v>19</v>
      </c>
      <c r="F30" s="53" t="n">
        <v>5006</v>
      </c>
      <c r="G30" s="6" t="n">
        <v>0.005395274446596375</v>
      </c>
    </row>
    <row r="31" spans="1:12">
      <c r="A31" t="n">
        <v>20</v>
      </c>
      <c r="B31" s="51" t="n">
        <v>3458.3777079705</v>
      </c>
      <c r="C31" s="6" t="n">
        <v>0.003585278290883287</v>
      </c>
      <c r="E31" s="7" t="n">
        <v>20</v>
      </c>
      <c r="F31" s="53" t="n">
        <v>3427</v>
      </c>
      <c r="G31" s="6" t="n">
        <v>0.003693488918994362</v>
      </c>
    </row>
    <row r="32" spans="1:12">
      <c r="A32" t="n">
        <v>21</v>
      </c>
      <c r="B32" s="51" t="n">
        <v>907.4706190122999</v>
      </c>
      <c r="C32" s="6" t="n">
        <v>0.0009407690497370536</v>
      </c>
      <c r="E32" s="7" t="n">
        <v>21</v>
      </c>
      <c r="F32" s="53" t="n">
        <v>3594</v>
      </c>
      <c r="G32" s="6" t="n">
        <v>0.003873475102090965</v>
      </c>
    </row>
    <row r="33" spans="1:12">
      <c r="A33" t="n">
        <v>22</v>
      </c>
      <c r="B33" s="51" t="n">
        <v>2071.054926252</v>
      </c>
      <c r="C33" s="6" t="n">
        <v>0.002147049539790036</v>
      </c>
      <c r="E33" s="7" t="n">
        <v>22</v>
      </c>
      <c r="F33" s="53" t="n">
        <v>2431</v>
      </c>
      <c r="G33" s="6" t="n">
        <v>0.002620038389867317</v>
      </c>
    </row>
    <row r="34" spans="1:12">
      <c r="A34" t="n">
        <v>23</v>
      </c>
      <c r="B34" s="51" t="n">
        <v>1988.8132901981</v>
      </c>
      <c r="C34" s="6" t="n">
        <v>0.002061790155983805</v>
      </c>
      <c r="E34" s="7" t="n">
        <v>23</v>
      </c>
      <c r="F34" s="53" t="n">
        <v>2125</v>
      </c>
      <c r="G34" s="6" t="n">
        <v>0.002290243347786116</v>
      </c>
    </row>
    <row r="35" spans="1:12">
      <c r="A35" t="n">
        <v>24</v>
      </c>
      <c r="B35" s="51" t="n">
        <v>10809.509325089</v>
      </c>
      <c r="C35" s="6" t="n">
        <v>0.01120614993238692</v>
      </c>
      <c r="E35" s="7" t="n">
        <v>24</v>
      </c>
      <c r="F35" s="53" t="n">
        <v>2099</v>
      </c>
      <c r="G35" s="6" t="n">
        <v>0.002262221546824968</v>
      </c>
    </row>
    <row r="36" spans="1:12">
      <c r="A36" t="n">
        <v>25</v>
      </c>
      <c r="B36" s="51" t="n">
        <v>1546.810699568</v>
      </c>
      <c r="C36" s="6" t="n">
        <v>0.001603568866548583</v>
      </c>
      <c r="E36" s="7" t="n">
        <v>25</v>
      </c>
      <c r="F36" s="53" t="n">
        <v>1419</v>
      </c>
      <c r="G36" s="6" t="n">
        <v>0.001529343675533411</v>
      </c>
    </row>
    <row r="37" spans="1:12">
      <c r="A37" t="n">
        <v>26</v>
      </c>
      <c r="B37" s="51" t="n">
        <v>774.7254652844</v>
      </c>
      <c r="C37" s="6" t="n">
        <v>0.0008031529886620197</v>
      </c>
      <c r="E37" s="7" t="n">
        <v>26</v>
      </c>
      <c r="F37" s="53" t="n">
        <v>1082</v>
      </c>
      <c r="G37" s="6" t="n">
        <v>0.001166138024613919</v>
      </c>
    </row>
    <row r="38" spans="1:12">
      <c r="A38" t="n">
        <v>27</v>
      </c>
      <c r="B38" s="51" t="n">
        <v>2085.196875802</v>
      </c>
      <c r="C38" s="6" t="n">
        <v>0.002161710409421345</v>
      </c>
      <c r="E38" s="7" t="n">
        <v>27</v>
      </c>
      <c r="F38" s="53" t="n">
        <v>1661</v>
      </c>
      <c r="G38" s="6" t="n">
        <v>0.001790161976787171</v>
      </c>
    </row>
    <row r="39" spans="1:12">
      <c r="A39" t="n">
        <v>28</v>
      </c>
      <c r="B39" s="51" t="n">
        <v>638.5252072000001</v>
      </c>
      <c r="C39" s="6" t="n">
        <v>0.0006619550427588635</v>
      </c>
      <c r="E39" s="7" t="n">
        <v>28</v>
      </c>
      <c r="F39" s="53" t="n">
        <v>603</v>
      </c>
      <c r="G39" s="6" t="n">
        <v>0.0006498902299835426</v>
      </c>
    </row>
    <row r="40" spans="1:12">
      <c r="A40" t="n">
        <v>29</v>
      </c>
      <c r="B40" s="51" t="n">
        <v>550.7575783498</v>
      </c>
      <c r="C40" s="6" t="n">
        <v>0.0005709668971801713</v>
      </c>
      <c r="E40" s="7" t="n">
        <v>29</v>
      </c>
      <c r="F40" s="53" t="n">
        <v>516</v>
      </c>
      <c r="G40" s="6" t="n">
        <v>0.0005561249729212404</v>
      </c>
    </row>
    <row r="41" spans="1:12">
      <c r="A41" t="n">
        <v>30</v>
      </c>
      <c r="B41" s="51" t="n">
        <v>0</v>
      </c>
      <c r="C41" s="6" t="n">
        <v>0</v>
      </c>
      <c r="E41" s="7" t="n">
        <v>30</v>
      </c>
      <c r="F41" s="53" t="n">
        <v>488</v>
      </c>
      <c r="G41" s="6" t="n">
        <v>0.0005259476488092351</v>
      </c>
    </row>
    <row r="42" spans="1:12">
      <c r="A42" t="n">
        <v>31</v>
      </c>
      <c r="B42" s="51" t="n">
        <v>1503.265838949</v>
      </c>
      <c r="C42" s="6" t="n">
        <v>0.001558426185025674</v>
      </c>
      <c r="E42" s="7" t="n">
        <v>31</v>
      </c>
      <c r="F42" s="53" t="n">
        <v>363</v>
      </c>
      <c r="G42" s="6" t="n">
        <v>0.0003912274518806401</v>
      </c>
    </row>
    <row r="43" spans="1:12">
      <c r="A43" t="n">
        <v>32</v>
      </c>
      <c r="B43" s="51" t="n">
        <v>0</v>
      </c>
      <c r="C43" s="6" t="n">
        <v>0</v>
      </c>
      <c r="E43" s="7" t="n">
        <v>32</v>
      </c>
      <c r="F43" s="53" t="n">
        <v>237</v>
      </c>
      <c r="G43" s="6" t="n">
        <v>0.0002554294933766163</v>
      </c>
    </row>
    <row r="44" spans="1:12">
      <c r="A44" t="n">
        <v>33</v>
      </c>
      <c r="B44" s="51" t="n">
        <v>771.224845006</v>
      </c>
      <c r="C44" s="6" t="n">
        <v>0.0007995239177656142</v>
      </c>
      <c r="E44" s="7" t="n">
        <v>33</v>
      </c>
      <c r="F44" s="53" t="n">
        <v>179</v>
      </c>
      <c r="G44" s="6" t="n">
        <v>0.0001929193220017481</v>
      </c>
    </row>
    <row r="45" spans="1:12">
      <c r="A45" t="n">
        <v>34</v>
      </c>
      <c r="B45" s="51" t="n">
        <v>936.2129745479999</v>
      </c>
      <c r="C45" s="6" t="n">
        <v>0.0009705660678861983</v>
      </c>
      <c r="E45" s="7" t="n">
        <v>34</v>
      </c>
      <c r="F45" s="53" t="n">
        <v>154</v>
      </c>
      <c r="G45" s="6" t="n">
        <v>0.0001659752826160291</v>
      </c>
    </row>
    <row r="46" spans="1:12">
      <c r="A46" t="n">
        <v>35</v>
      </c>
      <c r="B46" s="51" t="n">
        <v>321.9730946164</v>
      </c>
      <c r="C46" s="6" t="n">
        <v>0.0003337874702685702</v>
      </c>
      <c r="E46" s="7" t="n">
        <v>35</v>
      </c>
      <c r="F46" s="53" t="n">
        <v>115</v>
      </c>
      <c r="G46" s="6" t="n">
        <v>0.0001239425811743075</v>
      </c>
    </row>
    <row r="47" spans="1:12">
      <c r="A47" t="n">
        <v>36</v>
      </c>
      <c r="B47" s="51" t="n">
        <v>727.467881212</v>
      </c>
      <c r="C47" s="6" t="n">
        <v>0.0007541613502230256</v>
      </c>
      <c r="E47" s="7" t="n">
        <v>36</v>
      </c>
      <c r="F47" s="53" t="n">
        <v>122</v>
      </c>
      <c r="G47" s="6" t="n">
        <v>0.0001314869122023088</v>
      </c>
    </row>
    <row r="48" spans="1:12">
      <c r="A48" t="n">
        <v>37</v>
      </c>
      <c r="B48" s="51" t="n">
        <v>155.9653404566</v>
      </c>
      <c r="C48" s="6" t="n">
        <v>0.0001616882817572333</v>
      </c>
      <c r="E48" s="7" t="n">
        <v>37</v>
      </c>
      <c r="F48" s="53" t="n">
        <v>80</v>
      </c>
      <c r="G48" s="6" t="n">
        <v>8.622092603430083e-05</v>
      </c>
    </row>
    <row r="49" spans="1:12">
      <c r="A49" t="n">
        <v>38</v>
      </c>
      <c r="B49" s="51" t="n">
        <v>627.269960355</v>
      </c>
      <c r="C49" s="6" t="n">
        <v>0.0006502867995594843</v>
      </c>
      <c r="E49" s="7" t="n">
        <v>38</v>
      </c>
      <c r="F49" s="53" t="n">
        <v>45</v>
      </c>
      <c r="G49" s="6" t="n">
        <v>4.849927089429422e-05</v>
      </c>
    </row>
    <row r="50" spans="1:12">
      <c r="A50" t="n">
        <v>39</v>
      </c>
      <c r="B50" s="51" t="n">
        <v>341.8573055842</v>
      </c>
      <c r="C50" s="6" t="n">
        <v>0.0003544013059840544</v>
      </c>
      <c r="E50" s="7" t="n">
        <v>39</v>
      </c>
      <c r="F50" s="53" t="n">
        <v>45</v>
      </c>
      <c r="G50" s="6" t="n">
        <v>4.849927089429422e-05</v>
      </c>
    </row>
    <row r="51" spans="1:12">
      <c r="A51" t="n">
        <v>40</v>
      </c>
      <c r="B51" s="51" t="n">
        <v>0</v>
      </c>
      <c r="C51" s="6" t="n">
        <v>0</v>
      </c>
      <c r="E51" s="7" t="n">
        <v>40</v>
      </c>
      <c r="F51" s="53" t="n">
        <v>35</v>
      </c>
      <c r="G51" s="6" t="n">
        <v>3.772165514000662e-05</v>
      </c>
    </row>
    <row r="52" spans="1:12">
      <c r="A52" t="n">
        <v>41</v>
      </c>
      <c r="B52" s="51" t="n">
        <v>596.97480037</v>
      </c>
      <c r="C52" s="6" t="n">
        <v>0.0006188799988613626</v>
      </c>
      <c r="E52" s="7" t="n">
        <v>41</v>
      </c>
      <c r="F52" s="53" t="n">
        <v>21</v>
      </c>
      <c r="G52" s="6" t="n">
        <v>2.263299308400397e-05</v>
      </c>
    </row>
    <row r="53" spans="1:12">
      <c r="A53" t="n">
        <v>42</v>
      </c>
      <c r="B53" s="51" t="n">
        <v>133.5805418631</v>
      </c>
      <c r="C53" s="6" t="n">
        <v>0.0001384821026698232</v>
      </c>
      <c r="E53" s="7" t="n">
        <v>42</v>
      </c>
      <c r="F53" s="53" t="n">
        <v>20</v>
      </c>
      <c r="G53" s="6" t="n">
        <v>2.155523150857521e-05</v>
      </c>
    </row>
    <row r="54" spans="1:12">
      <c r="A54" t="n">
        <v>43</v>
      </c>
      <c r="B54" s="51" t="n">
        <v>1706.890736692</v>
      </c>
      <c r="C54" s="6" t="n">
        <v>0.001769522828309825</v>
      </c>
      <c r="E54" s="7" t="n">
        <v>43</v>
      </c>
      <c r="F54" s="53" t="n">
        <v>16</v>
      </c>
      <c r="G54" s="6" t="n">
        <v>1.724418520686017e-05</v>
      </c>
    </row>
    <row r="55" spans="1:12">
      <c r="A55" t="n">
        <v>44</v>
      </c>
      <c r="B55" s="51" t="n">
        <v>660.275957831</v>
      </c>
      <c r="C55" s="6" t="n">
        <v>0.0006845039083347705</v>
      </c>
      <c r="E55" s="7" t="n">
        <v>44</v>
      </c>
      <c r="F55" s="53" t="n">
        <v>56</v>
      </c>
      <c r="G55" s="6" t="n">
        <v>6.035464822401059e-05</v>
      </c>
    </row>
    <row r="56" spans="1:12">
      <c r="A56" t="n">
        <v>45</v>
      </c>
      <c r="B56" s="51" t="n">
        <v>617.666578062</v>
      </c>
      <c r="C56" s="6" t="n">
        <v>0.0006403310338908607</v>
      </c>
      <c r="E56" s="7" t="n">
        <v>45</v>
      </c>
      <c r="F56" s="53" t="n">
        <v>8</v>
      </c>
      <c r="G56" s="6" t="n">
        <v>8.622092603430085e-06</v>
      </c>
    </row>
    <row r="57" spans="1:12">
      <c r="A57" t="n">
        <v>46</v>
      </c>
      <c r="B57" s="51" t="n">
        <v>0</v>
      </c>
      <c r="C57" s="6" t="n">
        <v>0</v>
      </c>
      <c r="E57" s="7" t="n">
        <v>46</v>
      </c>
      <c r="F57" s="53" t="n">
        <v>9</v>
      </c>
      <c r="G57" s="6" t="n">
        <v>9.699854178858844e-06</v>
      </c>
    </row>
    <row r="58" spans="1:12">
      <c r="A58" t="n">
        <v>47</v>
      </c>
      <c r="B58" s="51" t="n">
        <v>405.121063366</v>
      </c>
      <c r="C58" s="6" t="n">
        <v>0.0004199864434466398</v>
      </c>
      <c r="E58" s="7" t="n">
        <v>47</v>
      </c>
      <c r="F58" s="53" t="n">
        <v>12</v>
      </c>
      <c r="G58" s="6" t="n">
        <v>1.293313890514513e-05</v>
      </c>
    </row>
    <row r="59" spans="1:12">
      <c r="A59" t="n">
        <v>48</v>
      </c>
      <c r="B59" s="51" t="n">
        <v>0</v>
      </c>
      <c r="C59" s="6" t="n">
        <v>0</v>
      </c>
      <c r="E59" s="7" t="n">
        <v>48</v>
      </c>
      <c r="F59" s="53" t="n">
        <v>7</v>
      </c>
      <c r="G59" s="6" t="n">
        <v>7.544331028001323e-06</v>
      </c>
    </row>
    <row r="60" spans="1:12">
      <c r="A60" t="n">
        <v>49</v>
      </c>
      <c r="B60" s="51" t="n">
        <v>0</v>
      </c>
      <c r="C60" s="6" t="n">
        <v>0</v>
      </c>
      <c r="E60" s="7" t="n">
        <v>49</v>
      </c>
      <c r="F60" s="53" t="n">
        <v>3</v>
      </c>
      <c r="G60" s="6" t="n">
        <v>3.233284726286281e-06</v>
      </c>
    </row>
    <row r="61" spans="1:12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 spans="1:12">
      <c r="A62" t="n">
        <v>51</v>
      </c>
      <c r="B62" s="51" t="n">
        <v>0</v>
      </c>
      <c r="C62" s="6" t="n">
        <v>0</v>
      </c>
      <c r="E62" s="7" t="n">
        <v>51</v>
      </c>
      <c r="F62" s="53" t="n">
        <v>2</v>
      </c>
      <c r="G62" s="6" t="n">
        <v>2.155523150857521e-06</v>
      </c>
    </row>
    <row r="63" spans="1:12">
      <c r="A63" t="n">
        <v>52</v>
      </c>
      <c r="B63" s="51" t="n">
        <v>181.031838601</v>
      </c>
      <c r="C63" s="6" t="n">
        <v>0.0001876745618036434</v>
      </c>
      <c r="E63" s="7" t="n">
        <v>52</v>
      </c>
      <c r="F63" s="53" t="n">
        <v>2</v>
      </c>
      <c r="G63" s="6" t="n">
        <v>2.155523150857521e-06</v>
      </c>
    </row>
    <row r="64" spans="1:12">
      <c r="A64" t="n">
        <v>53</v>
      </c>
      <c r="B64" s="51" t="n">
        <v>39.1519720345</v>
      </c>
      <c r="C64" s="6" t="n">
        <v>4.05886017183869e-05</v>
      </c>
      <c r="E64" s="7" t="n">
        <v>53</v>
      </c>
      <c r="F64" s="53" t="n">
        <v>2</v>
      </c>
      <c r="G64" s="6" t="n">
        <v>2.155523150857521e-06</v>
      </c>
    </row>
    <row r="65" spans="1:12">
      <c r="A65" t="n">
        <v>54</v>
      </c>
      <c r="B65" s="51" t="n">
        <v>667.663687339</v>
      </c>
      <c r="C65" s="6" t="n">
        <v>0.0006921627207782193</v>
      </c>
      <c r="E65" s="7" t="n">
        <v>54</v>
      </c>
      <c r="F65" s="53" t="n">
        <v>8</v>
      </c>
      <c r="G65" s="6" t="n">
        <v>8.622092603430085e-06</v>
      </c>
    </row>
    <row r="66" spans="1:12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 spans="1:12">
      <c r="A67" t="n">
        <v>56</v>
      </c>
      <c r="B67" s="51" t="n">
        <v>0</v>
      </c>
      <c r="C67" s="6" t="n">
        <v>0</v>
      </c>
      <c r="E67" s="7" t="n">
        <v>56</v>
      </c>
      <c r="F67" s="53" t="n">
        <v>1</v>
      </c>
      <c r="G67" s="6" t="n">
        <v>1.077761575428761e-06</v>
      </c>
    </row>
    <row r="68" spans="1:12">
      <c r="A68" t="n">
        <v>57</v>
      </c>
      <c r="B68" s="51" t="n">
        <v>542.140045727</v>
      </c>
      <c r="C68" s="6" t="n">
        <v>0.0005620331556277963</v>
      </c>
      <c r="E68" s="7" t="n">
        <v>57</v>
      </c>
      <c r="F68" s="53" t="n">
        <v>0</v>
      </c>
      <c r="G68" s="6" t="n">
        <v>0</v>
      </c>
    </row>
    <row r="69" spans="1:12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 spans="1:12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 spans="1:12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 spans="1:1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 spans="1:12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 spans="1:12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 spans="1:12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 spans="1:12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 spans="1:12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 spans="1:12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 spans="1:12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 spans="1:12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 spans="1:12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 spans="1:12">
      <c r="A82" t="n">
        <v>71</v>
      </c>
      <c r="B82" s="51" t="n">
        <v>4605.9932193</v>
      </c>
      <c r="C82" s="6" t="n">
        <v>0.004775004031240643</v>
      </c>
      <c r="E82" s="7" t="n">
        <v>71</v>
      </c>
      <c r="F82" s="53" t="n">
        <v>0</v>
      </c>
      <c r="G82" s="6" t="n">
        <v>0</v>
      </c>
    </row>
    <row r="83" spans="1:12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 spans="1:12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 spans="1:12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 spans="1:12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 spans="1:12">
      <c r="A87" t="n">
        <v>76</v>
      </c>
      <c r="B87" s="51" t="n">
        <v>215.6958943</v>
      </c>
      <c r="C87" s="6" t="n">
        <v>0.0002236105690492273</v>
      </c>
      <c r="E87" s="7" t="n">
        <v>76</v>
      </c>
      <c r="F87" s="53" t="n">
        <v>0</v>
      </c>
      <c r="G87" s="6" t="n">
        <v>0</v>
      </c>
    </row>
    <row r="88" spans="1:12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 spans="1:12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 spans="1:12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 spans="1:12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 spans="1:1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 spans="1:12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 spans="1:12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 spans="1:12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 spans="1:12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 spans="1:12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 spans="1:12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 spans="1:12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 spans="1:12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customHeight="1" ht="15.75" r="101" spans="1:12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 spans="1:12">
      <c r="B102" s="51" t="n">
        <v>964605.0954439236</v>
      </c>
      <c r="C102" s="6" t="n">
        <v>1</v>
      </c>
      <c r="F102" s="51" t="n">
        <v>927849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2017-07-06T17:40:36Z</dcterms:modified>
  <cp:lastModifiedBy>Nagendra Dhakar</cp:lastModifiedBy>
</cp:coreProperties>
</file>