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_(* #,##0_);_(* \(#,##0\);_(* &quot;-&quot;??_);_(@_)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19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2" fontId="0" fillId="0" borderId="0" pivotButton="0" quotePrefix="0" xfId="0"/>
    <xf numFmtId="0" fontId="1" fillId="0" borderId="0" pivotButton="0" quotePrefix="0" xfId="0"/>
    <xf numFmtId="10" fontId="0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0" fontId="0" fillId="0" borderId="2" applyAlignment="1" pivotButton="0" quotePrefix="0" xfId="0">
      <alignment horizontal="center" vertical="top"/>
    </xf>
    <xf numFmtId="0" fontId="0" fillId="0" borderId="0" pivotButton="0" quotePrefix="0" xfId="0"/>
    <xf numFmtId="164" fontId="0" fillId="0" borderId="0" pivotButton="0" quotePrefix="0" xfId="6"/>
    <xf numFmtId="164" fontId="0" fillId="0" borderId="1" pivotButton="0" quotePrefix="0" xfId="6"/>
    <xf numFmtId="164" fontId="2" fillId="0" borderId="0" pivotButton="0" quotePrefix="0" xfId="6"/>
    <xf numFmtId="164" fontId="2" fillId="0" borderId="1" pivotButton="0" quotePrefix="0" xfId="6"/>
    <xf numFmtId="10" fontId="0" fillId="0" borderId="0" pivotButton="0" quotePrefix="0" xfId="7"/>
    <xf numFmtId="0" fontId="0" fillId="3" borderId="0" pivotButton="0" quotePrefix="0" xfId="0"/>
    <xf numFmtId="0" fontId="0" fillId="3" borderId="2" applyAlignment="1" pivotButton="0" quotePrefix="0" xfId="0">
      <alignment horizontal="center" vertical="top"/>
    </xf>
    <xf numFmtId="2" fontId="0" fillId="3" borderId="0" pivotButton="0" quotePrefix="0" xfId="0"/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1" sqref="L11"/>
    </sheetView>
  </sheetViews>
  <sheetFormatPr baseColWidth="10" defaultRowHeight="15"/>
  <cols>
    <col collapsed="1" width="13.5703125" customWidth="1" style="10" min="1" max="1"/>
    <col collapsed="1" width="10.5703125" bestFit="1" customWidth="1" style="10" min="2" max="2"/>
    <col collapsed="1" width="12.7109375" customWidth="1" style="10" min="5" max="5"/>
    <col collapsed="1" width="10.5703125" bestFit="1" customWidth="1" style="10" min="6" max="6"/>
    <col width="12.140625" bestFit="1" customWidth="1" style="10" min="7" max="7"/>
    <col width="15.7109375" bestFit="1" customWidth="1" style="10" min="8" max="8"/>
    <col width="17.42578125" bestFit="1" customWidth="1" style="10" min="9" max="9"/>
    <col width="10.28515625" bestFit="1" customWidth="1" style="10" min="10" max="10"/>
    <col width="7.5703125" customWidth="1" style="10" min="13" max="13"/>
    <col width="7" bestFit="1" customWidth="1" style="10" min="14" max="14"/>
    <col collapsed="1" width="10.28515625" bestFit="1" customWidth="1" style="10" min="15" max="15"/>
    <col width="12.140625" bestFit="1" customWidth="1" style="10" min="16" max="16"/>
    <col width="15.7109375" bestFit="1" customWidth="1" style="10" min="17" max="17"/>
    <col width="17.42578125" bestFit="1" customWidth="1" style="10" min="18" max="18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0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M9" s="5" t="inlineStr">
        <is>
          <t>Table X. Average Half Tour Length (miles)</t>
        </is>
      </c>
      <c r="N9" s="16" t="n"/>
      <c r="O9" s="16" t="n"/>
      <c r="P9" s="16" t="n"/>
      <c r="Q9" s="16" t="n"/>
      <c r="R9" s="16" t="n"/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BKRCast (all)</t>
        </is>
      </c>
      <c r="H10" s="9" t="inlineStr">
        <is>
          <t>BKRCast (In BKR)</t>
        </is>
      </c>
      <c r="I10" s="9" t="inlineStr">
        <is>
          <t>BKRCast (Out BKR)</t>
        </is>
      </c>
      <c r="J10" s="9" t="inlineStr">
        <is>
          <t>SoundCast</t>
        </is>
      </c>
      <c r="K10">
        <f>C10</f>
        <v/>
      </c>
      <c r="M10" s="2" t="n"/>
      <c r="N10" s="17" t="inlineStr">
        <is>
          <t>Survey</t>
        </is>
      </c>
      <c r="O10" s="17" t="inlineStr">
        <is>
          <t>SoundCast</t>
        </is>
      </c>
      <c r="P10" s="17" t="inlineStr">
        <is>
          <t>BKRCast (all)</t>
        </is>
      </c>
      <c r="Q10" s="17" t="inlineStr">
        <is>
          <t>BKRCast (In BKR)</t>
        </is>
      </c>
      <c r="R10" s="17" t="inlineStr">
        <is>
          <t>BKRCast (Out BKR)</t>
        </is>
      </c>
    </row>
    <row r="11">
      <c r="A11" t="n">
        <v>0</v>
      </c>
      <c r="B11" s="11">
        <f>bkrcast_all!B11</f>
        <v/>
      </c>
      <c r="C11" s="6">
        <f>B11/B$102</f>
        <v/>
      </c>
      <c r="E11" s="7" t="n">
        <v>0</v>
      </c>
      <c r="F11" s="13" t="n">
        <v>33620.42287425204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15">
        <f>C11</f>
        <v/>
      </c>
      <c r="N11" s="18">
        <f>bkrcast_all!K11</f>
        <v/>
      </c>
      <c r="O11" s="18">
        <f>soundcast!L11</f>
        <v/>
      </c>
      <c r="P11" s="18">
        <f>bkrcast_all!L11</f>
        <v/>
      </c>
      <c r="Q11" s="18">
        <f>bkrcast_inbkr!L11</f>
        <v/>
      </c>
      <c r="R11" s="18">
        <f>bkrcast_outbkr!L11</f>
        <v/>
      </c>
    </row>
    <row r="12">
      <c r="A12" t="n">
        <v>1</v>
      </c>
      <c r="B12" s="11">
        <f>bkrcast_all!B12</f>
        <v/>
      </c>
      <c r="C12" s="6">
        <f>B12/B$102</f>
        <v/>
      </c>
      <c r="E12" s="7" t="n">
        <v>1</v>
      </c>
      <c r="F12" s="13" t="n">
        <v>18262.50675420548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15">
        <f>C12</f>
        <v/>
      </c>
      <c r="N12" s="4" t="n"/>
      <c r="O12" s="7" t="n"/>
    </row>
    <row r="13">
      <c r="A13" t="n">
        <v>2</v>
      </c>
      <c r="B13" s="11">
        <f>bkrcast_all!B13</f>
        <v/>
      </c>
      <c r="C13" s="6">
        <f>B13/B$102</f>
        <v/>
      </c>
      <c r="E13" s="7" t="n">
        <v>2</v>
      </c>
      <c r="F13" s="13" t="n">
        <v>11833.47301387274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15">
        <f>C13</f>
        <v/>
      </c>
    </row>
    <row r="14">
      <c r="A14" t="n">
        <v>3</v>
      </c>
      <c r="B14" s="11">
        <f>bkrcast_all!B14</f>
        <v/>
      </c>
      <c r="C14" s="6">
        <f>B14/B$102</f>
        <v/>
      </c>
      <c r="E14" s="7" t="n">
        <v>3</v>
      </c>
      <c r="F14" s="13" t="n">
        <v>6564.264287105515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15">
        <f>C14</f>
        <v/>
      </c>
    </row>
    <row r="15">
      <c r="A15" t="n">
        <v>4</v>
      </c>
      <c r="B15" s="11">
        <f>bkrcast_all!B15</f>
        <v/>
      </c>
      <c r="C15" s="6">
        <f>B15/B$102</f>
        <v/>
      </c>
      <c r="E15" s="7" t="n">
        <v>4</v>
      </c>
      <c r="F15" s="13" t="n">
        <v>23198.75111712055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15">
        <f>C15</f>
        <v/>
      </c>
    </row>
    <row r="16">
      <c r="A16" t="n">
        <v>5</v>
      </c>
      <c r="B16" s="11">
        <f>bkrcast_all!B16</f>
        <v/>
      </c>
      <c r="C16" s="6">
        <f>B16/B$102</f>
        <v/>
      </c>
      <c r="E16" s="7" t="n">
        <v>5</v>
      </c>
      <c r="F16" s="13" t="n">
        <v>14892.13701068411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15">
        <f>C16</f>
        <v/>
      </c>
    </row>
    <row r="17">
      <c r="A17" t="n">
        <v>6</v>
      </c>
      <c r="B17" s="11">
        <f>bkrcast_all!B17</f>
        <v/>
      </c>
      <c r="C17" s="6">
        <f>B17/B$102</f>
        <v/>
      </c>
      <c r="E17" s="7" t="n">
        <v>6</v>
      </c>
      <c r="F17" s="13" t="n">
        <v>11852.32369755544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15">
        <f>C17</f>
        <v/>
      </c>
    </row>
    <row r="18">
      <c r="A18" t="n">
        <v>7</v>
      </c>
      <c r="B18" s="11">
        <f>bkrcast_all!B18</f>
        <v/>
      </c>
      <c r="C18" s="6">
        <f>B18/B$102</f>
        <v/>
      </c>
      <c r="E18" s="7" t="n">
        <v>7</v>
      </c>
      <c r="F18" s="13" t="n">
        <v>6275.751382908873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15">
        <f>C18</f>
        <v/>
      </c>
    </row>
    <row r="19">
      <c r="A19" t="n">
        <v>8</v>
      </c>
      <c r="B19" s="11">
        <f>bkrcast_all!B19</f>
        <v/>
      </c>
      <c r="C19" s="6">
        <f>B19/B$102</f>
        <v/>
      </c>
      <c r="E19" s="7" t="n">
        <v>8</v>
      </c>
      <c r="F19" s="13" t="n">
        <v>8893.414232099074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15">
        <f>C19</f>
        <v/>
      </c>
    </row>
    <row r="20">
      <c r="A20" t="n">
        <v>9</v>
      </c>
      <c r="B20" s="11">
        <f>bkrcast_all!B20</f>
        <v/>
      </c>
      <c r="C20" s="6">
        <f>B20/B$102</f>
        <v/>
      </c>
      <c r="E20" s="7" t="n">
        <v>9</v>
      </c>
      <c r="F20" s="13" t="n">
        <v>4823.156142416078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15">
        <f>C20</f>
        <v/>
      </c>
    </row>
    <row r="21">
      <c r="A21" t="n">
        <v>10</v>
      </c>
      <c r="B21" s="11">
        <f>bkrcast_all!B21</f>
        <v/>
      </c>
      <c r="C21" s="6">
        <f>B21/B$102</f>
        <v/>
      </c>
      <c r="E21" s="7" t="n">
        <v>10</v>
      </c>
      <c r="F21" s="13" t="n">
        <v>3253.751092694217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15">
        <f>C21</f>
        <v/>
      </c>
    </row>
    <row r="22">
      <c r="A22" t="n">
        <v>11</v>
      </c>
      <c r="B22" s="11">
        <f>bkrcast_all!B22</f>
        <v/>
      </c>
      <c r="C22" s="6">
        <f>B22/B$102</f>
        <v/>
      </c>
      <c r="E22" s="7" t="n">
        <v>11</v>
      </c>
      <c r="F22" s="13" t="n">
        <v>3027.756657293925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15">
        <f>C22</f>
        <v/>
      </c>
    </row>
    <row r="23">
      <c r="A23" t="n">
        <v>12</v>
      </c>
      <c r="B23" s="11">
        <f>bkrcast_all!B23</f>
        <v/>
      </c>
      <c r="C23" s="6">
        <f>B23/B$102</f>
        <v/>
      </c>
      <c r="E23" s="7" t="n">
        <v>12</v>
      </c>
      <c r="F23" s="13" t="n">
        <v>2636.45190513237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15">
        <f>C23</f>
        <v/>
      </c>
    </row>
    <row r="24">
      <c r="A24" t="n">
        <v>13</v>
      </c>
      <c r="B24" s="11">
        <f>bkrcast_all!B24</f>
        <v/>
      </c>
      <c r="C24" s="6">
        <f>B24/B$102</f>
        <v/>
      </c>
      <c r="E24" s="7" t="n">
        <v>13</v>
      </c>
      <c r="F24" s="13" t="n">
        <v>3016.903411335647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15">
        <f>C24</f>
        <v/>
      </c>
    </row>
    <row r="25">
      <c r="A25" t="n">
        <v>14</v>
      </c>
      <c r="B25" s="11">
        <f>bkrcast_all!B25</f>
        <v/>
      </c>
      <c r="C25" s="6">
        <f>B25/B$102</f>
        <v/>
      </c>
      <c r="E25" s="7" t="n">
        <v>14</v>
      </c>
      <c r="F25" s="13" t="n">
        <v>2827.788905780781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15">
        <f>C25</f>
        <v/>
      </c>
    </row>
    <row r="26">
      <c r="A26" t="n">
        <v>15</v>
      </c>
      <c r="B26" s="11">
        <f>bkrcast_all!B26</f>
        <v/>
      </c>
      <c r="C26" s="6">
        <f>B26/B$102</f>
        <v/>
      </c>
      <c r="E26" s="7" t="n">
        <v>15</v>
      </c>
      <c r="F26" s="13" t="n">
        <v>3323.573949787904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15">
        <f>C26</f>
        <v/>
      </c>
    </row>
    <row r="27">
      <c r="A27" t="n">
        <v>16</v>
      </c>
      <c r="B27" s="11">
        <f>bkrcast_all!B27</f>
        <v/>
      </c>
      <c r="C27" s="6">
        <f>B27/B$102</f>
        <v/>
      </c>
      <c r="E27" s="7" t="n">
        <v>16</v>
      </c>
      <c r="F27" s="13" t="n">
        <v>2008.727629652685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15">
        <f>C27</f>
        <v/>
      </c>
    </row>
    <row r="28">
      <c r="A28" t="n">
        <v>17</v>
      </c>
      <c r="B28" s="11">
        <f>bkrcast_all!B28</f>
        <v/>
      </c>
      <c r="C28" s="6">
        <f>B28/B$102</f>
        <v/>
      </c>
      <c r="E28" s="7" t="n">
        <v>17</v>
      </c>
      <c r="F28" s="13" t="n">
        <v>1937.732205976488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15">
        <f>C28</f>
        <v/>
      </c>
    </row>
    <row r="29">
      <c r="A29" t="n">
        <v>18</v>
      </c>
      <c r="B29" s="11">
        <f>bkrcast_all!B29</f>
        <v/>
      </c>
      <c r="C29" s="6">
        <f>B29/B$102</f>
        <v/>
      </c>
      <c r="E29" s="7" t="n">
        <v>18</v>
      </c>
      <c r="F29" s="13" t="n">
        <v>1712.246722941283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15">
        <f>C29</f>
        <v/>
      </c>
    </row>
    <row r="30">
      <c r="A30" t="n">
        <v>19</v>
      </c>
      <c r="B30" s="11">
        <f>bkrcast_all!B30</f>
        <v/>
      </c>
      <c r="C30" s="6">
        <f>B30/B$102</f>
        <v/>
      </c>
      <c r="E30" s="7" t="n">
        <v>19</v>
      </c>
      <c r="F30" s="13" t="n">
        <v>1430.437097705911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15">
        <f>C30</f>
        <v/>
      </c>
    </row>
    <row r="31">
      <c r="A31" t="n">
        <v>20</v>
      </c>
      <c r="B31" s="11">
        <f>bkrcast_all!B31</f>
        <v/>
      </c>
      <c r="C31" s="6">
        <f>B31/B$102</f>
        <v/>
      </c>
      <c r="E31" s="7" t="n">
        <v>20</v>
      </c>
      <c r="F31" s="13" t="n">
        <v>1226.88001682539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15">
        <f>C31</f>
        <v/>
      </c>
    </row>
    <row r="32">
      <c r="A32" t="n">
        <v>21</v>
      </c>
      <c r="B32" s="11">
        <f>bkrcast_all!B32</f>
        <v/>
      </c>
      <c r="C32" s="6">
        <f>B32/B$102</f>
        <v/>
      </c>
      <c r="E32" s="7" t="n">
        <v>21</v>
      </c>
      <c r="F32" s="13" t="n">
        <v>1238.859413138057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15">
        <f>C32</f>
        <v/>
      </c>
    </row>
    <row r="33">
      <c r="A33" t="n">
        <v>22</v>
      </c>
      <c r="B33" s="11">
        <f>bkrcast_all!B33</f>
        <v/>
      </c>
      <c r="C33" s="6">
        <f>B33/B$102</f>
        <v/>
      </c>
      <c r="E33" s="7" t="n">
        <v>22</v>
      </c>
      <c r="F33" s="13" t="n">
        <v>899.9691784625875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15">
        <f>C33</f>
        <v/>
      </c>
    </row>
    <row r="34">
      <c r="A34" t="n">
        <v>23</v>
      </c>
      <c r="B34" s="11">
        <f>bkrcast_all!B34</f>
        <v/>
      </c>
      <c r="C34" s="6">
        <f>B34/B$102</f>
        <v/>
      </c>
      <c r="E34" s="7" t="n">
        <v>23</v>
      </c>
      <c r="F34" s="13" t="n">
        <v>1418.705139181326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15">
        <f>C34</f>
        <v/>
      </c>
    </row>
    <row r="35">
      <c r="A35" t="n">
        <v>24</v>
      </c>
      <c r="B35" s="11">
        <f>bkrcast_all!B35</f>
        <v/>
      </c>
      <c r="C35" s="6">
        <f>B35/B$102</f>
        <v/>
      </c>
      <c r="E35" s="7" t="n">
        <v>24</v>
      </c>
      <c r="F35" s="13" t="n">
        <v>795.9030695331816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15">
        <f>C35</f>
        <v/>
      </c>
    </row>
    <row r="36">
      <c r="A36" t="n">
        <v>25</v>
      </c>
      <c r="B36" s="11">
        <f>bkrcast_all!B36</f>
        <v/>
      </c>
      <c r="C36" s="6">
        <f>B36/B$102</f>
        <v/>
      </c>
      <c r="E36" s="7" t="n">
        <v>25</v>
      </c>
      <c r="F36" s="13" t="n">
        <v>788.2245137243517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15">
        <f>C36</f>
        <v/>
      </c>
    </row>
    <row r="37">
      <c r="A37" t="n">
        <v>26</v>
      </c>
      <c r="B37" s="11">
        <f>bkrcast_all!B37</f>
        <v/>
      </c>
      <c r="C37" s="6">
        <f>B37/B$102</f>
        <v/>
      </c>
      <c r="E37" s="7" t="n">
        <v>26</v>
      </c>
      <c r="F37" s="13" t="n">
        <v>506.6900804757062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15">
        <f>C37</f>
        <v/>
      </c>
    </row>
    <row r="38">
      <c r="A38" t="n">
        <v>27</v>
      </c>
      <c r="B38" s="11">
        <f>bkrcast_all!B38</f>
        <v/>
      </c>
      <c r="C38" s="6">
        <f>B38/B$102</f>
        <v/>
      </c>
      <c r="E38" s="7" t="n">
        <v>27</v>
      </c>
      <c r="F38" s="13" t="n">
        <v>714.5591850384095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15">
        <f>C38</f>
        <v/>
      </c>
    </row>
    <row r="39">
      <c r="A39" t="n">
        <v>28</v>
      </c>
      <c r="B39" s="11">
        <f>bkrcast_all!B39</f>
        <v/>
      </c>
      <c r="C39" s="6">
        <f>B39/B$102</f>
        <v/>
      </c>
      <c r="E39" s="7" t="n">
        <v>28</v>
      </c>
      <c r="F39" s="13" t="n">
        <v>465.5987575352162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15">
        <f>C39</f>
        <v/>
      </c>
    </row>
    <row r="40">
      <c r="A40" t="n">
        <v>29</v>
      </c>
      <c r="B40" s="11">
        <f>bkrcast_all!B40</f>
        <v/>
      </c>
      <c r="C40" s="6">
        <f>B40/B$102</f>
        <v/>
      </c>
      <c r="E40" s="7" t="n">
        <v>29</v>
      </c>
      <c r="F40" s="13" t="n">
        <v>427.7741320019097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15">
        <f>C40</f>
        <v/>
      </c>
    </row>
    <row r="41">
      <c r="A41" t="n">
        <v>30</v>
      </c>
      <c r="B41" s="11">
        <f>bkrcast_all!B41</f>
        <v/>
      </c>
      <c r="C41" s="6">
        <f>B41/B$102</f>
        <v/>
      </c>
      <c r="E41" s="7" t="n">
        <v>30</v>
      </c>
      <c r="F41" s="13" t="n">
        <v>355.581523412582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15">
        <f>C41</f>
        <v/>
      </c>
    </row>
    <row r="42">
      <c r="A42" t="n">
        <v>31</v>
      </c>
      <c r="B42" s="11">
        <f>bkrcast_all!B42</f>
        <v/>
      </c>
      <c r="C42" s="6">
        <f>B42/B$102</f>
        <v/>
      </c>
      <c r="E42" s="7" t="n">
        <v>31</v>
      </c>
      <c r="F42" s="13" t="n">
        <v>255.7196905400451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15">
        <f>C42</f>
        <v/>
      </c>
    </row>
    <row r="43">
      <c r="A43" t="n">
        <v>32</v>
      </c>
      <c r="B43" s="11">
        <f>bkrcast_all!B43</f>
        <v/>
      </c>
      <c r="C43" s="6">
        <f>B43/B$102</f>
        <v/>
      </c>
      <c r="E43" s="7" t="n">
        <v>32</v>
      </c>
      <c r="F43" s="13" t="n">
        <v>312.1326562237147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15">
        <f>C43</f>
        <v/>
      </c>
    </row>
    <row r="44">
      <c r="A44" t="n">
        <v>33</v>
      </c>
      <c r="B44" s="11">
        <f>bkrcast_all!B44</f>
        <v/>
      </c>
      <c r="C44" s="6">
        <f>B44/B$102</f>
        <v/>
      </c>
      <c r="E44" s="7" t="n">
        <v>33</v>
      </c>
      <c r="F44" s="13" t="n">
        <v>302.0149520188561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15">
        <f>C44</f>
        <v/>
      </c>
    </row>
    <row r="45">
      <c r="A45" t="n">
        <v>34</v>
      </c>
      <c r="B45" s="11">
        <f>bkrcast_all!B45</f>
        <v/>
      </c>
      <c r="C45" s="6">
        <f>B45/B$102</f>
        <v/>
      </c>
      <c r="E45" s="7" t="n">
        <v>34</v>
      </c>
      <c r="F45" s="13" t="n">
        <v>120.8156221000601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15">
        <f>C45</f>
        <v/>
      </c>
    </row>
    <row r="46">
      <c r="A46" t="n">
        <v>35</v>
      </c>
      <c r="B46" s="11">
        <f>bkrcast_all!B46</f>
        <v/>
      </c>
      <c r="C46" s="6">
        <f>B46/B$102</f>
        <v/>
      </c>
      <c r="E46" s="7" t="n">
        <v>35</v>
      </c>
      <c r="F46" s="13" t="n">
        <v>140.2026466884089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15">
        <f>C46</f>
        <v/>
      </c>
    </row>
    <row r="47">
      <c r="A47" t="n">
        <v>36</v>
      </c>
      <c r="B47" s="11">
        <f>bkrcast_all!B47</f>
        <v/>
      </c>
      <c r="C47" s="6">
        <f>B47/B$102</f>
        <v/>
      </c>
      <c r="E47" s="7" t="n">
        <v>36</v>
      </c>
      <c r="F47" s="13" t="n">
        <v>186.8664601370404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15">
        <f>C47</f>
        <v/>
      </c>
    </row>
    <row r="48">
      <c r="A48" t="n">
        <v>37</v>
      </c>
      <c r="B48" s="11">
        <f>bkrcast_all!B48</f>
        <v/>
      </c>
      <c r="C48" s="6">
        <f>B48/B$102</f>
        <v/>
      </c>
      <c r="E48" s="7" t="n">
        <v>37</v>
      </c>
      <c r="F48" s="13" t="n">
        <v>168.5936733353879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15">
        <f>C48</f>
        <v/>
      </c>
    </row>
    <row r="49">
      <c r="A49" t="n">
        <v>38</v>
      </c>
      <c r="B49" s="11">
        <f>bkrcast_all!B49</f>
        <v/>
      </c>
      <c r="C49" s="6">
        <f>B49/B$102</f>
        <v/>
      </c>
      <c r="E49" s="7" t="n">
        <v>38</v>
      </c>
      <c r="F49" s="13" t="n">
        <v>139.1063826202275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15">
        <f>C49</f>
        <v/>
      </c>
    </row>
    <row r="50">
      <c r="A50" t="n">
        <v>39</v>
      </c>
      <c r="B50" s="11">
        <f>bkrcast_all!B50</f>
        <v/>
      </c>
      <c r="C50" s="6">
        <f>B50/B$102</f>
        <v/>
      </c>
      <c r="E50" s="7" t="n">
        <v>39</v>
      </c>
      <c r="F50" s="13" t="n">
        <v>97.25368903094083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15">
        <f>C50</f>
        <v/>
      </c>
    </row>
    <row r="51">
      <c r="A51" t="n">
        <v>40</v>
      </c>
      <c r="B51" s="11">
        <f>bkrcast_all!B51</f>
        <v/>
      </c>
      <c r="C51" s="6">
        <f>B51/B$102</f>
        <v/>
      </c>
      <c r="E51" s="7" t="n">
        <v>40</v>
      </c>
      <c r="F51" s="13" t="n">
        <v>110.4873860076148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15">
        <f>C51</f>
        <v/>
      </c>
    </row>
    <row r="52">
      <c r="A52" t="n">
        <v>41</v>
      </c>
      <c r="B52" s="11">
        <f>bkrcast_all!B52</f>
        <v/>
      </c>
      <c r="C52" s="6">
        <f>B52/B$102</f>
        <v/>
      </c>
      <c r="E52" s="7" t="n">
        <v>41</v>
      </c>
      <c r="F52" s="13" t="n">
        <v>137.3877727473624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15">
        <f>C52</f>
        <v/>
      </c>
    </row>
    <row r="53">
      <c r="A53" t="n">
        <v>42</v>
      </c>
      <c r="B53" s="11">
        <f>bkrcast_all!B53</f>
        <v/>
      </c>
      <c r="C53" s="6">
        <f>B53/B$102</f>
        <v/>
      </c>
      <c r="E53" s="7" t="n">
        <v>42</v>
      </c>
      <c r="F53" s="13" t="n">
        <v>20.59509870000714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15">
        <f>C53</f>
        <v/>
      </c>
    </row>
    <row r="54">
      <c r="A54" t="n">
        <v>43</v>
      </c>
      <c r="B54" s="11">
        <f>bkrcast_all!B54</f>
        <v/>
      </c>
      <c r="C54" s="6">
        <f>B54/B$102</f>
        <v/>
      </c>
      <c r="E54" s="7" t="n">
        <v>43</v>
      </c>
      <c r="F54" s="13" t="n">
        <v>24.24778493441203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15">
        <f>C54</f>
        <v/>
      </c>
    </row>
    <row r="55">
      <c r="A55" t="n">
        <v>44</v>
      </c>
      <c r="B55" s="11">
        <f>bkrcast_all!B55</f>
        <v/>
      </c>
      <c r="C55" s="6">
        <f>B55/B$102</f>
        <v/>
      </c>
      <c r="E55" s="7" t="n">
        <v>44</v>
      </c>
      <c r="F55" s="13" t="n">
        <v>31.8947274168327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15">
        <f>C55</f>
        <v/>
      </c>
    </row>
    <row r="56">
      <c r="A56" t="n">
        <v>45</v>
      </c>
      <c r="B56" s="11">
        <f>bkrcast_all!B56</f>
        <v/>
      </c>
      <c r="C56" s="6">
        <f>B56/B$102</f>
        <v/>
      </c>
      <c r="E56" s="7" t="n">
        <v>45</v>
      </c>
      <c r="F56" s="13" t="n">
        <v>47.06330121696815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15">
        <f>C56</f>
        <v/>
      </c>
    </row>
    <row r="57">
      <c r="A57" t="n">
        <v>46</v>
      </c>
      <c r="B57" s="11">
        <f>bkrcast_all!B57</f>
        <v/>
      </c>
      <c r="C57" s="6">
        <f>B57/B$102</f>
        <v/>
      </c>
      <c r="E57" s="7" t="n">
        <v>46</v>
      </c>
      <c r="F57" s="13" t="n">
        <v>25.71578036543156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15">
        <f>C57</f>
        <v/>
      </c>
    </row>
    <row r="58">
      <c r="A58" t="n">
        <v>47</v>
      </c>
      <c r="B58" s="11">
        <f>bkrcast_all!B58</f>
        <v/>
      </c>
      <c r="C58" s="6">
        <f>B58/B$102</f>
        <v/>
      </c>
      <c r="E58" s="7" t="n">
        <v>47</v>
      </c>
      <c r="F58" s="13" t="n">
        <v>16.15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15">
        <f>C58</f>
        <v/>
      </c>
    </row>
    <row r="59">
      <c r="A59" t="n">
        <v>48</v>
      </c>
      <c r="B59" s="11">
        <f>bkrcast_all!B59</f>
        <v/>
      </c>
      <c r="C59" s="6">
        <f>B59/B$102</f>
        <v/>
      </c>
      <c r="E59" s="7" t="n">
        <v>48</v>
      </c>
      <c r="F59" s="13" t="n">
        <v>10.19047619047619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15">
        <f>C59</f>
        <v/>
      </c>
    </row>
    <row r="60">
      <c r="A60" t="n">
        <v>49</v>
      </c>
      <c r="B60" s="11">
        <f>bkrcast_all!B60</f>
        <v/>
      </c>
      <c r="C60" s="6">
        <f>B60/B$102</f>
        <v/>
      </c>
      <c r="E60" s="7" t="n">
        <v>49</v>
      </c>
      <c r="F60" s="13" t="n">
        <v>0.25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15">
        <f>C60</f>
        <v/>
      </c>
    </row>
    <row r="61">
      <c r="A61" t="n">
        <v>50</v>
      </c>
      <c r="B61" s="11">
        <f>bkrcast_all!B61</f>
        <v/>
      </c>
      <c r="C61" s="6">
        <f>B61/B$102</f>
        <v/>
      </c>
      <c r="E61" s="7" t="n">
        <v>50</v>
      </c>
      <c r="F61" s="13" t="n">
        <v>17.46623061251522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15">
        <f>C61</f>
        <v/>
      </c>
    </row>
    <row r="62">
      <c r="A62" t="n">
        <v>51</v>
      </c>
      <c r="B62" s="11">
        <f>bkrcast_all!B62</f>
        <v/>
      </c>
      <c r="C62" s="6">
        <f>B62/B$102</f>
        <v/>
      </c>
      <c r="E62" s="7" t="n">
        <v>51</v>
      </c>
      <c r="F62" s="13" t="n">
        <v>29.94919261451361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15">
        <f>C62</f>
        <v/>
      </c>
    </row>
    <row r="63">
      <c r="A63" t="n">
        <v>52</v>
      </c>
      <c r="B63" s="11">
        <f>bkrcast_all!B63</f>
        <v/>
      </c>
      <c r="C63" s="6">
        <f>B63/B$102</f>
        <v/>
      </c>
      <c r="E63" s="7" t="n">
        <v>52</v>
      </c>
      <c r="F63" s="13" t="n">
        <v>0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15">
        <f>C63</f>
        <v/>
      </c>
    </row>
    <row r="64">
      <c r="A64" t="n">
        <v>53</v>
      </c>
      <c r="B64" s="11">
        <f>bkrcast_all!B64</f>
        <v/>
      </c>
      <c r="C64" s="6">
        <f>B64/B$102</f>
        <v/>
      </c>
      <c r="E64" s="7" t="n">
        <v>53</v>
      </c>
      <c r="F64" s="13" t="n">
        <v>29.9501020191537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15">
        <f>C64</f>
        <v/>
      </c>
    </row>
    <row r="65">
      <c r="A65" t="n">
        <v>54</v>
      </c>
      <c r="B65" s="11">
        <f>bkrcast_all!B65</f>
        <v/>
      </c>
      <c r="C65" s="6">
        <f>B65/B$102</f>
        <v/>
      </c>
      <c r="E65" s="7" t="n">
        <v>54</v>
      </c>
      <c r="F65" s="13" t="n">
        <v>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15">
        <f>C65</f>
        <v/>
      </c>
    </row>
    <row r="66">
      <c r="A66" t="n">
        <v>55</v>
      </c>
      <c r="B66" s="11">
        <f>bkrcast_all!B66</f>
        <v/>
      </c>
      <c r="C66" s="6">
        <f>B66/B$102</f>
        <v/>
      </c>
      <c r="E66" s="7" t="n">
        <v>55</v>
      </c>
      <c r="F66" s="13" t="n">
        <v>9.944444444444439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15">
        <f>C66</f>
        <v/>
      </c>
    </row>
    <row r="67">
      <c r="A67" t="n">
        <v>56</v>
      </c>
      <c r="B67" s="11">
        <f>bkrcast_all!B67</f>
        <v/>
      </c>
      <c r="C67" s="6">
        <f>B67/B$102</f>
        <v/>
      </c>
      <c r="E67" s="7" t="n">
        <v>56</v>
      </c>
      <c r="F67" s="13" t="n">
        <v>5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15">
        <f>C67</f>
        <v/>
      </c>
    </row>
    <row r="68">
      <c r="A68" t="n">
        <v>57</v>
      </c>
      <c r="B68" s="11">
        <f>bkrcast_all!B68</f>
        <v/>
      </c>
      <c r="C68" s="6">
        <f>B68/B$102</f>
        <v/>
      </c>
      <c r="E68" s="7" t="n">
        <v>57</v>
      </c>
      <c r="F68" s="1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15">
        <f>C68</f>
        <v/>
      </c>
    </row>
    <row r="69">
      <c r="A69" t="n">
        <v>58</v>
      </c>
      <c r="B69" s="11">
        <f>bkrcast_all!B69</f>
        <v/>
      </c>
      <c r="C69" s="6">
        <f>B69/B$102</f>
        <v/>
      </c>
      <c r="E69" s="7" t="n">
        <v>58</v>
      </c>
      <c r="F69" s="13" t="n">
        <v>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15">
        <f>C69</f>
        <v/>
      </c>
    </row>
    <row r="70">
      <c r="A70" t="n">
        <v>59</v>
      </c>
      <c r="B70" s="11">
        <f>bkrcast_all!B70</f>
        <v/>
      </c>
      <c r="C70" s="6">
        <f>B70/B$102</f>
        <v/>
      </c>
      <c r="E70" s="7" t="n">
        <v>59</v>
      </c>
      <c r="F70" s="13" t="n">
        <v>10.0125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15">
        <f>C70</f>
        <v/>
      </c>
    </row>
    <row r="71">
      <c r="A71" t="n">
        <v>60</v>
      </c>
      <c r="B71" s="11">
        <f>bkrcast_all!B71</f>
        <v/>
      </c>
      <c r="C71" s="6">
        <f>B71/B$102</f>
        <v/>
      </c>
      <c r="E71" s="7" t="n">
        <v>60</v>
      </c>
      <c r="F71" s="1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15">
        <f>C71</f>
        <v/>
      </c>
    </row>
    <row r="72">
      <c r="A72" t="n">
        <v>61</v>
      </c>
      <c r="B72" s="11">
        <f>bkrcast_all!B72</f>
        <v/>
      </c>
      <c r="C72" s="6">
        <f>B72/B$102</f>
        <v/>
      </c>
      <c r="E72" s="7" t="n">
        <v>61</v>
      </c>
      <c r="F72" s="13" t="n">
        <v>0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15">
        <f>C72</f>
        <v/>
      </c>
    </row>
    <row r="73">
      <c r="A73" t="n">
        <v>62</v>
      </c>
      <c r="B73" s="11">
        <f>bkrcast_all!B73</f>
        <v/>
      </c>
      <c r="C73" s="6">
        <f>B73/B$102</f>
        <v/>
      </c>
      <c r="E73" s="7" t="n">
        <v>62</v>
      </c>
      <c r="F73" s="1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15">
        <f>C73</f>
        <v/>
      </c>
    </row>
    <row r="74">
      <c r="A74" t="n">
        <v>63</v>
      </c>
      <c r="B74" s="11">
        <f>bkrcast_all!B74</f>
        <v/>
      </c>
      <c r="C74" s="6">
        <f>B74/B$102</f>
        <v/>
      </c>
      <c r="E74" s="7" t="n">
        <v>63</v>
      </c>
      <c r="F74" s="1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15">
        <f>C74</f>
        <v/>
      </c>
    </row>
    <row r="75">
      <c r="A75" t="n">
        <v>64</v>
      </c>
      <c r="B75" s="11">
        <f>bkrcast_all!B75</f>
        <v/>
      </c>
      <c r="C75" s="6">
        <f>B75/B$102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15">
        <f>C75</f>
        <v/>
      </c>
    </row>
    <row r="76">
      <c r="A76" t="n">
        <v>65</v>
      </c>
      <c r="B76" s="11">
        <f>bkrcast_all!B76</f>
        <v/>
      </c>
      <c r="C76" s="6">
        <f>B76/B$102</f>
        <v/>
      </c>
      <c r="E76" s="7" t="n">
        <v>65</v>
      </c>
      <c r="F76" s="1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15">
        <f>C76</f>
        <v/>
      </c>
    </row>
    <row r="77">
      <c r="A77" t="n">
        <v>66</v>
      </c>
      <c r="B77" s="11">
        <f>bkrcast_all!B77</f>
        <v/>
      </c>
      <c r="C77" s="6">
        <f>B77/B$102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15">
        <f>C77</f>
        <v/>
      </c>
    </row>
    <row r="78">
      <c r="A78" t="n">
        <v>67</v>
      </c>
      <c r="B78" s="11">
        <f>bkrcast_all!B78</f>
        <v/>
      </c>
      <c r="C78" s="6">
        <f>B78/B$102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15">
        <f>C78</f>
        <v/>
      </c>
    </row>
    <row r="79">
      <c r="A79" t="n">
        <v>68</v>
      </c>
      <c r="B79" s="11">
        <f>bkrcast_all!B79</f>
        <v/>
      </c>
      <c r="C79" s="6">
        <f>B79/B$102</f>
        <v/>
      </c>
      <c r="E79" s="7" t="n">
        <v>68</v>
      </c>
      <c r="F79" s="1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15">
        <f>C79</f>
        <v/>
      </c>
    </row>
    <row r="80">
      <c r="A80" t="n">
        <v>69</v>
      </c>
      <c r="B80" s="11">
        <f>bkrcast_all!B80</f>
        <v/>
      </c>
      <c r="C80" s="6">
        <f>B80/B$102</f>
        <v/>
      </c>
      <c r="E80" s="7" t="n">
        <v>69</v>
      </c>
      <c r="F80" s="13" t="n">
        <v>9.977678571428569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15">
        <f>C80</f>
        <v/>
      </c>
    </row>
    <row r="81">
      <c r="A81" t="n">
        <v>70</v>
      </c>
      <c r="B81" s="11">
        <f>bkrcast_all!B81</f>
        <v/>
      </c>
      <c r="C81" s="6">
        <f>B81/B$102</f>
        <v/>
      </c>
      <c r="E81" s="7" t="n">
        <v>70</v>
      </c>
      <c r="F81" s="1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15">
        <f>C81</f>
        <v/>
      </c>
    </row>
    <row r="82">
      <c r="A82" t="n">
        <v>71</v>
      </c>
      <c r="B82" s="11">
        <f>bkrcast_all!B82</f>
        <v/>
      </c>
      <c r="C82" s="6">
        <f>B82/B$102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15">
        <f>C82</f>
        <v/>
      </c>
    </row>
    <row r="83">
      <c r="A83" t="n">
        <v>72</v>
      </c>
      <c r="B83" s="11">
        <f>bkrcast_all!B83</f>
        <v/>
      </c>
      <c r="C83" s="6">
        <f>B83/B$102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15">
        <f>C83</f>
        <v/>
      </c>
    </row>
    <row r="84">
      <c r="A84" t="n">
        <v>73</v>
      </c>
      <c r="B84" s="11">
        <f>bkrcast_all!B84</f>
        <v/>
      </c>
      <c r="C84" s="6">
        <f>B84/B$102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15">
        <f>C84</f>
        <v/>
      </c>
    </row>
    <row r="85">
      <c r="A85" t="n">
        <v>74</v>
      </c>
      <c r="B85" s="11">
        <f>bkrcast_all!B85</f>
        <v/>
      </c>
      <c r="C85" s="6">
        <f>B85/B$102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15">
        <f>C85</f>
        <v/>
      </c>
    </row>
    <row r="86">
      <c r="A86" t="n">
        <v>75</v>
      </c>
      <c r="B86" s="11">
        <f>bkrcast_all!B86</f>
        <v/>
      </c>
      <c r="C86" s="6">
        <f>B86/B$102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15">
        <f>C86</f>
        <v/>
      </c>
    </row>
    <row r="87">
      <c r="A87" t="n">
        <v>76</v>
      </c>
      <c r="B87" s="11">
        <f>bkrcast_all!B87</f>
        <v/>
      </c>
      <c r="C87" s="6">
        <f>B87/B$102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15">
        <f>C87</f>
        <v/>
      </c>
    </row>
    <row r="88">
      <c r="A88" t="n">
        <v>77</v>
      </c>
      <c r="B88" s="11">
        <f>bkrcast_all!B88</f>
        <v/>
      </c>
      <c r="C88" s="6">
        <f>B88/B$102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15">
        <f>C88</f>
        <v/>
      </c>
    </row>
    <row r="89">
      <c r="A89" t="n">
        <v>78</v>
      </c>
      <c r="B89" s="11">
        <f>bkrcast_all!B89</f>
        <v/>
      </c>
      <c r="C89" s="6">
        <f>B89/B$102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15">
        <f>C89</f>
        <v/>
      </c>
    </row>
    <row r="90">
      <c r="A90" t="n">
        <v>79</v>
      </c>
      <c r="B90" s="11">
        <f>bkrcast_all!B90</f>
        <v/>
      </c>
      <c r="C90" s="6">
        <f>B90/B$102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15">
        <f>C90</f>
        <v/>
      </c>
    </row>
    <row r="91">
      <c r="A91" t="n">
        <v>80</v>
      </c>
      <c r="B91" s="11">
        <f>bkrcast_all!B91</f>
        <v/>
      </c>
      <c r="C91" s="6">
        <f>B91/B$102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15">
        <f>C91</f>
        <v/>
      </c>
    </row>
    <row r="92">
      <c r="A92" t="n">
        <v>81</v>
      </c>
      <c r="B92" s="11">
        <f>bkrcast_all!B92</f>
        <v/>
      </c>
      <c r="C92" s="6">
        <f>B92/B$102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15">
        <f>C92</f>
        <v/>
      </c>
    </row>
    <row r="93">
      <c r="A93" t="n">
        <v>82</v>
      </c>
      <c r="B93" s="11">
        <f>bkrcast_all!B93</f>
        <v/>
      </c>
      <c r="C93" s="6">
        <f>B93/B$102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15">
        <f>C93</f>
        <v/>
      </c>
    </row>
    <row r="94">
      <c r="A94" t="n">
        <v>83</v>
      </c>
      <c r="B94" s="11">
        <f>bkrcast_all!B94</f>
        <v/>
      </c>
      <c r="C94" s="6">
        <f>B94/B$102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15">
        <f>C94</f>
        <v/>
      </c>
    </row>
    <row r="95">
      <c r="A95" t="n">
        <v>84</v>
      </c>
      <c r="B95" s="11">
        <f>bkrcast_all!B95</f>
        <v/>
      </c>
      <c r="C95" s="6">
        <f>B95/B$102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15">
        <f>C95</f>
        <v/>
      </c>
    </row>
    <row r="96">
      <c r="A96" t="n">
        <v>85</v>
      </c>
      <c r="B96" s="11">
        <f>bkrcast_all!B96</f>
        <v/>
      </c>
      <c r="C96" s="6">
        <f>B96/B$102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15">
        <f>C96</f>
        <v/>
      </c>
    </row>
    <row r="97">
      <c r="A97" t="n">
        <v>86</v>
      </c>
      <c r="B97" s="11">
        <f>bkrcast_all!B97</f>
        <v/>
      </c>
      <c r="C97" s="6">
        <f>B97/B$102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15">
        <f>C97</f>
        <v/>
      </c>
    </row>
    <row r="98">
      <c r="A98" t="n">
        <v>87</v>
      </c>
      <c r="B98" s="11">
        <f>bkrcast_all!B98</f>
        <v/>
      </c>
      <c r="C98" s="6">
        <f>B98/B$102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15">
        <f>C98</f>
        <v/>
      </c>
    </row>
    <row r="99">
      <c r="A99" t="n">
        <v>88</v>
      </c>
      <c r="B99" s="11">
        <f>bkrcast_all!B99</f>
        <v/>
      </c>
      <c r="C99" s="6">
        <f>B99/B$102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15">
        <f>C99</f>
        <v/>
      </c>
    </row>
    <row r="100">
      <c r="A100" t="n">
        <v>89</v>
      </c>
      <c r="B100" s="11">
        <f>bkrcast_all!B100</f>
        <v/>
      </c>
      <c r="C100" s="6">
        <f>B100/B$102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15">
        <f>C100</f>
        <v/>
      </c>
    </row>
    <row r="101" ht="15.75" customHeight="1" s="10">
      <c r="A101" s="1" t="n">
        <v>90</v>
      </c>
      <c r="B101" s="11">
        <f>bkrcast_all!B101</f>
        <v/>
      </c>
      <c r="C101" s="6">
        <f>B101/B$102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15">
        <f>C101</f>
        <v/>
      </c>
    </row>
    <row r="102">
      <c r="B102" s="11">
        <f>bkrcast_all!B102</f>
        <v/>
      </c>
      <c r="C102" s="6">
        <f>B102/B$102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4" sqref="D34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2.7109375" customWidth="1" style="10" min="5" max="5"/>
    <col collapsed="1" width="10.5703125" customWidth="1" style="10" min="6" max="6"/>
    <col collapsed="1" width="10.28515625" customWidth="1" style="10" min="12" max="12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0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n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45601.3465287406</v>
      </c>
      <c r="C11" s="6" t="n">
        <v>0.2048601807917066</v>
      </c>
      <c r="E11" s="7" t="n">
        <v>0</v>
      </c>
      <c r="F11" s="13" t="n">
        <v>38877</v>
      </c>
      <c r="G11" s="6" t="n">
        <v>0.1718609092355843</v>
      </c>
      <c r="K11" s="4" t="n">
        <v>5.518415595405502</v>
      </c>
      <c r="L11" s="4" t="n">
        <v>5.973314560012267</v>
      </c>
    </row>
    <row r="12">
      <c r="A12" t="n">
        <v>1</v>
      </c>
      <c r="B12" s="11" t="n">
        <v>43004.5211487228</v>
      </c>
      <c r="C12" s="6" t="n">
        <v>0.1931941630678736</v>
      </c>
      <c r="E12" s="7" t="n">
        <v>1</v>
      </c>
      <c r="F12" s="13" t="n">
        <v>33945</v>
      </c>
      <c r="G12" s="6" t="n">
        <v>0.1500583523420508</v>
      </c>
      <c r="K12" s="4" t="n"/>
      <c r="L12" s="7" t="n"/>
    </row>
    <row r="13">
      <c r="A13" t="n">
        <v>2</v>
      </c>
      <c r="B13" s="11" t="n">
        <v>26917.2441821057</v>
      </c>
      <c r="C13" s="6" t="n">
        <v>0.120923436023655</v>
      </c>
      <c r="E13" s="7" t="n">
        <v>2</v>
      </c>
      <c r="F13" s="13" t="n">
        <v>28686</v>
      </c>
      <c r="G13" s="6" t="n">
        <v>0.1268102487931675</v>
      </c>
    </row>
    <row r="14">
      <c r="A14" t="n">
        <v>3</v>
      </c>
      <c r="B14" s="11" t="n">
        <v>16080.1570111719</v>
      </c>
      <c r="C14" s="6" t="n">
        <v>0.07223874124838658</v>
      </c>
      <c r="E14" s="7" t="n">
        <v>3</v>
      </c>
      <c r="F14" s="13" t="n">
        <v>20691</v>
      </c>
      <c r="G14" s="6" t="n">
        <v>0.09146729616465971</v>
      </c>
    </row>
    <row r="15">
      <c r="A15" t="n">
        <v>4</v>
      </c>
      <c r="B15" s="11" t="n">
        <v>11100.0856734371</v>
      </c>
      <c r="C15" s="6" t="n">
        <v>0.04986619323687234</v>
      </c>
      <c r="E15" s="7" t="n">
        <v>4</v>
      </c>
      <c r="F15" s="13" t="n">
        <v>16438</v>
      </c>
      <c r="G15" s="6" t="n">
        <v>0.07266634838116458</v>
      </c>
    </row>
    <row r="16">
      <c r="A16" t="n">
        <v>5</v>
      </c>
      <c r="B16" s="11" t="n">
        <v>14633.7074068006</v>
      </c>
      <c r="C16" s="6" t="n">
        <v>0.06574068910707889</v>
      </c>
      <c r="E16" s="7" t="n">
        <v>5</v>
      </c>
      <c r="F16" s="13" t="n">
        <v>14141</v>
      </c>
      <c r="G16" s="6" t="n">
        <v>0.06251215673792726</v>
      </c>
    </row>
    <row r="17">
      <c r="A17" t="n">
        <v>6</v>
      </c>
      <c r="B17" s="11" t="n">
        <v>7221.375206093</v>
      </c>
      <c r="C17" s="6" t="n">
        <v>0.03244141550409205</v>
      </c>
      <c r="E17" s="7" t="n">
        <v>6</v>
      </c>
      <c r="F17" s="13" t="n">
        <v>11212</v>
      </c>
      <c r="G17" s="6" t="n">
        <v>0.04956412568740827</v>
      </c>
    </row>
    <row r="18">
      <c r="A18" t="n">
        <v>7</v>
      </c>
      <c r="B18" s="11" t="n">
        <v>6387.6328183215</v>
      </c>
      <c r="C18" s="6" t="n">
        <v>0.02869589855570698</v>
      </c>
      <c r="E18" s="7" t="n">
        <v>7</v>
      </c>
      <c r="F18" s="13" t="n">
        <v>8707</v>
      </c>
      <c r="G18" s="6" t="n">
        <v>0.03849044259367319</v>
      </c>
    </row>
    <row r="19">
      <c r="A19" t="n">
        <v>8</v>
      </c>
      <c r="B19" s="11" t="n">
        <v>5267.939954106199</v>
      </c>
      <c r="C19" s="6" t="n">
        <v>0.02366577334986988</v>
      </c>
      <c r="E19" s="7" t="n">
        <v>8</v>
      </c>
      <c r="F19" s="13" t="n">
        <v>6683</v>
      </c>
      <c r="G19" s="6" t="n">
        <v>0.02954308347921419</v>
      </c>
    </row>
    <row r="20">
      <c r="A20" t="n">
        <v>9</v>
      </c>
      <c r="B20" s="11" t="n">
        <v>8519.392386035001</v>
      </c>
      <c r="C20" s="6" t="n">
        <v>0.03827264757058522</v>
      </c>
      <c r="E20" s="7" t="n">
        <v>9</v>
      </c>
      <c r="F20" s="13" t="n">
        <v>5140</v>
      </c>
      <c r="G20" s="6" t="n">
        <v>0.02272204834403126</v>
      </c>
    </row>
    <row r="21">
      <c r="A21" t="n">
        <v>10</v>
      </c>
      <c r="B21" s="11" t="n">
        <v>4506.0268801141</v>
      </c>
      <c r="C21" s="6" t="n">
        <v>0.02024294350015892</v>
      </c>
      <c r="E21" s="7" t="n">
        <v>10</v>
      </c>
      <c r="F21" s="13" t="n">
        <v>4257</v>
      </c>
      <c r="G21" s="6" t="n">
        <v>0.01881863031138932</v>
      </c>
    </row>
    <row r="22">
      <c r="A22" t="n">
        <v>11</v>
      </c>
      <c r="B22" s="11" t="n">
        <v>4365.7965104336</v>
      </c>
      <c r="C22" s="6" t="n">
        <v>0.01961297046050034</v>
      </c>
      <c r="E22" s="7" t="n">
        <v>11</v>
      </c>
      <c r="F22" s="13" t="n">
        <v>3931</v>
      </c>
      <c r="G22" s="6" t="n">
        <v>0.01737750428801301</v>
      </c>
    </row>
    <row r="23">
      <c r="A23" t="n">
        <v>12</v>
      </c>
      <c r="B23" s="11" t="n">
        <v>3325.0489062684</v>
      </c>
      <c r="C23" s="6" t="n">
        <v>0.01493750013829302</v>
      </c>
      <c r="E23" s="7" t="n">
        <v>12</v>
      </c>
      <c r="F23" s="13" t="n">
        <v>3633</v>
      </c>
      <c r="G23" s="6" t="n">
        <v>0.01606015595989603</v>
      </c>
    </row>
    <row r="24">
      <c r="A24" t="n">
        <v>13</v>
      </c>
      <c r="B24" s="11" t="n">
        <v>8820.085089198001</v>
      </c>
      <c r="C24" s="6" t="n">
        <v>0.03962348403094929</v>
      </c>
      <c r="E24" s="7" t="n">
        <v>13</v>
      </c>
      <c r="F24" s="13" t="n">
        <v>3353</v>
      </c>
      <c r="G24" s="6" t="n">
        <v>0.01482237900730288</v>
      </c>
    </row>
    <row r="25">
      <c r="A25" t="n">
        <v>14</v>
      </c>
      <c r="B25" s="11" t="n">
        <v>1020.586890581</v>
      </c>
      <c r="C25" s="6" t="n">
        <v>0.00458490002671953</v>
      </c>
      <c r="E25" s="7" t="n">
        <v>14</v>
      </c>
      <c r="F25" s="13" t="n">
        <v>3013</v>
      </c>
      <c r="G25" s="6" t="n">
        <v>0.01331936413629693</v>
      </c>
    </row>
    <row r="26">
      <c r="A26" t="n">
        <v>15</v>
      </c>
      <c r="B26" s="11" t="n">
        <v>2207.493837869</v>
      </c>
      <c r="C26" s="6" t="n">
        <v>0.009916978798803709</v>
      </c>
      <c r="E26" s="7" t="n">
        <v>15</v>
      </c>
      <c r="F26" s="13" t="n">
        <v>2921</v>
      </c>
      <c r="G26" s="6" t="n">
        <v>0.01291266599473061</v>
      </c>
    </row>
    <row r="27">
      <c r="A27" t="n">
        <v>16</v>
      </c>
      <c r="B27" s="11" t="n">
        <v>3295.359136227</v>
      </c>
      <c r="C27" s="6" t="n">
        <v>0.01480412136504754</v>
      </c>
      <c r="E27" s="7" t="n">
        <v>16</v>
      </c>
      <c r="F27" s="13" t="n">
        <v>2577</v>
      </c>
      <c r="G27" s="6" t="n">
        <v>0.01139196859583046</v>
      </c>
    </row>
    <row r="28">
      <c r="A28" t="n">
        <v>17</v>
      </c>
      <c r="B28" s="11" t="n">
        <v>922.4763074360001</v>
      </c>
      <c r="C28" s="6" t="n">
        <v>0.004144146554933408</v>
      </c>
      <c r="E28" s="7" t="n">
        <v>17</v>
      </c>
      <c r="F28" s="13" t="n">
        <v>2147</v>
      </c>
      <c r="G28" s="6" t="n">
        <v>0.009491096847205276</v>
      </c>
    </row>
    <row r="29">
      <c r="A29" t="n">
        <v>18</v>
      </c>
      <c r="B29" s="11" t="n">
        <v>470.636752084</v>
      </c>
      <c r="C29" s="6" t="n">
        <v>0.002114295683316801</v>
      </c>
      <c r="E29" s="7" t="n">
        <v>18</v>
      </c>
      <c r="F29" s="13" t="n">
        <v>2028</v>
      </c>
      <c r="G29" s="6" t="n">
        <v>0.008965041642353191</v>
      </c>
    </row>
    <row r="30">
      <c r="A30" t="n">
        <v>19</v>
      </c>
      <c r="B30" s="11" t="n">
        <v>118.76068269</v>
      </c>
      <c r="C30" s="6" t="n">
        <v>0.000533522292186836</v>
      </c>
      <c r="E30" s="7" t="n">
        <v>19</v>
      </c>
      <c r="F30" s="13" t="n">
        <v>1780</v>
      </c>
      <c r="G30" s="6" t="n">
        <v>0.007868724912913551</v>
      </c>
    </row>
    <row r="31">
      <c r="A31" t="n">
        <v>20</v>
      </c>
      <c r="B31" s="11" t="n">
        <v>63.479249788</v>
      </c>
      <c r="C31" s="6" t="n">
        <v>0.0002851751445518276</v>
      </c>
      <c r="E31" s="7" t="n">
        <v>20</v>
      </c>
      <c r="F31" s="13" t="n">
        <v>1648</v>
      </c>
      <c r="G31" s="6" t="n">
        <v>0.007285201492405354</v>
      </c>
    </row>
    <row r="32">
      <c r="A32" t="n">
        <v>21</v>
      </c>
      <c r="B32" s="11" t="n">
        <v>92.2295488388</v>
      </c>
      <c r="C32" s="6" t="n">
        <v>0.0004143334240699649</v>
      </c>
      <c r="E32" s="7" t="n">
        <v>21</v>
      </c>
      <c r="F32" s="13" t="n">
        <v>1549</v>
      </c>
      <c r="G32" s="6" t="n">
        <v>0.006847558927024208</v>
      </c>
    </row>
    <row r="33">
      <c r="A33" t="n">
        <v>22</v>
      </c>
      <c r="B33" s="11" t="n">
        <v>935.046674253</v>
      </c>
      <c r="C33" s="6" t="n">
        <v>0.004200617861479711</v>
      </c>
      <c r="E33" s="7" t="n">
        <v>22</v>
      </c>
      <c r="F33" s="13" t="n">
        <v>1216</v>
      </c>
      <c r="G33" s="6" t="n">
        <v>0.005375488479833077</v>
      </c>
    </row>
    <row r="34">
      <c r="A34" t="n">
        <v>23</v>
      </c>
      <c r="B34" s="11" t="n">
        <v>0</v>
      </c>
      <c r="C34" s="6" t="n">
        <v>0</v>
      </c>
      <c r="E34" s="7" t="n">
        <v>23</v>
      </c>
      <c r="F34" s="13" t="n">
        <v>1078</v>
      </c>
      <c r="G34" s="6" t="n">
        <v>0.004765441267483599</v>
      </c>
    </row>
    <row r="35">
      <c r="A35" t="n">
        <v>24</v>
      </c>
      <c r="B35" s="11" t="n">
        <v>1422.099830239</v>
      </c>
      <c r="C35" s="6" t="n">
        <v>0.006388662846677188</v>
      </c>
      <c r="E35" s="7" t="n">
        <v>24</v>
      </c>
      <c r="F35" s="13" t="n">
        <v>939</v>
      </c>
      <c r="G35" s="6" t="n">
        <v>0.004150973423160575</v>
      </c>
    </row>
    <row r="36">
      <c r="A36" t="n">
        <v>25</v>
      </c>
      <c r="B36" s="11" t="n">
        <v>4.5575</v>
      </c>
      <c r="C36" s="6" t="n">
        <v>2.047418212463885e-05</v>
      </c>
      <c r="E36" s="7" t="n">
        <v>25</v>
      </c>
      <c r="F36" s="13" t="n">
        <v>792</v>
      </c>
      <c r="G36" s="6" t="n">
        <v>0.003501140523049175</v>
      </c>
    </row>
    <row r="37">
      <c r="A37" t="n">
        <v>26</v>
      </c>
      <c r="B37" s="11" t="n">
        <v>0</v>
      </c>
      <c r="C37" s="6" t="n">
        <v>0</v>
      </c>
      <c r="E37" s="7" t="n">
        <v>26</v>
      </c>
      <c r="F37" s="13" t="n">
        <v>669</v>
      </c>
      <c r="G37" s="6" t="n">
        <v>0.002957402790302902</v>
      </c>
    </row>
    <row r="38">
      <c r="A38" t="n">
        <v>27</v>
      </c>
      <c r="B38" s="11" t="n">
        <v>190.3388878356</v>
      </c>
      <c r="C38" s="6" t="n">
        <v>0.0008550813066258435</v>
      </c>
      <c r="E38" s="7" t="n">
        <v>27</v>
      </c>
      <c r="F38" s="13" t="n">
        <v>594</v>
      </c>
      <c r="G38" s="6" t="n">
        <v>0.002625855392286881</v>
      </c>
    </row>
    <row r="39">
      <c r="A39" t="n">
        <v>28</v>
      </c>
      <c r="B39" s="11" t="n">
        <v>263.128777017</v>
      </c>
      <c r="C39" s="6" t="n">
        <v>0.001182083708805166</v>
      </c>
      <c r="E39" s="7" t="n">
        <v>28</v>
      </c>
      <c r="F39" s="13" t="n">
        <v>481</v>
      </c>
      <c r="G39" s="6" t="n">
        <v>0.002126323979276077</v>
      </c>
    </row>
    <row r="40">
      <c r="A40" t="n">
        <v>29</v>
      </c>
      <c r="B40" s="11" t="n">
        <v>736.563073278</v>
      </c>
      <c r="C40" s="6" t="n">
        <v>0.003308947122013711</v>
      </c>
      <c r="E40" s="7" t="n">
        <v>29</v>
      </c>
      <c r="F40" s="13" t="n">
        <v>418</v>
      </c>
      <c r="G40" s="6" t="n">
        <v>0.00184782416494262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342</v>
      </c>
      <c r="G41" s="6" t="n">
        <v>0.001511856134953053</v>
      </c>
    </row>
    <row r="42">
      <c r="A42" t="n">
        <v>31</v>
      </c>
      <c r="B42" s="11" t="n">
        <v>0</v>
      </c>
      <c r="C42" s="6" t="n">
        <v>0</v>
      </c>
      <c r="E42" s="7" t="n">
        <v>31</v>
      </c>
      <c r="F42" s="13" t="n">
        <v>281</v>
      </c>
      <c r="G42" s="6" t="n">
        <v>0.00124219758456669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255</v>
      </c>
      <c r="G43" s="6" t="n">
        <v>0.001127261153254469</v>
      </c>
    </row>
    <row r="44">
      <c r="A44" t="n">
        <v>33</v>
      </c>
      <c r="B44" s="11" t="n">
        <v>0</v>
      </c>
      <c r="C44" s="6" t="n">
        <v>0</v>
      </c>
      <c r="E44" s="7" t="n">
        <v>33</v>
      </c>
      <c r="F44" s="13" t="n">
        <v>224</v>
      </c>
      <c r="G44" s="6" t="n">
        <v>0.0009902215620745142</v>
      </c>
    </row>
    <row r="45">
      <c r="A45" t="n">
        <v>34</v>
      </c>
      <c r="B45" s="11" t="n">
        <v>0</v>
      </c>
      <c r="C45" s="6" t="n">
        <v>0</v>
      </c>
      <c r="E45" s="7" t="n">
        <v>34</v>
      </c>
      <c r="F45" s="13" t="n">
        <v>216</v>
      </c>
      <c r="G45" s="6" t="n">
        <v>0.0009548565062861387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204</v>
      </c>
      <c r="G46" s="6" t="n">
        <v>0.0009018089226035754</v>
      </c>
    </row>
    <row r="47">
      <c r="A47" t="n">
        <v>36</v>
      </c>
      <c r="B47" s="11" t="n">
        <v>4291.0185</v>
      </c>
      <c r="C47" s="6" t="n">
        <v>0.01927703659225335</v>
      </c>
      <c r="E47" s="7" t="n">
        <v>36</v>
      </c>
      <c r="F47" s="13" t="n">
        <v>168</v>
      </c>
      <c r="G47" s="6" t="n">
        <v>0.0007426661715558856</v>
      </c>
    </row>
    <row r="48">
      <c r="A48" t="n">
        <v>37</v>
      </c>
      <c r="B48" s="11" t="n">
        <v>417.967608267</v>
      </c>
      <c r="C48" s="6" t="n">
        <v>0.001877684022788429</v>
      </c>
      <c r="E48" s="7" t="n">
        <v>37</v>
      </c>
      <c r="F48" s="13" t="n">
        <v>149</v>
      </c>
      <c r="G48" s="6" t="n">
        <v>0.0006586741640584938</v>
      </c>
    </row>
    <row r="49">
      <c r="A49" t="n">
        <v>38</v>
      </c>
      <c r="B49" s="11" t="n">
        <v>0</v>
      </c>
      <c r="C49" s="6" t="n">
        <v>0</v>
      </c>
      <c r="E49" s="7" t="n">
        <v>38</v>
      </c>
      <c r="F49" s="13" t="n">
        <v>137</v>
      </c>
      <c r="G49" s="6" t="n">
        <v>0.0006056265803759305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99</v>
      </c>
      <c r="G50" s="6" t="n">
        <v>0.0004376425653811469</v>
      </c>
    </row>
    <row r="51">
      <c r="A51" t="n">
        <v>40</v>
      </c>
      <c r="B51" s="11" t="n">
        <v>0</v>
      </c>
      <c r="C51" s="6" t="n">
        <v>0</v>
      </c>
      <c r="E51" s="7" t="n">
        <v>40</v>
      </c>
      <c r="F51" s="13" t="n">
        <v>102</v>
      </c>
      <c r="G51" s="6" t="n">
        <v>0.0004509044613017877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75</v>
      </c>
      <c r="G52" s="6" t="n">
        <v>0.0003315473980160204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70</v>
      </c>
      <c r="G53" s="6" t="n">
        <v>0.0003094442381482857</v>
      </c>
    </row>
    <row r="54">
      <c r="A54" t="n">
        <v>43</v>
      </c>
      <c r="B54" s="11" t="n">
        <v>65.2262658228</v>
      </c>
      <c r="C54" s="6" t="n">
        <v>0.0002930234658839526</v>
      </c>
      <c r="E54" s="7" t="n">
        <v>43</v>
      </c>
      <c r="F54" s="13" t="n">
        <v>68</v>
      </c>
      <c r="G54" s="6" t="n">
        <v>0.0003006029742011918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52</v>
      </c>
      <c r="G55" s="6" t="n">
        <v>0.0002298728626244408</v>
      </c>
    </row>
    <row r="56">
      <c r="A56" t="n">
        <v>45</v>
      </c>
      <c r="B56" s="11" t="n">
        <v>330.0850346173</v>
      </c>
      <c r="C56" s="6" t="n">
        <v>0.001482879015989539</v>
      </c>
      <c r="E56" s="7" t="n">
        <v>45</v>
      </c>
      <c r="F56" s="13" t="n">
        <v>46</v>
      </c>
      <c r="G56" s="6" t="n">
        <v>0.0002033490707831592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23</v>
      </c>
      <c r="G57" s="6" t="n">
        <v>0.0001016745353915796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27</v>
      </c>
      <c r="G58" s="6" t="n">
        <v>0.0001193570632857673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34</v>
      </c>
      <c r="G59" s="6" t="n">
        <v>0.0001503014871005959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13</v>
      </c>
      <c r="G60" s="6" t="n">
        <v>5.74682156561102e-05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13</v>
      </c>
      <c r="G61" s="6" t="n">
        <v>5.74682156561102e-05</v>
      </c>
    </row>
    <row r="62">
      <c r="A62" t="n">
        <v>51</v>
      </c>
      <c r="B62" s="11" t="n">
        <v>0</v>
      </c>
      <c r="C62" s="6" t="n">
        <v>0</v>
      </c>
      <c r="E62" s="7" t="n">
        <v>51</v>
      </c>
      <c r="F62" s="13" t="n">
        <v>13</v>
      </c>
      <c r="G62" s="6" t="n">
        <v>5.74682156561102e-05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17</v>
      </c>
      <c r="G63" s="6" t="n">
        <v>7.515074355029795e-05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8</v>
      </c>
      <c r="G64" s="6" t="n">
        <v>3.53650557883755e-05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2</v>
      </c>
      <c r="G65" s="6" t="n">
        <v>8.841263947093876e-06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6</v>
      </c>
      <c r="G66" s="6" t="n">
        <v>2.652379184128163e-05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4</v>
      </c>
      <c r="G67" s="6" t="n">
        <v>1.768252789418775e-05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2</v>
      </c>
      <c r="G68" s="6" t="n">
        <v>8.841263947093876e-06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4.420631973546938e-06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3</v>
      </c>
      <c r="G70" s="6" t="n">
        <v>1.326189592064082e-05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2</v>
      </c>
      <c r="G71" s="6" t="n">
        <v>8.841263947093876e-06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2</v>
      </c>
      <c r="G72" s="6" t="n">
        <v>8.841263947093876e-06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3</v>
      </c>
      <c r="G73" s="6" t="n">
        <v>1.326189592064082e-05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8.841263947093876e-06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4.420631973546938e-06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1</v>
      </c>
      <c r="G80" s="6" t="n">
        <v>4.420631973546938e-06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1</v>
      </c>
      <c r="G81" s="6" t="n">
        <v>4.420631973546938e-06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1</v>
      </c>
      <c r="G87" s="6" t="n">
        <v>4.420631973546938e-06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1</v>
      </c>
      <c r="G88" s="6" t="n">
        <v>4.420631973546938e-06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 s="10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222597.414258392</v>
      </c>
      <c r="C102" s="6" t="n">
        <v>1</v>
      </c>
      <c r="F102" s="11" t="n">
        <v>226212</v>
      </c>
      <c r="G102" s="6" t="n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3" sqref="D33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2.7109375" customWidth="1" style="10" min="5" max="5"/>
    <col collapsed="1" width="10.5703125" customWidth="1" style="10" min="6" max="6"/>
    <col collapsed="1" width="10.28515625" customWidth="1" style="10" min="12" max="12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0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10443.7812211578</v>
      </c>
      <c r="C11" s="6" t="n">
        <v>0.04642460071320529</v>
      </c>
      <c r="E11" s="7" t="n">
        <v>0</v>
      </c>
      <c r="F11" s="13" t="n">
        <v>50322</v>
      </c>
      <c r="G11" s="6" t="n">
        <v>0.2079515760923494</v>
      </c>
      <c r="K11" s="4" t="n">
        <v>6.88784906943493</v>
      </c>
      <c r="L11" s="4" t="n">
        <v>6.332963420610452</v>
      </c>
    </row>
    <row r="12">
      <c r="A12" t="n">
        <v>1</v>
      </c>
      <c r="B12" s="11" t="n">
        <v>15937.7795198576</v>
      </c>
      <c r="C12" s="6" t="n">
        <v>0.07084647167498438</v>
      </c>
      <c r="E12" s="7" t="n">
        <v>1</v>
      </c>
      <c r="F12" s="13" t="n">
        <v>24194</v>
      </c>
      <c r="G12" s="6" t="n">
        <v>0.09872076869645752</v>
      </c>
      <c r="K12" s="4" t="inlineStr"/>
      <c r="L12" s="7" t="inlineStr"/>
    </row>
    <row r="13">
      <c r="A13" t="n">
        <v>2</v>
      </c>
      <c r="B13" s="11" t="n">
        <v>12657.4760069762</v>
      </c>
      <c r="C13" s="6" t="n">
        <v>0.05626489651759505</v>
      </c>
      <c r="E13" s="7" t="n">
        <v>2</v>
      </c>
      <c r="F13" s="13" t="n">
        <v>15010</v>
      </c>
      <c r="G13" s="6" t="n">
        <v>0.06308090497138888</v>
      </c>
    </row>
    <row r="14">
      <c r="A14" t="n">
        <v>3</v>
      </c>
      <c r="B14" s="11" t="n">
        <v>23152.2803822939</v>
      </c>
      <c r="C14" s="6" t="n">
        <v>0.1029163048887588</v>
      </c>
      <c r="E14" s="7" t="n">
        <v>3</v>
      </c>
      <c r="F14" s="13" t="n">
        <v>8802</v>
      </c>
      <c r="G14" s="6" t="n">
        <v>0.03645437105150002</v>
      </c>
    </row>
    <row r="15">
      <c r="A15" t="n">
        <v>4</v>
      </c>
      <c r="B15" s="11" t="n">
        <v>38295.8132455448</v>
      </c>
      <c r="C15" s="6" t="n">
        <v>0.1702321985939496</v>
      </c>
      <c r="E15" s="7" t="n">
        <v>4</v>
      </c>
      <c r="F15" s="13" t="n">
        <v>32746</v>
      </c>
      <c r="G15" s="6" t="n">
        <v>0.1376641418317732</v>
      </c>
    </row>
    <row r="16">
      <c r="A16" t="n">
        <v>5</v>
      </c>
      <c r="B16" s="11" t="n">
        <v>30113.6119753438</v>
      </c>
      <c r="C16" s="6" t="n">
        <v>0.1338607523830099</v>
      </c>
      <c r="E16" s="7" t="n">
        <v>5</v>
      </c>
      <c r="F16" s="13" t="n">
        <v>20430</v>
      </c>
      <c r="G16" s="6" t="n">
        <v>0.0839438692819105</v>
      </c>
    </row>
    <row r="17">
      <c r="A17" t="n">
        <v>6</v>
      </c>
      <c r="B17" s="11" t="n">
        <v>24343.8135416979</v>
      </c>
      <c r="C17" s="6" t="n">
        <v>0.1082128971852166</v>
      </c>
      <c r="E17" s="7" t="n">
        <v>6</v>
      </c>
      <c r="F17" s="13" t="n">
        <v>17407</v>
      </c>
      <c r="G17" s="6" t="n">
        <v>0.06990292064962128</v>
      </c>
    </row>
    <row r="18">
      <c r="A18" t="n">
        <v>7</v>
      </c>
      <c r="B18" s="11" t="n">
        <v>8311.7366978515</v>
      </c>
      <c r="C18" s="6" t="n">
        <v>0.03694725590855242</v>
      </c>
      <c r="E18" s="7" t="n">
        <v>7</v>
      </c>
      <c r="F18" s="13" t="n">
        <v>8923</v>
      </c>
      <c r="G18" s="6" t="n">
        <v>0.04498809248172526</v>
      </c>
    </row>
    <row r="19">
      <c r="A19" t="n">
        <v>8</v>
      </c>
      <c r="B19" s="11" t="n">
        <v>3208.1913377191</v>
      </c>
      <c r="C19" s="6" t="n">
        <v>0.01426102277625668</v>
      </c>
      <c r="E19" s="7" t="n">
        <v>8</v>
      </c>
      <c r="F19" s="13" t="n">
        <v>11511</v>
      </c>
      <c r="G19" s="6" t="n">
        <v>0.0366280223596732</v>
      </c>
    </row>
    <row r="20">
      <c r="A20" t="n">
        <v>9</v>
      </c>
      <c r="B20" s="11" t="n">
        <v>5598.5403800948</v>
      </c>
      <c r="C20" s="6" t="n">
        <v>0.02488658046533112</v>
      </c>
      <c r="E20" s="7" t="n">
        <v>9</v>
      </c>
      <c r="F20" s="13" t="n">
        <v>6857</v>
      </c>
      <c r="G20" s="6" t="n">
        <v>0.03129031191082592</v>
      </c>
    </row>
    <row r="21">
      <c r="A21" t="n">
        <v>10</v>
      </c>
      <c r="B21" s="11" t="n">
        <v>10320.6085837997</v>
      </c>
      <c r="C21" s="6" t="n">
        <v>0.04587707483277438</v>
      </c>
      <c r="E21" s="7" t="n">
        <v>10</v>
      </c>
      <c r="F21" s="13" t="n">
        <v>3749</v>
      </c>
      <c r="G21" s="6" t="n">
        <v>0.01654235438097443</v>
      </c>
    </row>
    <row r="22">
      <c r="A22" t="n">
        <v>11</v>
      </c>
      <c r="B22" s="11" t="n">
        <v>4437.065708914</v>
      </c>
      <c r="C22" s="6" t="n">
        <v>0.01972360388565777</v>
      </c>
      <c r="E22" s="7" t="n">
        <v>11</v>
      </c>
      <c r="F22" s="13" t="n">
        <v>4492</v>
      </c>
      <c r="G22" s="6" t="n">
        <v>0.01883289782687791</v>
      </c>
    </row>
    <row r="23">
      <c r="A23" t="n">
        <v>12</v>
      </c>
      <c r="B23" s="11" t="n">
        <v>7055.822490588</v>
      </c>
      <c r="C23" s="6" t="n">
        <v>0.03136447756730084</v>
      </c>
      <c r="E23" s="7" t="n">
        <v>12</v>
      </c>
      <c r="F23" s="13" t="n">
        <v>3675</v>
      </c>
      <c r="G23" s="6" t="n">
        <v>0.01431382925941852</v>
      </c>
    </row>
    <row r="24">
      <c r="A24" t="n">
        <v>13</v>
      </c>
      <c r="B24" s="11" t="n">
        <v>7177.130722202401</v>
      </c>
      <c r="C24" s="6" t="n">
        <v>0.03190371580838104</v>
      </c>
      <c r="E24" s="7" t="n">
        <v>13</v>
      </c>
      <c r="F24" s="13" t="n">
        <v>4449</v>
      </c>
      <c r="G24" s="6" t="n">
        <v>0.01934558264148447</v>
      </c>
    </row>
    <row r="25">
      <c r="A25" t="n">
        <v>14</v>
      </c>
      <c r="B25" s="11" t="n">
        <v>2354.858463509</v>
      </c>
      <c r="C25" s="6" t="n">
        <v>0.01046779529267062</v>
      </c>
      <c r="E25" s="7" t="n">
        <v>14</v>
      </c>
      <c r="F25" s="13" t="n">
        <v>2964</v>
      </c>
      <c r="G25" s="6" t="n">
        <v>0.01272202560116429</v>
      </c>
    </row>
    <row r="26">
      <c r="A26" t="n">
        <v>15</v>
      </c>
      <c r="B26" s="11" t="n">
        <v>4185.475136309</v>
      </c>
      <c r="C26" s="6" t="n">
        <v>0.0186052357746204</v>
      </c>
      <c r="E26" s="7" t="n">
        <v>15</v>
      </c>
      <c r="F26" s="13" t="n">
        <v>4160</v>
      </c>
      <c r="G26" s="6" t="n">
        <v>0.01579813448880362</v>
      </c>
    </row>
    <row r="27">
      <c r="A27" t="n">
        <v>16</v>
      </c>
      <c r="B27" s="11" t="n">
        <v>2863.698957036</v>
      </c>
      <c r="C27" s="6" t="n">
        <v>0.01272968839809537</v>
      </c>
      <c r="E27" s="7" t="n">
        <v>16</v>
      </c>
      <c r="F27" s="13" t="n">
        <v>2700</v>
      </c>
      <c r="G27" s="6" t="n">
        <v>0.01103926173386697</v>
      </c>
    </row>
    <row r="28">
      <c r="A28" t="n">
        <v>17</v>
      </c>
      <c r="B28" s="11" t="n">
        <v>1852.840395828</v>
      </c>
      <c r="C28" s="6" t="n">
        <v>0.008236229172184462</v>
      </c>
      <c r="E28" s="7" t="n">
        <v>17</v>
      </c>
      <c r="F28" s="13" t="n">
        <v>2577</v>
      </c>
      <c r="G28" s="6" t="n">
        <v>0.01008004498395793</v>
      </c>
    </row>
    <row r="29">
      <c r="A29" t="n">
        <v>18</v>
      </c>
      <c r="B29" s="11" t="n">
        <v>3109.493426527</v>
      </c>
      <c r="C29" s="6" t="n">
        <v>0.01382229172461055</v>
      </c>
      <c r="E29" s="7" t="n">
        <v>18</v>
      </c>
      <c r="F29" s="13" t="n">
        <v>2284</v>
      </c>
      <c r="G29" s="6" t="n">
        <v>0.01008004498395793</v>
      </c>
    </row>
    <row r="30">
      <c r="A30" t="n">
        <v>19</v>
      </c>
      <c r="B30" s="11" t="n">
        <v>92.2295488388</v>
      </c>
      <c r="C30" s="6" t="n">
        <v>0.000409977946505249</v>
      </c>
      <c r="E30" s="7" t="n">
        <v>19</v>
      </c>
      <c r="F30" s="13" t="n">
        <v>1958</v>
      </c>
      <c r="G30" s="6" t="n">
        <v>0.008314590017530514</v>
      </c>
    </row>
    <row r="31">
      <c r="A31" t="n">
        <v>20</v>
      </c>
      <c r="B31" s="11" t="n">
        <v>0</v>
      </c>
      <c r="C31" s="6" t="n">
        <v>0</v>
      </c>
      <c r="E31" s="7" t="n">
        <v>20</v>
      </c>
      <c r="F31" s="13" t="n">
        <v>1561</v>
      </c>
      <c r="G31" s="6" t="n">
        <v>0.00669797902953726</v>
      </c>
    </row>
    <row r="32">
      <c r="A32" t="n">
        <v>21</v>
      </c>
      <c r="B32" s="11" t="n">
        <v>309.0995705256</v>
      </c>
      <c r="C32" s="6" t="n">
        <v>0.001374006582328943</v>
      </c>
      <c r="E32" s="7" t="n">
        <v>21</v>
      </c>
      <c r="F32" s="13" t="n">
        <v>1603</v>
      </c>
      <c r="G32" s="6" t="n">
        <v>0.005804915158932293</v>
      </c>
    </row>
    <row r="33">
      <c r="A33" t="n">
        <v>22</v>
      </c>
      <c r="B33" s="11" t="n">
        <v>2139.948876604</v>
      </c>
      <c r="C33" s="6" t="n">
        <v>0.009512481163599037</v>
      </c>
      <c r="E33" s="7" t="n">
        <v>22</v>
      </c>
      <c r="F33" s="13" t="n">
        <v>1235</v>
      </c>
      <c r="G33" s="6" t="n">
        <v>0.004647239771111038</v>
      </c>
    </row>
    <row r="34">
      <c r="A34" t="n">
        <v>23</v>
      </c>
      <c r="B34" s="11" t="n">
        <v>63.479249788</v>
      </c>
      <c r="C34" s="6" t="n">
        <v>0.0002821773802587389</v>
      </c>
      <c r="E34" s="7" t="n">
        <v>23</v>
      </c>
      <c r="F34" s="13" t="n">
        <v>1273</v>
      </c>
      <c r="G34" s="6" t="n">
        <v>0.004994542387457414</v>
      </c>
    </row>
    <row r="35">
      <c r="A35" t="n">
        <v>24</v>
      </c>
      <c r="B35" s="11" t="n">
        <v>897.8349498770001</v>
      </c>
      <c r="C35" s="6" t="n">
        <v>0.003991047703101882</v>
      </c>
      <c r="E35" s="7" t="n">
        <v>24</v>
      </c>
      <c r="F35" s="13" t="n">
        <v>1340</v>
      </c>
      <c r="G35" s="6" t="n">
        <v>0.004614163331459002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1256</v>
      </c>
      <c r="G36" s="6" t="n">
        <v>0.004965600502761883</v>
      </c>
    </row>
    <row r="37">
      <c r="A37" t="n">
        <v>26</v>
      </c>
      <c r="B37" s="11" t="n">
        <v>0</v>
      </c>
      <c r="C37" s="6" t="n">
        <v>0</v>
      </c>
      <c r="E37" s="7" t="n">
        <v>26</v>
      </c>
      <c r="F37" s="13" t="n">
        <v>695</v>
      </c>
      <c r="G37" s="6" t="n">
        <v>0.003700426686071511</v>
      </c>
    </row>
    <row r="38">
      <c r="A38" t="n">
        <v>27</v>
      </c>
      <c r="B38" s="11" t="n">
        <v>4.5575</v>
      </c>
      <c r="C38" s="6" t="n">
        <v>2.025895729429856e-05</v>
      </c>
      <c r="E38" s="7" t="n">
        <v>27</v>
      </c>
      <c r="F38" s="13" t="n">
        <v>459</v>
      </c>
      <c r="G38" s="6" t="n">
        <v>0.002178910462077862</v>
      </c>
    </row>
    <row r="39">
      <c r="A39" t="n">
        <v>28</v>
      </c>
      <c r="B39" s="11" t="n">
        <v>0</v>
      </c>
      <c r="C39" s="6" t="n">
        <v>0</v>
      </c>
      <c r="E39" s="7" t="n">
        <v>28</v>
      </c>
      <c r="F39" s="13" t="n">
        <v>410</v>
      </c>
      <c r="G39" s="6" t="n">
        <v>0.001769589521383918</v>
      </c>
    </row>
    <row r="40">
      <c r="A40" t="n">
        <v>29</v>
      </c>
      <c r="B40" s="11" t="n">
        <v>0</v>
      </c>
      <c r="C40" s="6" t="n">
        <v>0</v>
      </c>
      <c r="E40" s="7" t="n">
        <v>29</v>
      </c>
      <c r="F40" s="13" t="n">
        <v>505</v>
      </c>
      <c r="G40" s="6" t="n">
        <v>0.001769589521383918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403</v>
      </c>
      <c r="G41" s="6" t="n">
        <v>0.001616610987993252</v>
      </c>
    </row>
    <row r="42">
      <c r="A42" t="n">
        <v>31</v>
      </c>
      <c r="B42" s="11" t="n">
        <v>0</v>
      </c>
      <c r="C42" s="6" t="n">
        <v>0</v>
      </c>
      <c r="E42" s="7" t="n">
        <v>31</v>
      </c>
      <c r="F42" s="13" t="n">
        <v>317</v>
      </c>
      <c r="G42" s="6" t="n">
        <v>0.001686898422253829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301</v>
      </c>
      <c r="G43" s="6" t="n">
        <v>0.001294115701385903</v>
      </c>
    </row>
    <row r="44">
      <c r="A44" t="n">
        <v>33</v>
      </c>
      <c r="B44" s="11" t="n">
        <v>0</v>
      </c>
      <c r="C44" s="6" t="n">
        <v>0</v>
      </c>
      <c r="E44" s="7" t="n">
        <v>33</v>
      </c>
      <c r="F44" s="13" t="n">
        <v>224</v>
      </c>
      <c r="G44" s="6" t="n">
        <v>0.0007483544471273112</v>
      </c>
    </row>
    <row r="45">
      <c r="A45" t="n">
        <v>34</v>
      </c>
      <c r="B45" s="11" t="n">
        <v>4291.0185</v>
      </c>
      <c r="C45" s="6" t="n">
        <v>0.01907439616907187</v>
      </c>
      <c r="E45" s="7" t="n">
        <v>34</v>
      </c>
      <c r="F45" s="13" t="n">
        <v>128</v>
      </c>
      <c r="G45" s="6" t="n">
        <v>0.0007235471173882844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170</v>
      </c>
      <c r="G46" s="6" t="n">
        <v>0.0005829722488671319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193</v>
      </c>
      <c r="G47" s="6" t="n">
        <v>0.0008145073264313829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103</v>
      </c>
      <c r="G48" s="6" t="n">
        <v>0.0005457612542585916</v>
      </c>
    </row>
    <row r="49">
      <c r="A49" t="n">
        <v>38</v>
      </c>
      <c r="B49" s="11" t="n">
        <v>0</v>
      </c>
      <c r="C49" s="6" t="n">
        <v>0</v>
      </c>
      <c r="E49" s="7" t="n">
        <v>38</v>
      </c>
      <c r="F49" s="13" t="n">
        <v>104</v>
      </c>
      <c r="G49" s="6" t="n">
        <v>0.0006077795786061589</v>
      </c>
    </row>
    <row r="50">
      <c r="A50" t="n">
        <v>39</v>
      </c>
      <c r="B50" s="11" t="n">
        <v>65.2262658228</v>
      </c>
      <c r="C50" s="6" t="n">
        <v>0.0002899431999496809</v>
      </c>
      <c r="E50" s="7" t="n">
        <v>39</v>
      </c>
      <c r="F50" s="13" t="n">
        <v>146</v>
      </c>
      <c r="G50" s="6" t="n">
        <v>0.0006532596831277082</v>
      </c>
    </row>
    <row r="51">
      <c r="A51" t="n">
        <v>40</v>
      </c>
      <c r="B51" s="11" t="n">
        <v>417.967608267</v>
      </c>
      <c r="C51" s="6" t="n">
        <v>0.001857945787445148</v>
      </c>
      <c r="E51" s="7" t="n">
        <v>40</v>
      </c>
      <c r="F51" s="13" t="n">
        <v>105</v>
      </c>
      <c r="G51" s="6" t="n">
        <v>0.0003803790559984123</v>
      </c>
    </row>
    <row r="52">
      <c r="A52" t="n">
        <v>41</v>
      </c>
      <c r="B52" s="11" t="n">
        <v>1219.07842926</v>
      </c>
      <c r="C52" s="6" t="n">
        <v>0.005419036277954778</v>
      </c>
      <c r="E52" s="7" t="n">
        <v>41</v>
      </c>
      <c r="F52" s="13" t="n">
        <v>106</v>
      </c>
      <c r="G52" s="6" t="n">
        <v>0.0003307643965203585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62</v>
      </c>
      <c r="G53" s="6" t="n">
        <v>0.0003018225118248272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26</v>
      </c>
      <c r="G54" s="6" t="n">
        <v>9.09602090430986e-05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25</v>
      </c>
      <c r="G55" s="6" t="n">
        <v>9.509476399960308e-05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21</v>
      </c>
      <c r="G56" s="6" t="n">
        <v>0.0001571130883471703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20</v>
      </c>
      <c r="G57" s="6" t="n">
        <v>9.922931895610756e-05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34</v>
      </c>
      <c r="G58" s="6" t="n">
        <v>5.788376939106274e-05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10</v>
      </c>
      <c r="G59" s="6" t="n">
        <v>4.134554956504482e-05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18</v>
      </c>
      <c r="G60" s="6" t="n">
        <v>9.922931895610756e-05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29</v>
      </c>
      <c r="G61" s="6" t="n">
        <v>6.615287930407171e-05</v>
      </c>
    </row>
    <row r="62">
      <c r="A62" t="n">
        <v>51</v>
      </c>
      <c r="B62" s="11" t="n">
        <v>41.7609222283</v>
      </c>
      <c r="C62" s="6" t="n">
        <v>0.0001856352693348663</v>
      </c>
      <c r="E62" s="7" t="n">
        <v>51</v>
      </c>
      <c r="F62" s="13" t="n">
        <v>15</v>
      </c>
      <c r="G62" s="6" t="n">
        <v>4.961465947805378e-05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7</v>
      </c>
      <c r="G63" s="6" t="n">
        <v>3.307643965203585e-05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8</v>
      </c>
      <c r="G64" s="6" t="n">
        <v>3.307643965203585e-05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6</v>
      </c>
      <c r="G65" s="6" t="n">
        <v>2.067277478252241e-05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7</v>
      </c>
      <c r="G66" s="6" t="n">
        <v>8.269109913008963e-06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3</v>
      </c>
      <c r="G67" s="6" t="n">
        <v>0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2</v>
      </c>
      <c r="G68" s="6" t="n">
        <v>0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3</v>
      </c>
      <c r="G69" s="6" t="n">
        <v>4.134554956504482e-06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5</v>
      </c>
      <c r="G70" s="6" t="n">
        <v>0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4.134554956504482e-06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1</v>
      </c>
      <c r="G72" s="6" t="n">
        <v>0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4.134554956504482e-06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4.134554956504482e-06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4.134554956504482e-06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4.134554956504482e-06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 s="10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224962.2196144621</v>
      </c>
      <c r="C102" s="6" t="n">
        <v>1</v>
      </c>
      <c r="F102" s="11" t="n">
        <v>241864</v>
      </c>
      <c r="G102" s="6" t="n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4" sqref="H34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2.7109375" customWidth="1" style="10" min="5" max="5"/>
    <col collapsed="1" width="10.5703125" customWidth="1" style="10" min="6" max="6"/>
    <col collapsed="1" width="10.28515625" customWidth="1" style="10" min="12" max="12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0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2746.605257757</v>
      </c>
      <c r="C11" s="6" t="n">
        <v>0.09582927888246685</v>
      </c>
      <c r="E11" s="7" t="n">
        <v>0</v>
      </c>
      <c r="F11" s="13" t="n">
        <v>5321</v>
      </c>
      <c r="G11" s="6" t="n">
        <v>0.1716663441068318</v>
      </c>
      <c r="K11" s="4" t="n">
        <v>5.425695604781631</v>
      </c>
      <c r="L11" s="4" t="n">
        <v>6.632442509150326</v>
      </c>
    </row>
    <row r="12">
      <c r="A12" t="n">
        <v>1</v>
      </c>
      <c r="B12" s="11" t="n">
        <v>2084.603208229</v>
      </c>
      <c r="C12" s="6" t="n">
        <v>0.07273197400189926</v>
      </c>
      <c r="E12" s="7" t="n">
        <v>1</v>
      </c>
      <c r="F12" s="13" t="n">
        <v>3409</v>
      </c>
      <c r="G12" s="6" t="n">
        <v>0.1052512741113477</v>
      </c>
      <c r="K12" s="4" t="inlineStr"/>
      <c r="L12" s="7" t="inlineStr"/>
    </row>
    <row r="13">
      <c r="A13" t="n">
        <v>2</v>
      </c>
      <c r="B13" s="11" t="n">
        <v>5257.97691247</v>
      </c>
      <c r="C13" s="6" t="n">
        <v>0.1834512383895095</v>
      </c>
      <c r="E13" s="7" t="n">
        <v>2</v>
      </c>
      <c r="F13" s="13" t="n">
        <v>2924</v>
      </c>
      <c r="G13" s="6" t="n">
        <v>0.09583252693374621</v>
      </c>
    </row>
    <row r="14">
      <c r="A14" t="n">
        <v>3</v>
      </c>
      <c r="B14" s="11" t="n">
        <v>5725.122130191</v>
      </c>
      <c r="C14" s="6" t="n">
        <v>0.1997499726984049</v>
      </c>
      <c r="E14" s="7" t="n">
        <v>3</v>
      </c>
      <c r="F14" s="13" t="n">
        <v>2428</v>
      </c>
      <c r="G14" s="6" t="n">
        <v>0.08002709502612734</v>
      </c>
    </row>
    <row r="15">
      <c r="A15" t="n">
        <v>4</v>
      </c>
      <c r="B15" s="11" t="n">
        <v>1609.692482432</v>
      </c>
      <c r="C15" s="6" t="n">
        <v>0.05616230049015436</v>
      </c>
      <c r="E15" s="7" t="n">
        <v>4</v>
      </c>
      <c r="F15" s="13" t="n">
        <v>2368</v>
      </c>
      <c r="G15" s="6" t="n">
        <v>0.07493064963550738</v>
      </c>
    </row>
    <row r="16">
      <c r="A16" t="n">
        <v>5</v>
      </c>
      <c r="B16" s="11" t="n">
        <v>3402.478319752</v>
      </c>
      <c r="C16" s="6" t="n">
        <v>0.1187127428938712</v>
      </c>
      <c r="E16" s="7" t="n">
        <v>5</v>
      </c>
      <c r="F16" s="13" t="n">
        <v>2173</v>
      </c>
      <c r="G16" s="6" t="n">
        <v>0.07102767563383007</v>
      </c>
    </row>
    <row r="17">
      <c r="A17" t="n">
        <v>6</v>
      </c>
      <c r="B17" s="11" t="n">
        <v>866.982717585</v>
      </c>
      <c r="C17" s="6" t="n">
        <v>0.03024909691521551</v>
      </c>
      <c r="E17" s="7" t="n">
        <v>6</v>
      </c>
      <c r="F17" s="13" t="n">
        <v>1686</v>
      </c>
      <c r="G17" s="6" t="n">
        <v>0.05296432488226566</v>
      </c>
    </row>
    <row r="18">
      <c r="A18" t="n">
        <v>7</v>
      </c>
      <c r="B18" s="11" t="n">
        <v>495.38084382</v>
      </c>
      <c r="C18" s="6" t="n">
        <v>0.01728387757992799</v>
      </c>
      <c r="E18" s="7" t="n">
        <v>7</v>
      </c>
      <c r="F18" s="13" t="n">
        <v>1418</v>
      </c>
      <c r="G18" s="6" t="n">
        <v>0.04641636023482356</v>
      </c>
    </row>
    <row r="19">
      <c r="A19" t="n">
        <v>8</v>
      </c>
      <c r="B19" s="11" t="n">
        <v>0</v>
      </c>
      <c r="C19" s="6" t="n">
        <v>0</v>
      </c>
      <c r="E19" s="7" t="n">
        <v>8</v>
      </c>
      <c r="F19" s="13" t="n">
        <v>1240</v>
      </c>
      <c r="G19" s="6" t="n">
        <v>0.04031997935617057</v>
      </c>
    </row>
    <row r="20">
      <c r="A20" t="n">
        <v>9</v>
      </c>
      <c r="B20" s="11" t="n">
        <v>1877.963600702</v>
      </c>
      <c r="C20" s="6" t="n">
        <v>0.0655223014353945</v>
      </c>
      <c r="E20" s="7" t="n">
        <v>9</v>
      </c>
      <c r="F20" s="13" t="n">
        <v>812</v>
      </c>
      <c r="G20" s="6" t="n">
        <v>0.02632088252370815</v>
      </c>
    </row>
    <row r="21">
      <c r="A21" t="n">
        <v>10</v>
      </c>
      <c r="B21" s="11" t="n">
        <v>292.307095093</v>
      </c>
      <c r="C21" s="6" t="n">
        <v>0.01019861811444516</v>
      </c>
      <c r="E21" s="7" t="n">
        <v>10</v>
      </c>
      <c r="F21" s="13" t="n">
        <v>761</v>
      </c>
      <c r="G21" s="6" t="n">
        <v>0.02296626024127476</v>
      </c>
    </row>
    <row r="22">
      <c r="A22" t="n">
        <v>11</v>
      </c>
      <c r="B22" s="11" t="n">
        <v>0</v>
      </c>
      <c r="C22" s="6" t="n">
        <v>0</v>
      </c>
      <c r="E22" s="7" t="n">
        <v>11</v>
      </c>
      <c r="F22" s="13" t="n">
        <v>644</v>
      </c>
      <c r="G22" s="6" t="n">
        <v>0.0206115734468744</v>
      </c>
    </row>
    <row r="23">
      <c r="A23" t="n">
        <v>12</v>
      </c>
      <c r="B23" s="11" t="n">
        <v>400.943531935</v>
      </c>
      <c r="C23" s="6" t="n">
        <v>0.01398895215444887</v>
      </c>
      <c r="E23" s="7" t="n">
        <v>12</v>
      </c>
      <c r="F23" s="13" t="n">
        <v>742</v>
      </c>
      <c r="G23" s="6" t="n">
        <v>0.02380491581188311</v>
      </c>
    </row>
    <row r="24">
      <c r="A24" t="n">
        <v>13</v>
      </c>
      <c r="B24" s="11" t="n">
        <v>0</v>
      </c>
      <c r="C24" s="6" t="n">
        <v>0</v>
      </c>
      <c r="E24" s="7" t="n">
        <v>13</v>
      </c>
      <c r="F24" s="13" t="n">
        <v>615</v>
      </c>
      <c r="G24" s="6" t="n">
        <v>0.0216760209018773</v>
      </c>
    </row>
    <row r="25">
      <c r="A25" t="n">
        <v>14</v>
      </c>
      <c r="B25" s="11" t="n">
        <v>795.69322268</v>
      </c>
      <c r="C25" s="6" t="n">
        <v>0.02776180069041309</v>
      </c>
      <c r="E25" s="7" t="n">
        <v>14</v>
      </c>
      <c r="F25" s="13" t="n">
        <v>801</v>
      </c>
      <c r="G25" s="6" t="n">
        <v>0.02486936326688601</v>
      </c>
    </row>
    <row r="26">
      <c r="A26" t="n">
        <v>15</v>
      </c>
      <c r="B26" s="11" t="n">
        <v>0</v>
      </c>
      <c r="C26" s="6" t="n">
        <v>0</v>
      </c>
      <c r="E26" s="7" t="n">
        <v>15</v>
      </c>
      <c r="F26" s="13" t="n">
        <v>697</v>
      </c>
      <c r="G26" s="6" t="n">
        <v>0.02003096574414554</v>
      </c>
    </row>
    <row r="27">
      <c r="A27" t="n">
        <v>16</v>
      </c>
      <c r="B27" s="11" t="n">
        <v>1430.230050562</v>
      </c>
      <c r="C27" s="6" t="n">
        <v>0.04990084177342548</v>
      </c>
      <c r="E27" s="7" t="n">
        <v>16</v>
      </c>
      <c r="F27" s="13" t="n">
        <v>536</v>
      </c>
      <c r="G27" s="6" t="n">
        <v>0.01564415199019418</v>
      </c>
    </row>
    <row r="28">
      <c r="A28" t="n">
        <v>17</v>
      </c>
      <c r="B28" s="11" t="n">
        <v>685.397493253</v>
      </c>
      <c r="C28" s="6" t="n">
        <v>0.02391357379834173</v>
      </c>
      <c r="E28" s="7" t="n">
        <v>17</v>
      </c>
      <c r="F28" s="13" t="n">
        <v>465</v>
      </c>
      <c r="G28" s="6" t="n">
        <v>0.01519256822140507</v>
      </c>
    </row>
    <row r="29">
      <c r="A29" t="n">
        <v>18</v>
      </c>
      <c r="B29" s="11" t="n">
        <v>0</v>
      </c>
      <c r="C29" s="6" t="n">
        <v>0</v>
      </c>
      <c r="E29" s="7" t="n">
        <v>18</v>
      </c>
      <c r="F29" s="13" t="n">
        <v>378</v>
      </c>
      <c r="G29" s="6" t="n">
        <v>0.01151538610412231</v>
      </c>
    </row>
    <row r="30">
      <c r="A30" t="n">
        <v>19</v>
      </c>
      <c r="B30" s="11" t="n">
        <v>92.2295488388</v>
      </c>
      <c r="C30" s="6" t="n">
        <v>0.003217896394800906</v>
      </c>
      <c r="E30" s="7" t="n">
        <v>19</v>
      </c>
      <c r="F30" s="13" t="n">
        <v>308</v>
      </c>
      <c r="G30" s="6" t="n">
        <v>0.01054770659957422</v>
      </c>
    </row>
    <row r="31">
      <c r="A31" t="n">
        <v>20</v>
      </c>
      <c r="B31" s="11" t="n">
        <v>0</v>
      </c>
      <c r="C31" s="6" t="n">
        <v>0</v>
      </c>
      <c r="E31" s="7" t="n">
        <v>20</v>
      </c>
      <c r="F31" s="13" t="n">
        <v>345</v>
      </c>
      <c r="G31" s="6" t="n">
        <v>0.009934842913360428</v>
      </c>
    </row>
    <row r="32">
      <c r="A32" t="n">
        <v>21</v>
      </c>
      <c r="B32" s="11" t="n">
        <v>0</v>
      </c>
      <c r="C32" s="6" t="n">
        <v>0</v>
      </c>
      <c r="E32" s="7" t="n">
        <v>21</v>
      </c>
      <c r="F32" s="13" t="n">
        <v>335</v>
      </c>
      <c r="G32" s="6" t="n">
        <v>0.009967098896845364</v>
      </c>
    </row>
    <row r="33">
      <c r="A33" t="n">
        <v>22</v>
      </c>
      <c r="B33" s="11" t="n">
        <v>0</v>
      </c>
      <c r="C33" s="6" t="n">
        <v>0</v>
      </c>
      <c r="E33" s="7" t="n">
        <v>22</v>
      </c>
      <c r="F33" s="13" t="n">
        <v>216</v>
      </c>
      <c r="G33" s="6" t="n">
        <v>0.007386620218050448</v>
      </c>
    </row>
    <row r="34">
      <c r="A34" t="n">
        <v>23</v>
      </c>
      <c r="B34" s="11" t="n">
        <v>0</v>
      </c>
      <c r="C34" s="6" t="n">
        <v>0</v>
      </c>
      <c r="E34" s="7" t="n">
        <v>23</v>
      </c>
      <c r="F34" s="13" t="n">
        <v>143</v>
      </c>
      <c r="G34" s="6" t="n">
        <v>0.005257725308044642</v>
      </c>
    </row>
    <row r="35">
      <c r="A35" t="n">
        <v>24</v>
      </c>
      <c r="B35" s="11" t="n">
        <v>897.8349498770001</v>
      </c>
      <c r="C35" s="6" t="n">
        <v>0.03132553378728033</v>
      </c>
      <c r="E35" s="7" t="n">
        <v>24</v>
      </c>
      <c r="F35" s="13" t="n">
        <v>117</v>
      </c>
      <c r="G35" s="6" t="n">
        <v>0.003064318431068963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101</v>
      </c>
      <c r="G36" s="6" t="n">
        <v>0.003709438100767693</v>
      </c>
    </row>
    <row r="37">
      <c r="A37" t="n">
        <v>26</v>
      </c>
      <c r="B37" s="11" t="n">
        <v>0</v>
      </c>
      <c r="C37" s="6" t="n">
        <v>0</v>
      </c>
      <c r="E37" s="7" t="n">
        <v>26</v>
      </c>
      <c r="F37" s="13" t="n">
        <v>71</v>
      </c>
      <c r="G37" s="6" t="n">
        <v>0.002354686794400361</v>
      </c>
    </row>
    <row r="38">
      <c r="A38" t="n">
        <v>27</v>
      </c>
      <c r="B38" s="11" t="n">
        <v>0</v>
      </c>
      <c r="C38" s="6" t="n">
        <v>0</v>
      </c>
      <c r="E38" s="7" t="n">
        <v>27</v>
      </c>
      <c r="F38" s="13" t="n">
        <v>62</v>
      </c>
      <c r="G38" s="6" t="n">
        <v>0.001774079091671505</v>
      </c>
    </row>
    <row r="39">
      <c r="A39" t="n">
        <v>28</v>
      </c>
      <c r="B39" s="11" t="n">
        <v>0</v>
      </c>
      <c r="C39" s="6" t="n">
        <v>0</v>
      </c>
      <c r="E39" s="7" t="n">
        <v>28</v>
      </c>
      <c r="F39" s="13" t="n">
        <v>45</v>
      </c>
      <c r="G39" s="6" t="n">
        <v>0.001161215405457712</v>
      </c>
    </row>
    <row r="40">
      <c r="A40" t="n">
        <v>29</v>
      </c>
      <c r="B40" s="11" t="n">
        <v>0</v>
      </c>
      <c r="C40" s="6" t="n">
        <v>0</v>
      </c>
      <c r="E40" s="7" t="n">
        <v>29</v>
      </c>
      <c r="F40" s="13" t="n">
        <v>30</v>
      </c>
      <c r="G40" s="6" t="n">
        <v>0.0009354235210631573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20</v>
      </c>
      <c r="G41" s="6" t="n">
        <v>0.0006451196696987291</v>
      </c>
    </row>
    <row r="42">
      <c r="A42" t="n">
        <v>31</v>
      </c>
      <c r="B42" s="11" t="n">
        <v>0</v>
      </c>
      <c r="C42" s="6" t="n">
        <v>0</v>
      </c>
      <c r="E42" s="7" t="n">
        <v>31</v>
      </c>
      <c r="F42" s="13" t="n">
        <v>18</v>
      </c>
      <c r="G42" s="6" t="n">
        <v>0.0006451196696987291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13</v>
      </c>
      <c r="G43" s="6" t="n">
        <v>0.000354815818334301</v>
      </c>
    </row>
    <row r="44">
      <c r="A44" t="n">
        <v>33</v>
      </c>
      <c r="B44" s="11" t="n">
        <v>0</v>
      </c>
      <c r="C44" s="6" t="n">
        <v>0</v>
      </c>
      <c r="E44" s="7" t="n">
        <v>33</v>
      </c>
      <c r="F44" s="13" t="n">
        <v>4</v>
      </c>
      <c r="G44" s="6" t="n">
        <v>0.0002580478678794917</v>
      </c>
    </row>
    <row r="45">
      <c r="A45" t="n">
        <v>34</v>
      </c>
      <c r="B45" s="11" t="n">
        <v>0</v>
      </c>
      <c r="C45" s="6" t="n">
        <v>0</v>
      </c>
      <c r="E45" s="7" t="n">
        <v>34</v>
      </c>
      <c r="F45" s="13" t="n">
        <v>3</v>
      </c>
      <c r="G45" s="6" t="n">
        <v>0.0001290239339397458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9</v>
      </c>
      <c r="G46" s="6" t="n">
        <v>0.0001612799174246823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5</v>
      </c>
      <c r="G47" s="6" t="n">
        <v>0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1</v>
      </c>
      <c r="G48" s="6" t="n">
        <v>9.676795045480937e-05</v>
      </c>
    </row>
    <row r="49">
      <c r="A49" t="n">
        <v>38</v>
      </c>
      <c r="B49" s="11" t="n">
        <v>0</v>
      </c>
      <c r="C49" s="6" t="n">
        <v>0</v>
      </c>
      <c r="E49" s="7" t="n">
        <v>38</v>
      </c>
      <c r="F49" s="13" t="n">
        <v>0</v>
      </c>
      <c r="G49" s="6" t="n">
        <v>9.676795045480937e-05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0</v>
      </c>
      <c r="G50" s="6" t="n">
        <v>0.0001290239339397458</v>
      </c>
    </row>
    <row r="51">
      <c r="A51" t="n">
        <v>40</v>
      </c>
      <c r="B51" s="11" t="n">
        <v>0</v>
      </c>
      <c r="C51" s="6" t="n">
        <v>0</v>
      </c>
      <c r="E51" s="7" t="n">
        <v>40</v>
      </c>
      <c r="F51" s="13" t="n">
        <v>1</v>
      </c>
      <c r="G51" s="6" t="n">
        <v>3.225598348493646e-05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3</v>
      </c>
      <c r="G52" s="6" t="n">
        <v>3.225598348493646e-05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1</v>
      </c>
      <c r="G53" s="6" t="n">
        <v>3.225598348493646e-05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0</v>
      </c>
      <c r="G54" s="6" t="n">
        <v>3.225598348493646e-05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1</v>
      </c>
      <c r="G55" s="6" t="n">
        <v>0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0</v>
      </c>
      <c r="G56" s="6" t="n">
        <v>3.225598348493646e-05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1</v>
      </c>
      <c r="G57" s="6" t="n">
        <v>9.676795045480937e-05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1</v>
      </c>
      <c r="G58" s="6" t="n">
        <v>0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0</v>
      </c>
      <c r="G59" s="6" t="n">
        <v>0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0</v>
      </c>
      <c r="G60" s="6" t="n">
        <v>3.225598348493646e-05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0</v>
      </c>
      <c r="G61" s="6" t="n">
        <v>0</v>
      </c>
    </row>
    <row r="62">
      <c r="A62" t="n">
        <v>51</v>
      </c>
      <c r="B62" s="11" t="n">
        <v>0</v>
      </c>
      <c r="C62" s="6" t="n">
        <v>0</v>
      </c>
      <c r="E62" s="7" t="n">
        <v>51</v>
      </c>
      <c r="F62" s="13" t="n">
        <v>0</v>
      </c>
      <c r="G62" s="6" t="n">
        <v>0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0</v>
      </c>
      <c r="G63" s="6" t="n">
        <v>3.225598348493646e-05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0</v>
      </c>
      <c r="G64" s="6" t="n">
        <v>0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0</v>
      </c>
      <c r="G65" s="6" t="n">
        <v>0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0</v>
      </c>
      <c r="G66" s="6" t="n">
        <v>0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0</v>
      </c>
      <c r="G67" s="6" t="n">
        <v>0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0</v>
      </c>
      <c r="G68" s="6" t="n">
        <v>0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0</v>
      </c>
      <c r="G69" s="6" t="n">
        <v>0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0</v>
      </c>
      <c r="G71" s="6" t="n">
        <v>0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 s="10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28661.44136517681</v>
      </c>
      <c r="C102" s="6" t="n">
        <v>1</v>
      </c>
      <c r="F102" s="11" t="n">
        <v>31002</v>
      </c>
      <c r="G102" s="6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2" sqref="I32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2.7109375" customWidth="1" style="10" min="5" max="5"/>
    <col collapsed="1" width="10.5703125" customWidth="1" style="10" min="6" max="6"/>
    <col collapsed="1" width="10.28515625" customWidth="1" style="10" min="12" max="12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 s="10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7697.1759634008</v>
      </c>
      <c r="C11" s="6" t="n">
        <v>0.03921113320104133</v>
      </c>
      <c r="E11" s="7" t="n">
        <v>0</v>
      </c>
      <c r="F11" s="13" t="n">
        <v>45001</v>
      </c>
      <c r="G11" s="6" t="n">
        <v>0.2132864148115829</v>
      </c>
      <c r="K11" s="4" t="n">
        <v>7.101334854706915</v>
      </c>
      <c r="L11" s="4" t="n">
        <v>6.288552386473087</v>
      </c>
    </row>
    <row r="12">
      <c r="A12" t="n">
        <v>1</v>
      </c>
      <c r="B12" s="11" t="n">
        <v>13853.1763116286</v>
      </c>
      <c r="C12" s="6" t="n">
        <v>0.07057117366104503</v>
      </c>
      <c r="E12" s="7" t="n">
        <v>1</v>
      </c>
      <c r="F12" s="13" t="n">
        <v>20785</v>
      </c>
      <c r="G12" s="6" t="n">
        <v>0.0977606206903093</v>
      </c>
      <c r="K12" s="4" t="inlineStr"/>
      <c r="L12" s="7" t="inlineStr"/>
    </row>
    <row r="13">
      <c r="A13" t="n">
        <v>2</v>
      </c>
      <c r="B13" s="11" t="n">
        <v>7399.4990945062</v>
      </c>
      <c r="C13" s="6" t="n">
        <v>0.03769470075716902</v>
      </c>
      <c r="E13" s="7" t="n">
        <v>2</v>
      </c>
      <c r="F13" s="13" t="n">
        <v>12086</v>
      </c>
      <c r="G13" s="6" t="n">
        <v>0.05826559550796255</v>
      </c>
    </row>
    <row r="14">
      <c r="A14" t="n">
        <v>3</v>
      </c>
      <c r="B14" s="11" t="n">
        <v>17427.1582521029</v>
      </c>
      <c r="C14" s="6" t="n">
        <v>0.08877783576574463</v>
      </c>
      <c r="E14" s="7" t="n">
        <v>3</v>
      </c>
      <c r="F14" s="13" t="n">
        <v>6374</v>
      </c>
      <c r="G14" s="6" t="n">
        <v>0.03004808832316871</v>
      </c>
    </row>
    <row r="15">
      <c r="A15" t="n">
        <v>4</v>
      </c>
      <c r="B15" s="11" t="n">
        <v>36686.1207631128</v>
      </c>
      <c r="C15" s="6" t="n">
        <v>0.1868872914835037</v>
      </c>
      <c r="E15" s="7" t="n">
        <v>4</v>
      </c>
      <c r="F15" s="13" t="n">
        <v>30378</v>
      </c>
      <c r="G15" s="6" t="n">
        <v>0.1468875378209445</v>
      </c>
    </row>
    <row r="16">
      <c r="A16" t="n">
        <v>5</v>
      </c>
      <c r="B16" s="11" t="n">
        <v>26711.1336555918</v>
      </c>
      <c r="C16" s="6" t="n">
        <v>0.136072479660121</v>
      </c>
      <c r="E16" s="7" t="n">
        <v>5</v>
      </c>
      <c r="F16" s="13" t="n">
        <v>18257</v>
      </c>
      <c r="G16" s="6" t="n">
        <v>0.08584287353814343</v>
      </c>
    </row>
    <row r="17">
      <c r="A17" t="n">
        <v>6</v>
      </c>
      <c r="B17" s="11" t="n">
        <v>23476.8308241129</v>
      </c>
      <c r="C17" s="6" t="n">
        <v>0.1195962187898172</v>
      </c>
      <c r="E17" s="7" t="n">
        <v>6</v>
      </c>
      <c r="F17" s="13" t="n">
        <v>15721</v>
      </c>
      <c r="G17" s="6" t="n">
        <v>0.07239331885308875</v>
      </c>
    </row>
    <row r="18">
      <c r="A18" t="n">
        <v>7</v>
      </c>
      <c r="B18" s="11" t="n">
        <v>7816.3558540315</v>
      </c>
      <c r="C18" s="6" t="n">
        <v>0.03981826217777595</v>
      </c>
      <c r="E18" s="7" t="n">
        <v>7</v>
      </c>
      <c r="F18" s="13" t="n">
        <v>7505</v>
      </c>
      <c r="G18" s="6" t="n">
        <v>0.04477810131744932</v>
      </c>
    </row>
    <row r="19">
      <c r="A19" t="n">
        <v>8</v>
      </c>
      <c r="B19" s="11" t="n">
        <v>3208.1913377191</v>
      </c>
      <c r="C19" s="6" t="n">
        <v>0.01634324309017752</v>
      </c>
      <c r="E19" s="7" t="n">
        <v>8</v>
      </c>
      <c r="F19" s="13" t="n">
        <v>10271</v>
      </c>
      <c r="G19" s="6" t="n">
        <v>0.03608521212925989</v>
      </c>
    </row>
    <row r="20">
      <c r="A20" t="n">
        <v>9</v>
      </c>
      <c r="B20" s="11" t="n">
        <v>3720.5767793928</v>
      </c>
      <c r="C20" s="6" t="n">
        <v>0.01895344894999848</v>
      </c>
      <c r="E20" s="7" t="n">
        <v>9</v>
      </c>
      <c r="F20" s="13" t="n">
        <v>6045</v>
      </c>
      <c r="G20" s="6" t="n">
        <v>0.03202094260701312</v>
      </c>
    </row>
    <row r="21">
      <c r="A21" t="n">
        <v>10</v>
      </c>
      <c r="B21" s="11" t="n">
        <v>10028.3014887067</v>
      </c>
      <c r="C21" s="6" t="n">
        <v>0.05108640718668783</v>
      </c>
      <c r="E21" s="7" t="n">
        <v>10</v>
      </c>
      <c r="F21" s="13" t="n">
        <v>2988</v>
      </c>
      <c r="G21" s="6" t="n">
        <v>0.01559787918164487</v>
      </c>
    </row>
    <row r="22">
      <c r="A22" t="n">
        <v>11</v>
      </c>
      <c r="B22" s="11" t="n">
        <v>4437.065708914</v>
      </c>
      <c r="C22" s="6" t="n">
        <v>0.02260340355492277</v>
      </c>
      <c r="E22" s="7" t="n">
        <v>11</v>
      </c>
      <c r="F22" s="13" t="n">
        <v>3848</v>
      </c>
      <c r="G22" s="6" t="n">
        <v>0.01857138792195844</v>
      </c>
    </row>
    <row r="23">
      <c r="A23" t="n">
        <v>12</v>
      </c>
      <c r="B23" s="11" t="n">
        <v>6654.878958653</v>
      </c>
      <c r="C23" s="6" t="n">
        <v>0.03390143950525694</v>
      </c>
      <c r="E23" s="7" t="n">
        <v>12</v>
      </c>
      <c r="F23" s="13" t="n">
        <v>2933</v>
      </c>
      <c r="G23" s="6" t="n">
        <v>0.01291840160863503</v>
      </c>
    </row>
    <row r="24">
      <c r="A24" t="n">
        <v>13</v>
      </c>
      <c r="B24" s="11" t="n">
        <v>7177.130722202401</v>
      </c>
      <c r="C24" s="6" t="n">
        <v>0.03656190661194453</v>
      </c>
      <c r="E24" s="7" t="n">
        <v>13</v>
      </c>
      <c r="F24" s="13" t="n">
        <v>3834</v>
      </c>
      <c r="G24" s="6" t="n">
        <v>0.0190029497965494</v>
      </c>
    </row>
    <row r="25">
      <c r="A25" t="n">
        <v>14</v>
      </c>
      <c r="B25" s="11" t="n">
        <v>1559.165240829</v>
      </c>
      <c r="C25" s="6" t="n">
        <v>0.007942735911362476</v>
      </c>
      <c r="E25" s="7" t="n">
        <v>14</v>
      </c>
      <c r="F25" s="13" t="n">
        <v>2163</v>
      </c>
      <c r="G25" s="6" t="n">
        <v>0.01093606244842599</v>
      </c>
    </row>
    <row r="26">
      <c r="A26" t="n">
        <v>15</v>
      </c>
      <c r="B26" s="11" t="n">
        <v>4185.475136309</v>
      </c>
      <c r="C26" s="6" t="n">
        <v>0.02132174499580335</v>
      </c>
      <c r="E26" s="7" t="n">
        <v>15</v>
      </c>
      <c r="F26" s="13" t="n">
        <v>3463</v>
      </c>
      <c r="G26" s="6" t="n">
        <v>0.01517580218341854</v>
      </c>
    </row>
    <row r="27">
      <c r="A27" t="n">
        <v>16</v>
      </c>
      <c r="B27" s="11" t="n">
        <v>1433.468906474</v>
      </c>
      <c r="C27" s="6" t="n">
        <v>0.007302410715120124</v>
      </c>
      <c r="E27" s="7" t="n">
        <v>16</v>
      </c>
      <c r="F27" s="13" t="n">
        <v>2164</v>
      </c>
      <c r="G27" s="6" t="n">
        <v>0.01036222742836547</v>
      </c>
    </row>
    <row r="28">
      <c r="A28" t="n">
        <v>17</v>
      </c>
      <c r="B28" s="11" t="n">
        <v>1167.442902575</v>
      </c>
      <c r="C28" s="6" t="n">
        <v>0.005947214845437073</v>
      </c>
      <c r="E28" s="7" t="n">
        <v>17</v>
      </c>
      <c r="F28" s="13" t="n">
        <v>2112</v>
      </c>
      <c r="G28" s="6" t="n">
        <v>0.009328375904620084</v>
      </c>
    </row>
    <row r="29">
      <c r="A29" t="n">
        <v>18</v>
      </c>
      <c r="B29" s="11" t="n">
        <v>3109.493426527</v>
      </c>
      <c r="C29" s="6" t="n">
        <v>0.01584045389049965</v>
      </c>
      <c r="E29" s="7" t="n">
        <v>18</v>
      </c>
      <c r="F29" s="13" t="n">
        <v>1906</v>
      </c>
      <c r="G29" s="6" t="n">
        <v>0.009869013857404369</v>
      </c>
    </row>
    <row r="30">
      <c r="A30" t="n">
        <v>19</v>
      </c>
      <c r="B30" s="11" t="n">
        <v>0</v>
      </c>
      <c r="C30" s="6" t="n">
        <v>0</v>
      </c>
      <c r="E30" s="7" t="n">
        <v>19</v>
      </c>
      <c r="F30" s="13" t="n">
        <v>1650</v>
      </c>
      <c r="G30" s="6" t="n">
        <v>0.007986265899024006</v>
      </c>
    </row>
    <row r="31">
      <c r="A31" t="n">
        <v>20</v>
      </c>
      <c r="B31" s="11" t="n">
        <v>0</v>
      </c>
      <c r="C31" s="6" t="n">
        <v>0</v>
      </c>
      <c r="E31" s="7" t="n">
        <v>20</v>
      </c>
      <c r="F31" s="13" t="n">
        <v>1216</v>
      </c>
      <c r="G31" s="6" t="n">
        <v>0.006222078895201601</v>
      </c>
    </row>
    <row r="32">
      <c r="A32" t="n">
        <v>21</v>
      </c>
      <c r="B32" s="11" t="n">
        <v>309.0995705256</v>
      </c>
      <c r="C32" s="6" t="n">
        <v>0.001574622236765001</v>
      </c>
      <c r="E32" s="7" t="n">
        <v>21</v>
      </c>
      <c r="F32" s="13" t="n">
        <v>1268</v>
      </c>
      <c r="G32" s="6" t="n">
        <v>0.005192969809638531</v>
      </c>
    </row>
    <row r="33">
      <c r="A33" t="n">
        <v>22</v>
      </c>
      <c r="B33" s="11" t="n">
        <v>2139.948876604</v>
      </c>
      <c r="C33" s="6" t="n">
        <v>0.01090137744582167</v>
      </c>
      <c r="E33" s="7" t="n">
        <v>22</v>
      </c>
      <c r="F33" s="13" t="n">
        <v>1019</v>
      </c>
      <c r="G33" s="6" t="n">
        <v>0.004244482173174873</v>
      </c>
    </row>
    <row r="34">
      <c r="A34" t="n">
        <v>23</v>
      </c>
      <c r="B34" s="11" t="n">
        <v>63.479249788</v>
      </c>
      <c r="C34" s="6" t="n">
        <v>0.0003233774738650642</v>
      </c>
      <c r="E34" s="7" t="n">
        <v>23</v>
      </c>
      <c r="F34" s="13" t="n">
        <v>1130</v>
      </c>
      <c r="G34" s="6" t="n">
        <v>0.004955847900522617</v>
      </c>
    </row>
    <row r="35">
      <c r="A35" t="n">
        <v>24</v>
      </c>
      <c r="B35" s="11" t="n">
        <v>0</v>
      </c>
      <c r="C35" s="6" t="n">
        <v>0</v>
      </c>
      <c r="E35" s="7" t="n">
        <v>24</v>
      </c>
      <c r="F35" s="13" t="n">
        <v>1223</v>
      </c>
      <c r="G35" s="6" t="n">
        <v>0.004842029384146978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1155</v>
      </c>
      <c r="G36" s="6" t="n">
        <v>0.005150287865997667</v>
      </c>
    </row>
    <row r="37">
      <c r="A37" t="n">
        <v>26</v>
      </c>
      <c r="B37" s="11" t="n">
        <v>0</v>
      </c>
      <c r="C37" s="6" t="n">
        <v>0</v>
      </c>
      <c r="E37" s="7" t="n">
        <v>26</v>
      </c>
      <c r="F37" s="13" t="n">
        <v>624</v>
      </c>
      <c r="G37" s="6" t="n">
        <v>0.003898284185865637</v>
      </c>
    </row>
    <row r="38">
      <c r="A38" t="n">
        <v>27</v>
      </c>
      <c r="B38" s="11" t="n">
        <v>4.5575</v>
      </c>
      <c r="C38" s="6" t="n">
        <v>2.321692272769476e-05</v>
      </c>
      <c r="E38" s="7" t="n">
        <v>27</v>
      </c>
      <c r="F38" s="13" t="n">
        <v>397</v>
      </c>
      <c r="G38" s="6" t="n">
        <v>0.002238430822054235</v>
      </c>
    </row>
    <row r="39">
      <c r="A39" t="n">
        <v>28</v>
      </c>
      <c r="B39" s="11" t="n">
        <v>0</v>
      </c>
      <c r="C39" s="6" t="n">
        <v>0</v>
      </c>
      <c r="E39" s="7" t="n">
        <v>28</v>
      </c>
      <c r="F39" s="13" t="n">
        <v>365</v>
      </c>
      <c r="G39" s="6" t="n">
        <v>0.001859035767468771</v>
      </c>
    </row>
    <row r="40">
      <c r="A40" t="n">
        <v>29</v>
      </c>
      <c r="B40" s="11" t="n">
        <v>0</v>
      </c>
      <c r="C40" s="6" t="n">
        <v>0</v>
      </c>
      <c r="E40" s="7" t="n">
        <v>29</v>
      </c>
      <c r="F40" s="13" t="n">
        <v>475</v>
      </c>
      <c r="G40" s="6" t="n">
        <v>0.001892232834744999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383</v>
      </c>
      <c r="G41" s="6" t="n">
        <v>0.001759444565640087</v>
      </c>
    </row>
    <row r="42">
      <c r="A42" t="n">
        <v>31</v>
      </c>
      <c r="B42" s="11" t="n">
        <v>0</v>
      </c>
      <c r="C42" s="6" t="n">
        <v>0</v>
      </c>
      <c r="E42" s="7" t="n">
        <v>31</v>
      </c>
      <c r="F42" s="13" t="n">
        <v>299</v>
      </c>
      <c r="G42" s="6" t="n">
        <v>0.001840066014739498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288</v>
      </c>
      <c r="G43" s="6" t="n">
        <v>0.001432216331060125</v>
      </c>
    </row>
    <row r="44">
      <c r="A44" t="n">
        <v>33</v>
      </c>
      <c r="B44" s="11" t="n">
        <v>0</v>
      </c>
      <c r="C44" s="6" t="n">
        <v>0</v>
      </c>
      <c r="E44" s="7" t="n">
        <v>33</v>
      </c>
      <c r="F44" s="13" t="n">
        <v>220</v>
      </c>
      <c r="G44" s="6" t="n">
        <v>0.0008204418055410647</v>
      </c>
    </row>
    <row r="45">
      <c r="A45" t="n">
        <v>34</v>
      </c>
      <c r="B45" s="11" t="n">
        <v>4291.0185</v>
      </c>
      <c r="C45" s="6" t="n">
        <v>0.02185940645915714</v>
      </c>
      <c r="E45" s="7" t="n">
        <v>34</v>
      </c>
      <c r="F45" s="13" t="n">
        <v>125</v>
      </c>
      <c r="G45" s="6" t="n">
        <v>0.0008109569291764282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161</v>
      </c>
      <c r="G46" s="6" t="n">
        <v>0.0006449715927952879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188</v>
      </c>
      <c r="G47" s="6" t="n">
        <v>0.0009342603219167038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102</v>
      </c>
      <c r="G48" s="6" t="n">
        <v>0.0006117745255190598</v>
      </c>
    </row>
    <row r="49">
      <c r="A49" t="n">
        <v>38</v>
      </c>
      <c r="B49" s="11" t="n">
        <v>0</v>
      </c>
      <c r="C49" s="6" t="n">
        <v>0</v>
      </c>
      <c r="E49" s="7" t="n">
        <v>38</v>
      </c>
      <c r="F49" s="13" t="n">
        <v>104</v>
      </c>
      <c r="G49" s="6" t="n">
        <v>0.0006829110982538342</v>
      </c>
    </row>
    <row r="50">
      <c r="A50" t="n">
        <v>39</v>
      </c>
      <c r="B50" s="11" t="n">
        <v>65.2262658228</v>
      </c>
      <c r="C50" s="6" t="n">
        <v>0.0003322771636695613</v>
      </c>
      <c r="E50" s="7" t="n">
        <v>39</v>
      </c>
      <c r="F50" s="13" t="n">
        <v>146</v>
      </c>
      <c r="G50" s="6" t="n">
        <v>0.0007303354800770172</v>
      </c>
    </row>
    <row r="51">
      <c r="A51" t="n">
        <v>40</v>
      </c>
      <c r="B51" s="11" t="n">
        <v>417.967608267</v>
      </c>
      <c r="C51" s="6" t="n">
        <v>0.002129220332158932</v>
      </c>
      <c r="E51" s="7" t="n">
        <v>40</v>
      </c>
      <c r="F51" s="13" t="n">
        <v>104</v>
      </c>
      <c r="G51" s="6" t="n">
        <v>0.0004315618745909647</v>
      </c>
    </row>
    <row r="52">
      <c r="A52" t="n">
        <v>41</v>
      </c>
      <c r="B52" s="11" t="n">
        <v>1219.07842926</v>
      </c>
      <c r="C52" s="6" t="n">
        <v>0.006210257749013477</v>
      </c>
      <c r="E52" s="7" t="n">
        <v>41</v>
      </c>
      <c r="F52" s="13" t="n">
        <v>103</v>
      </c>
      <c r="G52" s="6" t="n">
        <v>0.0003746526164031452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61</v>
      </c>
      <c r="G53" s="6" t="n">
        <v>0.0003414555491269171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26</v>
      </c>
      <c r="G54" s="6" t="n">
        <v>9.959120182868417e-05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24</v>
      </c>
      <c r="G55" s="6" t="n">
        <v>0.0001090760781933208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21</v>
      </c>
      <c r="G56" s="6" t="n">
        <v>0.0001754702127457769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19</v>
      </c>
      <c r="G57" s="6" t="n">
        <v>9.959120182868417e-05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33</v>
      </c>
      <c r="G58" s="6" t="n">
        <v>6.639413455245611e-05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10</v>
      </c>
      <c r="G59" s="6" t="n">
        <v>4.742438182318293e-05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18</v>
      </c>
      <c r="G60" s="6" t="n">
        <v>0.0001090760781933208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29</v>
      </c>
      <c r="G61" s="6" t="n">
        <v>7.587901091709269e-05</v>
      </c>
    </row>
    <row r="62">
      <c r="A62" t="n">
        <v>51</v>
      </c>
      <c r="B62" s="11" t="n">
        <v>41.7609222283</v>
      </c>
      <c r="C62" s="6" t="n">
        <v>0.0002127394633925862</v>
      </c>
      <c r="E62" s="7" t="n">
        <v>51</v>
      </c>
      <c r="F62" s="13" t="n">
        <v>15</v>
      </c>
      <c r="G62" s="6" t="n">
        <v>5.690925818781952e-05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7</v>
      </c>
      <c r="G63" s="6" t="n">
        <v>3.319706727622805e-05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8</v>
      </c>
      <c r="G64" s="6" t="n">
        <v>3.793950545854635e-05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6</v>
      </c>
      <c r="G65" s="6" t="n">
        <v>2.371219091159147e-05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7</v>
      </c>
      <c r="G66" s="6" t="n">
        <v>9.484876364636587e-06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3</v>
      </c>
      <c r="G67" s="6" t="n">
        <v>0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2</v>
      </c>
      <c r="G68" s="6" t="n">
        <v>0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3</v>
      </c>
      <c r="G69" s="6" t="n">
        <v>4.742438182318293e-06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5</v>
      </c>
      <c r="G70" s="6" t="n">
        <v>0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4.742438182318293e-06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1</v>
      </c>
      <c r="G72" s="6" t="n">
        <v>0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4.742438182318293e-06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4.742438182318293e-06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4.742438182318293e-06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4.742438182318293e-06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 s="10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196300.7782492852</v>
      </c>
      <c r="C102" s="6" t="n">
        <v>1</v>
      </c>
      <c r="F102" s="11" t="n">
        <v>210862</v>
      </c>
      <c r="G102" s="6" t="n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2017-07-06T17:37:10Z</dcterms:modified>
  <cp:lastModifiedBy>Nagendra Dhakar</cp:lastModifiedBy>
</cp:coreProperties>
</file>