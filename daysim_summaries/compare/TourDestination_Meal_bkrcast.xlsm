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drawing+xml" PartName="/xl/drawings/drawing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drawingml.chart+xml" PartName="/xl/charts/chart1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/>
  </bookViews>
  <sheets>
    <sheet xmlns:r="http://schemas.openxmlformats.org/officeDocument/2006/relationships" name="TLFD" sheetId="1" state="visible" r:id="rId1"/>
    <sheet xmlns:r="http://schemas.openxmlformats.org/officeDocument/2006/relationships" name="soundcast" sheetId="2" state="visible" r:id="rId2"/>
    <sheet xmlns:r="http://schemas.openxmlformats.org/officeDocument/2006/relationships" name="bkrcast_all" sheetId="3" state="visible" r:id="rId3"/>
    <sheet xmlns:r="http://schemas.openxmlformats.org/officeDocument/2006/relationships" name="bkrcast_inbkr" sheetId="4" state="visible" r:id="rId4"/>
    <sheet xmlns:r="http://schemas.openxmlformats.org/officeDocument/2006/relationships" name="bkrcast_outbkr" sheetId="5" state="visible" r:id="rId5"/>
  </sheets>
  <definedNames>
    <definedName name="AVGD">'TLFD'!$O$12:$O$13</definedName>
    <definedName name="out1">'TLFD'!$B$11:$B$101</definedName>
    <definedName name="out2">'TLFD'!$F$11:$F$101</definedName>
    <definedName name="out5">'TLFD'!$N$11:$N$11</definedName>
    <definedName name="out6">'TLFD'!$P$11:$P$11</definedName>
    <definedName name="TLFD">'TLFD'!$E$11:$F$102</definedName>
  </definedNames>
  <calcPr calcId="124519" fullCalcOnLoad="1"/>
</workbook>
</file>

<file path=xl/sharedStrings.xml><?xml version="1.0" encoding="utf-8"?>
<sst xmlns="http://schemas.openxmlformats.org/spreadsheetml/2006/main" uniqueCount="17">
  <si>
    <t>Trip Length Frequency Distribution</t>
  </si>
  <si>
    <t xml:space="preserve">Observed Sources: Survey </t>
  </si>
  <si>
    <t>Observed distance (in miles) based on joining AM peak SOV skim values to HH survey</t>
  </si>
  <si>
    <t>Frequency of trips by 1-mile increment</t>
  </si>
  <si>
    <t>Distance values reflect low end of each range (ie. 0 refers to 0-1 miles)</t>
  </si>
  <si>
    <t>Model coefficients are segmented by HH income and person type, but most distance measures segmented only by person type, FT/PT status may not be available in Census</t>
  </si>
  <si>
    <t>Table X. Observed Trip Lengths: Survey</t>
  </si>
  <si>
    <t>Table X. Estimated Trip Lengths</t>
  </si>
  <si>
    <t>Table X. Average Half Tour Length (miles)</t>
  </si>
  <si>
    <t>Distance (mi)</t>
  </si>
  <si>
    <t>Survey</t>
  </si>
  <si>
    <t>DaySim</t>
  </si>
  <si>
    <t>BKRCast (all)</t>
  </si>
  <si>
    <t>BKRCast (In BKR)</t>
  </si>
  <si>
    <t>BKRCast (Out BKR)</t>
  </si>
  <si>
    <t>SoundCast</t>
  </si>
  <si>
    <t>Table X. Average Trip Length</t>
  </si>
</sst>
</file>

<file path=xl/styles.xml><?xml version="1.0" encoding="utf-8"?>
<styleSheet xmlns="http://schemas.openxmlformats.org/spreadsheetml/2006/main">
  <numFmts count="1">
    <numFmt formatCode="_(* #,##0_);_(* \(#,##0\);_(* &quot;-&quot;??_);_(@_)" numFmtId="164"/>
  </numFmts>
  <fonts count="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color theme="1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22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8">
    <xf borderId="0" fillId="0" fontId="0" numFmtId="0"/>
    <xf borderId="0" fillId="0" fontId="0" numFmtId="0"/>
    <xf borderId="0" fillId="0" fontId="1" numFmtId="0"/>
    <xf borderId="0" fillId="0" fontId="0" numFmtId="0"/>
    <xf borderId="0" fillId="2" fontId="0" numFmtId="0"/>
    <xf borderId="0" fillId="0" fontId="0" numFmtId="0"/>
    <xf borderId="0" fillId="0" fontId="0" numFmtId="0"/>
    <xf borderId="0" fillId="0" fontId="0" numFmtId="0"/>
  </cellStyleXfs>
  <cellXfs count="19">
    <xf borderId="0" fillId="0" fontId="0" numFmtId="0" pivotButton="0" quotePrefix="0" xfId="0"/>
    <xf borderId="1" fillId="0" fontId="0" numFmtId="0" pivotButton="0" quotePrefix="0" xfId="0"/>
    <xf borderId="2" fillId="0" fontId="0" numFmtId="0" pivotButton="0" quotePrefix="0" xfId="0"/>
    <xf borderId="1" fillId="0" fontId="1" numFmtId="0" pivotButton="0" quotePrefix="0" xfId="0"/>
    <xf borderId="0" fillId="0" fontId="0" numFmtId="2" pivotButton="0" quotePrefix="0" xfId="0"/>
    <xf borderId="0" fillId="0" fontId="1" numFmtId="0" pivotButton="0" quotePrefix="0" xfId="0"/>
    <xf borderId="0" fillId="0" fontId="0" numFmtId="10" pivotButton="0" quotePrefix="0" xfId="0"/>
    <xf borderId="0" fillId="0" fontId="2" numFmtId="0" pivotButton="0" quotePrefix="0" xfId="1"/>
    <xf borderId="1" fillId="0" fontId="2" numFmtId="0" pivotButton="0" quotePrefix="0" xfId="1"/>
    <xf applyAlignment="1" borderId="2" fillId="0" fontId="0" numFmtId="0" pivotButton="0" quotePrefix="0" xfId="0">
      <alignment horizontal="center" vertical="top"/>
    </xf>
    <xf borderId="0" fillId="0" fontId="0" numFmtId="0" pivotButton="0" quotePrefix="0" xfId="0"/>
    <xf borderId="0" fillId="0" fontId="0" numFmtId="164" pivotButton="0" quotePrefix="0" xfId="6"/>
    <xf borderId="1" fillId="0" fontId="0" numFmtId="164" pivotButton="0" quotePrefix="0" xfId="6"/>
    <xf borderId="0" fillId="0" fontId="2" numFmtId="164" pivotButton="0" quotePrefix="0" xfId="6"/>
    <xf borderId="1" fillId="0" fontId="2" numFmtId="164" pivotButton="0" quotePrefix="0" xfId="6"/>
    <xf borderId="0" fillId="0" fontId="0" numFmtId="10" pivotButton="0" quotePrefix="0" xfId="7"/>
    <xf borderId="0" fillId="3" fontId="0" numFmtId="0" pivotButton="0" quotePrefix="0" xfId="0"/>
    <xf applyAlignment="1" borderId="2" fillId="3" fontId="0" numFmtId="0" pivotButton="0" quotePrefix="0" xfId="0">
      <alignment horizontal="center" vertical="top"/>
    </xf>
    <xf borderId="0" fillId="3" fontId="0" numFmtId="2" pivotButton="0" quotePrefix="0" xfId="0"/>
  </cellXfs>
  <cellStyles count="8">
    <cellStyle name="XLConnect.String" xfId="0"/>
    <cellStyle name="XLConnect.DateTime" xfId="1"/>
    <cellStyle name="XLConnect.General" xfId="2"/>
    <cellStyle builtinId="0" name="Normal" xfId="3"/>
    <cellStyle name="XLConnect.Header" xfId="4"/>
    <cellStyle name="XLConnect.Date" xfId="5"/>
    <cellStyle name="XLConnect.Boolean" xfId="6"/>
    <cellStyle name="XLConnect.Numeric" xfId="7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/xl/worksheets/sheet3.xml" Type="http://schemas.openxmlformats.org/officeDocument/2006/relationships/worksheet"/><Relationship Id="rId4" Target="/xl/worksheets/sheet4.xml" Type="http://schemas.openxmlformats.org/officeDocument/2006/relationships/worksheet"/><Relationship Id="rId5" Target="/xl/worksheets/sheet5.xml" Type="http://schemas.openxmlformats.org/officeDocument/2006/relationships/worksheet"/><Relationship Id="rId6" Target="sharedStrings.xml" Type="http://schemas.openxmlformats.org/officeDocument/2006/relationships/sharedStrings"/><Relationship Id="rId7" Target="styles.xml" Type="http://schemas.openxmlformats.org/officeDocument/2006/relationships/styles"/><Relationship Id="rId8" Target="theme/theme1.xml" Type="http://schemas.openxmlformats.org/officeDocument/2006/relationships/theme"/><Relationship Id="rId9" Target="vbaProject.bin" Type="http://schemas.microsoft.com/office/2006/relationships/vbaProject"/></Relationships>
</file>

<file path=xl/charts/chart1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r>
              <a:t>Tour Length Frequency Distribution</a:t>
            </a:r>
          </a:p>
        </rich>
      </tx>
    </title>
    <plotArea>
      <lineChart>
        <grouping val="standard"/>
        <ser>
          <idx val="0"/>
          <order val="0"/>
          <tx>
            <strRef>
              <f>TLFD!G10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TLFD!$G$11:$G$100</f>
            </numRef>
          </val>
        </ser>
        <ser>
          <idx val="1"/>
          <order val="1"/>
          <tx>
            <strRef>
              <f>TLFD!H10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TLFD!$H$11:$H$100</f>
            </numRef>
          </val>
        </ser>
        <ser>
          <idx val="2"/>
          <order val="2"/>
          <tx>
            <strRef>
              <f>TLFD!I10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TLFD!$I$11:$I$100</f>
            </numRef>
          </val>
        </ser>
        <ser>
          <idx val="3"/>
          <order val="3"/>
          <tx>
            <strRef>
              <f>TLFD!J10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TLFD!$J$11:$J$100</f>
            </numRef>
          </val>
        </ser>
        <ser>
          <idx val="4"/>
          <order val="4"/>
          <tx>
            <strRef>
              <f>TLFD!K10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TLFD!$K$11:$K$100</f>
            </numRef>
          </val>
        </ser>
        <axId val="10"/>
        <axId val="100"/>
      </lineChart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Tours</a:t>
                </a:r>
              </a:p>
            </rich>
          </tx>
        </title>
        <crossAx val="10"/>
      </valAx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Tour Length (mile)</a:t>
                </a:r>
              </a:p>
            </rich>
          </tx>
        </title>
        <crossAx val="100"/>
        <lblOffset val="100"/>
      </catAx>
    </plotArea>
    <legend>
      <legendPos val="r"/>
    </legend>
    <dispBlanksAs val="gap"/>
  </chart>
</chartSpace>
</file>

<file path=xl/drawings/_rels/drawing1.xml.rels><Relationships xmlns="http://schemas.openxmlformats.org/package/2006/relationships"><Relationship Id="rId1" Target="/xl/charts/chart1.xml" Type="http://schemas.openxmlformats.org/officeDocument/2006/relationships/chart"/></Relationships>
</file>

<file path=xl/drawings/drawing1.xml><?xml version="1.0" encoding="utf-8"?>
<wsDr xmlns="http://schemas.openxmlformats.org/drawingml/2006/spreadsheetDrawing">
  <oneCellAnchor>
    <from>
      <col>12</col>
      <colOff>0</colOff>
      <row>14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Id="rId1" Target="/xl/drawings/drawing1.xml" Type="http://schemas.openxmlformats.org/officeDocument/2006/relationships/drawing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R102"/>
  <sheetViews>
    <sheetView tabSelected="1" workbookViewId="0">
      <selection activeCell="L11" sqref="L11"/>
    </sheetView>
  </sheetViews>
  <sheetFormatPr baseColWidth="10" defaultRowHeight="15" outlineLevelCol="0"/>
  <cols>
    <col collapsed="1" customWidth="1" max="1" min="1" style="10" width="13.5703125"/>
    <col bestFit="1" collapsed="1" customWidth="1" max="2" min="2" style="10" width="10.5703125"/>
    <col collapsed="1" customWidth="1" max="5" min="5" style="10" width="12.7109375"/>
    <col bestFit="1" collapsed="1" customWidth="1" max="6" min="6" style="10" width="10.5703125"/>
    <col bestFit="1" customWidth="1" max="7" min="7" style="10" width="12.140625"/>
    <col bestFit="1" customWidth="1" max="8" min="8" style="10" width="15.7109375"/>
    <col bestFit="1" customWidth="1" max="9" min="9" style="10" width="17.42578125"/>
    <col bestFit="1" customWidth="1" max="10" min="10" style="10" width="10.28515625"/>
    <col customWidth="1" max="13" min="13" style="10" width="7.5703125"/>
    <col bestFit="1" customWidth="1" max="14" min="14" style="10" width="7"/>
    <col bestFit="1" collapsed="1" customWidth="1" max="15" min="15" style="10" width="10.28515625"/>
    <col bestFit="1" customWidth="1" max="16" min="16" style="10" width="12.140625"/>
    <col bestFit="1" customWidth="1" max="17" min="17" style="10" width="15.7109375"/>
    <col bestFit="1" customWidth="1" max="18" min="18" style="10" width="17.42578125"/>
  </cols>
  <sheetData>
    <row r="1" spans="1:18">
      <c r="A1" t="s">
        <v>0</v>
      </c>
    </row>
    <row r="2" spans="1:18">
      <c r="A2" t="s">
        <v>1</v>
      </c>
    </row>
    <row r="3" spans="1:18">
      <c r="A3" t="s">
        <v>2</v>
      </c>
    </row>
    <row r="4" spans="1:18">
      <c r="A4" t="s">
        <v>3</v>
      </c>
    </row>
    <row r="5" spans="1:18">
      <c r="A5" t="s">
        <v>4</v>
      </c>
    </row>
    <row r="7" spans="1:18">
      <c r="A7" t="s">
        <v>5</v>
      </c>
    </row>
    <row customHeight="1" ht="15.75" r="9" s="10" spans="1:18">
      <c r="A9" s="3" t="s">
        <v>6</v>
      </c>
      <c r="B9" s="1" t="n"/>
      <c r="E9" s="3" t="s">
        <v>7</v>
      </c>
      <c r="F9" s="1" t="n"/>
      <c r="M9" s="5" t="s">
        <v>8</v>
      </c>
      <c r="N9" s="16" t="n"/>
      <c r="O9" s="16" t="n"/>
      <c r="P9" s="16" t="n"/>
      <c r="Q9" s="16" t="n"/>
      <c r="R9" s="16" t="n"/>
    </row>
    <row r="10" spans="1:18">
      <c r="A10" s="2" t="s">
        <v>9</v>
      </c>
      <c r="B10" s="9" t="s">
        <v>10</v>
      </c>
      <c r="C10" s="9" t="s">
        <v>10</v>
      </c>
      <c r="E10" s="2" t="s">
        <v>9</v>
      </c>
      <c r="F10" s="9" t="s">
        <v>11</v>
      </c>
      <c r="G10" s="9" t="s">
        <v>12</v>
      </c>
      <c r="H10" s="9" t="s">
        <v>13</v>
      </c>
      <c r="I10" s="9" t="s">
        <v>14</v>
      </c>
      <c r="J10" s="9" t="s">
        <v>15</v>
      </c>
      <c r="K10">
        <f>C10</f>
        <v/>
      </c>
      <c r="M10" s="2" t="n"/>
      <c r="N10" s="17" t="s">
        <v>10</v>
      </c>
      <c r="O10" s="17" t="s">
        <v>15</v>
      </c>
      <c r="P10" s="17" t="s">
        <v>12</v>
      </c>
      <c r="Q10" s="17" t="s">
        <v>13</v>
      </c>
      <c r="R10" s="17" t="s">
        <v>14</v>
      </c>
    </row>
    <row r="11" spans="1:18">
      <c r="A11" t="n">
        <v>0</v>
      </c>
      <c r="B11" s="11">
        <f>bkrcast_all!B11</f>
        <v/>
      </c>
      <c r="C11" s="6">
        <f>B11/B$102</f>
        <v/>
      </c>
      <c r="E11" s="7" t="n">
        <v>0</v>
      </c>
      <c r="F11" s="13" t="n">
        <v>33620.42287425204</v>
      </c>
      <c r="G11" s="6">
        <f>bkrcast_all!G11</f>
        <v/>
      </c>
      <c r="H11" s="6">
        <f>bkrcast_inbkr!G11</f>
        <v/>
      </c>
      <c r="I11" s="6">
        <f>bkrcast_outbkr!G11</f>
        <v/>
      </c>
      <c r="J11" s="6">
        <f>soundcast!G11</f>
        <v/>
      </c>
      <c r="K11" s="15">
        <f>C11</f>
        <v/>
      </c>
      <c r="N11" s="18">
        <f>bkrcast_all!K11</f>
        <v/>
      </c>
      <c r="O11" s="18">
        <f>soundcast!L11</f>
        <v/>
      </c>
      <c r="P11" s="18">
        <f>bkrcast_all!L11</f>
        <v/>
      </c>
      <c r="Q11" s="18">
        <f>bkrcast_inbkr!L11</f>
        <v/>
      </c>
      <c r="R11" s="18">
        <f>bkrcast_outbkr!L11</f>
        <v/>
      </c>
    </row>
    <row r="12" spans="1:18">
      <c r="A12" t="n">
        <v>1</v>
      </c>
      <c r="B12" s="11">
        <f>bkrcast_all!B12</f>
        <v/>
      </c>
      <c r="C12" s="6">
        <f>B12/B$102</f>
        <v/>
      </c>
      <c r="E12" s="7" t="n">
        <v>1</v>
      </c>
      <c r="F12" s="13" t="n">
        <v>18262.50675420548</v>
      </c>
      <c r="G12" s="6">
        <f>bkrcast_all!G12</f>
        <v/>
      </c>
      <c r="H12" s="6">
        <f>bkrcast_inbkr!G12</f>
        <v/>
      </c>
      <c r="I12" s="6">
        <f>bkrcast_outbkr!G12</f>
        <v/>
      </c>
      <c r="J12" s="6">
        <f>soundcast!G12</f>
        <v/>
      </c>
      <c r="K12" s="15">
        <f>C12</f>
        <v/>
      </c>
      <c r="N12" s="4" t="n"/>
      <c r="O12" s="7" t="n"/>
    </row>
    <row r="13" spans="1:18">
      <c r="A13" t="n">
        <v>2</v>
      </c>
      <c r="B13" s="11">
        <f>bkrcast_all!B13</f>
        <v/>
      </c>
      <c r="C13" s="6">
        <f>B13/B$102</f>
        <v/>
      </c>
      <c r="E13" s="7" t="n">
        <v>2</v>
      </c>
      <c r="F13" s="13" t="n">
        <v>11833.47301387274</v>
      </c>
      <c r="G13" s="6">
        <f>bkrcast_all!G13</f>
        <v/>
      </c>
      <c r="H13" s="6">
        <f>bkrcast_inbkr!G13</f>
        <v/>
      </c>
      <c r="I13" s="6">
        <f>bkrcast_outbkr!G13</f>
        <v/>
      </c>
      <c r="J13" s="6">
        <f>soundcast!G13</f>
        <v/>
      </c>
      <c r="K13" s="15">
        <f>C13</f>
        <v/>
      </c>
    </row>
    <row r="14" spans="1:18">
      <c r="A14" t="n">
        <v>3</v>
      </c>
      <c r="B14" s="11">
        <f>bkrcast_all!B14</f>
        <v/>
      </c>
      <c r="C14" s="6">
        <f>B14/B$102</f>
        <v/>
      </c>
      <c r="E14" s="7" t="n">
        <v>3</v>
      </c>
      <c r="F14" s="13" t="n">
        <v>6564.264287105515</v>
      </c>
      <c r="G14" s="6">
        <f>bkrcast_all!G14</f>
        <v/>
      </c>
      <c r="H14" s="6">
        <f>bkrcast_inbkr!G14</f>
        <v/>
      </c>
      <c r="I14" s="6">
        <f>bkrcast_outbkr!G14</f>
        <v/>
      </c>
      <c r="J14" s="6">
        <f>soundcast!G14</f>
        <v/>
      </c>
      <c r="K14" s="15">
        <f>C14</f>
        <v/>
      </c>
    </row>
    <row r="15" spans="1:18">
      <c r="A15" t="n">
        <v>4</v>
      </c>
      <c r="B15" s="11">
        <f>bkrcast_all!B15</f>
        <v/>
      </c>
      <c r="C15" s="6">
        <f>B15/B$102</f>
        <v/>
      </c>
      <c r="E15" s="7" t="n">
        <v>4</v>
      </c>
      <c r="F15" s="13" t="n">
        <v>23198.75111712055</v>
      </c>
      <c r="G15" s="6">
        <f>bkrcast_all!G15</f>
        <v/>
      </c>
      <c r="H15" s="6">
        <f>bkrcast_inbkr!G15</f>
        <v/>
      </c>
      <c r="I15" s="6">
        <f>bkrcast_outbkr!G15</f>
        <v/>
      </c>
      <c r="J15" s="6">
        <f>soundcast!G15</f>
        <v/>
      </c>
      <c r="K15" s="15">
        <f>C15</f>
        <v/>
      </c>
    </row>
    <row r="16" spans="1:18">
      <c r="A16" t="n">
        <v>5</v>
      </c>
      <c r="B16" s="11">
        <f>bkrcast_all!B16</f>
        <v/>
      </c>
      <c r="C16" s="6">
        <f>B16/B$102</f>
        <v/>
      </c>
      <c r="E16" s="7" t="n">
        <v>5</v>
      </c>
      <c r="F16" s="13" t="n">
        <v>14892.13701068411</v>
      </c>
      <c r="G16" s="6">
        <f>bkrcast_all!G16</f>
        <v/>
      </c>
      <c r="H16" s="6">
        <f>bkrcast_inbkr!G16</f>
        <v/>
      </c>
      <c r="I16" s="6">
        <f>bkrcast_outbkr!G16</f>
        <v/>
      </c>
      <c r="J16" s="6">
        <f>soundcast!G16</f>
        <v/>
      </c>
      <c r="K16" s="15">
        <f>C16</f>
        <v/>
      </c>
    </row>
    <row r="17" spans="1:18">
      <c r="A17" t="n">
        <v>6</v>
      </c>
      <c r="B17" s="11">
        <f>bkrcast_all!B17</f>
        <v/>
      </c>
      <c r="C17" s="6">
        <f>B17/B$102</f>
        <v/>
      </c>
      <c r="E17" s="7" t="n">
        <v>6</v>
      </c>
      <c r="F17" s="13" t="n">
        <v>11852.32369755544</v>
      </c>
      <c r="G17" s="6">
        <f>bkrcast_all!G17</f>
        <v/>
      </c>
      <c r="H17" s="6">
        <f>bkrcast_inbkr!G17</f>
        <v/>
      </c>
      <c r="I17" s="6">
        <f>bkrcast_outbkr!G17</f>
        <v/>
      </c>
      <c r="J17" s="6">
        <f>soundcast!G17</f>
        <v/>
      </c>
      <c r="K17" s="15">
        <f>C17</f>
        <v/>
      </c>
    </row>
    <row r="18" spans="1:18">
      <c r="A18" t="n">
        <v>7</v>
      </c>
      <c r="B18" s="11">
        <f>bkrcast_all!B18</f>
        <v/>
      </c>
      <c r="C18" s="6">
        <f>B18/B$102</f>
        <v/>
      </c>
      <c r="E18" s="7" t="n">
        <v>7</v>
      </c>
      <c r="F18" s="13" t="n">
        <v>6275.751382908873</v>
      </c>
      <c r="G18" s="6">
        <f>bkrcast_all!G18</f>
        <v/>
      </c>
      <c r="H18" s="6">
        <f>bkrcast_inbkr!G18</f>
        <v/>
      </c>
      <c r="I18" s="6">
        <f>bkrcast_outbkr!G18</f>
        <v/>
      </c>
      <c r="J18" s="6">
        <f>soundcast!G18</f>
        <v/>
      </c>
      <c r="K18" s="15">
        <f>C18</f>
        <v/>
      </c>
    </row>
    <row r="19" spans="1:18">
      <c r="A19" t="n">
        <v>8</v>
      </c>
      <c r="B19" s="11">
        <f>bkrcast_all!B19</f>
        <v/>
      </c>
      <c r="C19" s="6">
        <f>B19/B$102</f>
        <v/>
      </c>
      <c r="E19" s="7" t="n">
        <v>8</v>
      </c>
      <c r="F19" s="13" t="n">
        <v>8893.414232099074</v>
      </c>
      <c r="G19" s="6">
        <f>bkrcast_all!G19</f>
        <v/>
      </c>
      <c r="H19" s="6">
        <f>bkrcast_inbkr!G19</f>
        <v/>
      </c>
      <c r="I19" s="6">
        <f>bkrcast_outbkr!G19</f>
        <v/>
      </c>
      <c r="J19" s="6">
        <f>soundcast!G19</f>
        <v/>
      </c>
      <c r="K19" s="15">
        <f>C19</f>
        <v/>
      </c>
    </row>
    <row r="20" spans="1:18">
      <c r="A20" t="n">
        <v>9</v>
      </c>
      <c r="B20" s="11">
        <f>bkrcast_all!B20</f>
        <v/>
      </c>
      <c r="C20" s="6">
        <f>B20/B$102</f>
        <v/>
      </c>
      <c r="E20" s="7" t="n">
        <v>9</v>
      </c>
      <c r="F20" s="13" t="n">
        <v>4823.156142416078</v>
      </c>
      <c r="G20" s="6">
        <f>bkrcast_all!G20</f>
        <v/>
      </c>
      <c r="H20" s="6">
        <f>bkrcast_inbkr!G20</f>
        <v/>
      </c>
      <c r="I20" s="6">
        <f>bkrcast_outbkr!G20</f>
        <v/>
      </c>
      <c r="J20" s="6">
        <f>soundcast!G20</f>
        <v/>
      </c>
      <c r="K20" s="15">
        <f>C20</f>
        <v/>
      </c>
    </row>
    <row r="21" spans="1:18">
      <c r="A21" t="n">
        <v>10</v>
      </c>
      <c r="B21" s="11">
        <f>bkrcast_all!B21</f>
        <v/>
      </c>
      <c r="C21" s="6">
        <f>B21/B$102</f>
        <v/>
      </c>
      <c r="E21" s="7" t="n">
        <v>10</v>
      </c>
      <c r="F21" s="13" t="n">
        <v>3253.751092694217</v>
      </c>
      <c r="G21" s="6">
        <f>bkrcast_all!G21</f>
        <v/>
      </c>
      <c r="H21" s="6">
        <f>bkrcast_inbkr!G21</f>
        <v/>
      </c>
      <c r="I21" s="6">
        <f>bkrcast_outbkr!G21</f>
        <v/>
      </c>
      <c r="J21" s="6">
        <f>soundcast!G21</f>
        <v/>
      </c>
      <c r="K21" s="15">
        <f>C21</f>
        <v/>
      </c>
    </row>
    <row r="22" spans="1:18">
      <c r="A22" t="n">
        <v>11</v>
      </c>
      <c r="B22" s="11">
        <f>bkrcast_all!B22</f>
        <v/>
      </c>
      <c r="C22" s="6">
        <f>B22/B$102</f>
        <v/>
      </c>
      <c r="E22" s="7" t="n">
        <v>11</v>
      </c>
      <c r="F22" s="13" t="n">
        <v>3027.756657293925</v>
      </c>
      <c r="G22" s="6">
        <f>bkrcast_all!G22</f>
        <v/>
      </c>
      <c r="H22" s="6">
        <f>bkrcast_inbkr!G22</f>
        <v/>
      </c>
      <c r="I22" s="6">
        <f>bkrcast_outbkr!G22</f>
        <v/>
      </c>
      <c r="J22" s="6">
        <f>soundcast!G22</f>
        <v/>
      </c>
      <c r="K22" s="15">
        <f>C22</f>
        <v/>
      </c>
    </row>
    <row r="23" spans="1:18">
      <c r="A23" t="n">
        <v>12</v>
      </c>
      <c r="B23" s="11">
        <f>bkrcast_all!B23</f>
        <v/>
      </c>
      <c r="C23" s="6">
        <f>B23/B$102</f>
        <v/>
      </c>
      <c r="E23" s="7" t="n">
        <v>12</v>
      </c>
      <c r="F23" s="13" t="n">
        <v>2636.45190513237</v>
      </c>
      <c r="G23" s="6">
        <f>bkrcast_all!G23</f>
        <v/>
      </c>
      <c r="H23" s="6">
        <f>bkrcast_inbkr!G23</f>
        <v/>
      </c>
      <c r="I23" s="6">
        <f>bkrcast_outbkr!G23</f>
        <v/>
      </c>
      <c r="J23" s="6">
        <f>soundcast!G23</f>
        <v/>
      </c>
      <c r="K23" s="15">
        <f>C23</f>
        <v/>
      </c>
    </row>
    <row r="24" spans="1:18">
      <c r="A24" t="n">
        <v>13</v>
      </c>
      <c r="B24" s="11">
        <f>bkrcast_all!B24</f>
        <v/>
      </c>
      <c r="C24" s="6">
        <f>B24/B$102</f>
        <v/>
      </c>
      <c r="E24" s="7" t="n">
        <v>13</v>
      </c>
      <c r="F24" s="13" t="n">
        <v>3016.903411335647</v>
      </c>
      <c r="G24" s="6">
        <f>bkrcast_all!G24</f>
        <v/>
      </c>
      <c r="H24" s="6">
        <f>bkrcast_inbkr!G24</f>
        <v/>
      </c>
      <c r="I24" s="6">
        <f>bkrcast_outbkr!G24</f>
        <v/>
      </c>
      <c r="J24" s="6">
        <f>soundcast!G24</f>
        <v/>
      </c>
      <c r="K24" s="15">
        <f>C24</f>
        <v/>
      </c>
    </row>
    <row r="25" spans="1:18">
      <c r="A25" t="n">
        <v>14</v>
      </c>
      <c r="B25" s="11">
        <f>bkrcast_all!B25</f>
        <v/>
      </c>
      <c r="C25" s="6">
        <f>B25/B$102</f>
        <v/>
      </c>
      <c r="E25" s="7" t="n">
        <v>14</v>
      </c>
      <c r="F25" s="13" t="n">
        <v>2827.788905780781</v>
      </c>
      <c r="G25" s="6">
        <f>bkrcast_all!G25</f>
        <v/>
      </c>
      <c r="H25" s="6">
        <f>bkrcast_inbkr!G25</f>
        <v/>
      </c>
      <c r="I25" s="6">
        <f>bkrcast_outbkr!G25</f>
        <v/>
      </c>
      <c r="J25" s="6">
        <f>soundcast!G25</f>
        <v/>
      </c>
      <c r="K25" s="15">
        <f>C25</f>
        <v/>
      </c>
    </row>
    <row r="26" spans="1:18">
      <c r="A26" t="n">
        <v>15</v>
      </c>
      <c r="B26" s="11">
        <f>bkrcast_all!B26</f>
        <v/>
      </c>
      <c r="C26" s="6">
        <f>B26/B$102</f>
        <v/>
      </c>
      <c r="E26" s="7" t="n">
        <v>15</v>
      </c>
      <c r="F26" s="13" t="n">
        <v>3323.573949787904</v>
      </c>
      <c r="G26" s="6">
        <f>bkrcast_all!G26</f>
        <v/>
      </c>
      <c r="H26" s="6">
        <f>bkrcast_inbkr!G26</f>
        <v/>
      </c>
      <c r="I26" s="6">
        <f>bkrcast_outbkr!G26</f>
        <v/>
      </c>
      <c r="J26" s="6">
        <f>soundcast!G26</f>
        <v/>
      </c>
      <c r="K26" s="15">
        <f>C26</f>
        <v/>
      </c>
    </row>
    <row r="27" spans="1:18">
      <c r="A27" t="n">
        <v>16</v>
      </c>
      <c r="B27" s="11">
        <f>bkrcast_all!B27</f>
        <v/>
      </c>
      <c r="C27" s="6">
        <f>B27/B$102</f>
        <v/>
      </c>
      <c r="E27" s="7" t="n">
        <v>16</v>
      </c>
      <c r="F27" s="13" t="n">
        <v>2008.727629652685</v>
      </c>
      <c r="G27" s="6">
        <f>bkrcast_all!G27</f>
        <v/>
      </c>
      <c r="H27" s="6">
        <f>bkrcast_inbkr!G27</f>
        <v/>
      </c>
      <c r="I27" s="6">
        <f>bkrcast_outbkr!G27</f>
        <v/>
      </c>
      <c r="J27" s="6">
        <f>soundcast!G27</f>
        <v/>
      </c>
      <c r="K27" s="15">
        <f>C27</f>
        <v/>
      </c>
    </row>
    <row r="28" spans="1:18">
      <c r="A28" t="n">
        <v>17</v>
      </c>
      <c r="B28" s="11">
        <f>bkrcast_all!B28</f>
        <v/>
      </c>
      <c r="C28" s="6">
        <f>B28/B$102</f>
        <v/>
      </c>
      <c r="E28" s="7" t="n">
        <v>17</v>
      </c>
      <c r="F28" s="13" t="n">
        <v>1937.732205976488</v>
      </c>
      <c r="G28" s="6">
        <f>bkrcast_all!G28</f>
        <v/>
      </c>
      <c r="H28" s="6">
        <f>bkrcast_inbkr!G28</f>
        <v/>
      </c>
      <c r="I28" s="6">
        <f>bkrcast_outbkr!G28</f>
        <v/>
      </c>
      <c r="J28" s="6">
        <f>soundcast!G28</f>
        <v/>
      </c>
      <c r="K28" s="15">
        <f>C28</f>
        <v/>
      </c>
    </row>
    <row r="29" spans="1:18">
      <c r="A29" t="n">
        <v>18</v>
      </c>
      <c r="B29" s="11">
        <f>bkrcast_all!B29</f>
        <v/>
      </c>
      <c r="C29" s="6">
        <f>B29/B$102</f>
        <v/>
      </c>
      <c r="E29" s="7" t="n">
        <v>18</v>
      </c>
      <c r="F29" s="13" t="n">
        <v>1712.246722941283</v>
      </c>
      <c r="G29" s="6">
        <f>bkrcast_all!G29</f>
        <v/>
      </c>
      <c r="H29" s="6">
        <f>bkrcast_inbkr!G29</f>
        <v/>
      </c>
      <c r="I29" s="6">
        <f>bkrcast_outbkr!G29</f>
        <v/>
      </c>
      <c r="J29" s="6">
        <f>soundcast!G29</f>
        <v/>
      </c>
      <c r="K29" s="15">
        <f>C29</f>
        <v/>
      </c>
    </row>
    <row r="30" spans="1:18">
      <c r="A30" t="n">
        <v>19</v>
      </c>
      <c r="B30" s="11">
        <f>bkrcast_all!B30</f>
        <v/>
      </c>
      <c r="C30" s="6">
        <f>B30/B$102</f>
        <v/>
      </c>
      <c r="E30" s="7" t="n">
        <v>19</v>
      </c>
      <c r="F30" s="13" t="n">
        <v>1430.437097705911</v>
      </c>
      <c r="G30" s="6">
        <f>bkrcast_all!G30</f>
        <v/>
      </c>
      <c r="H30" s="6">
        <f>bkrcast_inbkr!G30</f>
        <v/>
      </c>
      <c r="I30" s="6">
        <f>bkrcast_outbkr!G30</f>
        <v/>
      </c>
      <c r="J30" s="6">
        <f>soundcast!G30</f>
        <v/>
      </c>
      <c r="K30" s="15">
        <f>C30</f>
        <v/>
      </c>
    </row>
    <row r="31" spans="1:18">
      <c r="A31" t="n">
        <v>20</v>
      </c>
      <c r="B31" s="11">
        <f>bkrcast_all!B31</f>
        <v/>
      </c>
      <c r="C31" s="6">
        <f>B31/B$102</f>
        <v/>
      </c>
      <c r="E31" s="7" t="n">
        <v>20</v>
      </c>
      <c r="F31" s="13" t="n">
        <v>1226.88001682539</v>
      </c>
      <c r="G31" s="6">
        <f>bkrcast_all!G31</f>
        <v/>
      </c>
      <c r="H31" s="6">
        <f>bkrcast_inbkr!G31</f>
        <v/>
      </c>
      <c r="I31" s="6">
        <f>bkrcast_outbkr!G31</f>
        <v/>
      </c>
      <c r="J31" s="6">
        <f>soundcast!G31</f>
        <v/>
      </c>
      <c r="K31" s="15">
        <f>C31</f>
        <v/>
      </c>
    </row>
    <row r="32" spans="1:18">
      <c r="A32" t="n">
        <v>21</v>
      </c>
      <c r="B32" s="11">
        <f>bkrcast_all!B32</f>
        <v/>
      </c>
      <c r="C32" s="6">
        <f>B32/B$102</f>
        <v/>
      </c>
      <c r="E32" s="7" t="n">
        <v>21</v>
      </c>
      <c r="F32" s="13" t="n">
        <v>1238.859413138057</v>
      </c>
      <c r="G32" s="6">
        <f>bkrcast_all!G32</f>
        <v/>
      </c>
      <c r="H32" s="6">
        <f>bkrcast_inbkr!G32</f>
        <v/>
      </c>
      <c r="I32" s="6">
        <f>bkrcast_outbkr!G32</f>
        <v/>
      </c>
      <c r="J32" s="6">
        <f>soundcast!G32</f>
        <v/>
      </c>
      <c r="K32" s="15">
        <f>C32</f>
        <v/>
      </c>
    </row>
    <row r="33" spans="1:18">
      <c r="A33" t="n">
        <v>22</v>
      </c>
      <c r="B33" s="11">
        <f>bkrcast_all!B33</f>
        <v/>
      </c>
      <c r="C33" s="6">
        <f>B33/B$102</f>
        <v/>
      </c>
      <c r="E33" s="7" t="n">
        <v>22</v>
      </c>
      <c r="F33" s="13" t="n">
        <v>899.9691784625875</v>
      </c>
      <c r="G33" s="6">
        <f>bkrcast_all!G33</f>
        <v/>
      </c>
      <c r="H33" s="6">
        <f>bkrcast_inbkr!G33</f>
        <v/>
      </c>
      <c r="I33" s="6">
        <f>bkrcast_outbkr!G33</f>
        <v/>
      </c>
      <c r="J33" s="6">
        <f>soundcast!G33</f>
        <v/>
      </c>
      <c r="K33" s="15">
        <f>C33</f>
        <v/>
      </c>
    </row>
    <row r="34" spans="1:18">
      <c r="A34" t="n">
        <v>23</v>
      </c>
      <c r="B34" s="11">
        <f>bkrcast_all!B34</f>
        <v/>
      </c>
      <c r="C34" s="6">
        <f>B34/B$102</f>
        <v/>
      </c>
      <c r="E34" s="7" t="n">
        <v>23</v>
      </c>
      <c r="F34" s="13" t="n">
        <v>1418.705139181326</v>
      </c>
      <c r="G34" s="6">
        <f>bkrcast_all!G34</f>
        <v/>
      </c>
      <c r="H34" s="6">
        <f>bkrcast_inbkr!G34</f>
        <v/>
      </c>
      <c r="I34" s="6">
        <f>bkrcast_outbkr!G34</f>
        <v/>
      </c>
      <c r="J34" s="6">
        <f>soundcast!G34</f>
        <v/>
      </c>
      <c r="K34" s="15">
        <f>C34</f>
        <v/>
      </c>
    </row>
    <row r="35" spans="1:18">
      <c r="A35" t="n">
        <v>24</v>
      </c>
      <c r="B35" s="11">
        <f>bkrcast_all!B35</f>
        <v/>
      </c>
      <c r="C35" s="6">
        <f>B35/B$102</f>
        <v/>
      </c>
      <c r="E35" s="7" t="n">
        <v>24</v>
      </c>
      <c r="F35" s="13" t="n">
        <v>795.9030695331816</v>
      </c>
      <c r="G35" s="6">
        <f>bkrcast_all!G35</f>
        <v/>
      </c>
      <c r="H35" s="6">
        <f>bkrcast_inbkr!G35</f>
        <v/>
      </c>
      <c r="I35" s="6">
        <f>bkrcast_outbkr!G35</f>
        <v/>
      </c>
      <c r="J35" s="6">
        <f>soundcast!G35</f>
        <v/>
      </c>
      <c r="K35" s="15">
        <f>C35</f>
        <v/>
      </c>
    </row>
    <row r="36" spans="1:18">
      <c r="A36" t="n">
        <v>25</v>
      </c>
      <c r="B36" s="11">
        <f>bkrcast_all!B36</f>
        <v/>
      </c>
      <c r="C36" s="6">
        <f>B36/B$102</f>
        <v/>
      </c>
      <c r="E36" s="7" t="n">
        <v>25</v>
      </c>
      <c r="F36" s="13" t="n">
        <v>788.2245137243517</v>
      </c>
      <c r="G36" s="6">
        <f>bkrcast_all!G36</f>
        <v/>
      </c>
      <c r="H36" s="6">
        <f>bkrcast_inbkr!G36</f>
        <v/>
      </c>
      <c r="I36" s="6">
        <f>bkrcast_outbkr!G36</f>
        <v/>
      </c>
      <c r="J36" s="6">
        <f>soundcast!G36</f>
        <v/>
      </c>
      <c r="K36" s="15">
        <f>C36</f>
        <v/>
      </c>
    </row>
    <row r="37" spans="1:18">
      <c r="A37" t="n">
        <v>26</v>
      </c>
      <c r="B37" s="11">
        <f>bkrcast_all!B37</f>
        <v/>
      </c>
      <c r="C37" s="6">
        <f>B37/B$102</f>
        <v/>
      </c>
      <c r="E37" s="7" t="n">
        <v>26</v>
      </c>
      <c r="F37" s="13" t="n">
        <v>506.6900804757062</v>
      </c>
      <c r="G37" s="6">
        <f>bkrcast_all!G37</f>
        <v/>
      </c>
      <c r="H37" s="6">
        <f>bkrcast_inbkr!G37</f>
        <v/>
      </c>
      <c r="I37" s="6">
        <f>bkrcast_outbkr!G37</f>
        <v/>
      </c>
      <c r="J37" s="6">
        <f>soundcast!G37</f>
        <v/>
      </c>
      <c r="K37" s="15">
        <f>C37</f>
        <v/>
      </c>
    </row>
    <row r="38" spans="1:18">
      <c r="A38" t="n">
        <v>27</v>
      </c>
      <c r="B38" s="11">
        <f>bkrcast_all!B38</f>
        <v/>
      </c>
      <c r="C38" s="6">
        <f>B38/B$102</f>
        <v/>
      </c>
      <c r="E38" s="7" t="n">
        <v>27</v>
      </c>
      <c r="F38" s="13" t="n">
        <v>714.5591850384095</v>
      </c>
      <c r="G38" s="6">
        <f>bkrcast_all!G38</f>
        <v/>
      </c>
      <c r="H38" s="6">
        <f>bkrcast_inbkr!G38</f>
        <v/>
      </c>
      <c r="I38" s="6">
        <f>bkrcast_outbkr!G38</f>
        <v/>
      </c>
      <c r="J38" s="6">
        <f>soundcast!G38</f>
        <v/>
      </c>
      <c r="K38" s="15">
        <f>C38</f>
        <v/>
      </c>
    </row>
    <row r="39" spans="1:18">
      <c r="A39" t="n">
        <v>28</v>
      </c>
      <c r="B39" s="11">
        <f>bkrcast_all!B39</f>
        <v/>
      </c>
      <c r="C39" s="6">
        <f>B39/B$102</f>
        <v/>
      </c>
      <c r="E39" s="7" t="n">
        <v>28</v>
      </c>
      <c r="F39" s="13" t="n">
        <v>465.5987575352162</v>
      </c>
      <c r="G39" s="6">
        <f>bkrcast_all!G39</f>
        <v/>
      </c>
      <c r="H39" s="6">
        <f>bkrcast_inbkr!G39</f>
        <v/>
      </c>
      <c r="I39" s="6">
        <f>bkrcast_outbkr!G39</f>
        <v/>
      </c>
      <c r="J39" s="6">
        <f>soundcast!G39</f>
        <v/>
      </c>
      <c r="K39" s="15">
        <f>C39</f>
        <v/>
      </c>
    </row>
    <row r="40" spans="1:18">
      <c r="A40" t="n">
        <v>29</v>
      </c>
      <c r="B40" s="11">
        <f>bkrcast_all!B40</f>
        <v/>
      </c>
      <c r="C40" s="6">
        <f>B40/B$102</f>
        <v/>
      </c>
      <c r="E40" s="7" t="n">
        <v>29</v>
      </c>
      <c r="F40" s="13" t="n">
        <v>427.7741320019097</v>
      </c>
      <c r="G40" s="6">
        <f>bkrcast_all!G40</f>
        <v/>
      </c>
      <c r="H40" s="6">
        <f>bkrcast_inbkr!G40</f>
        <v/>
      </c>
      <c r="I40" s="6">
        <f>bkrcast_outbkr!G40</f>
        <v/>
      </c>
      <c r="J40" s="6">
        <f>soundcast!G40</f>
        <v/>
      </c>
      <c r="K40" s="15">
        <f>C40</f>
        <v/>
      </c>
    </row>
    <row r="41" spans="1:18">
      <c r="A41" t="n">
        <v>30</v>
      </c>
      <c r="B41" s="11">
        <f>bkrcast_all!B41</f>
        <v/>
      </c>
      <c r="C41" s="6">
        <f>B41/B$102</f>
        <v/>
      </c>
      <c r="E41" s="7" t="n">
        <v>30</v>
      </c>
      <c r="F41" s="13" t="n">
        <v>355.581523412582</v>
      </c>
      <c r="G41" s="6">
        <f>bkrcast_all!G41</f>
        <v/>
      </c>
      <c r="H41" s="6">
        <f>bkrcast_inbkr!G41</f>
        <v/>
      </c>
      <c r="I41" s="6">
        <f>bkrcast_outbkr!G41</f>
        <v/>
      </c>
      <c r="J41" s="6">
        <f>soundcast!G41</f>
        <v/>
      </c>
      <c r="K41" s="15">
        <f>C41</f>
        <v/>
      </c>
    </row>
    <row r="42" spans="1:18">
      <c r="A42" t="n">
        <v>31</v>
      </c>
      <c r="B42" s="11">
        <f>bkrcast_all!B42</f>
        <v/>
      </c>
      <c r="C42" s="6">
        <f>B42/B$102</f>
        <v/>
      </c>
      <c r="E42" s="7" t="n">
        <v>31</v>
      </c>
      <c r="F42" s="13" t="n">
        <v>255.7196905400451</v>
      </c>
      <c r="G42" s="6">
        <f>bkrcast_all!G42</f>
        <v/>
      </c>
      <c r="H42" s="6">
        <f>bkrcast_inbkr!G42</f>
        <v/>
      </c>
      <c r="I42" s="6">
        <f>bkrcast_outbkr!G42</f>
        <v/>
      </c>
      <c r="J42" s="6">
        <f>soundcast!G42</f>
        <v/>
      </c>
      <c r="K42" s="15">
        <f>C42</f>
        <v/>
      </c>
    </row>
    <row r="43" spans="1:18">
      <c r="A43" t="n">
        <v>32</v>
      </c>
      <c r="B43" s="11">
        <f>bkrcast_all!B43</f>
        <v/>
      </c>
      <c r="C43" s="6">
        <f>B43/B$102</f>
        <v/>
      </c>
      <c r="E43" s="7" t="n">
        <v>32</v>
      </c>
      <c r="F43" s="13" t="n">
        <v>312.1326562237147</v>
      </c>
      <c r="G43" s="6">
        <f>bkrcast_all!G43</f>
        <v/>
      </c>
      <c r="H43" s="6">
        <f>bkrcast_inbkr!G43</f>
        <v/>
      </c>
      <c r="I43" s="6">
        <f>bkrcast_outbkr!G43</f>
        <v/>
      </c>
      <c r="J43" s="6">
        <f>soundcast!G43</f>
        <v/>
      </c>
      <c r="K43" s="15">
        <f>C43</f>
        <v/>
      </c>
    </row>
    <row r="44" spans="1:18">
      <c r="A44" t="n">
        <v>33</v>
      </c>
      <c r="B44" s="11">
        <f>bkrcast_all!B44</f>
        <v/>
      </c>
      <c r="C44" s="6">
        <f>B44/B$102</f>
        <v/>
      </c>
      <c r="E44" s="7" t="n">
        <v>33</v>
      </c>
      <c r="F44" s="13" t="n">
        <v>302.0149520188561</v>
      </c>
      <c r="G44" s="6">
        <f>bkrcast_all!G44</f>
        <v/>
      </c>
      <c r="H44" s="6">
        <f>bkrcast_inbkr!G44</f>
        <v/>
      </c>
      <c r="I44" s="6">
        <f>bkrcast_outbkr!G44</f>
        <v/>
      </c>
      <c r="J44" s="6">
        <f>soundcast!G44</f>
        <v/>
      </c>
      <c r="K44" s="15">
        <f>C44</f>
        <v/>
      </c>
    </row>
    <row r="45" spans="1:18">
      <c r="A45" t="n">
        <v>34</v>
      </c>
      <c r="B45" s="11">
        <f>bkrcast_all!B45</f>
        <v/>
      </c>
      <c r="C45" s="6">
        <f>B45/B$102</f>
        <v/>
      </c>
      <c r="E45" s="7" t="n">
        <v>34</v>
      </c>
      <c r="F45" s="13" t="n">
        <v>120.8156221000601</v>
      </c>
      <c r="G45" s="6">
        <f>bkrcast_all!G45</f>
        <v/>
      </c>
      <c r="H45" s="6">
        <f>bkrcast_inbkr!G45</f>
        <v/>
      </c>
      <c r="I45" s="6">
        <f>bkrcast_outbkr!G45</f>
        <v/>
      </c>
      <c r="J45" s="6">
        <f>soundcast!G45</f>
        <v/>
      </c>
      <c r="K45" s="15">
        <f>C45</f>
        <v/>
      </c>
    </row>
    <row r="46" spans="1:18">
      <c r="A46" t="n">
        <v>35</v>
      </c>
      <c r="B46" s="11">
        <f>bkrcast_all!B46</f>
        <v/>
      </c>
      <c r="C46" s="6">
        <f>B46/B$102</f>
        <v/>
      </c>
      <c r="E46" s="7" t="n">
        <v>35</v>
      </c>
      <c r="F46" s="13" t="n">
        <v>140.2026466884089</v>
      </c>
      <c r="G46" s="6">
        <f>bkrcast_all!G46</f>
        <v/>
      </c>
      <c r="H46" s="6">
        <f>bkrcast_inbkr!G46</f>
        <v/>
      </c>
      <c r="I46" s="6">
        <f>bkrcast_outbkr!G46</f>
        <v/>
      </c>
      <c r="J46" s="6">
        <f>soundcast!G46</f>
        <v/>
      </c>
      <c r="K46" s="15">
        <f>C46</f>
        <v/>
      </c>
    </row>
    <row r="47" spans="1:18">
      <c r="A47" t="n">
        <v>36</v>
      </c>
      <c r="B47" s="11">
        <f>bkrcast_all!B47</f>
        <v/>
      </c>
      <c r="C47" s="6">
        <f>B47/B$102</f>
        <v/>
      </c>
      <c r="E47" s="7" t="n">
        <v>36</v>
      </c>
      <c r="F47" s="13" t="n">
        <v>186.8664601370404</v>
      </c>
      <c r="G47" s="6">
        <f>bkrcast_all!G47</f>
        <v/>
      </c>
      <c r="H47" s="6">
        <f>bkrcast_inbkr!G47</f>
        <v/>
      </c>
      <c r="I47" s="6">
        <f>bkrcast_outbkr!G47</f>
        <v/>
      </c>
      <c r="J47" s="6">
        <f>soundcast!G47</f>
        <v/>
      </c>
      <c r="K47" s="15">
        <f>C47</f>
        <v/>
      </c>
    </row>
    <row r="48" spans="1:18">
      <c r="A48" t="n">
        <v>37</v>
      </c>
      <c r="B48" s="11">
        <f>bkrcast_all!B48</f>
        <v/>
      </c>
      <c r="C48" s="6">
        <f>B48/B$102</f>
        <v/>
      </c>
      <c r="E48" s="7" t="n">
        <v>37</v>
      </c>
      <c r="F48" s="13" t="n">
        <v>168.5936733353879</v>
      </c>
      <c r="G48" s="6">
        <f>bkrcast_all!G48</f>
        <v/>
      </c>
      <c r="H48" s="6">
        <f>bkrcast_inbkr!G48</f>
        <v/>
      </c>
      <c r="I48" s="6">
        <f>bkrcast_outbkr!G48</f>
        <v/>
      </c>
      <c r="J48" s="6">
        <f>soundcast!G48</f>
        <v/>
      </c>
      <c r="K48" s="15">
        <f>C48</f>
        <v/>
      </c>
    </row>
    <row r="49" spans="1:18">
      <c r="A49" t="n">
        <v>38</v>
      </c>
      <c r="B49" s="11">
        <f>bkrcast_all!B49</f>
        <v/>
      </c>
      <c r="C49" s="6">
        <f>B49/B$102</f>
        <v/>
      </c>
      <c r="E49" s="7" t="n">
        <v>38</v>
      </c>
      <c r="F49" s="13" t="n">
        <v>139.1063826202275</v>
      </c>
      <c r="G49" s="6">
        <f>bkrcast_all!G49</f>
        <v/>
      </c>
      <c r="H49" s="6">
        <f>bkrcast_inbkr!G49</f>
        <v/>
      </c>
      <c r="I49" s="6">
        <f>bkrcast_outbkr!G49</f>
        <v/>
      </c>
      <c r="J49" s="6">
        <f>soundcast!G49</f>
        <v/>
      </c>
      <c r="K49" s="15">
        <f>C49</f>
        <v/>
      </c>
    </row>
    <row r="50" spans="1:18">
      <c r="A50" t="n">
        <v>39</v>
      </c>
      <c r="B50" s="11">
        <f>bkrcast_all!B50</f>
        <v/>
      </c>
      <c r="C50" s="6">
        <f>B50/B$102</f>
        <v/>
      </c>
      <c r="E50" s="7" t="n">
        <v>39</v>
      </c>
      <c r="F50" s="13" t="n">
        <v>97.25368903094083</v>
      </c>
      <c r="G50" s="6">
        <f>bkrcast_all!G50</f>
        <v/>
      </c>
      <c r="H50" s="6">
        <f>bkrcast_inbkr!G50</f>
        <v/>
      </c>
      <c r="I50" s="6">
        <f>bkrcast_outbkr!G50</f>
        <v/>
      </c>
      <c r="J50" s="6">
        <f>soundcast!G50</f>
        <v/>
      </c>
      <c r="K50" s="15">
        <f>C50</f>
        <v/>
      </c>
    </row>
    <row r="51" spans="1:18">
      <c r="A51" t="n">
        <v>40</v>
      </c>
      <c r="B51" s="11">
        <f>bkrcast_all!B51</f>
        <v/>
      </c>
      <c r="C51" s="6">
        <f>B51/B$102</f>
        <v/>
      </c>
      <c r="E51" s="7" t="n">
        <v>40</v>
      </c>
      <c r="F51" s="13" t="n">
        <v>110.4873860076148</v>
      </c>
      <c r="G51" s="6">
        <f>bkrcast_all!G51</f>
        <v/>
      </c>
      <c r="H51" s="6">
        <f>bkrcast_inbkr!G51</f>
        <v/>
      </c>
      <c r="I51" s="6">
        <f>bkrcast_outbkr!G51</f>
        <v/>
      </c>
      <c r="J51" s="6">
        <f>soundcast!G51</f>
        <v/>
      </c>
      <c r="K51" s="15">
        <f>C51</f>
        <v/>
      </c>
    </row>
    <row r="52" spans="1:18">
      <c r="A52" t="n">
        <v>41</v>
      </c>
      <c r="B52" s="11">
        <f>bkrcast_all!B52</f>
        <v/>
      </c>
      <c r="C52" s="6">
        <f>B52/B$102</f>
        <v/>
      </c>
      <c r="E52" s="7" t="n">
        <v>41</v>
      </c>
      <c r="F52" s="13" t="n">
        <v>137.3877727473624</v>
      </c>
      <c r="G52" s="6">
        <f>bkrcast_all!G52</f>
        <v/>
      </c>
      <c r="H52" s="6">
        <f>bkrcast_inbkr!G52</f>
        <v/>
      </c>
      <c r="I52" s="6">
        <f>bkrcast_outbkr!G52</f>
        <v/>
      </c>
      <c r="J52" s="6">
        <f>soundcast!G52</f>
        <v/>
      </c>
      <c r="K52" s="15">
        <f>C52</f>
        <v/>
      </c>
    </row>
    <row r="53" spans="1:18">
      <c r="A53" t="n">
        <v>42</v>
      </c>
      <c r="B53" s="11">
        <f>bkrcast_all!B53</f>
        <v/>
      </c>
      <c r="C53" s="6">
        <f>B53/B$102</f>
        <v/>
      </c>
      <c r="E53" s="7" t="n">
        <v>42</v>
      </c>
      <c r="F53" s="13" t="n">
        <v>20.59509870000714</v>
      </c>
      <c r="G53" s="6">
        <f>bkrcast_all!G53</f>
        <v/>
      </c>
      <c r="H53" s="6">
        <f>bkrcast_inbkr!G53</f>
        <v/>
      </c>
      <c r="I53" s="6">
        <f>bkrcast_outbkr!G53</f>
        <v/>
      </c>
      <c r="J53" s="6">
        <f>soundcast!G53</f>
        <v/>
      </c>
      <c r="K53" s="15">
        <f>C53</f>
        <v/>
      </c>
    </row>
    <row r="54" spans="1:18">
      <c r="A54" t="n">
        <v>43</v>
      </c>
      <c r="B54" s="11">
        <f>bkrcast_all!B54</f>
        <v/>
      </c>
      <c r="C54" s="6">
        <f>B54/B$102</f>
        <v/>
      </c>
      <c r="E54" s="7" t="n">
        <v>43</v>
      </c>
      <c r="F54" s="13" t="n">
        <v>24.24778493441203</v>
      </c>
      <c r="G54" s="6">
        <f>bkrcast_all!G54</f>
        <v/>
      </c>
      <c r="H54" s="6">
        <f>bkrcast_inbkr!G54</f>
        <v/>
      </c>
      <c r="I54" s="6">
        <f>bkrcast_outbkr!G54</f>
        <v/>
      </c>
      <c r="J54" s="6">
        <f>soundcast!G54</f>
        <v/>
      </c>
      <c r="K54" s="15">
        <f>C54</f>
        <v/>
      </c>
    </row>
    <row r="55" spans="1:18">
      <c r="A55" t="n">
        <v>44</v>
      </c>
      <c r="B55" s="11">
        <f>bkrcast_all!B55</f>
        <v/>
      </c>
      <c r="C55" s="6">
        <f>B55/B$102</f>
        <v/>
      </c>
      <c r="E55" s="7" t="n">
        <v>44</v>
      </c>
      <c r="F55" s="13" t="n">
        <v>31.8947274168327</v>
      </c>
      <c r="G55" s="6">
        <f>bkrcast_all!G55</f>
        <v/>
      </c>
      <c r="H55" s="6">
        <f>bkrcast_inbkr!G55</f>
        <v/>
      </c>
      <c r="I55" s="6">
        <f>bkrcast_outbkr!G55</f>
        <v/>
      </c>
      <c r="J55" s="6">
        <f>soundcast!G55</f>
        <v/>
      </c>
      <c r="K55" s="15">
        <f>C55</f>
        <v/>
      </c>
    </row>
    <row r="56" spans="1:18">
      <c r="A56" t="n">
        <v>45</v>
      </c>
      <c r="B56" s="11">
        <f>bkrcast_all!B56</f>
        <v/>
      </c>
      <c r="C56" s="6">
        <f>B56/B$102</f>
        <v/>
      </c>
      <c r="E56" s="7" t="n">
        <v>45</v>
      </c>
      <c r="F56" s="13" t="n">
        <v>47.06330121696815</v>
      </c>
      <c r="G56" s="6">
        <f>bkrcast_all!G56</f>
        <v/>
      </c>
      <c r="H56" s="6">
        <f>bkrcast_inbkr!G56</f>
        <v/>
      </c>
      <c r="I56" s="6">
        <f>bkrcast_outbkr!G56</f>
        <v/>
      </c>
      <c r="J56" s="6">
        <f>soundcast!G56</f>
        <v/>
      </c>
      <c r="K56" s="15">
        <f>C56</f>
        <v/>
      </c>
    </row>
    <row r="57" spans="1:18">
      <c r="A57" t="n">
        <v>46</v>
      </c>
      <c r="B57" s="11">
        <f>bkrcast_all!B57</f>
        <v/>
      </c>
      <c r="C57" s="6">
        <f>B57/B$102</f>
        <v/>
      </c>
      <c r="E57" s="7" t="n">
        <v>46</v>
      </c>
      <c r="F57" s="13" t="n">
        <v>25.71578036543156</v>
      </c>
      <c r="G57" s="6">
        <f>bkrcast_all!G57</f>
        <v/>
      </c>
      <c r="H57" s="6">
        <f>bkrcast_inbkr!G57</f>
        <v/>
      </c>
      <c r="I57" s="6">
        <f>bkrcast_outbkr!G57</f>
        <v/>
      </c>
      <c r="J57" s="6">
        <f>soundcast!G57</f>
        <v/>
      </c>
      <c r="K57" s="15">
        <f>C57</f>
        <v/>
      </c>
    </row>
    <row r="58" spans="1:18">
      <c r="A58" t="n">
        <v>47</v>
      </c>
      <c r="B58" s="11">
        <f>bkrcast_all!B58</f>
        <v/>
      </c>
      <c r="C58" s="6">
        <f>B58/B$102</f>
        <v/>
      </c>
      <c r="E58" s="7" t="n">
        <v>47</v>
      </c>
      <c r="F58" s="13" t="n">
        <v>16.15</v>
      </c>
      <c r="G58" s="6">
        <f>bkrcast_all!G58</f>
        <v/>
      </c>
      <c r="H58" s="6">
        <f>bkrcast_inbkr!G58</f>
        <v/>
      </c>
      <c r="I58" s="6">
        <f>bkrcast_outbkr!G58</f>
        <v/>
      </c>
      <c r="J58" s="6">
        <f>soundcast!G58</f>
        <v/>
      </c>
      <c r="K58" s="15">
        <f>C58</f>
        <v/>
      </c>
    </row>
    <row r="59" spans="1:18">
      <c r="A59" t="n">
        <v>48</v>
      </c>
      <c r="B59" s="11">
        <f>bkrcast_all!B59</f>
        <v/>
      </c>
      <c r="C59" s="6">
        <f>B59/B$102</f>
        <v/>
      </c>
      <c r="E59" s="7" t="n">
        <v>48</v>
      </c>
      <c r="F59" s="13" t="n">
        <v>10.19047619047619</v>
      </c>
      <c r="G59" s="6">
        <f>bkrcast_all!G59</f>
        <v/>
      </c>
      <c r="H59" s="6">
        <f>bkrcast_inbkr!G59</f>
        <v/>
      </c>
      <c r="I59" s="6">
        <f>bkrcast_outbkr!G59</f>
        <v/>
      </c>
      <c r="J59" s="6">
        <f>soundcast!G59</f>
        <v/>
      </c>
      <c r="K59" s="15">
        <f>C59</f>
        <v/>
      </c>
    </row>
    <row r="60" spans="1:18">
      <c r="A60" t="n">
        <v>49</v>
      </c>
      <c r="B60" s="11">
        <f>bkrcast_all!B60</f>
        <v/>
      </c>
      <c r="C60" s="6">
        <f>B60/B$102</f>
        <v/>
      </c>
      <c r="E60" s="7" t="n">
        <v>49</v>
      </c>
      <c r="F60" s="13" t="n">
        <v>0.25</v>
      </c>
      <c r="G60" s="6">
        <f>bkrcast_all!G60</f>
        <v/>
      </c>
      <c r="H60" s="6">
        <f>bkrcast_inbkr!G60</f>
        <v/>
      </c>
      <c r="I60" s="6">
        <f>bkrcast_outbkr!G60</f>
        <v/>
      </c>
      <c r="J60" s="6">
        <f>soundcast!G60</f>
        <v/>
      </c>
      <c r="K60" s="15">
        <f>C60</f>
        <v/>
      </c>
    </row>
    <row r="61" spans="1:18">
      <c r="A61" t="n">
        <v>50</v>
      </c>
      <c r="B61" s="11">
        <f>bkrcast_all!B61</f>
        <v/>
      </c>
      <c r="C61" s="6">
        <f>B61/B$102</f>
        <v/>
      </c>
      <c r="E61" s="7" t="n">
        <v>50</v>
      </c>
      <c r="F61" s="13" t="n">
        <v>17.46623061251522</v>
      </c>
      <c r="G61" s="6">
        <f>bkrcast_all!G61</f>
        <v/>
      </c>
      <c r="H61" s="6">
        <f>bkrcast_inbkr!G61</f>
        <v/>
      </c>
      <c r="I61" s="6">
        <f>bkrcast_outbkr!G61</f>
        <v/>
      </c>
      <c r="J61" s="6">
        <f>soundcast!G61</f>
        <v/>
      </c>
      <c r="K61" s="15">
        <f>C61</f>
        <v/>
      </c>
    </row>
    <row r="62" spans="1:18">
      <c r="A62" t="n">
        <v>51</v>
      </c>
      <c r="B62" s="11">
        <f>bkrcast_all!B62</f>
        <v/>
      </c>
      <c r="C62" s="6">
        <f>B62/B$102</f>
        <v/>
      </c>
      <c r="E62" s="7" t="n">
        <v>51</v>
      </c>
      <c r="F62" s="13" t="n">
        <v>29.94919261451361</v>
      </c>
      <c r="G62" s="6">
        <f>bkrcast_all!G62</f>
        <v/>
      </c>
      <c r="H62" s="6">
        <f>bkrcast_inbkr!G62</f>
        <v/>
      </c>
      <c r="I62" s="6">
        <f>bkrcast_outbkr!G62</f>
        <v/>
      </c>
      <c r="J62" s="6">
        <f>soundcast!G62</f>
        <v/>
      </c>
      <c r="K62" s="15">
        <f>C62</f>
        <v/>
      </c>
    </row>
    <row r="63" spans="1:18">
      <c r="A63" t="n">
        <v>52</v>
      </c>
      <c r="B63" s="11">
        <f>bkrcast_all!B63</f>
        <v/>
      </c>
      <c r="C63" s="6">
        <f>B63/B$102</f>
        <v/>
      </c>
      <c r="E63" s="7" t="n">
        <v>52</v>
      </c>
      <c r="F63" s="13" t="n">
        <v>0</v>
      </c>
      <c r="G63" s="6">
        <f>bkrcast_all!G63</f>
        <v/>
      </c>
      <c r="H63" s="6">
        <f>bkrcast_inbkr!G63</f>
        <v/>
      </c>
      <c r="I63" s="6">
        <f>bkrcast_outbkr!G63</f>
        <v/>
      </c>
      <c r="J63" s="6">
        <f>soundcast!G63</f>
        <v/>
      </c>
      <c r="K63" s="15">
        <f>C63</f>
        <v/>
      </c>
    </row>
    <row r="64" spans="1:18">
      <c r="A64" t="n">
        <v>53</v>
      </c>
      <c r="B64" s="11">
        <f>bkrcast_all!B64</f>
        <v/>
      </c>
      <c r="C64" s="6">
        <f>B64/B$102</f>
        <v/>
      </c>
      <c r="E64" s="7" t="n">
        <v>53</v>
      </c>
      <c r="F64" s="13" t="n">
        <v>29.9501020191537</v>
      </c>
      <c r="G64" s="6">
        <f>bkrcast_all!G64</f>
        <v/>
      </c>
      <c r="H64" s="6">
        <f>bkrcast_inbkr!G64</f>
        <v/>
      </c>
      <c r="I64" s="6">
        <f>bkrcast_outbkr!G64</f>
        <v/>
      </c>
      <c r="J64" s="6">
        <f>soundcast!G64</f>
        <v/>
      </c>
      <c r="K64" s="15">
        <f>C64</f>
        <v/>
      </c>
    </row>
    <row r="65" spans="1:18">
      <c r="A65" t="n">
        <v>54</v>
      </c>
      <c r="B65" s="11">
        <f>bkrcast_all!B65</f>
        <v/>
      </c>
      <c r="C65" s="6">
        <f>B65/B$102</f>
        <v/>
      </c>
      <c r="E65" s="7" t="n">
        <v>54</v>
      </c>
      <c r="F65" s="13" t="n">
        <v>0</v>
      </c>
      <c r="G65" s="6">
        <f>bkrcast_all!G65</f>
        <v/>
      </c>
      <c r="H65" s="6">
        <f>bkrcast_inbkr!G65</f>
        <v/>
      </c>
      <c r="I65" s="6">
        <f>bkrcast_outbkr!G65</f>
        <v/>
      </c>
      <c r="J65" s="6">
        <f>soundcast!G65</f>
        <v/>
      </c>
      <c r="K65" s="15">
        <f>C65</f>
        <v/>
      </c>
    </row>
    <row r="66" spans="1:18">
      <c r="A66" t="n">
        <v>55</v>
      </c>
      <c r="B66" s="11">
        <f>bkrcast_all!B66</f>
        <v/>
      </c>
      <c r="C66" s="6">
        <f>B66/B$102</f>
        <v/>
      </c>
      <c r="E66" s="7" t="n">
        <v>55</v>
      </c>
      <c r="F66" s="13" t="n">
        <v>9.944444444444439</v>
      </c>
      <c r="G66" s="6">
        <f>bkrcast_all!G66</f>
        <v/>
      </c>
      <c r="H66" s="6">
        <f>bkrcast_inbkr!G66</f>
        <v/>
      </c>
      <c r="I66" s="6">
        <f>bkrcast_outbkr!G66</f>
        <v/>
      </c>
      <c r="J66" s="6">
        <f>soundcast!G66</f>
        <v/>
      </c>
      <c r="K66" s="15">
        <f>C66</f>
        <v/>
      </c>
    </row>
    <row r="67" spans="1:18">
      <c r="A67" t="n">
        <v>56</v>
      </c>
      <c r="B67" s="11">
        <f>bkrcast_all!B67</f>
        <v/>
      </c>
      <c r="C67" s="6">
        <f>B67/B$102</f>
        <v/>
      </c>
      <c r="E67" s="7" t="n">
        <v>56</v>
      </c>
      <c r="F67" s="13" t="n">
        <v>5</v>
      </c>
      <c r="G67" s="6">
        <f>bkrcast_all!G67</f>
        <v/>
      </c>
      <c r="H67" s="6">
        <f>bkrcast_inbkr!G67</f>
        <v/>
      </c>
      <c r="I67" s="6">
        <f>bkrcast_outbkr!G67</f>
        <v/>
      </c>
      <c r="J67" s="6">
        <f>soundcast!G67</f>
        <v/>
      </c>
      <c r="K67" s="15">
        <f>C67</f>
        <v/>
      </c>
    </row>
    <row r="68" spans="1:18">
      <c r="A68" t="n">
        <v>57</v>
      </c>
      <c r="B68" s="11">
        <f>bkrcast_all!B68</f>
        <v/>
      </c>
      <c r="C68" s="6">
        <f>B68/B$102</f>
        <v/>
      </c>
      <c r="E68" s="7" t="n">
        <v>57</v>
      </c>
      <c r="F68" s="13" t="n">
        <v>0</v>
      </c>
      <c r="G68" s="6">
        <f>bkrcast_all!G68</f>
        <v/>
      </c>
      <c r="H68" s="6">
        <f>bkrcast_inbkr!G68</f>
        <v/>
      </c>
      <c r="I68" s="6">
        <f>bkrcast_outbkr!G68</f>
        <v/>
      </c>
      <c r="J68" s="6">
        <f>soundcast!G68</f>
        <v/>
      </c>
      <c r="K68" s="15">
        <f>C68</f>
        <v/>
      </c>
    </row>
    <row r="69" spans="1:18">
      <c r="A69" t="n">
        <v>58</v>
      </c>
      <c r="B69" s="11">
        <f>bkrcast_all!B69</f>
        <v/>
      </c>
      <c r="C69" s="6">
        <f>B69/B$102</f>
        <v/>
      </c>
      <c r="E69" s="7" t="n">
        <v>58</v>
      </c>
      <c r="F69" s="13" t="n">
        <v>0</v>
      </c>
      <c r="G69" s="6">
        <f>bkrcast_all!G69</f>
        <v/>
      </c>
      <c r="H69" s="6">
        <f>bkrcast_inbkr!G69</f>
        <v/>
      </c>
      <c r="I69" s="6">
        <f>bkrcast_outbkr!G69</f>
        <v/>
      </c>
      <c r="J69" s="6">
        <f>soundcast!G69</f>
        <v/>
      </c>
      <c r="K69" s="15">
        <f>C69</f>
        <v/>
      </c>
    </row>
    <row r="70" spans="1:18">
      <c r="A70" t="n">
        <v>59</v>
      </c>
      <c r="B70" s="11">
        <f>bkrcast_all!B70</f>
        <v/>
      </c>
      <c r="C70" s="6">
        <f>B70/B$102</f>
        <v/>
      </c>
      <c r="E70" s="7" t="n">
        <v>59</v>
      </c>
      <c r="F70" s="13" t="n">
        <v>10.0125</v>
      </c>
      <c r="G70" s="6">
        <f>bkrcast_all!G70</f>
        <v/>
      </c>
      <c r="H70" s="6">
        <f>bkrcast_inbkr!G70</f>
        <v/>
      </c>
      <c r="I70" s="6">
        <f>bkrcast_outbkr!G70</f>
        <v/>
      </c>
      <c r="J70" s="6">
        <f>soundcast!G70</f>
        <v/>
      </c>
      <c r="K70" s="15">
        <f>C70</f>
        <v/>
      </c>
    </row>
    <row r="71" spans="1:18">
      <c r="A71" t="n">
        <v>60</v>
      </c>
      <c r="B71" s="11">
        <f>bkrcast_all!B71</f>
        <v/>
      </c>
      <c r="C71" s="6">
        <f>B71/B$102</f>
        <v/>
      </c>
      <c r="E71" s="7" t="n">
        <v>60</v>
      </c>
      <c r="F71" s="13" t="n">
        <v>0</v>
      </c>
      <c r="G71" s="6">
        <f>bkrcast_all!G71</f>
        <v/>
      </c>
      <c r="H71" s="6">
        <f>bkrcast_inbkr!G71</f>
        <v/>
      </c>
      <c r="I71" s="6">
        <f>bkrcast_outbkr!G71</f>
        <v/>
      </c>
      <c r="J71" s="6">
        <f>soundcast!G71</f>
        <v/>
      </c>
      <c r="K71" s="15">
        <f>C71</f>
        <v/>
      </c>
    </row>
    <row r="72" spans="1:18">
      <c r="A72" t="n">
        <v>61</v>
      </c>
      <c r="B72" s="11">
        <f>bkrcast_all!B72</f>
        <v/>
      </c>
      <c r="C72" s="6">
        <f>B72/B$102</f>
        <v/>
      </c>
      <c r="E72" s="7" t="n">
        <v>61</v>
      </c>
      <c r="F72" s="13" t="n">
        <v>0</v>
      </c>
      <c r="G72" s="6">
        <f>bkrcast_all!G72</f>
        <v/>
      </c>
      <c r="H72" s="6">
        <f>bkrcast_inbkr!G72</f>
        <v/>
      </c>
      <c r="I72" s="6">
        <f>bkrcast_outbkr!G72</f>
        <v/>
      </c>
      <c r="J72" s="6">
        <f>soundcast!G72</f>
        <v/>
      </c>
      <c r="K72" s="15">
        <f>C72</f>
        <v/>
      </c>
    </row>
    <row r="73" spans="1:18">
      <c r="A73" t="n">
        <v>62</v>
      </c>
      <c r="B73" s="11">
        <f>bkrcast_all!B73</f>
        <v/>
      </c>
      <c r="C73" s="6">
        <f>B73/B$102</f>
        <v/>
      </c>
      <c r="E73" s="7" t="n">
        <v>62</v>
      </c>
      <c r="F73" s="13" t="n">
        <v>0</v>
      </c>
      <c r="G73" s="6">
        <f>bkrcast_all!G73</f>
        <v/>
      </c>
      <c r="H73" s="6">
        <f>bkrcast_inbkr!G73</f>
        <v/>
      </c>
      <c r="I73" s="6">
        <f>bkrcast_outbkr!G73</f>
        <v/>
      </c>
      <c r="J73" s="6">
        <f>soundcast!G73</f>
        <v/>
      </c>
      <c r="K73" s="15">
        <f>C73</f>
        <v/>
      </c>
    </row>
    <row r="74" spans="1:18">
      <c r="A74" t="n">
        <v>63</v>
      </c>
      <c r="B74" s="11">
        <f>bkrcast_all!B74</f>
        <v/>
      </c>
      <c r="C74" s="6">
        <f>B74/B$102</f>
        <v/>
      </c>
      <c r="E74" s="7" t="n">
        <v>63</v>
      </c>
      <c r="F74" s="13" t="n">
        <v>0</v>
      </c>
      <c r="G74" s="6">
        <f>bkrcast_all!G74</f>
        <v/>
      </c>
      <c r="H74" s="6">
        <f>bkrcast_inbkr!G74</f>
        <v/>
      </c>
      <c r="I74" s="6">
        <f>bkrcast_outbkr!G74</f>
        <v/>
      </c>
      <c r="J74" s="6">
        <f>soundcast!G74</f>
        <v/>
      </c>
      <c r="K74" s="15">
        <f>C74</f>
        <v/>
      </c>
    </row>
    <row r="75" spans="1:18">
      <c r="A75" t="n">
        <v>64</v>
      </c>
      <c r="B75" s="11">
        <f>bkrcast_all!B75</f>
        <v/>
      </c>
      <c r="C75" s="6">
        <f>B75/B$102</f>
        <v/>
      </c>
      <c r="E75" s="7" t="n">
        <v>64</v>
      </c>
      <c r="F75" s="13" t="n">
        <v>0</v>
      </c>
      <c r="G75" s="6">
        <f>bkrcast_all!G75</f>
        <v/>
      </c>
      <c r="H75" s="6">
        <f>bkrcast_inbkr!G75</f>
        <v/>
      </c>
      <c r="I75" s="6">
        <f>bkrcast_outbkr!G75</f>
        <v/>
      </c>
      <c r="J75" s="6">
        <f>soundcast!G75</f>
        <v/>
      </c>
      <c r="K75" s="15">
        <f>C75</f>
        <v/>
      </c>
    </row>
    <row r="76" spans="1:18">
      <c r="A76" t="n">
        <v>65</v>
      </c>
      <c r="B76" s="11">
        <f>bkrcast_all!B76</f>
        <v/>
      </c>
      <c r="C76" s="6">
        <f>B76/B$102</f>
        <v/>
      </c>
      <c r="E76" s="7" t="n">
        <v>65</v>
      </c>
      <c r="F76" s="13" t="n">
        <v>0</v>
      </c>
      <c r="G76" s="6">
        <f>bkrcast_all!G76</f>
        <v/>
      </c>
      <c r="H76" s="6">
        <f>bkrcast_inbkr!G76</f>
        <v/>
      </c>
      <c r="I76" s="6">
        <f>bkrcast_outbkr!G76</f>
        <v/>
      </c>
      <c r="J76" s="6">
        <f>soundcast!G76</f>
        <v/>
      </c>
      <c r="K76" s="15">
        <f>C76</f>
        <v/>
      </c>
    </row>
    <row r="77" spans="1:18">
      <c r="A77" t="n">
        <v>66</v>
      </c>
      <c r="B77" s="11">
        <f>bkrcast_all!B77</f>
        <v/>
      </c>
      <c r="C77" s="6">
        <f>B77/B$102</f>
        <v/>
      </c>
      <c r="E77" s="7" t="n">
        <v>66</v>
      </c>
      <c r="F77" s="13" t="n">
        <v>0</v>
      </c>
      <c r="G77" s="6">
        <f>bkrcast_all!G77</f>
        <v/>
      </c>
      <c r="H77" s="6">
        <f>bkrcast_inbkr!G77</f>
        <v/>
      </c>
      <c r="I77" s="6">
        <f>bkrcast_outbkr!G77</f>
        <v/>
      </c>
      <c r="J77" s="6">
        <f>soundcast!G77</f>
        <v/>
      </c>
      <c r="K77" s="15">
        <f>C77</f>
        <v/>
      </c>
    </row>
    <row r="78" spans="1:18">
      <c r="A78" t="n">
        <v>67</v>
      </c>
      <c r="B78" s="11">
        <f>bkrcast_all!B78</f>
        <v/>
      </c>
      <c r="C78" s="6">
        <f>B78/B$102</f>
        <v/>
      </c>
      <c r="E78" s="7" t="n">
        <v>67</v>
      </c>
      <c r="F78" s="13" t="n">
        <v>0</v>
      </c>
      <c r="G78" s="6">
        <f>bkrcast_all!G78</f>
        <v/>
      </c>
      <c r="H78" s="6">
        <f>bkrcast_inbkr!G78</f>
        <v/>
      </c>
      <c r="I78" s="6">
        <f>bkrcast_outbkr!G78</f>
        <v/>
      </c>
      <c r="J78" s="6">
        <f>soundcast!G78</f>
        <v/>
      </c>
      <c r="K78" s="15">
        <f>C78</f>
        <v/>
      </c>
    </row>
    <row r="79" spans="1:18">
      <c r="A79" t="n">
        <v>68</v>
      </c>
      <c r="B79" s="11">
        <f>bkrcast_all!B79</f>
        <v/>
      </c>
      <c r="C79" s="6">
        <f>B79/B$102</f>
        <v/>
      </c>
      <c r="E79" s="7" t="n">
        <v>68</v>
      </c>
      <c r="F79" s="13" t="n">
        <v>0</v>
      </c>
      <c r="G79" s="6">
        <f>bkrcast_all!G79</f>
        <v/>
      </c>
      <c r="H79" s="6">
        <f>bkrcast_inbkr!G79</f>
        <v/>
      </c>
      <c r="I79" s="6">
        <f>bkrcast_outbkr!G79</f>
        <v/>
      </c>
      <c r="J79" s="6">
        <f>soundcast!G79</f>
        <v/>
      </c>
      <c r="K79" s="15">
        <f>C79</f>
        <v/>
      </c>
    </row>
    <row r="80" spans="1:18">
      <c r="A80" t="n">
        <v>69</v>
      </c>
      <c r="B80" s="11">
        <f>bkrcast_all!B80</f>
        <v/>
      </c>
      <c r="C80" s="6">
        <f>B80/B$102</f>
        <v/>
      </c>
      <c r="E80" s="7" t="n">
        <v>69</v>
      </c>
      <c r="F80" s="13" t="n">
        <v>9.977678571428569</v>
      </c>
      <c r="G80" s="6">
        <f>bkrcast_all!G80</f>
        <v/>
      </c>
      <c r="H80" s="6">
        <f>bkrcast_inbkr!G80</f>
        <v/>
      </c>
      <c r="I80" s="6">
        <f>bkrcast_outbkr!G80</f>
        <v/>
      </c>
      <c r="J80" s="6">
        <f>soundcast!G80</f>
        <v/>
      </c>
      <c r="K80" s="15">
        <f>C80</f>
        <v/>
      </c>
    </row>
    <row r="81" spans="1:18">
      <c r="A81" t="n">
        <v>70</v>
      </c>
      <c r="B81" s="11">
        <f>bkrcast_all!B81</f>
        <v/>
      </c>
      <c r="C81" s="6">
        <f>B81/B$102</f>
        <v/>
      </c>
      <c r="E81" s="7" t="n">
        <v>70</v>
      </c>
      <c r="F81" s="13" t="n">
        <v>0</v>
      </c>
      <c r="G81" s="6">
        <f>bkrcast_all!G81</f>
        <v/>
      </c>
      <c r="H81" s="6">
        <f>bkrcast_inbkr!G81</f>
        <v/>
      </c>
      <c r="I81" s="6">
        <f>bkrcast_outbkr!G81</f>
        <v/>
      </c>
      <c r="J81" s="6">
        <f>soundcast!G81</f>
        <v/>
      </c>
      <c r="K81" s="15">
        <f>C81</f>
        <v/>
      </c>
    </row>
    <row r="82" spans="1:18">
      <c r="A82" t="n">
        <v>71</v>
      </c>
      <c r="B82" s="11">
        <f>bkrcast_all!B82</f>
        <v/>
      </c>
      <c r="C82" s="6">
        <f>B82/B$102</f>
        <v/>
      </c>
      <c r="E82" s="7" t="n">
        <v>71</v>
      </c>
      <c r="F82" s="13" t="n">
        <v>0</v>
      </c>
      <c r="G82" s="6">
        <f>bkrcast_all!G82</f>
        <v/>
      </c>
      <c r="H82" s="6">
        <f>bkrcast_inbkr!G82</f>
        <v/>
      </c>
      <c r="I82" s="6">
        <f>bkrcast_outbkr!G82</f>
        <v/>
      </c>
      <c r="J82" s="6">
        <f>soundcast!G82</f>
        <v/>
      </c>
      <c r="K82" s="15">
        <f>C82</f>
        <v/>
      </c>
    </row>
    <row r="83" spans="1:18">
      <c r="A83" t="n">
        <v>72</v>
      </c>
      <c r="B83" s="11">
        <f>bkrcast_all!B83</f>
        <v/>
      </c>
      <c r="C83" s="6">
        <f>B83/B$102</f>
        <v/>
      </c>
      <c r="E83" s="7" t="n">
        <v>72</v>
      </c>
      <c r="F83" s="13" t="n">
        <v>0</v>
      </c>
      <c r="G83" s="6">
        <f>bkrcast_all!G83</f>
        <v/>
      </c>
      <c r="H83" s="6">
        <f>bkrcast_inbkr!G83</f>
        <v/>
      </c>
      <c r="I83" s="6">
        <f>bkrcast_outbkr!G83</f>
        <v/>
      </c>
      <c r="J83" s="6">
        <f>soundcast!G83</f>
        <v/>
      </c>
      <c r="K83" s="15">
        <f>C83</f>
        <v/>
      </c>
    </row>
    <row r="84" spans="1:18">
      <c r="A84" t="n">
        <v>73</v>
      </c>
      <c r="B84" s="11">
        <f>bkrcast_all!B84</f>
        <v/>
      </c>
      <c r="C84" s="6">
        <f>B84/B$102</f>
        <v/>
      </c>
      <c r="E84" s="7" t="n">
        <v>73</v>
      </c>
      <c r="F84" s="13" t="n">
        <v>0</v>
      </c>
      <c r="G84" s="6">
        <f>bkrcast_all!G84</f>
        <v/>
      </c>
      <c r="H84" s="6">
        <f>bkrcast_inbkr!G84</f>
        <v/>
      </c>
      <c r="I84" s="6">
        <f>bkrcast_outbkr!G84</f>
        <v/>
      </c>
      <c r="J84" s="6">
        <f>soundcast!G84</f>
        <v/>
      </c>
      <c r="K84" s="15">
        <f>C84</f>
        <v/>
      </c>
    </row>
    <row r="85" spans="1:18">
      <c r="A85" t="n">
        <v>74</v>
      </c>
      <c r="B85" s="11">
        <f>bkrcast_all!B85</f>
        <v/>
      </c>
      <c r="C85" s="6">
        <f>B85/B$102</f>
        <v/>
      </c>
      <c r="E85" s="7" t="n">
        <v>74</v>
      </c>
      <c r="F85" s="13" t="n">
        <v>0</v>
      </c>
      <c r="G85" s="6">
        <f>bkrcast_all!G85</f>
        <v/>
      </c>
      <c r="H85" s="6">
        <f>bkrcast_inbkr!G85</f>
        <v/>
      </c>
      <c r="I85" s="6">
        <f>bkrcast_outbkr!G85</f>
        <v/>
      </c>
      <c r="J85" s="6">
        <f>soundcast!G85</f>
        <v/>
      </c>
      <c r="K85" s="15">
        <f>C85</f>
        <v/>
      </c>
    </row>
    <row r="86" spans="1:18">
      <c r="A86" t="n">
        <v>75</v>
      </c>
      <c r="B86" s="11">
        <f>bkrcast_all!B86</f>
        <v/>
      </c>
      <c r="C86" s="6">
        <f>B86/B$102</f>
        <v/>
      </c>
      <c r="E86" s="7" t="n">
        <v>75</v>
      </c>
      <c r="F86" s="13" t="n">
        <v>0</v>
      </c>
      <c r="G86" s="6">
        <f>bkrcast_all!G86</f>
        <v/>
      </c>
      <c r="H86" s="6">
        <f>bkrcast_inbkr!G86</f>
        <v/>
      </c>
      <c r="I86" s="6">
        <f>bkrcast_outbkr!G86</f>
        <v/>
      </c>
      <c r="J86" s="6">
        <f>soundcast!G86</f>
        <v/>
      </c>
      <c r="K86" s="15">
        <f>C86</f>
        <v/>
      </c>
    </row>
    <row r="87" spans="1:18">
      <c r="A87" t="n">
        <v>76</v>
      </c>
      <c r="B87" s="11">
        <f>bkrcast_all!B87</f>
        <v/>
      </c>
      <c r="C87" s="6">
        <f>B87/B$102</f>
        <v/>
      </c>
      <c r="E87" s="7" t="n">
        <v>76</v>
      </c>
      <c r="F87" s="13" t="n">
        <v>0</v>
      </c>
      <c r="G87" s="6">
        <f>bkrcast_all!G87</f>
        <v/>
      </c>
      <c r="H87" s="6">
        <f>bkrcast_inbkr!G87</f>
        <v/>
      </c>
      <c r="I87" s="6">
        <f>bkrcast_outbkr!G87</f>
        <v/>
      </c>
      <c r="J87" s="6">
        <f>soundcast!G87</f>
        <v/>
      </c>
      <c r="K87" s="15">
        <f>C87</f>
        <v/>
      </c>
    </row>
    <row r="88" spans="1:18">
      <c r="A88" t="n">
        <v>77</v>
      </c>
      <c r="B88" s="11">
        <f>bkrcast_all!B88</f>
        <v/>
      </c>
      <c r="C88" s="6">
        <f>B88/B$102</f>
        <v/>
      </c>
      <c r="E88" s="7" t="n">
        <v>77</v>
      </c>
      <c r="F88" s="13" t="n">
        <v>0</v>
      </c>
      <c r="G88" s="6">
        <f>bkrcast_all!G88</f>
        <v/>
      </c>
      <c r="H88" s="6">
        <f>bkrcast_inbkr!G88</f>
        <v/>
      </c>
      <c r="I88" s="6">
        <f>bkrcast_outbkr!G88</f>
        <v/>
      </c>
      <c r="J88" s="6">
        <f>soundcast!G88</f>
        <v/>
      </c>
      <c r="K88" s="15">
        <f>C88</f>
        <v/>
      </c>
    </row>
    <row r="89" spans="1:18">
      <c r="A89" t="n">
        <v>78</v>
      </c>
      <c r="B89" s="11">
        <f>bkrcast_all!B89</f>
        <v/>
      </c>
      <c r="C89" s="6">
        <f>B89/B$102</f>
        <v/>
      </c>
      <c r="E89" s="7" t="n">
        <v>78</v>
      </c>
      <c r="F89" s="13" t="n">
        <v>0</v>
      </c>
      <c r="G89" s="6">
        <f>bkrcast_all!G89</f>
        <v/>
      </c>
      <c r="H89" s="6">
        <f>bkrcast_inbkr!G89</f>
        <v/>
      </c>
      <c r="I89" s="6">
        <f>bkrcast_outbkr!G89</f>
        <v/>
      </c>
      <c r="J89" s="6">
        <f>soundcast!G89</f>
        <v/>
      </c>
      <c r="K89" s="15">
        <f>C89</f>
        <v/>
      </c>
    </row>
    <row r="90" spans="1:18">
      <c r="A90" t="n">
        <v>79</v>
      </c>
      <c r="B90" s="11">
        <f>bkrcast_all!B90</f>
        <v/>
      </c>
      <c r="C90" s="6">
        <f>B90/B$102</f>
        <v/>
      </c>
      <c r="E90" s="7" t="n">
        <v>79</v>
      </c>
      <c r="F90" s="13" t="n">
        <v>0</v>
      </c>
      <c r="G90" s="6">
        <f>bkrcast_all!G90</f>
        <v/>
      </c>
      <c r="H90" s="6">
        <f>bkrcast_inbkr!G90</f>
        <v/>
      </c>
      <c r="I90" s="6">
        <f>bkrcast_outbkr!G90</f>
        <v/>
      </c>
      <c r="J90" s="6">
        <f>soundcast!G90</f>
        <v/>
      </c>
      <c r="K90" s="15">
        <f>C90</f>
        <v/>
      </c>
    </row>
    <row r="91" spans="1:18">
      <c r="A91" t="n">
        <v>80</v>
      </c>
      <c r="B91" s="11">
        <f>bkrcast_all!B91</f>
        <v/>
      </c>
      <c r="C91" s="6">
        <f>B91/B$102</f>
        <v/>
      </c>
      <c r="E91" s="7" t="n">
        <v>80</v>
      </c>
      <c r="F91" s="13" t="n">
        <v>0</v>
      </c>
      <c r="G91" s="6">
        <f>bkrcast_all!G91</f>
        <v/>
      </c>
      <c r="H91" s="6">
        <f>bkrcast_inbkr!G91</f>
        <v/>
      </c>
      <c r="I91" s="6">
        <f>bkrcast_outbkr!G91</f>
        <v/>
      </c>
      <c r="J91" s="6">
        <f>soundcast!G91</f>
        <v/>
      </c>
      <c r="K91" s="15">
        <f>C91</f>
        <v/>
      </c>
    </row>
    <row r="92" spans="1:18">
      <c r="A92" t="n">
        <v>81</v>
      </c>
      <c r="B92" s="11">
        <f>bkrcast_all!B92</f>
        <v/>
      </c>
      <c r="C92" s="6">
        <f>B92/B$102</f>
        <v/>
      </c>
      <c r="E92" s="7" t="n">
        <v>81</v>
      </c>
      <c r="F92" s="13" t="n">
        <v>0</v>
      </c>
      <c r="G92" s="6">
        <f>bkrcast_all!G92</f>
        <v/>
      </c>
      <c r="H92" s="6">
        <f>bkrcast_inbkr!G92</f>
        <v/>
      </c>
      <c r="I92" s="6">
        <f>bkrcast_outbkr!G92</f>
        <v/>
      </c>
      <c r="J92" s="6">
        <f>soundcast!G92</f>
        <v/>
      </c>
      <c r="K92" s="15">
        <f>C92</f>
        <v/>
      </c>
    </row>
    <row r="93" spans="1:18">
      <c r="A93" t="n">
        <v>82</v>
      </c>
      <c r="B93" s="11">
        <f>bkrcast_all!B93</f>
        <v/>
      </c>
      <c r="C93" s="6">
        <f>B93/B$102</f>
        <v/>
      </c>
      <c r="E93" s="7" t="n">
        <v>82</v>
      </c>
      <c r="F93" s="13" t="n">
        <v>0</v>
      </c>
      <c r="G93" s="6">
        <f>bkrcast_all!G93</f>
        <v/>
      </c>
      <c r="H93" s="6">
        <f>bkrcast_inbkr!G93</f>
        <v/>
      </c>
      <c r="I93" s="6">
        <f>bkrcast_outbkr!G93</f>
        <v/>
      </c>
      <c r="J93" s="6">
        <f>soundcast!G93</f>
        <v/>
      </c>
      <c r="K93" s="15">
        <f>C93</f>
        <v/>
      </c>
    </row>
    <row r="94" spans="1:18">
      <c r="A94" t="n">
        <v>83</v>
      </c>
      <c r="B94" s="11">
        <f>bkrcast_all!B94</f>
        <v/>
      </c>
      <c r="C94" s="6">
        <f>B94/B$102</f>
        <v/>
      </c>
      <c r="E94" s="7" t="n">
        <v>83</v>
      </c>
      <c r="F94" s="13" t="n">
        <v>0</v>
      </c>
      <c r="G94" s="6">
        <f>bkrcast_all!G94</f>
        <v/>
      </c>
      <c r="H94" s="6">
        <f>bkrcast_inbkr!G94</f>
        <v/>
      </c>
      <c r="I94" s="6">
        <f>bkrcast_outbkr!G94</f>
        <v/>
      </c>
      <c r="J94" s="6">
        <f>soundcast!G94</f>
        <v/>
      </c>
      <c r="K94" s="15">
        <f>C94</f>
        <v/>
      </c>
    </row>
    <row r="95" spans="1:18">
      <c r="A95" t="n">
        <v>84</v>
      </c>
      <c r="B95" s="11">
        <f>bkrcast_all!B95</f>
        <v/>
      </c>
      <c r="C95" s="6">
        <f>B95/B$102</f>
        <v/>
      </c>
      <c r="E95" s="7" t="n">
        <v>84</v>
      </c>
      <c r="F95" s="13" t="n">
        <v>0</v>
      </c>
      <c r="G95" s="6">
        <f>bkrcast_all!G95</f>
        <v/>
      </c>
      <c r="H95" s="6">
        <f>bkrcast_inbkr!G95</f>
        <v/>
      </c>
      <c r="I95" s="6">
        <f>bkrcast_outbkr!G95</f>
        <v/>
      </c>
      <c r="J95" s="6">
        <f>soundcast!G95</f>
        <v/>
      </c>
      <c r="K95" s="15">
        <f>C95</f>
        <v/>
      </c>
    </row>
    <row r="96" spans="1:18">
      <c r="A96" t="n">
        <v>85</v>
      </c>
      <c r="B96" s="11">
        <f>bkrcast_all!B96</f>
        <v/>
      </c>
      <c r="C96" s="6">
        <f>B96/B$102</f>
        <v/>
      </c>
      <c r="E96" s="7" t="n">
        <v>85</v>
      </c>
      <c r="F96" s="13" t="n">
        <v>0</v>
      </c>
      <c r="G96" s="6">
        <f>bkrcast_all!G96</f>
        <v/>
      </c>
      <c r="H96" s="6">
        <f>bkrcast_inbkr!G96</f>
        <v/>
      </c>
      <c r="I96" s="6">
        <f>bkrcast_outbkr!G96</f>
        <v/>
      </c>
      <c r="J96" s="6">
        <f>soundcast!G96</f>
        <v/>
      </c>
      <c r="K96" s="15">
        <f>C96</f>
        <v/>
      </c>
    </row>
    <row r="97" spans="1:18">
      <c r="A97" t="n">
        <v>86</v>
      </c>
      <c r="B97" s="11">
        <f>bkrcast_all!B97</f>
        <v/>
      </c>
      <c r="C97" s="6">
        <f>B97/B$102</f>
        <v/>
      </c>
      <c r="E97" s="7" t="n">
        <v>86</v>
      </c>
      <c r="F97" s="13" t="n">
        <v>0</v>
      </c>
      <c r="G97" s="6">
        <f>bkrcast_all!G97</f>
        <v/>
      </c>
      <c r="H97" s="6">
        <f>bkrcast_inbkr!G97</f>
        <v/>
      </c>
      <c r="I97" s="6">
        <f>bkrcast_outbkr!G97</f>
        <v/>
      </c>
      <c r="J97" s="6">
        <f>soundcast!G97</f>
        <v/>
      </c>
      <c r="K97" s="15">
        <f>C97</f>
        <v/>
      </c>
    </row>
    <row r="98" spans="1:18">
      <c r="A98" t="n">
        <v>87</v>
      </c>
      <c r="B98" s="11">
        <f>bkrcast_all!B98</f>
        <v/>
      </c>
      <c r="C98" s="6">
        <f>B98/B$102</f>
        <v/>
      </c>
      <c r="E98" s="7" t="n">
        <v>87</v>
      </c>
      <c r="F98" s="13" t="n">
        <v>0</v>
      </c>
      <c r="G98" s="6">
        <f>bkrcast_all!G98</f>
        <v/>
      </c>
      <c r="H98" s="6">
        <f>bkrcast_inbkr!G98</f>
        <v/>
      </c>
      <c r="I98" s="6">
        <f>bkrcast_outbkr!G98</f>
        <v/>
      </c>
      <c r="J98" s="6">
        <f>soundcast!G98</f>
        <v/>
      </c>
      <c r="K98" s="15">
        <f>C98</f>
        <v/>
      </c>
    </row>
    <row r="99" spans="1:18">
      <c r="A99" t="n">
        <v>88</v>
      </c>
      <c r="B99" s="11">
        <f>bkrcast_all!B99</f>
        <v/>
      </c>
      <c r="C99" s="6">
        <f>B99/B$102</f>
        <v/>
      </c>
      <c r="E99" s="7" t="n">
        <v>88</v>
      </c>
      <c r="F99" s="13" t="n">
        <v>0</v>
      </c>
      <c r="G99" s="6">
        <f>bkrcast_all!G99</f>
        <v/>
      </c>
      <c r="H99" s="6">
        <f>bkrcast_inbkr!G99</f>
        <v/>
      </c>
      <c r="I99" s="6">
        <f>bkrcast_outbkr!G99</f>
        <v/>
      </c>
      <c r="J99" s="6">
        <f>soundcast!G99</f>
        <v/>
      </c>
      <c r="K99" s="15">
        <f>C99</f>
        <v/>
      </c>
    </row>
    <row r="100" spans="1:18">
      <c r="A100" t="n">
        <v>89</v>
      </c>
      <c r="B100" s="11">
        <f>bkrcast_all!B100</f>
        <v/>
      </c>
      <c r="C100" s="6">
        <f>B100/B$102</f>
        <v/>
      </c>
      <c r="E100" s="7" t="n">
        <v>89</v>
      </c>
      <c r="F100" s="13" t="n">
        <v>0</v>
      </c>
      <c r="G100" s="6">
        <f>bkrcast_all!G100</f>
        <v/>
      </c>
      <c r="H100" s="6">
        <f>bkrcast_inbkr!G100</f>
        <v/>
      </c>
      <c r="I100" s="6">
        <f>bkrcast_outbkr!G100</f>
        <v/>
      </c>
      <c r="J100" s="6">
        <f>soundcast!G100</f>
        <v/>
      </c>
      <c r="K100" s="15">
        <f>C100</f>
        <v/>
      </c>
    </row>
    <row customHeight="1" ht="15.75" r="101" s="10" spans="1:18">
      <c r="A101" s="1" t="n">
        <v>90</v>
      </c>
      <c r="B101" s="11">
        <f>bkrcast_all!B101</f>
        <v/>
      </c>
      <c r="C101" s="6">
        <f>B101/B$102</f>
        <v/>
      </c>
      <c r="E101" s="8" t="n">
        <v>90</v>
      </c>
      <c r="F101" s="14" t="n">
        <v>0</v>
      </c>
      <c r="G101" s="6">
        <f>bkrcast_all!G101</f>
        <v/>
      </c>
      <c r="H101" s="6">
        <f>bkrcast_inbkr!G101</f>
        <v/>
      </c>
      <c r="I101" s="6">
        <f>bkrcast_outbkr!G101</f>
        <v/>
      </c>
      <c r="J101" s="6">
        <f>soundcast!G101</f>
        <v/>
      </c>
      <c r="K101" s="15">
        <f>C101</f>
        <v/>
      </c>
    </row>
    <row r="102" spans="1:18">
      <c r="B102" s="11">
        <f>bkrcast_all!B102</f>
        <v/>
      </c>
      <c r="C102" s="6">
        <f>B102/B$102</f>
        <v/>
      </c>
      <c r="F102" s="11">
        <f>SUM(F11:F101)</f>
        <v/>
      </c>
      <c r="G102" s="6">
        <f>F102/F$102</f>
        <v/>
      </c>
      <c r="H102" s="6" t="n">
        <v>1</v>
      </c>
      <c r="I102" s="6" t="n">
        <v>1</v>
      </c>
      <c r="J102" s="6" t="n">
        <v>1</v>
      </c>
    </row>
  </sheetData>
  <pageMargins bottom="0.75" footer="0.3" header="0.3" left="0.7" right="0.7" top="0.75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D34" sqref="D34"/>
    </sheetView>
  </sheetViews>
  <sheetFormatPr baseColWidth="10" defaultRowHeight="15" outlineLevelCol="0"/>
  <cols>
    <col collapsed="1" customWidth="1" max="1" min="1" style="10" width="13.5703125"/>
    <col collapsed="1" customWidth="1" max="2" min="2" style="10" width="10.5703125"/>
    <col collapsed="1" customWidth="1" max="5" min="5" style="10" width="12.7109375"/>
    <col collapsed="1" customWidth="1" max="6" min="6" style="10" width="10.5703125"/>
    <col collapsed="1" customWidth="1" max="12" min="12" style="10" width="10.2851562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7" spans="1:12">
      <c r="A7" t="s">
        <v>5</v>
      </c>
    </row>
    <row customHeight="1" ht="15.75" r="9" s="10" spans="1:12">
      <c r="A9" s="3" t="s">
        <v>6</v>
      </c>
      <c r="B9" s="1" t="n"/>
      <c r="E9" s="3" t="s">
        <v>7</v>
      </c>
      <c r="F9" s="1" t="n"/>
      <c r="J9" s="5" t="s">
        <v>16</v>
      </c>
    </row>
    <row r="10" spans="1:12">
      <c r="A10" s="2" t="s">
        <v>9</v>
      </c>
      <c r="B10" s="9" t="s">
        <v>10</v>
      </c>
      <c r="C10" s="9" t="s">
        <v>10</v>
      </c>
      <c r="E10" s="2" t="s">
        <v>9</v>
      </c>
      <c r="F10" s="9" t="s">
        <v>11</v>
      </c>
      <c r="G10" s="9" t="s">
        <v>11</v>
      </c>
      <c r="J10" s="2" t="n"/>
      <c r="K10" s="9" t="s">
        <v>10</v>
      </c>
      <c r="L10" s="9" t="s">
        <v>11</v>
      </c>
    </row>
    <row r="11" spans="1:12">
      <c r="A11" t="n">
        <v>0</v>
      </c>
      <c r="B11" s="11" t="n">
        <v>45601.3465287406</v>
      </c>
      <c r="C11" s="6" t="n">
        <v>0.2048601807917066</v>
      </c>
      <c r="E11" s="7" t="n">
        <v>0</v>
      </c>
      <c r="F11" s="13" t="n">
        <v>38877</v>
      </c>
      <c r="G11" s="6" t="n">
        <v>0.1718609092355843</v>
      </c>
      <c r="K11" s="4" t="n">
        <v>5.518415595405502</v>
      </c>
      <c r="L11" s="4" t="n">
        <v>5.973314560012267</v>
      </c>
    </row>
    <row r="12" spans="1:12">
      <c r="A12" t="n">
        <v>1</v>
      </c>
      <c r="B12" s="11" t="n">
        <v>43004.5211487228</v>
      </c>
      <c r="C12" s="6" t="n">
        <v>0.1931941630678736</v>
      </c>
      <c r="E12" s="7" t="n">
        <v>1</v>
      </c>
      <c r="F12" s="13" t="n">
        <v>33945</v>
      </c>
      <c r="G12" s="6" t="n">
        <v>0.1500583523420508</v>
      </c>
      <c r="K12" s="4" t="n"/>
      <c r="L12" s="7" t="n"/>
    </row>
    <row r="13" spans="1:12">
      <c r="A13" t="n">
        <v>2</v>
      </c>
      <c r="B13" s="11" t="n">
        <v>26917.2441821057</v>
      </c>
      <c r="C13" s="6" t="n">
        <v>0.120923436023655</v>
      </c>
      <c r="E13" s="7" t="n">
        <v>2</v>
      </c>
      <c r="F13" s="13" t="n">
        <v>28686</v>
      </c>
      <c r="G13" s="6" t="n">
        <v>0.1268102487931675</v>
      </c>
    </row>
    <row r="14" spans="1:12">
      <c r="A14" t="n">
        <v>3</v>
      </c>
      <c r="B14" s="11" t="n">
        <v>16080.1570111719</v>
      </c>
      <c r="C14" s="6" t="n">
        <v>0.07223874124838658</v>
      </c>
      <c r="E14" s="7" t="n">
        <v>3</v>
      </c>
      <c r="F14" s="13" t="n">
        <v>20691</v>
      </c>
      <c r="G14" s="6" t="n">
        <v>0.09146729616465971</v>
      </c>
    </row>
    <row r="15" spans="1:12">
      <c r="A15" t="n">
        <v>4</v>
      </c>
      <c r="B15" s="11" t="n">
        <v>11100.0856734371</v>
      </c>
      <c r="C15" s="6" t="n">
        <v>0.04986619323687234</v>
      </c>
      <c r="E15" s="7" t="n">
        <v>4</v>
      </c>
      <c r="F15" s="13" t="n">
        <v>16438</v>
      </c>
      <c r="G15" s="6" t="n">
        <v>0.07266634838116458</v>
      </c>
    </row>
    <row r="16" spans="1:12">
      <c r="A16" t="n">
        <v>5</v>
      </c>
      <c r="B16" s="11" t="n">
        <v>14633.7074068006</v>
      </c>
      <c r="C16" s="6" t="n">
        <v>0.06574068910707889</v>
      </c>
      <c r="E16" s="7" t="n">
        <v>5</v>
      </c>
      <c r="F16" s="13" t="n">
        <v>14141</v>
      </c>
      <c r="G16" s="6" t="n">
        <v>0.06251215673792726</v>
      </c>
    </row>
    <row r="17" spans="1:12">
      <c r="A17" t="n">
        <v>6</v>
      </c>
      <c r="B17" s="11" t="n">
        <v>7221.375206093</v>
      </c>
      <c r="C17" s="6" t="n">
        <v>0.03244141550409205</v>
      </c>
      <c r="E17" s="7" t="n">
        <v>6</v>
      </c>
      <c r="F17" s="13" t="n">
        <v>11212</v>
      </c>
      <c r="G17" s="6" t="n">
        <v>0.04956412568740827</v>
      </c>
    </row>
    <row r="18" spans="1:12">
      <c r="A18" t="n">
        <v>7</v>
      </c>
      <c r="B18" s="11" t="n">
        <v>6387.6328183215</v>
      </c>
      <c r="C18" s="6" t="n">
        <v>0.02869589855570698</v>
      </c>
      <c r="E18" s="7" t="n">
        <v>7</v>
      </c>
      <c r="F18" s="13" t="n">
        <v>8707</v>
      </c>
      <c r="G18" s="6" t="n">
        <v>0.03849044259367319</v>
      </c>
    </row>
    <row r="19" spans="1:12">
      <c r="A19" t="n">
        <v>8</v>
      </c>
      <c r="B19" s="11" t="n">
        <v>5267.939954106199</v>
      </c>
      <c r="C19" s="6" t="n">
        <v>0.02366577334986988</v>
      </c>
      <c r="E19" s="7" t="n">
        <v>8</v>
      </c>
      <c r="F19" s="13" t="n">
        <v>6683</v>
      </c>
      <c r="G19" s="6" t="n">
        <v>0.02954308347921419</v>
      </c>
    </row>
    <row r="20" spans="1:12">
      <c r="A20" t="n">
        <v>9</v>
      </c>
      <c r="B20" s="11" t="n">
        <v>8519.392386035001</v>
      </c>
      <c r="C20" s="6" t="n">
        <v>0.03827264757058522</v>
      </c>
      <c r="E20" s="7" t="n">
        <v>9</v>
      </c>
      <c r="F20" s="13" t="n">
        <v>5140</v>
      </c>
      <c r="G20" s="6" t="n">
        <v>0.02272204834403126</v>
      </c>
    </row>
    <row r="21" spans="1:12">
      <c r="A21" t="n">
        <v>10</v>
      </c>
      <c r="B21" s="11" t="n">
        <v>4506.0268801141</v>
      </c>
      <c r="C21" s="6" t="n">
        <v>0.02024294350015892</v>
      </c>
      <c r="E21" s="7" t="n">
        <v>10</v>
      </c>
      <c r="F21" s="13" t="n">
        <v>4257</v>
      </c>
      <c r="G21" s="6" t="n">
        <v>0.01881863031138932</v>
      </c>
    </row>
    <row r="22" spans="1:12">
      <c r="A22" t="n">
        <v>11</v>
      </c>
      <c r="B22" s="11" t="n">
        <v>4365.7965104336</v>
      </c>
      <c r="C22" s="6" t="n">
        <v>0.01961297046050034</v>
      </c>
      <c r="E22" s="7" t="n">
        <v>11</v>
      </c>
      <c r="F22" s="13" t="n">
        <v>3931</v>
      </c>
      <c r="G22" s="6" t="n">
        <v>0.01737750428801301</v>
      </c>
    </row>
    <row r="23" spans="1:12">
      <c r="A23" t="n">
        <v>12</v>
      </c>
      <c r="B23" s="11" t="n">
        <v>3325.0489062684</v>
      </c>
      <c r="C23" s="6" t="n">
        <v>0.01493750013829302</v>
      </c>
      <c r="E23" s="7" t="n">
        <v>12</v>
      </c>
      <c r="F23" s="13" t="n">
        <v>3633</v>
      </c>
      <c r="G23" s="6" t="n">
        <v>0.01606015595989603</v>
      </c>
    </row>
    <row r="24" spans="1:12">
      <c r="A24" t="n">
        <v>13</v>
      </c>
      <c r="B24" s="11" t="n">
        <v>8820.085089198001</v>
      </c>
      <c r="C24" s="6" t="n">
        <v>0.03962348403094929</v>
      </c>
      <c r="E24" s="7" t="n">
        <v>13</v>
      </c>
      <c r="F24" s="13" t="n">
        <v>3353</v>
      </c>
      <c r="G24" s="6" t="n">
        <v>0.01482237900730288</v>
      </c>
    </row>
    <row r="25" spans="1:12">
      <c r="A25" t="n">
        <v>14</v>
      </c>
      <c r="B25" s="11" t="n">
        <v>1020.586890581</v>
      </c>
      <c r="C25" s="6" t="n">
        <v>0.00458490002671953</v>
      </c>
      <c r="E25" s="7" t="n">
        <v>14</v>
      </c>
      <c r="F25" s="13" t="n">
        <v>3013</v>
      </c>
      <c r="G25" s="6" t="n">
        <v>0.01331936413629693</v>
      </c>
    </row>
    <row r="26" spans="1:12">
      <c r="A26" t="n">
        <v>15</v>
      </c>
      <c r="B26" s="11" t="n">
        <v>2207.493837869</v>
      </c>
      <c r="C26" s="6" t="n">
        <v>0.009916978798803709</v>
      </c>
      <c r="E26" s="7" t="n">
        <v>15</v>
      </c>
      <c r="F26" s="13" t="n">
        <v>2921</v>
      </c>
      <c r="G26" s="6" t="n">
        <v>0.01291266599473061</v>
      </c>
    </row>
    <row r="27" spans="1:12">
      <c r="A27" t="n">
        <v>16</v>
      </c>
      <c r="B27" s="11" t="n">
        <v>3295.359136227</v>
      </c>
      <c r="C27" s="6" t="n">
        <v>0.01480412136504754</v>
      </c>
      <c r="E27" s="7" t="n">
        <v>16</v>
      </c>
      <c r="F27" s="13" t="n">
        <v>2577</v>
      </c>
      <c r="G27" s="6" t="n">
        <v>0.01139196859583046</v>
      </c>
    </row>
    <row r="28" spans="1:12">
      <c r="A28" t="n">
        <v>17</v>
      </c>
      <c r="B28" s="11" t="n">
        <v>922.4763074360001</v>
      </c>
      <c r="C28" s="6" t="n">
        <v>0.004144146554933408</v>
      </c>
      <c r="E28" s="7" t="n">
        <v>17</v>
      </c>
      <c r="F28" s="13" t="n">
        <v>2147</v>
      </c>
      <c r="G28" s="6" t="n">
        <v>0.009491096847205276</v>
      </c>
    </row>
    <row r="29" spans="1:12">
      <c r="A29" t="n">
        <v>18</v>
      </c>
      <c r="B29" s="11" t="n">
        <v>470.636752084</v>
      </c>
      <c r="C29" s="6" t="n">
        <v>0.002114295683316801</v>
      </c>
      <c r="E29" s="7" t="n">
        <v>18</v>
      </c>
      <c r="F29" s="13" t="n">
        <v>2028</v>
      </c>
      <c r="G29" s="6" t="n">
        <v>0.008965041642353191</v>
      </c>
    </row>
    <row r="30" spans="1:12">
      <c r="A30" t="n">
        <v>19</v>
      </c>
      <c r="B30" s="11" t="n">
        <v>118.76068269</v>
      </c>
      <c r="C30" s="6" t="n">
        <v>0.000533522292186836</v>
      </c>
      <c r="E30" s="7" t="n">
        <v>19</v>
      </c>
      <c r="F30" s="13" t="n">
        <v>1780</v>
      </c>
      <c r="G30" s="6" t="n">
        <v>0.007868724912913551</v>
      </c>
    </row>
    <row r="31" spans="1:12">
      <c r="A31" t="n">
        <v>20</v>
      </c>
      <c r="B31" s="11" t="n">
        <v>63.479249788</v>
      </c>
      <c r="C31" s="6" t="n">
        <v>0.0002851751445518276</v>
      </c>
      <c r="E31" s="7" t="n">
        <v>20</v>
      </c>
      <c r="F31" s="13" t="n">
        <v>1648</v>
      </c>
      <c r="G31" s="6" t="n">
        <v>0.007285201492405354</v>
      </c>
    </row>
    <row r="32" spans="1:12">
      <c r="A32" t="n">
        <v>21</v>
      </c>
      <c r="B32" s="11" t="n">
        <v>92.2295488388</v>
      </c>
      <c r="C32" s="6" t="n">
        <v>0.0004143334240699649</v>
      </c>
      <c r="E32" s="7" t="n">
        <v>21</v>
      </c>
      <c r="F32" s="13" t="n">
        <v>1549</v>
      </c>
      <c r="G32" s="6" t="n">
        <v>0.006847558927024208</v>
      </c>
    </row>
    <row r="33" spans="1:12">
      <c r="A33" t="n">
        <v>22</v>
      </c>
      <c r="B33" s="11" t="n">
        <v>935.046674253</v>
      </c>
      <c r="C33" s="6" t="n">
        <v>0.004200617861479711</v>
      </c>
      <c r="E33" s="7" t="n">
        <v>22</v>
      </c>
      <c r="F33" s="13" t="n">
        <v>1216</v>
      </c>
      <c r="G33" s="6" t="n">
        <v>0.005375488479833077</v>
      </c>
    </row>
    <row r="34" spans="1:12">
      <c r="A34" t="n">
        <v>23</v>
      </c>
      <c r="B34" s="11" t="n">
        <v>0</v>
      </c>
      <c r="C34" s="6" t="n">
        <v>0</v>
      </c>
      <c r="E34" s="7" t="n">
        <v>23</v>
      </c>
      <c r="F34" s="13" t="n">
        <v>1078</v>
      </c>
      <c r="G34" s="6" t="n">
        <v>0.004765441267483599</v>
      </c>
    </row>
    <row r="35" spans="1:12">
      <c r="A35" t="n">
        <v>24</v>
      </c>
      <c r="B35" s="11" t="n">
        <v>1422.099830239</v>
      </c>
      <c r="C35" s="6" t="n">
        <v>0.006388662846677188</v>
      </c>
      <c r="E35" s="7" t="n">
        <v>24</v>
      </c>
      <c r="F35" s="13" t="n">
        <v>939</v>
      </c>
      <c r="G35" s="6" t="n">
        <v>0.004150973423160575</v>
      </c>
    </row>
    <row r="36" spans="1:12">
      <c r="A36" t="n">
        <v>25</v>
      </c>
      <c r="B36" s="11" t="n">
        <v>4.5575</v>
      </c>
      <c r="C36" s="6" t="n">
        <v>2.047418212463885e-05</v>
      </c>
      <c r="E36" s="7" t="n">
        <v>25</v>
      </c>
      <c r="F36" s="13" t="n">
        <v>792</v>
      </c>
      <c r="G36" s="6" t="n">
        <v>0.003501140523049175</v>
      </c>
    </row>
    <row r="37" spans="1:12">
      <c r="A37" t="n">
        <v>26</v>
      </c>
      <c r="B37" s="11" t="n">
        <v>0</v>
      </c>
      <c r="C37" s="6" t="n">
        <v>0</v>
      </c>
      <c r="E37" s="7" t="n">
        <v>26</v>
      </c>
      <c r="F37" s="13" t="n">
        <v>669</v>
      </c>
      <c r="G37" s="6" t="n">
        <v>0.002957402790302902</v>
      </c>
    </row>
    <row r="38" spans="1:12">
      <c r="A38" t="n">
        <v>27</v>
      </c>
      <c r="B38" s="11" t="n">
        <v>190.3388878356</v>
      </c>
      <c r="C38" s="6" t="n">
        <v>0.0008550813066258435</v>
      </c>
      <c r="E38" s="7" t="n">
        <v>27</v>
      </c>
      <c r="F38" s="13" t="n">
        <v>594</v>
      </c>
      <c r="G38" s="6" t="n">
        <v>0.002625855392286881</v>
      </c>
    </row>
    <row r="39" spans="1:12">
      <c r="A39" t="n">
        <v>28</v>
      </c>
      <c r="B39" s="11" t="n">
        <v>263.128777017</v>
      </c>
      <c r="C39" s="6" t="n">
        <v>0.001182083708805166</v>
      </c>
      <c r="E39" s="7" t="n">
        <v>28</v>
      </c>
      <c r="F39" s="13" t="n">
        <v>481</v>
      </c>
      <c r="G39" s="6" t="n">
        <v>0.002126323979276077</v>
      </c>
    </row>
    <row r="40" spans="1:12">
      <c r="A40" t="n">
        <v>29</v>
      </c>
      <c r="B40" s="11" t="n">
        <v>736.563073278</v>
      </c>
      <c r="C40" s="6" t="n">
        <v>0.003308947122013711</v>
      </c>
      <c r="E40" s="7" t="n">
        <v>29</v>
      </c>
      <c r="F40" s="13" t="n">
        <v>418</v>
      </c>
      <c r="G40" s="6" t="n">
        <v>0.00184782416494262</v>
      </c>
    </row>
    <row r="41" spans="1:12">
      <c r="A41" t="n">
        <v>30</v>
      </c>
      <c r="B41" s="11" t="n">
        <v>0</v>
      </c>
      <c r="C41" s="6" t="n">
        <v>0</v>
      </c>
      <c r="E41" s="7" t="n">
        <v>30</v>
      </c>
      <c r="F41" s="13" t="n">
        <v>342</v>
      </c>
      <c r="G41" s="6" t="n">
        <v>0.001511856134953053</v>
      </c>
    </row>
    <row r="42" spans="1:12">
      <c r="A42" t="n">
        <v>31</v>
      </c>
      <c r="B42" s="11" t="n">
        <v>0</v>
      </c>
      <c r="C42" s="6" t="n">
        <v>0</v>
      </c>
      <c r="E42" s="7" t="n">
        <v>31</v>
      </c>
      <c r="F42" s="13" t="n">
        <v>281</v>
      </c>
      <c r="G42" s="6" t="n">
        <v>0.00124219758456669</v>
      </c>
    </row>
    <row r="43" spans="1:12">
      <c r="A43" t="n">
        <v>32</v>
      </c>
      <c r="B43" s="11" t="n">
        <v>0</v>
      </c>
      <c r="C43" s="6" t="n">
        <v>0</v>
      </c>
      <c r="E43" s="7" t="n">
        <v>32</v>
      </c>
      <c r="F43" s="13" t="n">
        <v>255</v>
      </c>
      <c r="G43" s="6" t="n">
        <v>0.001127261153254469</v>
      </c>
    </row>
    <row r="44" spans="1:12">
      <c r="A44" t="n">
        <v>33</v>
      </c>
      <c r="B44" s="11" t="n">
        <v>0</v>
      </c>
      <c r="C44" s="6" t="n">
        <v>0</v>
      </c>
      <c r="E44" s="7" t="n">
        <v>33</v>
      </c>
      <c r="F44" s="13" t="n">
        <v>224</v>
      </c>
      <c r="G44" s="6" t="n">
        <v>0.0009902215620745142</v>
      </c>
    </row>
    <row r="45" spans="1:12">
      <c r="A45" t="n">
        <v>34</v>
      </c>
      <c r="B45" s="11" t="n">
        <v>0</v>
      </c>
      <c r="C45" s="6" t="n">
        <v>0</v>
      </c>
      <c r="E45" s="7" t="n">
        <v>34</v>
      </c>
      <c r="F45" s="13" t="n">
        <v>216</v>
      </c>
      <c r="G45" s="6" t="n">
        <v>0.0009548565062861387</v>
      </c>
    </row>
    <row r="46" spans="1:12">
      <c r="A46" t="n">
        <v>35</v>
      </c>
      <c r="B46" s="11" t="n">
        <v>0</v>
      </c>
      <c r="C46" s="6" t="n">
        <v>0</v>
      </c>
      <c r="E46" s="7" t="n">
        <v>35</v>
      </c>
      <c r="F46" s="13" t="n">
        <v>204</v>
      </c>
      <c r="G46" s="6" t="n">
        <v>0.0009018089226035754</v>
      </c>
    </row>
    <row r="47" spans="1:12">
      <c r="A47" t="n">
        <v>36</v>
      </c>
      <c r="B47" s="11" t="n">
        <v>4291.0185</v>
      </c>
      <c r="C47" s="6" t="n">
        <v>0.01927703659225335</v>
      </c>
      <c r="E47" s="7" t="n">
        <v>36</v>
      </c>
      <c r="F47" s="13" t="n">
        <v>168</v>
      </c>
      <c r="G47" s="6" t="n">
        <v>0.0007426661715558856</v>
      </c>
    </row>
    <row r="48" spans="1:12">
      <c r="A48" t="n">
        <v>37</v>
      </c>
      <c r="B48" s="11" t="n">
        <v>417.967608267</v>
      </c>
      <c r="C48" s="6" t="n">
        <v>0.001877684022788429</v>
      </c>
      <c r="E48" s="7" t="n">
        <v>37</v>
      </c>
      <c r="F48" s="13" t="n">
        <v>149</v>
      </c>
      <c r="G48" s="6" t="n">
        <v>0.0006586741640584938</v>
      </c>
    </row>
    <row r="49" spans="1:12">
      <c r="A49" t="n">
        <v>38</v>
      </c>
      <c r="B49" s="11" t="n">
        <v>0</v>
      </c>
      <c r="C49" s="6" t="n">
        <v>0</v>
      </c>
      <c r="E49" s="7" t="n">
        <v>38</v>
      </c>
      <c r="F49" s="13" t="n">
        <v>137</v>
      </c>
      <c r="G49" s="6" t="n">
        <v>0.0006056265803759305</v>
      </c>
    </row>
    <row r="50" spans="1:12">
      <c r="A50" t="n">
        <v>39</v>
      </c>
      <c r="B50" s="11" t="n">
        <v>0</v>
      </c>
      <c r="C50" s="6" t="n">
        <v>0</v>
      </c>
      <c r="E50" s="7" t="n">
        <v>39</v>
      </c>
      <c r="F50" s="13" t="n">
        <v>99</v>
      </c>
      <c r="G50" s="6" t="n">
        <v>0.0004376425653811469</v>
      </c>
    </row>
    <row r="51" spans="1:12">
      <c r="A51" t="n">
        <v>40</v>
      </c>
      <c r="B51" s="11" t="n">
        <v>0</v>
      </c>
      <c r="C51" s="6" t="n">
        <v>0</v>
      </c>
      <c r="E51" s="7" t="n">
        <v>40</v>
      </c>
      <c r="F51" s="13" t="n">
        <v>102</v>
      </c>
      <c r="G51" s="6" t="n">
        <v>0.0004509044613017877</v>
      </c>
    </row>
    <row r="52" spans="1:12">
      <c r="A52" t="n">
        <v>41</v>
      </c>
      <c r="B52" s="11" t="n">
        <v>0</v>
      </c>
      <c r="C52" s="6" t="n">
        <v>0</v>
      </c>
      <c r="E52" s="7" t="n">
        <v>41</v>
      </c>
      <c r="F52" s="13" t="n">
        <v>75</v>
      </c>
      <c r="G52" s="6" t="n">
        <v>0.0003315473980160204</v>
      </c>
    </row>
    <row r="53" spans="1:12">
      <c r="A53" t="n">
        <v>42</v>
      </c>
      <c r="B53" s="11" t="n">
        <v>0</v>
      </c>
      <c r="C53" s="6" t="n">
        <v>0</v>
      </c>
      <c r="E53" s="7" t="n">
        <v>42</v>
      </c>
      <c r="F53" s="13" t="n">
        <v>70</v>
      </c>
      <c r="G53" s="6" t="n">
        <v>0.0003094442381482857</v>
      </c>
    </row>
    <row r="54" spans="1:12">
      <c r="A54" t="n">
        <v>43</v>
      </c>
      <c r="B54" s="11" t="n">
        <v>65.2262658228</v>
      </c>
      <c r="C54" s="6" t="n">
        <v>0.0002930234658839526</v>
      </c>
      <c r="E54" s="7" t="n">
        <v>43</v>
      </c>
      <c r="F54" s="13" t="n">
        <v>68</v>
      </c>
      <c r="G54" s="6" t="n">
        <v>0.0003006029742011918</v>
      </c>
    </row>
    <row r="55" spans="1:12">
      <c r="A55" t="n">
        <v>44</v>
      </c>
      <c r="B55" s="11" t="n">
        <v>0</v>
      </c>
      <c r="C55" s="6" t="n">
        <v>0</v>
      </c>
      <c r="E55" s="7" t="n">
        <v>44</v>
      </c>
      <c r="F55" s="13" t="n">
        <v>52</v>
      </c>
      <c r="G55" s="6" t="n">
        <v>0.0002298728626244408</v>
      </c>
    </row>
    <row r="56" spans="1:12">
      <c r="A56" t="n">
        <v>45</v>
      </c>
      <c r="B56" s="11" t="n">
        <v>330.0850346173</v>
      </c>
      <c r="C56" s="6" t="n">
        <v>0.001482879015989539</v>
      </c>
      <c r="E56" s="7" t="n">
        <v>45</v>
      </c>
      <c r="F56" s="13" t="n">
        <v>46</v>
      </c>
      <c r="G56" s="6" t="n">
        <v>0.0002033490707831592</v>
      </c>
    </row>
    <row r="57" spans="1:12">
      <c r="A57" t="n">
        <v>46</v>
      </c>
      <c r="B57" s="11" t="n">
        <v>0</v>
      </c>
      <c r="C57" s="6" t="n">
        <v>0</v>
      </c>
      <c r="E57" s="7" t="n">
        <v>46</v>
      </c>
      <c r="F57" s="13" t="n">
        <v>23</v>
      </c>
      <c r="G57" s="6" t="n">
        <v>0.0001016745353915796</v>
      </c>
    </row>
    <row r="58" spans="1:12">
      <c r="A58" t="n">
        <v>47</v>
      </c>
      <c r="B58" s="11" t="n">
        <v>0</v>
      </c>
      <c r="C58" s="6" t="n">
        <v>0</v>
      </c>
      <c r="E58" s="7" t="n">
        <v>47</v>
      </c>
      <c r="F58" s="13" t="n">
        <v>27</v>
      </c>
      <c r="G58" s="6" t="n">
        <v>0.0001193570632857673</v>
      </c>
    </row>
    <row r="59" spans="1:12">
      <c r="A59" t="n">
        <v>48</v>
      </c>
      <c r="B59" s="11" t="n">
        <v>0</v>
      </c>
      <c r="C59" s="6" t="n">
        <v>0</v>
      </c>
      <c r="E59" s="7" t="n">
        <v>48</v>
      </c>
      <c r="F59" s="13" t="n">
        <v>34</v>
      </c>
      <c r="G59" s="6" t="n">
        <v>0.0001503014871005959</v>
      </c>
    </row>
    <row r="60" spans="1:12">
      <c r="A60" t="n">
        <v>49</v>
      </c>
      <c r="B60" s="11" t="n">
        <v>0</v>
      </c>
      <c r="C60" s="6" t="n">
        <v>0</v>
      </c>
      <c r="E60" s="7" t="n">
        <v>49</v>
      </c>
      <c r="F60" s="13" t="n">
        <v>13</v>
      </c>
      <c r="G60" s="6" t="n">
        <v>5.74682156561102e-05</v>
      </c>
    </row>
    <row r="61" spans="1:12">
      <c r="A61" t="n">
        <v>50</v>
      </c>
      <c r="B61" s="11" t="n">
        <v>0</v>
      </c>
      <c r="C61" s="6" t="n">
        <v>0</v>
      </c>
      <c r="E61" s="7" t="n">
        <v>50</v>
      </c>
      <c r="F61" s="13" t="n">
        <v>13</v>
      </c>
      <c r="G61" s="6" t="n">
        <v>5.74682156561102e-05</v>
      </c>
    </row>
    <row r="62" spans="1:12">
      <c r="A62" t="n">
        <v>51</v>
      </c>
      <c r="B62" s="11" t="n">
        <v>0</v>
      </c>
      <c r="C62" s="6" t="n">
        <v>0</v>
      </c>
      <c r="E62" s="7" t="n">
        <v>51</v>
      </c>
      <c r="F62" s="13" t="n">
        <v>13</v>
      </c>
      <c r="G62" s="6" t="n">
        <v>5.74682156561102e-05</v>
      </c>
    </row>
    <row r="63" spans="1:12">
      <c r="A63" t="n">
        <v>52</v>
      </c>
      <c r="B63" s="11" t="n">
        <v>0</v>
      </c>
      <c r="C63" s="6" t="n">
        <v>0</v>
      </c>
      <c r="E63" s="7" t="n">
        <v>52</v>
      </c>
      <c r="F63" s="13" t="n">
        <v>17</v>
      </c>
      <c r="G63" s="6" t="n">
        <v>7.515074355029795e-05</v>
      </c>
    </row>
    <row r="64" spans="1:12">
      <c r="A64" t="n">
        <v>53</v>
      </c>
      <c r="B64" s="11" t="n">
        <v>0</v>
      </c>
      <c r="C64" s="6" t="n">
        <v>0</v>
      </c>
      <c r="E64" s="7" t="n">
        <v>53</v>
      </c>
      <c r="F64" s="13" t="n">
        <v>8</v>
      </c>
      <c r="G64" s="6" t="n">
        <v>3.53650557883755e-05</v>
      </c>
    </row>
    <row r="65" spans="1:12">
      <c r="A65" t="n">
        <v>54</v>
      </c>
      <c r="B65" s="11" t="n">
        <v>0</v>
      </c>
      <c r="C65" s="6" t="n">
        <v>0</v>
      </c>
      <c r="E65" s="7" t="n">
        <v>54</v>
      </c>
      <c r="F65" s="13" t="n">
        <v>2</v>
      </c>
      <c r="G65" s="6" t="n">
        <v>8.841263947093876e-06</v>
      </c>
    </row>
    <row r="66" spans="1:12">
      <c r="A66" t="n">
        <v>55</v>
      </c>
      <c r="B66" s="11" t="n">
        <v>0</v>
      </c>
      <c r="C66" s="6" t="n">
        <v>0</v>
      </c>
      <c r="E66" s="7" t="n">
        <v>55</v>
      </c>
      <c r="F66" s="13" t="n">
        <v>6</v>
      </c>
      <c r="G66" s="6" t="n">
        <v>2.652379184128163e-05</v>
      </c>
    </row>
    <row r="67" spans="1:12">
      <c r="A67" t="n">
        <v>56</v>
      </c>
      <c r="B67" s="11" t="n">
        <v>0</v>
      </c>
      <c r="C67" s="6" t="n">
        <v>0</v>
      </c>
      <c r="E67" s="7" t="n">
        <v>56</v>
      </c>
      <c r="F67" s="13" t="n">
        <v>4</v>
      </c>
      <c r="G67" s="6" t="n">
        <v>1.768252789418775e-05</v>
      </c>
    </row>
    <row r="68" spans="1:12">
      <c r="A68" t="n">
        <v>57</v>
      </c>
      <c r="B68" s="11" t="n">
        <v>0</v>
      </c>
      <c r="C68" s="6" t="n">
        <v>0</v>
      </c>
      <c r="E68" s="7" t="n">
        <v>57</v>
      </c>
      <c r="F68" s="13" t="n">
        <v>2</v>
      </c>
      <c r="G68" s="6" t="n">
        <v>8.841263947093876e-06</v>
      </c>
    </row>
    <row r="69" spans="1:12">
      <c r="A69" t="n">
        <v>58</v>
      </c>
      <c r="B69" s="11" t="n">
        <v>0</v>
      </c>
      <c r="C69" s="6" t="n">
        <v>0</v>
      </c>
      <c r="E69" s="7" t="n">
        <v>58</v>
      </c>
      <c r="F69" s="13" t="n">
        <v>1</v>
      </c>
      <c r="G69" s="6" t="n">
        <v>4.420631973546938e-06</v>
      </c>
    </row>
    <row r="70" spans="1:12">
      <c r="A70" t="n">
        <v>59</v>
      </c>
      <c r="B70" s="11" t="n">
        <v>0</v>
      </c>
      <c r="C70" s="6" t="n">
        <v>0</v>
      </c>
      <c r="E70" s="7" t="n">
        <v>59</v>
      </c>
      <c r="F70" s="13" t="n">
        <v>3</v>
      </c>
      <c r="G70" s="6" t="n">
        <v>1.326189592064082e-05</v>
      </c>
    </row>
    <row r="71" spans="1:12">
      <c r="A71" t="n">
        <v>60</v>
      </c>
      <c r="B71" s="11" t="n">
        <v>0</v>
      </c>
      <c r="C71" s="6" t="n">
        <v>0</v>
      </c>
      <c r="E71" s="7" t="n">
        <v>60</v>
      </c>
      <c r="F71" s="13" t="n">
        <v>2</v>
      </c>
      <c r="G71" s="6" t="n">
        <v>8.841263947093876e-06</v>
      </c>
    </row>
    <row r="72" spans="1:12">
      <c r="A72" t="n">
        <v>61</v>
      </c>
      <c r="B72" s="11" t="n">
        <v>0</v>
      </c>
      <c r="C72" s="6" t="n">
        <v>0</v>
      </c>
      <c r="E72" s="7" t="n">
        <v>61</v>
      </c>
      <c r="F72" s="13" t="n">
        <v>2</v>
      </c>
      <c r="G72" s="6" t="n">
        <v>8.841263947093876e-06</v>
      </c>
    </row>
    <row r="73" spans="1:12">
      <c r="A73" t="n">
        <v>62</v>
      </c>
      <c r="B73" s="11" t="n">
        <v>0</v>
      </c>
      <c r="C73" s="6" t="n">
        <v>0</v>
      </c>
      <c r="E73" s="7" t="n">
        <v>62</v>
      </c>
      <c r="F73" s="13" t="n">
        <v>3</v>
      </c>
      <c r="G73" s="6" t="n">
        <v>1.326189592064082e-05</v>
      </c>
    </row>
    <row r="74" spans="1:12">
      <c r="A74" t="n">
        <v>63</v>
      </c>
      <c r="B74" s="11" t="n">
        <v>0</v>
      </c>
      <c r="C74" s="6" t="n">
        <v>0</v>
      </c>
      <c r="E74" s="7" t="n">
        <v>63</v>
      </c>
      <c r="F74" s="13" t="n">
        <v>0</v>
      </c>
      <c r="G74" s="6" t="n">
        <v>0</v>
      </c>
    </row>
    <row r="75" spans="1:12">
      <c r="A75" t="n">
        <v>64</v>
      </c>
      <c r="B75" s="11" t="n">
        <v>0</v>
      </c>
      <c r="C75" s="6" t="n">
        <v>0</v>
      </c>
      <c r="E75" s="7" t="n">
        <v>64</v>
      </c>
      <c r="F75" s="13" t="n">
        <v>2</v>
      </c>
      <c r="G75" s="6" t="n">
        <v>8.841263947093876e-06</v>
      </c>
    </row>
    <row r="76" spans="1:12">
      <c r="A76" t="n">
        <v>65</v>
      </c>
      <c r="B76" s="11" t="n">
        <v>0</v>
      </c>
      <c r="C76" s="6" t="n">
        <v>0</v>
      </c>
      <c r="E76" s="7" t="n">
        <v>65</v>
      </c>
      <c r="F76" s="13" t="n">
        <v>0</v>
      </c>
      <c r="G76" s="6" t="n">
        <v>0</v>
      </c>
    </row>
    <row r="77" spans="1:12">
      <c r="A77" t="n">
        <v>66</v>
      </c>
      <c r="B77" s="11" t="n">
        <v>0</v>
      </c>
      <c r="C77" s="6" t="n">
        <v>0</v>
      </c>
      <c r="E77" s="7" t="n">
        <v>66</v>
      </c>
      <c r="F77" s="13" t="n">
        <v>1</v>
      </c>
      <c r="G77" s="6" t="n">
        <v>4.420631973546938e-06</v>
      </c>
    </row>
    <row r="78" spans="1:12">
      <c r="A78" t="n">
        <v>67</v>
      </c>
      <c r="B78" s="11" t="n">
        <v>0</v>
      </c>
      <c r="C78" s="6" t="n">
        <v>0</v>
      </c>
      <c r="E78" s="7" t="n">
        <v>67</v>
      </c>
      <c r="F78" s="13" t="n">
        <v>0</v>
      </c>
      <c r="G78" s="6" t="n">
        <v>0</v>
      </c>
    </row>
    <row r="79" spans="1:12">
      <c r="A79" t="n">
        <v>68</v>
      </c>
      <c r="B79" s="11" t="n">
        <v>0</v>
      </c>
      <c r="C79" s="6" t="n">
        <v>0</v>
      </c>
      <c r="E79" s="7" t="n">
        <v>68</v>
      </c>
      <c r="F79" s="13" t="n">
        <v>0</v>
      </c>
      <c r="G79" s="6" t="n">
        <v>0</v>
      </c>
    </row>
    <row r="80" spans="1:12">
      <c r="A80" t="n">
        <v>69</v>
      </c>
      <c r="B80" s="11" t="n">
        <v>0</v>
      </c>
      <c r="C80" s="6" t="n">
        <v>0</v>
      </c>
      <c r="E80" s="7" t="n">
        <v>69</v>
      </c>
      <c r="F80" s="13" t="n">
        <v>1</v>
      </c>
      <c r="G80" s="6" t="n">
        <v>4.420631973546938e-06</v>
      </c>
    </row>
    <row r="81" spans="1:12">
      <c r="A81" t="n">
        <v>70</v>
      </c>
      <c r="B81" s="11" t="n">
        <v>0</v>
      </c>
      <c r="C81" s="6" t="n">
        <v>0</v>
      </c>
      <c r="E81" s="7" t="n">
        <v>70</v>
      </c>
      <c r="F81" s="13" t="n">
        <v>1</v>
      </c>
      <c r="G81" s="6" t="n">
        <v>4.420631973546938e-06</v>
      </c>
    </row>
    <row r="82" spans="1:12">
      <c r="A82" t="n">
        <v>71</v>
      </c>
      <c r="B82" s="11" t="n">
        <v>0</v>
      </c>
      <c r="C82" s="6" t="n">
        <v>0</v>
      </c>
      <c r="E82" s="7" t="n">
        <v>71</v>
      </c>
      <c r="F82" s="13" t="n">
        <v>0</v>
      </c>
      <c r="G82" s="6" t="n">
        <v>0</v>
      </c>
    </row>
    <row r="83" spans="1:12">
      <c r="A83" t="n">
        <v>72</v>
      </c>
      <c r="B83" s="11" t="n">
        <v>0</v>
      </c>
      <c r="C83" s="6" t="n">
        <v>0</v>
      </c>
      <c r="E83" s="7" t="n">
        <v>72</v>
      </c>
      <c r="F83" s="13" t="n">
        <v>0</v>
      </c>
      <c r="G83" s="6" t="n">
        <v>0</v>
      </c>
    </row>
    <row r="84" spans="1:12">
      <c r="A84" t="n">
        <v>73</v>
      </c>
      <c r="B84" s="11" t="n">
        <v>0</v>
      </c>
      <c r="C84" s="6" t="n">
        <v>0</v>
      </c>
      <c r="E84" s="7" t="n">
        <v>73</v>
      </c>
      <c r="F84" s="13" t="n">
        <v>0</v>
      </c>
      <c r="G84" s="6" t="n">
        <v>0</v>
      </c>
    </row>
    <row r="85" spans="1:12">
      <c r="A85" t="n">
        <v>74</v>
      </c>
      <c r="B85" s="11" t="n">
        <v>0</v>
      </c>
      <c r="C85" s="6" t="n">
        <v>0</v>
      </c>
      <c r="E85" s="7" t="n">
        <v>74</v>
      </c>
      <c r="F85" s="13" t="n">
        <v>0</v>
      </c>
      <c r="G85" s="6" t="n">
        <v>0</v>
      </c>
    </row>
    <row r="86" spans="1:12">
      <c r="A86" t="n">
        <v>75</v>
      </c>
      <c r="B86" s="11" t="n">
        <v>0</v>
      </c>
      <c r="C86" s="6" t="n">
        <v>0</v>
      </c>
      <c r="E86" s="7" t="n">
        <v>75</v>
      </c>
      <c r="F86" s="13" t="n">
        <v>0</v>
      </c>
      <c r="G86" s="6" t="n">
        <v>0</v>
      </c>
    </row>
    <row r="87" spans="1:12">
      <c r="A87" t="n">
        <v>76</v>
      </c>
      <c r="B87" s="11" t="n">
        <v>0</v>
      </c>
      <c r="C87" s="6" t="n">
        <v>0</v>
      </c>
      <c r="E87" s="7" t="n">
        <v>76</v>
      </c>
      <c r="F87" s="13" t="n">
        <v>1</v>
      </c>
      <c r="G87" s="6" t="n">
        <v>4.420631973546938e-06</v>
      </c>
    </row>
    <row r="88" spans="1:12">
      <c r="A88" t="n">
        <v>77</v>
      </c>
      <c r="B88" s="11" t="n">
        <v>0</v>
      </c>
      <c r="C88" s="6" t="n">
        <v>0</v>
      </c>
      <c r="E88" s="7" t="n">
        <v>77</v>
      </c>
      <c r="F88" s="13" t="n">
        <v>1</v>
      </c>
      <c r="G88" s="6" t="n">
        <v>4.420631973546938e-06</v>
      </c>
    </row>
    <row r="89" spans="1:12">
      <c r="A89" t="n">
        <v>78</v>
      </c>
      <c r="B89" s="11" t="n">
        <v>0</v>
      </c>
      <c r="C89" s="6" t="n">
        <v>0</v>
      </c>
      <c r="E89" s="7" t="n">
        <v>78</v>
      </c>
      <c r="F89" s="13" t="n">
        <v>0</v>
      </c>
      <c r="G89" s="6" t="n">
        <v>0</v>
      </c>
    </row>
    <row r="90" spans="1:12">
      <c r="A90" t="n">
        <v>79</v>
      </c>
      <c r="B90" s="11" t="n">
        <v>0</v>
      </c>
      <c r="C90" s="6" t="n">
        <v>0</v>
      </c>
      <c r="E90" s="7" t="n">
        <v>79</v>
      </c>
      <c r="F90" s="13" t="n">
        <v>0</v>
      </c>
      <c r="G90" s="6" t="n">
        <v>0</v>
      </c>
    </row>
    <row r="91" spans="1:12">
      <c r="A91" t="n">
        <v>80</v>
      </c>
      <c r="B91" s="11" t="n">
        <v>0</v>
      </c>
      <c r="C91" s="6" t="n">
        <v>0</v>
      </c>
      <c r="E91" s="7" t="n">
        <v>80</v>
      </c>
      <c r="F91" s="13" t="n">
        <v>0</v>
      </c>
      <c r="G91" s="6" t="n">
        <v>0</v>
      </c>
    </row>
    <row r="92" spans="1:12">
      <c r="A92" t="n">
        <v>81</v>
      </c>
      <c r="B92" s="11" t="n">
        <v>0</v>
      </c>
      <c r="C92" s="6" t="n">
        <v>0</v>
      </c>
      <c r="E92" s="7" t="n">
        <v>81</v>
      </c>
      <c r="F92" s="13" t="n">
        <v>0</v>
      </c>
      <c r="G92" s="6" t="n">
        <v>0</v>
      </c>
    </row>
    <row r="93" spans="1:12">
      <c r="A93" t="n">
        <v>82</v>
      </c>
      <c r="B93" s="11" t="n">
        <v>0</v>
      </c>
      <c r="C93" s="6" t="n">
        <v>0</v>
      </c>
      <c r="E93" s="7" t="n">
        <v>82</v>
      </c>
      <c r="F93" s="13" t="n">
        <v>0</v>
      </c>
      <c r="G93" s="6" t="n">
        <v>0</v>
      </c>
    </row>
    <row r="94" spans="1:12">
      <c r="A94" t="n">
        <v>83</v>
      </c>
      <c r="B94" s="11" t="n">
        <v>0</v>
      </c>
      <c r="C94" s="6" t="n">
        <v>0</v>
      </c>
      <c r="E94" s="7" t="n">
        <v>83</v>
      </c>
      <c r="F94" s="13" t="n">
        <v>0</v>
      </c>
      <c r="G94" s="6" t="n">
        <v>0</v>
      </c>
    </row>
    <row r="95" spans="1:12">
      <c r="A95" t="n">
        <v>84</v>
      </c>
      <c r="B95" s="11" t="n">
        <v>0</v>
      </c>
      <c r="C95" s="6" t="n">
        <v>0</v>
      </c>
      <c r="E95" s="7" t="n">
        <v>84</v>
      </c>
      <c r="F95" s="13" t="n">
        <v>0</v>
      </c>
      <c r="G95" s="6" t="n">
        <v>0</v>
      </c>
    </row>
    <row r="96" spans="1:12">
      <c r="A96" t="n">
        <v>85</v>
      </c>
      <c r="B96" s="11" t="n">
        <v>0</v>
      </c>
      <c r="C96" s="6" t="n">
        <v>0</v>
      </c>
      <c r="E96" s="7" t="n">
        <v>85</v>
      </c>
      <c r="F96" s="13" t="n">
        <v>0</v>
      </c>
      <c r="G96" s="6" t="n">
        <v>0</v>
      </c>
    </row>
    <row r="97" spans="1:12">
      <c r="A97" t="n">
        <v>86</v>
      </c>
      <c r="B97" s="11" t="n">
        <v>0</v>
      </c>
      <c r="C97" s="6" t="n">
        <v>0</v>
      </c>
      <c r="E97" s="7" t="n">
        <v>86</v>
      </c>
      <c r="F97" s="13" t="n">
        <v>0</v>
      </c>
      <c r="G97" s="6" t="n">
        <v>0</v>
      </c>
    </row>
    <row r="98" spans="1:12">
      <c r="A98" t="n">
        <v>87</v>
      </c>
      <c r="B98" s="11" t="n">
        <v>0</v>
      </c>
      <c r="C98" s="6" t="n">
        <v>0</v>
      </c>
      <c r="E98" s="7" t="n">
        <v>87</v>
      </c>
      <c r="F98" s="13" t="n">
        <v>0</v>
      </c>
      <c r="G98" s="6" t="n">
        <v>0</v>
      </c>
    </row>
    <row r="99" spans="1:12">
      <c r="A99" t="n">
        <v>88</v>
      </c>
      <c r="B99" s="11" t="n">
        <v>0</v>
      </c>
      <c r="C99" s="6" t="n">
        <v>0</v>
      </c>
      <c r="E99" s="7" t="n">
        <v>88</v>
      </c>
      <c r="F99" s="13" t="n">
        <v>0</v>
      </c>
      <c r="G99" s="6" t="n">
        <v>0</v>
      </c>
    </row>
    <row r="100" spans="1:12">
      <c r="A100" t="n">
        <v>89</v>
      </c>
      <c r="B100" s="11" t="n">
        <v>0</v>
      </c>
      <c r="C100" s="6" t="n">
        <v>0</v>
      </c>
      <c r="E100" s="7" t="n">
        <v>89</v>
      </c>
      <c r="F100" s="13" t="n">
        <v>0</v>
      </c>
      <c r="G100" s="6" t="n">
        <v>0</v>
      </c>
    </row>
    <row customHeight="1" ht="15.75" r="101" s="10" spans="1:12">
      <c r="A101" s="1" t="n">
        <v>90</v>
      </c>
      <c r="B101" s="12" t="n">
        <v>0</v>
      </c>
      <c r="C101" s="6" t="n">
        <v>0</v>
      </c>
      <c r="E101" s="8" t="n">
        <v>90</v>
      </c>
      <c r="F101" s="14" t="n">
        <v>0</v>
      </c>
      <c r="G101" s="6" t="n">
        <v>0</v>
      </c>
    </row>
    <row r="102" spans="1:12">
      <c r="B102" s="11" t="n">
        <v>222597.414258392</v>
      </c>
      <c r="C102" s="6" t="n">
        <v>1</v>
      </c>
      <c r="F102" s="11" t="n">
        <v>226212</v>
      </c>
      <c r="G102" s="6" t="n">
        <v>1</v>
      </c>
    </row>
  </sheetData>
  <pageMargins bottom="0.75" footer="0.3" header="0.3" left="0.7" right="0.7" top="0.7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D33" sqref="D33"/>
    </sheetView>
  </sheetViews>
  <sheetFormatPr baseColWidth="10" defaultRowHeight="15" outlineLevelCol="0"/>
  <cols>
    <col collapsed="1" customWidth="1" max="1" min="1" style="10" width="13.5703125"/>
    <col collapsed="1" customWidth="1" max="2" min="2" style="10" width="10.5703125"/>
    <col collapsed="1" customWidth="1" max="5" min="5" style="10" width="12.7109375"/>
    <col collapsed="1" customWidth="1" max="6" min="6" style="10" width="10.5703125"/>
    <col collapsed="1" customWidth="1" max="12" min="12" style="10" width="10.2851562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7" spans="1:12">
      <c r="A7" t="s">
        <v>5</v>
      </c>
    </row>
    <row customHeight="1" ht="15.75" r="9" s="10" spans="1:12">
      <c r="A9" s="3" t="s">
        <v>6</v>
      </c>
      <c r="B9" s="1" t="n"/>
      <c r="E9" s="3" t="s">
        <v>7</v>
      </c>
      <c r="F9" s="1" t="n"/>
      <c r="J9" s="5" t="s">
        <v>16</v>
      </c>
    </row>
    <row r="10" spans="1:12">
      <c r="A10" s="2" t="s">
        <v>9</v>
      </c>
      <c r="B10" s="9" t="s">
        <v>10</v>
      </c>
      <c r="C10" s="9" t="s">
        <v>10</v>
      </c>
      <c r="E10" s="2" t="s">
        <v>9</v>
      </c>
      <c r="F10" s="9" t="s">
        <v>11</v>
      </c>
      <c r="G10" s="9" t="s">
        <v>11</v>
      </c>
      <c r="J10" s="2" t="n"/>
      <c r="K10" s="9" t="s">
        <v>10</v>
      </c>
      <c r="L10" s="9" t="s">
        <v>11</v>
      </c>
    </row>
    <row r="11" spans="1:12">
      <c r="A11" t="n">
        <v>0</v>
      </c>
      <c r="B11" s="11" t="n">
        <v>10443.7812211578</v>
      </c>
      <c r="C11" s="6" t="n">
        <v>0.04642460071320529</v>
      </c>
      <c r="E11" s="7" t="n">
        <v>0</v>
      </c>
      <c r="F11" s="13" t="n">
        <v>46951</v>
      </c>
      <c r="G11" s="6" t="n">
        <v>0.2015462280106802</v>
      </c>
      <c r="K11" s="4" t="n">
        <v>6.88784906943493</v>
      </c>
      <c r="L11" s="4" t="n">
        <v>6.454723236086926</v>
      </c>
    </row>
    <row r="12" spans="1:12">
      <c r="A12" t="n">
        <v>1</v>
      </c>
      <c r="B12" s="11" t="n">
        <v>15937.7795198576</v>
      </c>
      <c r="C12" s="6" t="n">
        <v>0.07084647167498438</v>
      </c>
      <c r="E12" s="7" t="n">
        <v>1</v>
      </c>
      <c r="F12" s="13" t="n">
        <v>23381</v>
      </c>
      <c r="G12" s="6" t="n">
        <v>0.1003674545189179</v>
      </c>
      <c r="K12" s="4" t="n"/>
      <c r="L12" s="7" t="n"/>
    </row>
    <row r="13" spans="1:12">
      <c r="A13" t="n">
        <v>2</v>
      </c>
      <c r="B13" s="11" t="n">
        <v>12657.4760069762</v>
      </c>
      <c r="C13" s="6" t="n">
        <v>0.05626489651759505</v>
      </c>
      <c r="E13" s="7" t="n">
        <v>2</v>
      </c>
      <c r="F13" s="13" t="n">
        <v>14291</v>
      </c>
      <c r="G13" s="6" t="n">
        <v>0.0613468753487813</v>
      </c>
    </row>
    <row r="14" spans="1:12">
      <c r="A14" t="n">
        <v>3</v>
      </c>
      <c r="B14" s="11" t="n">
        <v>23152.2803822939</v>
      </c>
      <c r="C14" s="6" t="n">
        <v>0.1029163048887588</v>
      </c>
      <c r="E14" s="7" t="n">
        <v>3</v>
      </c>
      <c r="F14" s="13" t="n">
        <v>8626</v>
      </c>
      <c r="G14" s="6" t="n">
        <v>0.03702876962833864</v>
      </c>
    </row>
    <row r="15" spans="1:12">
      <c r="A15" t="n">
        <v>4</v>
      </c>
      <c r="B15" s="11" t="n">
        <v>38295.8132455448</v>
      </c>
      <c r="C15" s="6" t="n">
        <v>0.1702321985939496</v>
      </c>
      <c r="E15" s="7" t="n">
        <v>4</v>
      </c>
      <c r="F15" s="13" t="n">
        <v>31664</v>
      </c>
      <c r="G15" s="6" t="n">
        <v>0.1359238304557981</v>
      </c>
    </row>
    <row r="16" spans="1:12">
      <c r="A16" t="n">
        <v>5</v>
      </c>
      <c r="B16" s="11" t="n">
        <v>30113.6119753438</v>
      </c>
      <c r="C16" s="6" t="n">
        <v>0.1338607523830099</v>
      </c>
      <c r="E16" s="7" t="n">
        <v>5</v>
      </c>
      <c r="F16" s="13" t="n">
        <v>18973</v>
      </c>
      <c r="G16" s="6" t="n">
        <v>0.08144526387183736</v>
      </c>
    </row>
    <row r="17" spans="1:12">
      <c r="A17" t="n">
        <v>6</v>
      </c>
      <c r="B17" s="11" t="n">
        <v>24343.8135416979</v>
      </c>
      <c r="C17" s="6" t="n">
        <v>0.1082128971852166</v>
      </c>
      <c r="E17" s="7" t="n">
        <v>6</v>
      </c>
      <c r="F17" s="13" t="n">
        <v>17836</v>
      </c>
      <c r="G17" s="6" t="n">
        <v>0.07656447195583678</v>
      </c>
    </row>
    <row r="18" spans="1:12">
      <c r="A18" t="n">
        <v>7</v>
      </c>
      <c r="B18" s="11" t="n">
        <v>8311.7366978515</v>
      </c>
      <c r="C18" s="6" t="n">
        <v>0.03694725590855242</v>
      </c>
      <c r="E18" s="7" t="n">
        <v>7</v>
      </c>
      <c r="F18" s="13" t="n">
        <v>8376</v>
      </c>
      <c r="G18" s="6" t="n">
        <v>0.03595559638383544</v>
      </c>
    </row>
    <row r="19" spans="1:12">
      <c r="A19" t="n">
        <v>8</v>
      </c>
      <c r="B19" s="11" t="n">
        <v>3208.1913377191</v>
      </c>
      <c r="C19" s="6" t="n">
        <v>0.01426102277625668</v>
      </c>
      <c r="E19" s="7" t="n">
        <v>8</v>
      </c>
      <c r="F19" s="13" t="n">
        <v>10305</v>
      </c>
      <c r="G19" s="6" t="n">
        <v>0.04423620113842218</v>
      </c>
    </row>
    <row r="20" spans="1:12">
      <c r="A20" t="n">
        <v>9</v>
      </c>
      <c r="B20" s="11" t="n">
        <v>5598.5403800948</v>
      </c>
      <c r="C20" s="6" t="n">
        <v>0.02488658046533112</v>
      </c>
      <c r="E20" s="7" t="n">
        <v>9</v>
      </c>
      <c r="F20" s="13" t="n">
        <v>7102</v>
      </c>
      <c r="G20" s="6" t="n">
        <v>0.03048670552984709</v>
      </c>
    </row>
    <row r="21" spans="1:12">
      <c r="A21" t="n">
        <v>10</v>
      </c>
      <c r="B21" s="11" t="n">
        <v>10320.6085837997</v>
      </c>
      <c r="C21" s="6" t="n">
        <v>0.04587707483277438</v>
      </c>
      <c r="E21" s="7" t="n">
        <v>10</v>
      </c>
      <c r="F21" s="13" t="n">
        <v>3628</v>
      </c>
      <c r="G21" s="6" t="n">
        <v>0.01557389012423054</v>
      </c>
    </row>
    <row r="22" spans="1:12">
      <c r="A22" t="n">
        <v>11</v>
      </c>
      <c r="B22" s="11" t="n">
        <v>4437.065708914</v>
      </c>
      <c r="C22" s="6" t="n">
        <v>0.01972360388565777</v>
      </c>
      <c r="E22" s="7" t="n">
        <v>11</v>
      </c>
      <c r="F22" s="13" t="n">
        <v>3778</v>
      </c>
      <c r="G22" s="6" t="n">
        <v>0.01621779407093246</v>
      </c>
    </row>
    <row r="23" spans="1:12">
      <c r="A23" t="n">
        <v>12</v>
      </c>
      <c r="B23" s="11" t="n">
        <v>7055.822490588</v>
      </c>
      <c r="C23" s="6" t="n">
        <v>0.03136447756730084</v>
      </c>
      <c r="E23" s="7" t="n">
        <v>12</v>
      </c>
      <c r="F23" s="13" t="n">
        <v>3840</v>
      </c>
      <c r="G23" s="6" t="n">
        <v>0.01648394103556925</v>
      </c>
    </row>
    <row r="24" spans="1:12">
      <c r="A24" t="n">
        <v>13</v>
      </c>
      <c r="B24" s="11" t="n">
        <v>7177.130722202401</v>
      </c>
      <c r="C24" s="6" t="n">
        <v>0.03190371580838104</v>
      </c>
      <c r="E24" s="7" t="n">
        <v>13</v>
      </c>
      <c r="F24" s="13" t="n">
        <v>4739</v>
      </c>
      <c r="G24" s="6" t="n">
        <v>0.02034307202280278</v>
      </c>
    </row>
    <row r="25" spans="1:12">
      <c r="A25" t="n">
        <v>14</v>
      </c>
      <c r="B25" s="11" t="n">
        <v>2354.858463509</v>
      </c>
      <c r="C25" s="6" t="n">
        <v>0.01046779529267062</v>
      </c>
      <c r="E25" s="7" t="n">
        <v>14</v>
      </c>
      <c r="F25" s="13" t="n">
        <v>3157</v>
      </c>
      <c r="G25" s="6" t="n">
        <v>0.01355203173158649</v>
      </c>
    </row>
    <row r="26" spans="1:12">
      <c r="A26" t="n">
        <v>15</v>
      </c>
      <c r="B26" s="11" t="n">
        <v>4185.475136309</v>
      </c>
      <c r="C26" s="6" t="n">
        <v>0.0186052357746204</v>
      </c>
      <c r="E26" s="7" t="n">
        <v>15</v>
      </c>
      <c r="F26" s="13" t="n">
        <v>3714</v>
      </c>
      <c r="G26" s="6" t="n">
        <v>0.01594306172033964</v>
      </c>
    </row>
    <row r="27" spans="1:12">
      <c r="A27" t="n">
        <v>16</v>
      </c>
      <c r="B27" s="11" t="n">
        <v>2863.698957036</v>
      </c>
      <c r="C27" s="6" t="n">
        <v>0.01272968839809537</v>
      </c>
      <c r="E27" s="7" t="n">
        <v>16</v>
      </c>
      <c r="F27" s="13" t="n">
        <v>2893</v>
      </c>
      <c r="G27" s="6" t="n">
        <v>0.01241876078539111</v>
      </c>
    </row>
    <row r="28" spans="1:12">
      <c r="A28" t="n">
        <v>17</v>
      </c>
      <c r="B28" s="11" t="n">
        <v>1852.840395828</v>
      </c>
      <c r="C28" s="6" t="n">
        <v>0.008236229172184462</v>
      </c>
      <c r="E28" s="7" t="n">
        <v>17</v>
      </c>
      <c r="F28" s="13" t="n">
        <v>2636</v>
      </c>
      <c r="G28" s="6" t="n">
        <v>0.01131553869004181</v>
      </c>
    </row>
    <row r="29" spans="1:12">
      <c r="A29" t="n">
        <v>18</v>
      </c>
      <c r="B29" s="11" t="n">
        <v>3109.493426527</v>
      </c>
      <c r="C29" s="6" t="n">
        <v>0.01382229172461055</v>
      </c>
      <c r="E29" s="7" t="n">
        <v>18</v>
      </c>
      <c r="F29" s="13" t="n">
        <v>2193</v>
      </c>
      <c r="G29" s="6" t="n">
        <v>0.009413875700782129</v>
      </c>
    </row>
    <row r="30" spans="1:12">
      <c r="A30" t="n">
        <v>19</v>
      </c>
      <c r="B30" s="11" t="n">
        <v>92.2295488388</v>
      </c>
      <c r="C30" s="6" t="n">
        <v>0.000409977946505249</v>
      </c>
      <c r="E30" s="7" t="n">
        <v>19</v>
      </c>
      <c r="F30" s="13" t="n">
        <v>1795</v>
      </c>
      <c r="G30" s="6" t="n">
        <v>0.007705383895533023</v>
      </c>
    </row>
    <row r="31" spans="1:12">
      <c r="A31" t="n">
        <v>20</v>
      </c>
      <c r="B31" s="11" t="n">
        <v>0</v>
      </c>
      <c r="C31" s="6" t="n">
        <v>0</v>
      </c>
      <c r="E31" s="7" t="n">
        <v>20</v>
      </c>
      <c r="F31" s="13" t="n">
        <v>1513</v>
      </c>
      <c r="G31" s="6" t="n">
        <v>0.006494844475733406</v>
      </c>
    </row>
    <row r="32" spans="1:12">
      <c r="A32" t="n">
        <v>21</v>
      </c>
      <c r="B32" s="11" t="n">
        <v>309.0995705256</v>
      </c>
      <c r="C32" s="6" t="n">
        <v>0.001374006582328943</v>
      </c>
      <c r="E32" s="7" t="n">
        <v>21</v>
      </c>
      <c r="F32" s="13" t="n">
        <v>1584</v>
      </c>
      <c r="G32" s="6" t="n">
        <v>0.006799625677172317</v>
      </c>
    </row>
    <row r="33" spans="1:12">
      <c r="A33" t="n">
        <v>22</v>
      </c>
      <c r="B33" s="11" t="n">
        <v>2139.948876604</v>
      </c>
      <c r="C33" s="6" t="n">
        <v>0.009512481163599037</v>
      </c>
      <c r="E33" s="7" t="n">
        <v>22</v>
      </c>
      <c r="F33" s="13" t="n">
        <v>1308</v>
      </c>
      <c r="G33" s="6" t="n">
        <v>0.005614842415240777</v>
      </c>
    </row>
    <row r="34" spans="1:12">
      <c r="A34" t="n">
        <v>23</v>
      </c>
      <c r="B34" s="11" t="n">
        <v>63.479249788</v>
      </c>
      <c r="C34" s="6" t="n">
        <v>0.0002821773802587389</v>
      </c>
      <c r="E34" s="7" t="n">
        <v>23</v>
      </c>
      <c r="F34" s="13" t="n">
        <v>1468</v>
      </c>
      <c r="G34" s="6" t="n">
        <v>0.00630167329172283</v>
      </c>
    </row>
    <row r="35" spans="1:12">
      <c r="A35" t="n">
        <v>24</v>
      </c>
      <c r="B35" s="11" t="n">
        <v>897.8349498770001</v>
      </c>
      <c r="C35" s="6" t="n">
        <v>0.003991047703101882</v>
      </c>
      <c r="E35" s="7" t="n">
        <v>24</v>
      </c>
      <c r="F35" s="13" t="n">
        <v>1051</v>
      </c>
      <c r="G35" s="6" t="n">
        <v>0.004511620319891481</v>
      </c>
    </row>
    <row r="36" spans="1:12">
      <c r="A36" t="n">
        <v>25</v>
      </c>
      <c r="B36" s="11" t="n">
        <v>0</v>
      </c>
      <c r="C36" s="6" t="n">
        <v>0</v>
      </c>
      <c r="E36" s="7" t="n">
        <v>25</v>
      </c>
      <c r="F36" s="13" t="n">
        <v>954</v>
      </c>
      <c r="G36" s="6" t="n">
        <v>0.004095229101024236</v>
      </c>
    </row>
    <row r="37" spans="1:12">
      <c r="A37" t="n">
        <v>26</v>
      </c>
      <c r="B37" s="11" t="n">
        <v>0</v>
      </c>
      <c r="C37" s="6" t="n">
        <v>0</v>
      </c>
      <c r="E37" s="7" t="n">
        <v>26</v>
      </c>
      <c r="F37" s="13" t="n">
        <v>622</v>
      </c>
      <c r="G37" s="6" t="n">
        <v>0.002670055032323978</v>
      </c>
    </row>
    <row r="38" spans="1:12">
      <c r="A38" t="n">
        <v>27</v>
      </c>
      <c r="B38" s="11" t="n">
        <v>4.5575</v>
      </c>
      <c r="C38" s="6" t="n">
        <v>2.025895729429856e-05</v>
      </c>
      <c r="E38" s="7" t="n">
        <v>27</v>
      </c>
      <c r="F38" s="13" t="n">
        <v>893</v>
      </c>
      <c r="G38" s="6" t="n">
        <v>0.003833374829365454</v>
      </c>
    </row>
    <row r="39" spans="1:12">
      <c r="A39" t="n">
        <v>28</v>
      </c>
      <c r="B39" s="11" t="n">
        <v>0</v>
      </c>
      <c r="C39" s="6" t="n">
        <v>0</v>
      </c>
      <c r="E39" s="7" t="n">
        <v>28</v>
      </c>
      <c r="F39" s="13" t="n">
        <v>489</v>
      </c>
      <c r="G39" s="6" t="n">
        <v>0.002099126866248272</v>
      </c>
    </row>
    <row r="40" spans="1:12">
      <c r="A40" t="n">
        <v>29</v>
      </c>
      <c r="B40" s="11" t="n">
        <v>0</v>
      </c>
      <c r="C40" s="6" t="n">
        <v>0</v>
      </c>
      <c r="E40" s="7" t="n">
        <v>29</v>
      </c>
      <c r="F40" s="13" t="n">
        <v>405</v>
      </c>
      <c r="G40" s="6" t="n">
        <v>0.001738540656095195</v>
      </c>
    </row>
    <row r="41" spans="1:12">
      <c r="A41" t="n">
        <v>30</v>
      </c>
      <c r="B41" s="11" t="n">
        <v>0</v>
      </c>
      <c r="C41" s="6" t="n">
        <v>0</v>
      </c>
      <c r="E41" s="7" t="n">
        <v>30</v>
      </c>
      <c r="F41" s="13" t="n">
        <v>389</v>
      </c>
      <c r="G41" s="6" t="n">
        <v>0.00166985756844699</v>
      </c>
    </row>
    <row r="42" spans="1:12">
      <c r="A42" t="n">
        <v>31</v>
      </c>
      <c r="B42" s="11" t="n">
        <v>0</v>
      </c>
      <c r="C42" s="6" t="n">
        <v>0</v>
      </c>
      <c r="E42" s="7" t="n">
        <v>31</v>
      </c>
      <c r="F42" s="13" t="n">
        <v>404</v>
      </c>
      <c r="G42" s="6" t="n">
        <v>0.001734247963117182</v>
      </c>
    </row>
    <row r="43" spans="1:12">
      <c r="A43" t="n">
        <v>32</v>
      </c>
      <c r="B43" s="11" t="n">
        <v>0</v>
      </c>
      <c r="C43" s="6" t="n">
        <v>0</v>
      </c>
      <c r="E43" s="7" t="n">
        <v>32</v>
      </c>
      <c r="F43" s="13" t="n">
        <v>277</v>
      </c>
      <c r="G43" s="6" t="n">
        <v>0.001189075954909553</v>
      </c>
    </row>
    <row r="44" spans="1:12">
      <c r="A44" t="n">
        <v>33</v>
      </c>
      <c r="B44" s="11" t="n">
        <v>0</v>
      </c>
      <c r="C44" s="6" t="n">
        <v>0</v>
      </c>
      <c r="E44" s="7" t="n">
        <v>33</v>
      </c>
      <c r="F44" s="13" t="n">
        <v>236</v>
      </c>
      <c r="G44" s="6" t="n">
        <v>0.001013075542811027</v>
      </c>
    </row>
    <row r="45" spans="1:12">
      <c r="A45" t="n">
        <v>34</v>
      </c>
      <c r="B45" s="11" t="n">
        <v>4291.0185</v>
      </c>
      <c r="C45" s="6" t="n">
        <v>0.01907439616907187</v>
      </c>
      <c r="E45" s="7" t="n">
        <v>34</v>
      </c>
      <c r="F45" s="13" t="n">
        <v>137</v>
      </c>
      <c r="G45" s="6" t="n">
        <v>0.0005880989379877572</v>
      </c>
    </row>
    <row r="46" spans="1:12">
      <c r="A46" t="n">
        <v>35</v>
      </c>
      <c r="B46" s="11" t="n">
        <v>0</v>
      </c>
      <c r="C46" s="6" t="n">
        <v>0</v>
      </c>
      <c r="E46" s="7" t="n">
        <v>35</v>
      </c>
      <c r="F46" s="13" t="n">
        <v>123</v>
      </c>
      <c r="G46" s="6" t="n">
        <v>0.0005280012362955777</v>
      </c>
    </row>
    <row r="47" spans="1:12">
      <c r="A47" t="n">
        <v>36</v>
      </c>
      <c r="B47" s="11" t="n">
        <v>0</v>
      </c>
      <c r="C47" s="6" t="n">
        <v>0</v>
      </c>
      <c r="E47" s="7" t="n">
        <v>36</v>
      </c>
      <c r="F47" s="13" t="n">
        <v>234</v>
      </c>
      <c r="G47" s="6" t="n">
        <v>0.001004490156855001</v>
      </c>
    </row>
    <row r="48" spans="1:12">
      <c r="A48" t="n">
        <v>37</v>
      </c>
      <c r="B48" s="11" t="n">
        <v>0</v>
      </c>
      <c r="C48" s="6" t="n">
        <v>0</v>
      </c>
      <c r="E48" s="7" t="n">
        <v>37</v>
      </c>
      <c r="F48" s="13" t="n">
        <v>171</v>
      </c>
      <c r="G48" s="6" t="n">
        <v>0.0007340504992401933</v>
      </c>
    </row>
    <row r="49" spans="1:12">
      <c r="A49" t="n">
        <v>38</v>
      </c>
      <c r="B49" s="11" t="n">
        <v>0</v>
      </c>
      <c r="C49" s="6" t="n">
        <v>0</v>
      </c>
      <c r="E49" s="7" t="n">
        <v>38</v>
      </c>
      <c r="F49" s="13" t="n">
        <v>153</v>
      </c>
      <c r="G49" s="6" t="n">
        <v>0.0006567820256359625</v>
      </c>
    </row>
    <row r="50" spans="1:12">
      <c r="A50" t="n">
        <v>39</v>
      </c>
      <c r="B50" s="11" t="n">
        <v>65.2262658228</v>
      </c>
      <c r="C50" s="6" t="n">
        <v>0.0002899431999496809</v>
      </c>
      <c r="E50" s="7" t="n">
        <v>39</v>
      </c>
      <c r="F50" s="13" t="n">
        <v>183</v>
      </c>
      <c r="G50" s="6" t="n">
        <v>0.0007855628149763472</v>
      </c>
    </row>
    <row r="51" spans="1:12">
      <c r="A51" t="n">
        <v>40</v>
      </c>
      <c r="B51" s="11" t="n">
        <v>417.967608267</v>
      </c>
      <c r="C51" s="6" t="n">
        <v>0.001857945787445148</v>
      </c>
      <c r="E51" s="7" t="n">
        <v>40</v>
      </c>
      <c r="F51" s="13" t="n">
        <v>80</v>
      </c>
      <c r="G51" s="6" t="n">
        <v>0.0003434154382410261</v>
      </c>
    </row>
    <row r="52" spans="1:12">
      <c r="A52" t="n">
        <v>41</v>
      </c>
      <c r="B52" s="11" t="n">
        <v>1219.07842926</v>
      </c>
      <c r="C52" s="6" t="n">
        <v>0.005419036277954778</v>
      </c>
      <c r="E52" s="7" t="n">
        <v>41</v>
      </c>
      <c r="F52" s="13" t="n">
        <v>106</v>
      </c>
      <c r="G52" s="6" t="n">
        <v>0.0004550254556693596</v>
      </c>
    </row>
    <row r="53" spans="1:12">
      <c r="A53" t="n">
        <v>42</v>
      </c>
      <c r="B53" s="11" t="n">
        <v>0</v>
      </c>
      <c r="C53" s="6" t="n">
        <v>0</v>
      </c>
      <c r="E53" s="7" t="n">
        <v>42</v>
      </c>
      <c r="F53" s="13" t="n">
        <v>53</v>
      </c>
      <c r="G53" s="6" t="n">
        <v>0.0002275127278346798</v>
      </c>
    </row>
    <row r="54" spans="1:12">
      <c r="A54" t="n">
        <v>43</v>
      </c>
      <c r="B54" s="11" t="n">
        <v>0</v>
      </c>
      <c r="C54" s="6" t="n">
        <v>0</v>
      </c>
      <c r="E54" s="7" t="n">
        <v>43</v>
      </c>
      <c r="F54" s="13" t="n">
        <v>31</v>
      </c>
      <c r="G54" s="6" t="n">
        <v>0.0001330734823183976</v>
      </c>
    </row>
    <row r="55" spans="1:12">
      <c r="A55" t="n">
        <v>44</v>
      </c>
      <c r="B55" s="11" t="n">
        <v>0</v>
      </c>
      <c r="C55" s="6" t="n">
        <v>0</v>
      </c>
      <c r="E55" s="7" t="n">
        <v>44</v>
      </c>
      <c r="F55" s="13" t="n">
        <v>38</v>
      </c>
      <c r="G55" s="6" t="n">
        <v>0.0001631223331644874</v>
      </c>
    </row>
    <row r="56" spans="1:12">
      <c r="A56" t="n">
        <v>45</v>
      </c>
      <c r="B56" s="11" t="n">
        <v>0</v>
      </c>
      <c r="C56" s="6" t="n">
        <v>0</v>
      </c>
      <c r="E56" s="7" t="n">
        <v>45</v>
      </c>
      <c r="F56" s="13" t="n">
        <v>27</v>
      </c>
      <c r="G56" s="6" t="n">
        <v>0.0001159027104063463</v>
      </c>
    </row>
    <row r="57" spans="1:12">
      <c r="A57" t="n">
        <v>46</v>
      </c>
      <c r="B57" s="11" t="n">
        <v>0</v>
      </c>
      <c r="C57" s="6" t="n">
        <v>0</v>
      </c>
      <c r="E57" s="7" t="n">
        <v>46</v>
      </c>
      <c r="F57" s="13" t="n">
        <v>21</v>
      </c>
      <c r="G57" s="6" t="n">
        <v>9.014655253826936e-05</v>
      </c>
    </row>
    <row r="58" spans="1:12">
      <c r="A58" t="n">
        <v>47</v>
      </c>
      <c r="B58" s="11" t="n">
        <v>0</v>
      </c>
      <c r="C58" s="6" t="n">
        <v>0</v>
      </c>
      <c r="E58" s="7" t="n">
        <v>47</v>
      </c>
      <c r="F58" s="13" t="n">
        <v>25</v>
      </c>
      <c r="G58" s="6" t="n">
        <v>0.0001073173244503207</v>
      </c>
    </row>
    <row r="59" spans="1:12">
      <c r="A59" t="n">
        <v>48</v>
      </c>
      <c r="B59" s="11" t="n">
        <v>0</v>
      </c>
      <c r="C59" s="6" t="n">
        <v>0</v>
      </c>
      <c r="E59" s="7" t="n">
        <v>48</v>
      </c>
      <c r="F59" s="13" t="n">
        <v>17</v>
      </c>
      <c r="G59" s="6" t="n">
        <v>7.297578062621806e-05</v>
      </c>
    </row>
    <row r="60" spans="1:12">
      <c r="A60" t="n">
        <v>49</v>
      </c>
      <c r="B60" s="11" t="n">
        <v>0</v>
      </c>
      <c r="C60" s="6" t="n">
        <v>0</v>
      </c>
      <c r="E60" s="7" t="n">
        <v>49</v>
      </c>
      <c r="F60" s="13" t="n">
        <v>16</v>
      </c>
      <c r="G60" s="6" t="n">
        <v>6.868308764820523e-05</v>
      </c>
    </row>
    <row r="61" spans="1:12">
      <c r="A61" t="n">
        <v>50</v>
      </c>
      <c r="B61" s="11" t="n">
        <v>0</v>
      </c>
      <c r="C61" s="6" t="n">
        <v>0</v>
      </c>
      <c r="E61" s="7" t="n">
        <v>50</v>
      </c>
      <c r="F61" s="13" t="n">
        <v>12</v>
      </c>
      <c r="G61" s="6" t="n">
        <v>5.151231573615392e-05</v>
      </c>
    </row>
    <row r="62" spans="1:12">
      <c r="A62" t="n">
        <v>51</v>
      </c>
      <c r="B62" s="11" t="n">
        <v>41.7609222283</v>
      </c>
      <c r="C62" s="6" t="n">
        <v>0.0001856352693348663</v>
      </c>
      <c r="E62" s="7" t="n">
        <v>51</v>
      </c>
      <c r="F62" s="13" t="n">
        <v>21</v>
      </c>
      <c r="G62" s="6" t="n">
        <v>9.014655253826936e-05</v>
      </c>
    </row>
    <row r="63" spans="1:12">
      <c r="A63" t="n">
        <v>52</v>
      </c>
      <c r="B63" s="11" t="n">
        <v>0</v>
      </c>
      <c r="C63" s="6" t="n">
        <v>0</v>
      </c>
      <c r="E63" s="7" t="n">
        <v>52</v>
      </c>
      <c r="F63" s="13" t="n">
        <v>9</v>
      </c>
      <c r="G63" s="6" t="n">
        <v>3.863423680211544e-05</v>
      </c>
    </row>
    <row r="64" spans="1:12">
      <c r="A64" t="n">
        <v>53</v>
      </c>
      <c r="B64" s="11" t="n">
        <v>0</v>
      </c>
      <c r="C64" s="6" t="n">
        <v>0</v>
      </c>
      <c r="E64" s="7" t="n">
        <v>53</v>
      </c>
      <c r="F64" s="13" t="n">
        <v>4</v>
      </c>
      <c r="G64" s="6" t="n">
        <v>1.717077191205131e-05</v>
      </c>
    </row>
    <row r="65" spans="1:12">
      <c r="A65" t="n">
        <v>54</v>
      </c>
      <c r="B65" s="11" t="n">
        <v>0</v>
      </c>
      <c r="C65" s="6" t="n">
        <v>0</v>
      </c>
      <c r="E65" s="7" t="n">
        <v>54</v>
      </c>
      <c r="F65" s="13" t="n">
        <v>4</v>
      </c>
      <c r="G65" s="6" t="n">
        <v>1.717077191205131e-05</v>
      </c>
    </row>
    <row r="66" spans="1:12">
      <c r="A66" t="n">
        <v>55</v>
      </c>
      <c r="B66" s="11" t="n">
        <v>0</v>
      </c>
      <c r="C66" s="6" t="n">
        <v>0</v>
      </c>
      <c r="E66" s="7" t="n">
        <v>55</v>
      </c>
      <c r="F66" s="13" t="n">
        <v>5</v>
      </c>
      <c r="G66" s="6" t="n">
        <v>2.146346489006413e-05</v>
      </c>
    </row>
    <row r="67" spans="1:12">
      <c r="A67" t="n">
        <v>56</v>
      </c>
      <c r="B67" s="11" t="n">
        <v>0</v>
      </c>
      <c r="C67" s="6" t="n">
        <v>0</v>
      </c>
      <c r="E67" s="7" t="n">
        <v>56</v>
      </c>
      <c r="F67" s="13" t="n">
        <v>1</v>
      </c>
      <c r="G67" s="6" t="n">
        <v>4.292692978012827e-06</v>
      </c>
    </row>
    <row r="68" spans="1:12">
      <c r="A68" t="n">
        <v>57</v>
      </c>
      <c r="B68" s="11" t="n">
        <v>0</v>
      </c>
      <c r="C68" s="6" t="n">
        <v>0</v>
      </c>
      <c r="E68" s="7" t="n">
        <v>57</v>
      </c>
      <c r="F68" s="13" t="n">
        <v>4</v>
      </c>
      <c r="G68" s="6" t="n">
        <v>1.717077191205131e-05</v>
      </c>
    </row>
    <row r="69" spans="1:12">
      <c r="A69" t="n">
        <v>58</v>
      </c>
      <c r="B69" s="11" t="n">
        <v>0</v>
      </c>
      <c r="C69" s="6" t="n">
        <v>0</v>
      </c>
      <c r="E69" s="7" t="n">
        <v>58</v>
      </c>
      <c r="F69" s="13" t="n">
        <v>1</v>
      </c>
      <c r="G69" s="6" t="n">
        <v>4.292692978012827e-06</v>
      </c>
    </row>
    <row r="70" spans="1:12">
      <c r="A70" t="n">
        <v>59</v>
      </c>
      <c r="B70" s="11" t="n">
        <v>0</v>
      </c>
      <c r="C70" s="6" t="n">
        <v>0</v>
      </c>
      <c r="E70" s="7" t="n">
        <v>59</v>
      </c>
      <c r="F70" s="13" t="n">
        <v>2</v>
      </c>
      <c r="G70" s="6" t="n">
        <v>8.585385956025654e-06</v>
      </c>
    </row>
    <row r="71" spans="1:12">
      <c r="A71" t="n">
        <v>60</v>
      </c>
      <c r="B71" s="11" t="n">
        <v>0</v>
      </c>
      <c r="C71" s="6" t="n">
        <v>0</v>
      </c>
      <c r="E71" s="7" t="n">
        <v>60</v>
      </c>
      <c r="F71" s="13" t="n">
        <v>2</v>
      </c>
      <c r="G71" s="6" t="n">
        <v>8.585385956025654e-06</v>
      </c>
    </row>
    <row r="72" spans="1:12">
      <c r="A72" t="n">
        <v>61</v>
      </c>
      <c r="B72" s="11" t="n">
        <v>0</v>
      </c>
      <c r="C72" s="6" t="n">
        <v>0</v>
      </c>
      <c r="E72" s="7" t="n">
        <v>61</v>
      </c>
      <c r="F72" s="13" t="n">
        <v>0</v>
      </c>
      <c r="G72" s="6" t="n">
        <v>0</v>
      </c>
    </row>
    <row r="73" spans="1:12">
      <c r="A73" t="n">
        <v>62</v>
      </c>
      <c r="B73" s="11" t="n">
        <v>0</v>
      </c>
      <c r="C73" s="6" t="n">
        <v>0</v>
      </c>
      <c r="E73" s="7" t="n">
        <v>62</v>
      </c>
      <c r="F73" s="13" t="n">
        <v>0</v>
      </c>
      <c r="G73" s="6" t="n">
        <v>0</v>
      </c>
    </row>
    <row r="74" spans="1:12">
      <c r="A74" t="n">
        <v>63</v>
      </c>
      <c r="B74" s="11" t="n">
        <v>0</v>
      </c>
      <c r="C74" s="6" t="n">
        <v>0</v>
      </c>
      <c r="E74" s="7" t="n">
        <v>63</v>
      </c>
      <c r="F74" s="13" t="n">
        <v>0</v>
      </c>
      <c r="G74" s="6" t="n">
        <v>0</v>
      </c>
    </row>
    <row r="75" spans="1:12">
      <c r="A75" t="n">
        <v>64</v>
      </c>
      <c r="B75" s="11" t="n">
        <v>0</v>
      </c>
      <c r="C75" s="6" t="n">
        <v>0</v>
      </c>
      <c r="E75" s="7" t="n">
        <v>64</v>
      </c>
      <c r="F75" s="13" t="n">
        <v>2</v>
      </c>
      <c r="G75" s="6" t="n">
        <v>8.585385956025654e-06</v>
      </c>
    </row>
    <row r="76" spans="1:12">
      <c r="A76" t="n">
        <v>65</v>
      </c>
      <c r="B76" s="11" t="n">
        <v>0</v>
      </c>
      <c r="C76" s="6" t="n">
        <v>0</v>
      </c>
      <c r="E76" s="7" t="n">
        <v>65</v>
      </c>
      <c r="F76" s="13" t="n">
        <v>0</v>
      </c>
      <c r="G76" s="6" t="n">
        <v>0</v>
      </c>
    </row>
    <row r="77" spans="1:12">
      <c r="A77" t="n">
        <v>66</v>
      </c>
      <c r="B77" s="11" t="n">
        <v>0</v>
      </c>
      <c r="C77" s="6" t="n">
        <v>0</v>
      </c>
      <c r="E77" s="7" t="n">
        <v>66</v>
      </c>
      <c r="F77" s="13" t="n">
        <v>1</v>
      </c>
      <c r="G77" s="6" t="n">
        <v>4.292692978012827e-06</v>
      </c>
    </row>
    <row r="78" spans="1:12">
      <c r="A78" t="n">
        <v>67</v>
      </c>
      <c r="B78" s="11" t="n">
        <v>0</v>
      </c>
      <c r="C78" s="6" t="n">
        <v>0</v>
      </c>
      <c r="E78" s="7" t="n">
        <v>67</v>
      </c>
      <c r="F78" s="13" t="n">
        <v>0</v>
      </c>
      <c r="G78" s="6" t="n">
        <v>0</v>
      </c>
    </row>
    <row r="79" spans="1:12">
      <c r="A79" t="n">
        <v>68</v>
      </c>
      <c r="B79" s="11" t="n">
        <v>0</v>
      </c>
      <c r="C79" s="6" t="n">
        <v>0</v>
      </c>
      <c r="E79" s="7" t="n">
        <v>68</v>
      </c>
      <c r="F79" s="13" t="n">
        <v>0</v>
      </c>
      <c r="G79" s="6" t="n">
        <v>0</v>
      </c>
    </row>
    <row r="80" spans="1:12">
      <c r="A80" t="n">
        <v>69</v>
      </c>
      <c r="B80" s="11" t="n">
        <v>0</v>
      </c>
      <c r="C80" s="6" t="n">
        <v>0</v>
      </c>
      <c r="E80" s="7" t="n">
        <v>69</v>
      </c>
      <c r="F80" s="13" t="n">
        <v>0</v>
      </c>
      <c r="G80" s="6" t="n">
        <v>0</v>
      </c>
    </row>
    <row r="81" spans="1:12">
      <c r="A81" t="n">
        <v>70</v>
      </c>
      <c r="B81" s="11" t="n">
        <v>0</v>
      </c>
      <c r="C81" s="6" t="n">
        <v>0</v>
      </c>
      <c r="E81" s="7" t="n">
        <v>70</v>
      </c>
      <c r="F81" s="13" t="n">
        <v>0</v>
      </c>
      <c r="G81" s="6" t="n">
        <v>0</v>
      </c>
    </row>
    <row r="82" spans="1:12">
      <c r="A82" t="n">
        <v>71</v>
      </c>
      <c r="B82" s="11" t="n">
        <v>0</v>
      </c>
      <c r="C82" s="6" t="n">
        <v>0</v>
      </c>
      <c r="E82" s="7" t="n">
        <v>71</v>
      </c>
      <c r="F82" s="13" t="n">
        <v>0</v>
      </c>
      <c r="G82" s="6" t="n">
        <v>0</v>
      </c>
    </row>
    <row r="83" spans="1:12">
      <c r="A83" t="n">
        <v>72</v>
      </c>
      <c r="B83" s="11" t="n">
        <v>0</v>
      </c>
      <c r="C83" s="6" t="n">
        <v>0</v>
      </c>
      <c r="E83" s="7" t="n">
        <v>72</v>
      </c>
      <c r="F83" s="13" t="n">
        <v>0</v>
      </c>
      <c r="G83" s="6" t="n">
        <v>0</v>
      </c>
    </row>
    <row r="84" spans="1:12">
      <c r="A84" t="n">
        <v>73</v>
      </c>
      <c r="B84" s="11" t="n">
        <v>0</v>
      </c>
      <c r="C84" s="6" t="n">
        <v>0</v>
      </c>
      <c r="E84" s="7" t="n">
        <v>73</v>
      </c>
      <c r="F84" s="13" t="n">
        <v>0</v>
      </c>
      <c r="G84" s="6" t="n">
        <v>0</v>
      </c>
    </row>
    <row r="85" spans="1:12">
      <c r="A85" t="n">
        <v>74</v>
      </c>
      <c r="B85" s="11" t="n">
        <v>0</v>
      </c>
      <c r="C85" s="6" t="n">
        <v>0</v>
      </c>
      <c r="E85" s="7" t="n">
        <v>74</v>
      </c>
      <c r="F85" s="13" t="n">
        <v>0</v>
      </c>
      <c r="G85" s="6" t="n">
        <v>0</v>
      </c>
    </row>
    <row r="86" spans="1:12">
      <c r="A86" t="n">
        <v>75</v>
      </c>
      <c r="B86" s="11" t="n">
        <v>0</v>
      </c>
      <c r="C86" s="6" t="n">
        <v>0</v>
      </c>
      <c r="E86" s="7" t="n">
        <v>75</v>
      </c>
      <c r="F86" s="13" t="n">
        <v>0</v>
      </c>
      <c r="G86" s="6" t="n">
        <v>0</v>
      </c>
    </row>
    <row r="87" spans="1:12">
      <c r="A87" t="n">
        <v>76</v>
      </c>
      <c r="B87" s="11" t="n">
        <v>0</v>
      </c>
      <c r="C87" s="6" t="n">
        <v>0</v>
      </c>
      <c r="E87" s="7" t="n">
        <v>76</v>
      </c>
      <c r="F87" s="13" t="n">
        <v>0</v>
      </c>
      <c r="G87" s="6" t="n">
        <v>0</v>
      </c>
    </row>
    <row r="88" spans="1:12">
      <c r="A88" t="n">
        <v>77</v>
      </c>
      <c r="B88" s="11" t="n">
        <v>0</v>
      </c>
      <c r="C88" s="6" t="n">
        <v>0</v>
      </c>
      <c r="E88" s="7" t="n">
        <v>77</v>
      </c>
      <c r="F88" s="13" t="n">
        <v>0</v>
      </c>
      <c r="G88" s="6" t="n">
        <v>0</v>
      </c>
    </row>
    <row r="89" spans="1:12">
      <c r="A89" t="n">
        <v>78</v>
      </c>
      <c r="B89" s="11" t="n">
        <v>0</v>
      </c>
      <c r="C89" s="6" t="n">
        <v>0</v>
      </c>
      <c r="E89" s="7" t="n">
        <v>78</v>
      </c>
      <c r="F89" s="13" t="n">
        <v>0</v>
      </c>
      <c r="G89" s="6" t="n">
        <v>0</v>
      </c>
    </row>
    <row r="90" spans="1:12">
      <c r="A90" t="n">
        <v>79</v>
      </c>
      <c r="B90" s="11" t="n">
        <v>0</v>
      </c>
      <c r="C90" s="6" t="n">
        <v>0</v>
      </c>
      <c r="E90" s="7" t="n">
        <v>79</v>
      </c>
      <c r="F90" s="13" t="n">
        <v>0</v>
      </c>
      <c r="G90" s="6" t="n">
        <v>0</v>
      </c>
    </row>
    <row r="91" spans="1:12">
      <c r="A91" t="n">
        <v>80</v>
      </c>
      <c r="B91" s="11" t="n">
        <v>0</v>
      </c>
      <c r="C91" s="6" t="n">
        <v>0</v>
      </c>
      <c r="E91" s="7" t="n">
        <v>80</v>
      </c>
      <c r="F91" s="13" t="n">
        <v>0</v>
      </c>
      <c r="G91" s="6" t="n">
        <v>0</v>
      </c>
    </row>
    <row r="92" spans="1:12">
      <c r="A92" t="n">
        <v>81</v>
      </c>
      <c r="B92" s="11" t="n">
        <v>0</v>
      </c>
      <c r="C92" s="6" t="n">
        <v>0</v>
      </c>
      <c r="E92" s="7" t="n">
        <v>81</v>
      </c>
      <c r="F92" s="13" t="n">
        <v>0</v>
      </c>
      <c r="G92" s="6" t="n">
        <v>0</v>
      </c>
    </row>
    <row r="93" spans="1:12">
      <c r="A93" t="n">
        <v>82</v>
      </c>
      <c r="B93" s="11" t="n">
        <v>0</v>
      </c>
      <c r="C93" s="6" t="n">
        <v>0</v>
      </c>
      <c r="E93" s="7" t="n">
        <v>82</v>
      </c>
      <c r="F93" s="13" t="n">
        <v>0</v>
      </c>
      <c r="G93" s="6" t="n">
        <v>0</v>
      </c>
    </row>
    <row r="94" spans="1:12">
      <c r="A94" t="n">
        <v>83</v>
      </c>
      <c r="B94" s="11" t="n">
        <v>0</v>
      </c>
      <c r="C94" s="6" t="n">
        <v>0</v>
      </c>
      <c r="E94" s="7" t="n">
        <v>83</v>
      </c>
      <c r="F94" s="13" t="n">
        <v>0</v>
      </c>
      <c r="G94" s="6" t="n">
        <v>0</v>
      </c>
    </row>
    <row r="95" spans="1:12">
      <c r="A95" t="n">
        <v>84</v>
      </c>
      <c r="B95" s="11" t="n">
        <v>0</v>
      </c>
      <c r="C95" s="6" t="n">
        <v>0</v>
      </c>
      <c r="E95" s="7" t="n">
        <v>84</v>
      </c>
      <c r="F95" s="13" t="n">
        <v>0</v>
      </c>
      <c r="G95" s="6" t="n">
        <v>0</v>
      </c>
    </row>
    <row r="96" spans="1:12">
      <c r="A96" t="n">
        <v>85</v>
      </c>
      <c r="B96" s="11" t="n">
        <v>0</v>
      </c>
      <c r="C96" s="6" t="n">
        <v>0</v>
      </c>
      <c r="E96" s="7" t="n">
        <v>85</v>
      </c>
      <c r="F96" s="13" t="n">
        <v>0</v>
      </c>
      <c r="G96" s="6" t="n">
        <v>0</v>
      </c>
    </row>
    <row r="97" spans="1:12">
      <c r="A97" t="n">
        <v>86</v>
      </c>
      <c r="B97" s="11" t="n">
        <v>0</v>
      </c>
      <c r="C97" s="6" t="n">
        <v>0</v>
      </c>
      <c r="E97" s="7" t="n">
        <v>86</v>
      </c>
      <c r="F97" s="13" t="n">
        <v>0</v>
      </c>
      <c r="G97" s="6" t="n">
        <v>0</v>
      </c>
    </row>
    <row r="98" spans="1:12">
      <c r="A98" t="n">
        <v>87</v>
      </c>
      <c r="B98" s="11" t="n">
        <v>0</v>
      </c>
      <c r="C98" s="6" t="n">
        <v>0</v>
      </c>
      <c r="E98" s="7" t="n">
        <v>87</v>
      </c>
      <c r="F98" s="13" t="n">
        <v>0</v>
      </c>
      <c r="G98" s="6" t="n">
        <v>0</v>
      </c>
    </row>
    <row r="99" spans="1:12">
      <c r="A99" t="n">
        <v>88</v>
      </c>
      <c r="B99" s="11" t="n">
        <v>0</v>
      </c>
      <c r="C99" s="6" t="n">
        <v>0</v>
      </c>
      <c r="E99" s="7" t="n">
        <v>88</v>
      </c>
      <c r="F99" s="13" t="n">
        <v>0</v>
      </c>
      <c r="G99" s="6" t="n">
        <v>0</v>
      </c>
    </row>
    <row r="100" spans="1:12">
      <c r="A100" t="n">
        <v>89</v>
      </c>
      <c r="B100" s="11" t="n">
        <v>0</v>
      </c>
      <c r="C100" s="6" t="n">
        <v>0</v>
      </c>
      <c r="E100" s="7" t="n">
        <v>89</v>
      </c>
      <c r="F100" s="13" t="n">
        <v>0</v>
      </c>
      <c r="G100" s="6" t="n">
        <v>0</v>
      </c>
    </row>
    <row customHeight="1" ht="15.75" r="101" s="10" spans="1:12">
      <c r="A101" s="1" t="n">
        <v>90</v>
      </c>
      <c r="B101" s="12" t="n">
        <v>0</v>
      </c>
      <c r="C101" s="6" t="n">
        <v>0</v>
      </c>
      <c r="E101" s="8" t="n">
        <v>90</v>
      </c>
      <c r="F101" s="14" t="n">
        <v>0</v>
      </c>
      <c r="G101" s="6" t="n">
        <v>0</v>
      </c>
    </row>
    <row r="102" spans="1:12">
      <c r="B102" s="11" t="n">
        <v>224962.2196144621</v>
      </c>
      <c r="C102" s="6" t="n">
        <v>1</v>
      </c>
      <c r="F102" s="11" t="n">
        <v>232954</v>
      </c>
      <c r="G102" s="6" t="n">
        <v>1</v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H34" sqref="H34"/>
    </sheetView>
  </sheetViews>
  <sheetFormatPr baseColWidth="10" defaultRowHeight="15" outlineLevelCol="0"/>
  <cols>
    <col collapsed="1" customWidth="1" max="1" min="1" style="10" width="13.5703125"/>
    <col collapsed="1" customWidth="1" max="2" min="2" style="10" width="10.5703125"/>
    <col collapsed="1" customWidth="1" max="5" min="5" style="10" width="12.7109375"/>
    <col collapsed="1" customWidth="1" max="6" min="6" style="10" width="10.5703125"/>
    <col collapsed="1" customWidth="1" max="12" min="12" style="10" width="10.2851562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7" spans="1:12">
      <c r="A7" t="s">
        <v>5</v>
      </c>
    </row>
    <row customHeight="1" ht="15.75" r="9" s="10" spans="1:12">
      <c r="A9" s="3" t="s">
        <v>6</v>
      </c>
      <c r="B9" s="1" t="n"/>
      <c r="E9" s="3" t="s">
        <v>7</v>
      </c>
      <c r="F9" s="1" t="n"/>
      <c r="J9" s="5" t="s">
        <v>16</v>
      </c>
    </row>
    <row r="10" spans="1:12">
      <c r="A10" s="2" t="s">
        <v>9</v>
      </c>
      <c r="B10" s="9" t="s">
        <v>10</v>
      </c>
      <c r="C10" s="9" t="s">
        <v>10</v>
      </c>
      <c r="E10" s="2" t="s">
        <v>9</v>
      </c>
      <c r="F10" s="9" t="s">
        <v>11</v>
      </c>
      <c r="G10" s="9" t="s">
        <v>11</v>
      </c>
      <c r="J10" s="2" t="n"/>
      <c r="K10" s="9" t="s">
        <v>10</v>
      </c>
      <c r="L10" s="9" t="s">
        <v>11</v>
      </c>
    </row>
    <row r="11" spans="1:12">
      <c r="A11" t="n">
        <v>0</v>
      </c>
      <c r="B11" s="11" t="n">
        <v>2746.605257757</v>
      </c>
      <c r="C11" s="6" t="n">
        <v>0.09582927888246685</v>
      </c>
      <c r="E11" s="7" t="n">
        <v>0</v>
      </c>
      <c r="F11" s="13" t="n">
        <v>12886</v>
      </c>
      <c r="G11" s="6" t="n">
        <v>0.1720312395701221</v>
      </c>
      <c r="K11" s="4" t="n">
        <v>5.425695604781631</v>
      </c>
      <c r="L11" s="4" t="n">
        <v>7.854231160439587</v>
      </c>
    </row>
    <row r="12" spans="1:12">
      <c r="A12" t="n">
        <v>1</v>
      </c>
      <c r="B12" s="11" t="n">
        <v>2084.603208229</v>
      </c>
      <c r="C12" s="6" t="n">
        <v>0.07273197400189926</v>
      </c>
      <c r="E12" s="7" t="n">
        <v>1</v>
      </c>
      <c r="F12" s="13" t="n">
        <v>7192</v>
      </c>
      <c r="G12" s="6" t="n">
        <v>0.09601495227287898</v>
      </c>
      <c r="K12" s="4" t="n"/>
      <c r="L12" s="7" t="n"/>
    </row>
    <row r="13" spans="1:12">
      <c r="A13" t="n">
        <v>2</v>
      </c>
      <c r="B13" s="11" t="n">
        <v>5257.97691247</v>
      </c>
      <c r="C13" s="6" t="n">
        <v>0.1834512383895095</v>
      </c>
      <c r="E13" s="7" t="n">
        <v>2</v>
      </c>
      <c r="F13" s="13" t="n">
        <v>4706</v>
      </c>
      <c r="G13" s="6" t="n">
        <v>0.06282624657900007</v>
      </c>
    </row>
    <row r="14" spans="1:12">
      <c r="A14" t="n">
        <v>3</v>
      </c>
      <c r="B14" s="11" t="n">
        <v>5725.122130191</v>
      </c>
      <c r="C14" s="6" t="n">
        <v>0.1997499726984049</v>
      </c>
      <c r="E14" s="7" t="n">
        <v>3</v>
      </c>
      <c r="F14" s="13" t="n">
        <v>3616</v>
      </c>
      <c r="G14" s="6" t="n">
        <v>0.04827448100927842</v>
      </c>
    </row>
    <row r="15" spans="1:12">
      <c r="A15" t="n">
        <v>4</v>
      </c>
      <c r="B15" s="11" t="n">
        <v>1609.692482432</v>
      </c>
      <c r="C15" s="6" t="n">
        <v>0.05616230049015436</v>
      </c>
      <c r="E15" s="7" t="n">
        <v>4</v>
      </c>
      <c r="F15" s="13" t="n">
        <v>6926</v>
      </c>
      <c r="G15" s="6" t="n">
        <v>0.09246378746412122</v>
      </c>
    </row>
    <row r="16" spans="1:12">
      <c r="A16" t="n">
        <v>5</v>
      </c>
      <c r="B16" s="11" t="n">
        <v>3402.478319752</v>
      </c>
      <c r="C16" s="6" t="n">
        <v>0.1187127428938712</v>
      </c>
      <c r="E16" s="7" t="n">
        <v>5</v>
      </c>
      <c r="F16" s="13" t="n">
        <v>4873</v>
      </c>
      <c r="G16" s="6" t="n">
        <v>0.06505573726720512</v>
      </c>
    </row>
    <row r="17" spans="1:12">
      <c r="A17" t="n">
        <v>6</v>
      </c>
      <c r="B17" s="11" t="n">
        <v>866.982717585</v>
      </c>
      <c r="C17" s="6" t="n">
        <v>0.03024909691521551</v>
      </c>
      <c r="E17" s="7" t="n">
        <v>6</v>
      </c>
      <c r="F17" s="13" t="n">
        <v>5243</v>
      </c>
      <c r="G17" s="6" t="n">
        <v>0.06999532741472532</v>
      </c>
    </row>
    <row r="18" spans="1:12">
      <c r="A18" t="n">
        <v>7</v>
      </c>
      <c r="B18" s="11" t="n">
        <v>495.38084382</v>
      </c>
      <c r="C18" s="6" t="n">
        <v>0.01728387757992799</v>
      </c>
      <c r="E18" s="7" t="n">
        <v>7</v>
      </c>
      <c r="F18" s="13" t="n">
        <v>2716</v>
      </c>
      <c r="G18" s="6" t="n">
        <v>0.0362592617315266</v>
      </c>
    </row>
    <row r="19" spans="1:12">
      <c r="A19" t="n">
        <v>8</v>
      </c>
      <c r="B19" s="11" t="n">
        <v>0</v>
      </c>
      <c r="C19" s="6" t="n">
        <v>0</v>
      </c>
      <c r="E19" s="7" t="n">
        <v>8</v>
      </c>
      <c r="F19" s="13" t="n">
        <v>2886</v>
      </c>
      <c r="G19" s="6" t="n">
        <v>0.0385288031506575</v>
      </c>
    </row>
    <row r="20" spans="1:12">
      <c r="A20" t="n">
        <v>9</v>
      </c>
      <c r="B20" s="11" t="n">
        <v>1877.963600702</v>
      </c>
      <c r="C20" s="6" t="n">
        <v>0.0655223014353945</v>
      </c>
      <c r="E20" s="7" t="n">
        <v>9</v>
      </c>
      <c r="F20" s="13" t="n">
        <v>1964</v>
      </c>
      <c r="G20" s="6" t="n">
        <v>0.02621987851278286</v>
      </c>
    </row>
    <row r="21" spans="1:12">
      <c r="A21" t="n">
        <v>10</v>
      </c>
      <c r="B21" s="11" t="n">
        <v>292.307095093</v>
      </c>
      <c r="C21" s="6" t="n">
        <v>0.01019861811444516</v>
      </c>
      <c r="E21" s="7" t="n">
        <v>10</v>
      </c>
      <c r="F21" s="13" t="n">
        <v>1792</v>
      </c>
      <c r="G21" s="6" t="n">
        <v>0.02392363660636806</v>
      </c>
    </row>
    <row r="22" spans="1:12">
      <c r="A22" t="n">
        <v>11</v>
      </c>
      <c r="B22" s="11" t="n">
        <v>0</v>
      </c>
      <c r="C22" s="6" t="n">
        <v>0</v>
      </c>
      <c r="E22" s="7" t="n">
        <v>11</v>
      </c>
      <c r="F22" s="13" t="n">
        <v>1668</v>
      </c>
      <c r="G22" s="6" t="n">
        <v>0.0222682063947667</v>
      </c>
    </row>
    <row r="23" spans="1:12">
      <c r="A23" t="n">
        <v>12</v>
      </c>
      <c r="B23" s="11" t="n">
        <v>400.943531935</v>
      </c>
      <c r="C23" s="6" t="n">
        <v>0.01398895215444887</v>
      </c>
      <c r="E23" s="7" t="n">
        <v>12</v>
      </c>
      <c r="F23" s="13" t="n">
        <v>1704</v>
      </c>
      <c r="G23" s="6" t="n">
        <v>0.02274881516587678</v>
      </c>
    </row>
    <row r="24" spans="1:12">
      <c r="A24" t="n">
        <v>13</v>
      </c>
      <c r="B24" s="11" t="n">
        <v>0</v>
      </c>
      <c r="C24" s="6" t="n">
        <v>0</v>
      </c>
      <c r="E24" s="7" t="n">
        <v>13</v>
      </c>
      <c r="F24" s="13" t="n">
        <v>1687</v>
      </c>
      <c r="G24" s="6" t="n">
        <v>0.02252186102396369</v>
      </c>
    </row>
    <row r="25" spans="1:12">
      <c r="A25" t="n">
        <v>14</v>
      </c>
      <c r="B25" s="11" t="n">
        <v>795.69322268</v>
      </c>
      <c r="C25" s="6" t="n">
        <v>0.02776180069041309</v>
      </c>
      <c r="E25" s="7" t="n">
        <v>14</v>
      </c>
      <c r="F25" s="13" t="n">
        <v>1701</v>
      </c>
      <c r="G25" s="6" t="n">
        <v>0.02270876443495094</v>
      </c>
    </row>
    <row r="26" spans="1:12">
      <c r="A26" t="n">
        <v>15</v>
      </c>
      <c r="B26" s="11" t="n">
        <v>0</v>
      </c>
      <c r="C26" s="6" t="n">
        <v>0</v>
      </c>
      <c r="E26" s="7" t="n">
        <v>15</v>
      </c>
      <c r="F26" s="13" t="n">
        <v>1794</v>
      </c>
      <c r="G26" s="6" t="n">
        <v>0.02395033709365196</v>
      </c>
    </row>
    <row r="27" spans="1:12">
      <c r="A27" t="n">
        <v>16</v>
      </c>
      <c r="B27" s="11" t="n">
        <v>1430.230050562</v>
      </c>
      <c r="C27" s="6" t="n">
        <v>0.04990084177342548</v>
      </c>
      <c r="E27" s="7" t="n">
        <v>16</v>
      </c>
      <c r="F27" s="13" t="n">
        <v>1434</v>
      </c>
      <c r="G27" s="6" t="n">
        <v>0.01914424938255123</v>
      </c>
    </row>
    <row r="28" spans="1:12">
      <c r="A28" t="n">
        <v>17</v>
      </c>
      <c r="B28" s="11" t="n">
        <v>685.397493253</v>
      </c>
      <c r="C28" s="6" t="n">
        <v>0.02391357379834173</v>
      </c>
      <c r="E28" s="7" t="n">
        <v>17</v>
      </c>
      <c r="F28" s="13" t="n">
        <v>1356</v>
      </c>
      <c r="G28" s="6" t="n">
        <v>0.01810293037847941</v>
      </c>
    </row>
    <row r="29" spans="1:12">
      <c r="A29" t="n">
        <v>18</v>
      </c>
      <c r="B29" s="11" t="n">
        <v>0</v>
      </c>
      <c r="C29" s="6" t="n">
        <v>0</v>
      </c>
      <c r="E29" s="7" t="n">
        <v>18</v>
      </c>
      <c r="F29" s="13" t="n">
        <v>1198</v>
      </c>
      <c r="G29" s="6" t="n">
        <v>0.01599359188305187</v>
      </c>
    </row>
    <row r="30" spans="1:12">
      <c r="A30" t="n">
        <v>19</v>
      </c>
      <c r="B30" s="11" t="n">
        <v>92.2295488388</v>
      </c>
      <c r="C30" s="6" t="n">
        <v>0.003217896394800906</v>
      </c>
      <c r="E30" s="7" t="n">
        <v>19</v>
      </c>
      <c r="F30" s="13" t="n">
        <v>1023</v>
      </c>
      <c r="G30" s="6" t="n">
        <v>0.01365729924571123</v>
      </c>
    </row>
    <row r="31" spans="1:12">
      <c r="A31" t="n">
        <v>20</v>
      </c>
      <c r="B31" s="11" t="n">
        <v>0</v>
      </c>
      <c r="C31" s="6" t="n">
        <v>0</v>
      </c>
      <c r="E31" s="7" t="n">
        <v>20</v>
      </c>
      <c r="F31" s="13" t="n">
        <v>902</v>
      </c>
      <c r="G31" s="6" t="n">
        <v>0.01204191976503571</v>
      </c>
    </row>
    <row r="32" spans="1:12">
      <c r="A32" t="n">
        <v>21</v>
      </c>
      <c r="B32" s="11" t="n">
        <v>0</v>
      </c>
      <c r="C32" s="6" t="n">
        <v>0</v>
      </c>
      <c r="E32" s="7" t="n">
        <v>21</v>
      </c>
      <c r="F32" s="13" t="n">
        <v>753</v>
      </c>
      <c r="G32" s="6" t="n">
        <v>0.01005273346238569</v>
      </c>
    </row>
    <row r="33" spans="1:12">
      <c r="A33" t="n">
        <v>22</v>
      </c>
      <c r="B33" s="11" t="n">
        <v>0</v>
      </c>
      <c r="C33" s="6" t="n">
        <v>0</v>
      </c>
      <c r="E33" s="7" t="n">
        <v>22</v>
      </c>
      <c r="F33" s="13" t="n">
        <v>874</v>
      </c>
      <c r="G33" s="6" t="n">
        <v>0.01166811294306121</v>
      </c>
    </row>
    <row r="34" spans="1:12">
      <c r="A34" t="n">
        <v>23</v>
      </c>
      <c r="B34" s="11" t="n">
        <v>0</v>
      </c>
      <c r="C34" s="6" t="n">
        <v>0</v>
      </c>
      <c r="E34" s="7" t="n">
        <v>23</v>
      </c>
      <c r="F34" s="13" t="n">
        <v>805</v>
      </c>
      <c r="G34" s="6" t="n">
        <v>0.0107469461317669</v>
      </c>
    </row>
    <row r="35" spans="1:12">
      <c r="A35" t="n">
        <v>24</v>
      </c>
      <c r="B35" s="11" t="n">
        <v>897.8349498770001</v>
      </c>
      <c r="C35" s="6" t="n">
        <v>0.03132553378728033</v>
      </c>
      <c r="E35" s="7" t="n">
        <v>24</v>
      </c>
      <c r="F35" s="13" t="n">
        <v>596</v>
      </c>
      <c r="G35" s="6" t="n">
        <v>0.007956745210600094</v>
      </c>
    </row>
    <row r="36" spans="1:12">
      <c r="A36" t="n">
        <v>25</v>
      </c>
      <c r="B36" s="11" t="n">
        <v>0</v>
      </c>
      <c r="C36" s="6" t="n">
        <v>0</v>
      </c>
      <c r="E36" s="7" t="n">
        <v>25</v>
      </c>
      <c r="F36" s="13" t="n">
        <v>429</v>
      </c>
      <c r="G36" s="6" t="n">
        <v>0.005727254522395034</v>
      </c>
    </row>
    <row r="37" spans="1:12">
      <c r="A37" t="n">
        <v>26</v>
      </c>
      <c r="B37" s="11" t="n">
        <v>0</v>
      </c>
      <c r="C37" s="6" t="n">
        <v>0</v>
      </c>
      <c r="E37" s="7" t="n">
        <v>26</v>
      </c>
      <c r="F37" s="13" t="n">
        <v>293</v>
      </c>
      <c r="G37" s="6" t="n">
        <v>0.003911621387090314</v>
      </c>
    </row>
    <row r="38" spans="1:12">
      <c r="A38" t="n">
        <v>27</v>
      </c>
      <c r="B38" s="11" t="n">
        <v>0</v>
      </c>
      <c r="C38" s="6" t="n">
        <v>0</v>
      </c>
      <c r="E38" s="7" t="n">
        <v>27</v>
      </c>
      <c r="F38" s="13" t="n">
        <v>237</v>
      </c>
      <c r="G38" s="6" t="n">
        <v>0.003164007743141312</v>
      </c>
    </row>
    <row r="39" spans="1:12">
      <c r="A39" t="n">
        <v>28</v>
      </c>
      <c r="B39" s="11" t="n">
        <v>0</v>
      </c>
      <c r="C39" s="6" t="n">
        <v>0</v>
      </c>
      <c r="E39" s="7" t="n">
        <v>28</v>
      </c>
      <c r="F39" s="13" t="n">
        <v>247</v>
      </c>
      <c r="G39" s="6" t="n">
        <v>0.003297510179560777</v>
      </c>
    </row>
    <row r="40" spans="1:12">
      <c r="A40" t="n">
        <v>29</v>
      </c>
      <c r="B40" s="11" t="n">
        <v>0</v>
      </c>
      <c r="C40" s="6" t="n">
        <v>0</v>
      </c>
      <c r="E40" s="7" t="n">
        <v>29</v>
      </c>
      <c r="F40" s="13" t="n">
        <v>240</v>
      </c>
      <c r="G40" s="6" t="n">
        <v>0.003204058474067152</v>
      </c>
    </row>
    <row r="41" spans="1:12">
      <c r="A41" t="n">
        <v>30</v>
      </c>
      <c r="B41" s="11" t="n">
        <v>0</v>
      </c>
      <c r="C41" s="6" t="n">
        <v>0</v>
      </c>
      <c r="E41" s="7" t="n">
        <v>30</v>
      </c>
      <c r="F41" s="13" t="n">
        <v>170</v>
      </c>
      <c r="G41" s="6" t="n">
        <v>0.002269541419130899</v>
      </c>
    </row>
    <row r="42" spans="1:12">
      <c r="A42" t="n">
        <v>31</v>
      </c>
      <c r="B42" s="11" t="n">
        <v>0</v>
      </c>
      <c r="C42" s="6" t="n">
        <v>0</v>
      </c>
      <c r="E42" s="7" t="n">
        <v>31</v>
      </c>
      <c r="F42" s="13" t="n">
        <v>171</v>
      </c>
      <c r="G42" s="6" t="n">
        <v>0.002282891662772846</v>
      </c>
    </row>
    <row r="43" spans="1:12">
      <c r="A43" t="n">
        <v>32</v>
      </c>
      <c r="B43" s="11" t="n">
        <v>0</v>
      </c>
      <c r="C43" s="6" t="n">
        <v>0</v>
      </c>
      <c r="E43" s="7" t="n">
        <v>32</v>
      </c>
      <c r="F43" s="13" t="n">
        <v>144</v>
      </c>
      <c r="G43" s="6" t="n">
        <v>0.001922435084440291</v>
      </c>
    </row>
    <row r="44" spans="1:12">
      <c r="A44" t="n">
        <v>33</v>
      </c>
      <c r="B44" s="11" t="n">
        <v>0</v>
      </c>
      <c r="C44" s="6" t="n">
        <v>0</v>
      </c>
      <c r="E44" s="7" t="n">
        <v>33</v>
      </c>
      <c r="F44" s="13" t="n">
        <v>82</v>
      </c>
      <c r="G44" s="6" t="n">
        <v>0.00109471997863961</v>
      </c>
    </row>
    <row r="45" spans="1:12">
      <c r="A45" t="n">
        <v>34</v>
      </c>
      <c r="B45" s="11" t="n">
        <v>0</v>
      </c>
      <c r="C45" s="6" t="n">
        <v>0</v>
      </c>
      <c r="E45" s="7" t="n">
        <v>34</v>
      </c>
      <c r="F45" s="13" t="n">
        <v>58</v>
      </c>
      <c r="G45" s="6" t="n">
        <v>0.000774314131232895</v>
      </c>
    </row>
    <row r="46" spans="1:12">
      <c r="A46" t="n">
        <v>35</v>
      </c>
      <c r="B46" s="11" t="n">
        <v>0</v>
      </c>
      <c r="C46" s="6" t="n">
        <v>0</v>
      </c>
      <c r="E46" s="7" t="n">
        <v>35</v>
      </c>
      <c r="F46" s="13" t="n">
        <v>51</v>
      </c>
      <c r="G46" s="6" t="n">
        <v>0.0006808624257392698</v>
      </c>
    </row>
    <row r="47" spans="1:12">
      <c r="A47" t="n">
        <v>36</v>
      </c>
      <c r="B47" s="11" t="n">
        <v>0</v>
      </c>
      <c r="C47" s="6" t="n">
        <v>0</v>
      </c>
      <c r="E47" s="7" t="n">
        <v>36</v>
      </c>
      <c r="F47" s="13" t="n">
        <v>82</v>
      </c>
      <c r="G47" s="6" t="n">
        <v>0.00109471997863961</v>
      </c>
    </row>
    <row r="48" spans="1:12">
      <c r="A48" t="n">
        <v>37</v>
      </c>
      <c r="B48" s="11" t="n">
        <v>0</v>
      </c>
      <c r="C48" s="6" t="n">
        <v>0</v>
      </c>
      <c r="E48" s="7" t="n">
        <v>37</v>
      </c>
      <c r="F48" s="13" t="n">
        <v>83</v>
      </c>
      <c r="G48" s="6" t="n">
        <v>0.001108070222281557</v>
      </c>
    </row>
    <row r="49" spans="1:12">
      <c r="A49" t="n">
        <v>38</v>
      </c>
      <c r="B49" s="11" t="n">
        <v>0</v>
      </c>
      <c r="C49" s="6" t="n">
        <v>0</v>
      </c>
      <c r="E49" s="7" t="n">
        <v>38</v>
      </c>
      <c r="F49" s="13" t="n">
        <v>74</v>
      </c>
      <c r="G49" s="6" t="n">
        <v>0.0009879180295040385</v>
      </c>
    </row>
    <row r="50" spans="1:12">
      <c r="A50" t="n">
        <v>39</v>
      </c>
      <c r="B50" s="11" t="n">
        <v>0</v>
      </c>
      <c r="C50" s="6" t="n">
        <v>0</v>
      </c>
      <c r="E50" s="7" t="n">
        <v>39</v>
      </c>
      <c r="F50" s="13" t="n">
        <v>62</v>
      </c>
      <c r="G50" s="6" t="n">
        <v>0.0008277151058006809</v>
      </c>
    </row>
    <row r="51" spans="1:12">
      <c r="A51" t="n">
        <v>40</v>
      </c>
      <c r="B51" s="11" t="n">
        <v>0</v>
      </c>
      <c r="C51" s="6" t="n">
        <v>0</v>
      </c>
      <c r="E51" s="7" t="n">
        <v>40</v>
      </c>
      <c r="F51" s="13" t="n">
        <v>35</v>
      </c>
      <c r="G51" s="6" t="n">
        <v>0.0004672585274681263</v>
      </c>
    </row>
    <row r="52" spans="1:12">
      <c r="A52" t="n">
        <v>41</v>
      </c>
      <c r="B52" s="11" t="n">
        <v>0</v>
      </c>
      <c r="C52" s="6" t="n">
        <v>0</v>
      </c>
      <c r="E52" s="7" t="n">
        <v>41</v>
      </c>
      <c r="F52" s="13" t="n">
        <v>22</v>
      </c>
      <c r="G52" s="6" t="n">
        <v>0.0002937053601228222</v>
      </c>
    </row>
    <row r="53" spans="1:12">
      <c r="A53" t="n">
        <v>42</v>
      </c>
      <c r="B53" s="11" t="n">
        <v>0</v>
      </c>
      <c r="C53" s="6" t="n">
        <v>0</v>
      </c>
      <c r="E53" s="7" t="n">
        <v>42</v>
      </c>
      <c r="F53" s="13" t="n">
        <v>11</v>
      </c>
      <c r="G53" s="6" t="n">
        <v>0.0001468526800614111</v>
      </c>
    </row>
    <row r="54" spans="1:12">
      <c r="A54" t="n">
        <v>43</v>
      </c>
      <c r="B54" s="11" t="n">
        <v>0</v>
      </c>
      <c r="C54" s="6" t="n">
        <v>0</v>
      </c>
      <c r="E54" s="7" t="n">
        <v>43</v>
      </c>
      <c r="F54" s="13" t="n">
        <v>17</v>
      </c>
      <c r="G54" s="6" t="n">
        <v>0.0002269541419130899</v>
      </c>
    </row>
    <row r="55" spans="1:12">
      <c r="A55" t="n">
        <v>44</v>
      </c>
      <c r="B55" s="11" t="n">
        <v>0</v>
      </c>
      <c r="C55" s="6" t="n">
        <v>0</v>
      </c>
      <c r="E55" s="7" t="n">
        <v>44</v>
      </c>
      <c r="F55" s="13" t="n">
        <v>22</v>
      </c>
      <c r="G55" s="6" t="n">
        <v>0.0002937053601228222</v>
      </c>
    </row>
    <row r="56" spans="1:12">
      <c r="A56" t="n">
        <v>45</v>
      </c>
      <c r="B56" s="11" t="n">
        <v>0</v>
      </c>
      <c r="C56" s="6" t="n">
        <v>0</v>
      </c>
      <c r="E56" s="7" t="n">
        <v>45</v>
      </c>
      <c r="F56" s="13" t="n">
        <v>22</v>
      </c>
      <c r="G56" s="6" t="n">
        <v>0.0002937053601228222</v>
      </c>
    </row>
    <row r="57" spans="1:12">
      <c r="A57" t="n">
        <v>46</v>
      </c>
      <c r="B57" s="11" t="n">
        <v>0</v>
      </c>
      <c r="C57" s="6" t="n">
        <v>0</v>
      </c>
      <c r="E57" s="7" t="n">
        <v>46</v>
      </c>
      <c r="F57" s="13" t="n">
        <v>7</v>
      </c>
      <c r="G57" s="6" t="n">
        <v>9.345170549362525e-05</v>
      </c>
    </row>
    <row r="58" spans="1:12">
      <c r="A58" t="n">
        <v>47</v>
      </c>
      <c r="B58" s="11" t="n">
        <v>0</v>
      </c>
      <c r="C58" s="6" t="n">
        <v>0</v>
      </c>
      <c r="E58" s="7" t="n">
        <v>47</v>
      </c>
      <c r="F58" s="13" t="n">
        <v>15</v>
      </c>
      <c r="G58" s="6" t="n">
        <v>0.000200253654629197</v>
      </c>
    </row>
    <row r="59" spans="1:12">
      <c r="A59" t="n">
        <v>48</v>
      </c>
      <c r="B59" s="11" t="n">
        <v>0</v>
      </c>
      <c r="C59" s="6" t="n">
        <v>0</v>
      </c>
      <c r="E59" s="7" t="n">
        <v>48</v>
      </c>
      <c r="F59" s="13" t="n">
        <v>7</v>
      </c>
      <c r="G59" s="6" t="n">
        <v>9.345170549362525e-05</v>
      </c>
    </row>
    <row r="60" spans="1:12">
      <c r="A60" t="n">
        <v>49</v>
      </c>
      <c r="B60" s="11" t="n">
        <v>0</v>
      </c>
      <c r="C60" s="6" t="n">
        <v>0</v>
      </c>
      <c r="E60" s="7" t="n">
        <v>49</v>
      </c>
      <c r="F60" s="13" t="n">
        <v>5</v>
      </c>
      <c r="G60" s="6" t="n">
        <v>6.675121820973233e-05</v>
      </c>
    </row>
    <row r="61" spans="1:12">
      <c r="A61" t="n">
        <v>50</v>
      </c>
      <c r="B61" s="11" t="n">
        <v>0</v>
      </c>
      <c r="C61" s="6" t="n">
        <v>0</v>
      </c>
      <c r="E61" s="7" t="n">
        <v>50</v>
      </c>
      <c r="F61" s="13" t="n">
        <v>2</v>
      </c>
      <c r="G61" s="6" t="n">
        <v>2.670048728389293e-05</v>
      </c>
    </row>
    <row r="62" spans="1:12">
      <c r="A62" t="n">
        <v>51</v>
      </c>
      <c r="B62" s="11" t="n">
        <v>0</v>
      </c>
      <c r="C62" s="6" t="n">
        <v>0</v>
      </c>
      <c r="E62" s="7" t="n">
        <v>51</v>
      </c>
      <c r="F62" s="13" t="n">
        <v>12</v>
      </c>
      <c r="G62" s="6" t="n">
        <v>0.0001602029237033576</v>
      </c>
    </row>
    <row r="63" spans="1:12">
      <c r="A63" t="n">
        <v>52</v>
      </c>
      <c r="B63" s="11" t="n">
        <v>0</v>
      </c>
      <c r="C63" s="6" t="n">
        <v>0</v>
      </c>
      <c r="E63" s="7" t="n">
        <v>52</v>
      </c>
      <c r="F63" s="13" t="n">
        <v>2</v>
      </c>
      <c r="G63" s="6" t="n">
        <v>2.670048728389293e-05</v>
      </c>
    </row>
    <row r="64" spans="1:12">
      <c r="A64" t="n">
        <v>53</v>
      </c>
      <c r="B64" s="11" t="n">
        <v>0</v>
      </c>
      <c r="C64" s="6" t="n">
        <v>0</v>
      </c>
      <c r="E64" s="7" t="n">
        <v>53</v>
      </c>
      <c r="F64" s="13" t="n">
        <v>2</v>
      </c>
      <c r="G64" s="6" t="n">
        <v>2.670048728389293e-05</v>
      </c>
    </row>
    <row r="65" spans="1:12">
      <c r="A65" t="n">
        <v>54</v>
      </c>
      <c r="B65" s="11" t="n">
        <v>0</v>
      </c>
      <c r="C65" s="6" t="n">
        <v>0</v>
      </c>
      <c r="E65" s="7" t="n">
        <v>54</v>
      </c>
      <c r="F65" s="13" t="n">
        <v>1</v>
      </c>
      <c r="G65" s="6" t="n">
        <v>1.335024364194647e-05</v>
      </c>
    </row>
    <row r="66" spans="1:12">
      <c r="A66" t="n">
        <v>55</v>
      </c>
      <c r="B66" s="11" t="n">
        <v>0</v>
      </c>
      <c r="C66" s="6" t="n">
        <v>0</v>
      </c>
      <c r="E66" s="7" t="n">
        <v>55</v>
      </c>
      <c r="F66" s="13" t="n">
        <v>0</v>
      </c>
      <c r="G66" s="6" t="n">
        <v>0</v>
      </c>
    </row>
    <row r="67" spans="1:12">
      <c r="A67" t="n">
        <v>56</v>
      </c>
      <c r="B67" s="11" t="n">
        <v>0</v>
      </c>
      <c r="C67" s="6" t="n">
        <v>0</v>
      </c>
      <c r="E67" s="7" t="n">
        <v>56</v>
      </c>
      <c r="F67" s="13" t="n">
        <v>0</v>
      </c>
      <c r="G67" s="6" t="n">
        <v>0</v>
      </c>
    </row>
    <row r="68" spans="1:12">
      <c r="A68" t="n">
        <v>57</v>
      </c>
      <c r="B68" s="11" t="n">
        <v>0</v>
      </c>
      <c r="C68" s="6" t="n">
        <v>0</v>
      </c>
      <c r="E68" s="7" t="n">
        <v>57</v>
      </c>
      <c r="F68" s="13" t="n">
        <v>1</v>
      </c>
      <c r="G68" s="6" t="n">
        <v>1.335024364194647e-05</v>
      </c>
    </row>
    <row r="69" spans="1:12">
      <c r="A69" t="n">
        <v>58</v>
      </c>
      <c r="B69" s="11" t="n">
        <v>0</v>
      </c>
      <c r="C69" s="6" t="n">
        <v>0</v>
      </c>
      <c r="E69" s="7" t="n">
        <v>58</v>
      </c>
      <c r="F69" s="13" t="n">
        <v>1</v>
      </c>
      <c r="G69" s="6" t="n">
        <v>1.335024364194647e-05</v>
      </c>
    </row>
    <row r="70" spans="1:12">
      <c r="A70" t="n">
        <v>59</v>
      </c>
      <c r="B70" s="11" t="n">
        <v>0</v>
      </c>
      <c r="C70" s="6" t="n">
        <v>0</v>
      </c>
      <c r="E70" s="7" t="n">
        <v>59</v>
      </c>
      <c r="F70" s="13" t="n">
        <v>0</v>
      </c>
      <c r="G70" s="6" t="n">
        <v>0</v>
      </c>
    </row>
    <row r="71" spans="1:12">
      <c r="A71" t="n">
        <v>60</v>
      </c>
      <c r="B71" s="11" t="n">
        <v>0</v>
      </c>
      <c r="C71" s="6" t="n">
        <v>0</v>
      </c>
      <c r="E71" s="7" t="n">
        <v>60</v>
      </c>
      <c r="F71" s="13" t="n">
        <v>1</v>
      </c>
      <c r="G71" s="6" t="n">
        <v>1.335024364194647e-05</v>
      </c>
    </row>
    <row r="72" spans="1:12">
      <c r="A72" t="n">
        <v>61</v>
      </c>
      <c r="B72" s="11" t="n">
        <v>0</v>
      </c>
      <c r="C72" s="6" t="n">
        <v>0</v>
      </c>
      <c r="E72" s="7" t="n">
        <v>61</v>
      </c>
      <c r="F72" s="13" t="n">
        <v>0</v>
      </c>
      <c r="G72" s="6" t="n">
        <v>0</v>
      </c>
    </row>
    <row r="73" spans="1:12">
      <c r="A73" t="n">
        <v>62</v>
      </c>
      <c r="B73" s="11" t="n">
        <v>0</v>
      </c>
      <c r="C73" s="6" t="n">
        <v>0</v>
      </c>
      <c r="E73" s="7" t="n">
        <v>62</v>
      </c>
      <c r="F73" s="13" t="n">
        <v>0</v>
      </c>
      <c r="G73" s="6" t="n">
        <v>0</v>
      </c>
    </row>
    <row r="74" spans="1:12">
      <c r="A74" t="n">
        <v>63</v>
      </c>
      <c r="B74" s="11" t="n">
        <v>0</v>
      </c>
      <c r="C74" s="6" t="n">
        <v>0</v>
      </c>
      <c r="E74" s="7" t="n">
        <v>63</v>
      </c>
      <c r="F74" s="13" t="n">
        <v>0</v>
      </c>
      <c r="G74" s="6" t="n">
        <v>0</v>
      </c>
    </row>
    <row r="75" spans="1:12">
      <c r="A75" t="n">
        <v>64</v>
      </c>
      <c r="B75" s="11" t="n">
        <v>0</v>
      </c>
      <c r="C75" s="6" t="n">
        <v>0</v>
      </c>
      <c r="E75" s="7" t="n">
        <v>64</v>
      </c>
      <c r="F75" s="13" t="n">
        <v>2</v>
      </c>
      <c r="G75" s="6" t="n">
        <v>2.670048728389293e-05</v>
      </c>
    </row>
    <row r="76" spans="1:12">
      <c r="A76" t="n">
        <v>65</v>
      </c>
      <c r="B76" s="11" t="n">
        <v>0</v>
      </c>
      <c r="C76" s="6" t="n">
        <v>0</v>
      </c>
      <c r="E76" s="7" t="n">
        <v>65</v>
      </c>
      <c r="F76" s="13" t="n">
        <v>0</v>
      </c>
      <c r="G76" s="6" t="n">
        <v>0</v>
      </c>
    </row>
    <row r="77" spans="1:12">
      <c r="A77" t="n">
        <v>66</v>
      </c>
      <c r="B77" s="11" t="n">
        <v>0</v>
      </c>
      <c r="C77" s="6" t="n">
        <v>0</v>
      </c>
      <c r="E77" s="7" t="n">
        <v>66</v>
      </c>
      <c r="F77" s="13" t="n">
        <v>0</v>
      </c>
      <c r="G77" s="6" t="n">
        <v>0</v>
      </c>
    </row>
    <row r="78" spans="1:12">
      <c r="A78" t="n">
        <v>67</v>
      </c>
      <c r="B78" s="11" t="n">
        <v>0</v>
      </c>
      <c r="C78" s="6" t="n">
        <v>0</v>
      </c>
      <c r="E78" s="7" t="n">
        <v>67</v>
      </c>
      <c r="F78" s="13" t="n">
        <v>0</v>
      </c>
      <c r="G78" s="6" t="n">
        <v>0</v>
      </c>
    </row>
    <row r="79" spans="1:12">
      <c r="A79" t="n">
        <v>68</v>
      </c>
      <c r="B79" s="11" t="n">
        <v>0</v>
      </c>
      <c r="C79" s="6" t="n">
        <v>0</v>
      </c>
      <c r="E79" s="7" t="n">
        <v>68</v>
      </c>
      <c r="F79" s="13" t="n">
        <v>0</v>
      </c>
      <c r="G79" s="6" t="n">
        <v>0</v>
      </c>
    </row>
    <row r="80" spans="1:12">
      <c r="A80" t="n">
        <v>69</v>
      </c>
      <c r="B80" s="11" t="n">
        <v>0</v>
      </c>
      <c r="C80" s="6" t="n">
        <v>0</v>
      </c>
      <c r="E80" s="7" t="n">
        <v>69</v>
      </c>
      <c r="F80" s="13" t="n">
        <v>0</v>
      </c>
      <c r="G80" s="6" t="n">
        <v>0</v>
      </c>
    </row>
    <row r="81" spans="1:12">
      <c r="A81" t="n">
        <v>70</v>
      </c>
      <c r="B81" s="11" t="n">
        <v>0</v>
      </c>
      <c r="C81" s="6" t="n">
        <v>0</v>
      </c>
      <c r="E81" s="7" t="n">
        <v>70</v>
      </c>
      <c r="F81" s="13" t="n">
        <v>0</v>
      </c>
      <c r="G81" s="6" t="n">
        <v>0</v>
      </c>
    </row>
    <row r="82" spans="1:12">
      <c r="A82" t="n">
        <v>71</v>
      </c>
      <c r="B82" s="11" t="n">
        <v>0</v>
      </c>
      <c r="C82" s="6" t="n">
        <v>0</v>
      </c>
      <c r="E82" s="7" t="n">
        <v>71</v>
      </c>
      <c r="F82" s="13" t="n">
        <v>0</v>
      </c>
      <c r="G82" s="6" t="n">
        <v>0</v>
      </c>
    </row>
    <row r="83" spans="1:12">
      <c r="A83" t="n">
        <v>72</v>
      </c>
      <c r="B83" s="11" t="n">
        <v>0</v>
      </c>
      <c r="C83" s="6" t="n">
        <v>0</v>
      </c>
      <c r="E83" s="7" t="n">
        <v>72</v>
      </c>
      <c r="F83" s="13" t="n">
        <v>0</v>
      </c>
      <c r="G83" s="6" t="n">
        <v>0</v>
      </c>
    </row>
    <row r="84" spans="1:12">
      <c r="A84" t="n">
        <v>73</v>
      </c>
      <c r="B84" s="11" t="n">
        <v>0</v>
      </c>
      <c r="C84" s="6" t="n">
        <v>0</v>
      </c>
      <c r="E84" s="7" t="n">
        <v>73</v>
      </c>
      <c r="F84" s="13" t="n">
        <v>0</v>
      </c>
      <c r="G84" s="6" t="n">
        <v>0</v>
      </c>
    </row>
    <row r="85" spans="1:12">
      <c r="A85" t="n">
        <v>74</v>
      </c>
      <c r="B85" s="11" t="n">
        <v>0</v>
      </c>
      <c r="C85" s="6" t="n">
        <v>0</v>
      </c>
      <c r="E85" s="7" t="n">
        <v>74</v>
      </c>
      <c r="F85" s="13" t="n">
        <v>0</v>
      </c>
      <c r="G85" s="6" t="n">
        <v>0</v>
      </c>
    </row>
    <row r="86" spans="1:12">
      <c r="A86" t="n">
        <v>75</v>
      </c>
      <c r="B86" s="11" t="n">
        <v>0</v>
      </c>
      <c r="C86" s="6" t="n">
        <v>0</v>
      </c>
      <c r="E86" s="7" t="n">
        <v>75</v>
      </c>
      <c r="F86" s="13" t="n">
        <v>0</v>
      </c>
      <c r="G86" s="6" t="n">
        <v>0</v>
      </c>
    </row>
    <row r="87" spans="1:12">
      <c r="A87" t="n">
        <v>76</v>
      </c>
      <c r="B87" s="11" t="n">
        <v>0</v>
      </c>
      <c r="C87" s="6" t="n">
        <v>0</v>
      </c>
      <c r="E87" s="7" t="n">
        <v>76</v>
      </c>
      <c r="F87" s="13" t="n">
        <v>0</v>
      </c>
      <c r="G87" s="6" t="n">
        <v>0</v>
      </c>
    </row>
    <row r="88" spans="1:12">
      <c r="A88" t="n">
        <v>77</v>
      </c>
      <c r="B88" s="11" t="n">
        <v>0</v>
      </c>
      <c r="C88" s="6" t="n">
        <v>0</v>
      </c>
      <c r="E88" s="7" t="n">
        <v>77</v>
      </c>
      <c r="F88" s="13" t="n">
        <v>0</v>
      </c>
      <c r="G88" s="6" t="n">
        <v>0</v>
      </c>
    </row>
    <row r="89" spans="1:12">
      <c r="A89" t="n">
        <v>78</v>
      </c>
      <c r="B89" s="11" t="n">
        <v>0</v>
      </c>
      <c r="C89" s="6" t="n">
        <v>0</v>
      </c>
      <c r="E89" s="7" t="n">
        <v>78</v>
      </c>
      <c r="F89" s="13" t="n">
        <v>0</v>
      </c>
      <c r="G89" s="6" t="n">
        <v>0</v>
      </c>
    </row>
    <row r="90" spans="1:12">
      <c r="A90" t="n">
        <v>79</v>
      </c>
      <c r="B90" s="11" t="n">
        <v>0</v>
      </c>
      <c r="C90" s="6" t="n">
        <v>0</v>
      </c>
      <c r="E90" s="7" t="n">
        <v>79</v>
      </c>
      <c r="F90" s="13" t="n">
        <v>0</v>
      </c>
      <c r="G90" s="6" t="n">
        <v>0</v>
      </c>
    </row>
    <row r="91" spans="1:12">
      <c r="A91" t="n">
        <v>80</v>
      </c>
      <c r="B91" s="11" t="n">
        <v>0</v>
      </c>
      <c r="C91" s="6" t="n">
        <v>0</v>
      </c>
      <c r="E91" s="7" t="n">
        <v>80</v>
      </c>
      <c r="F91" s="13" t="n">
        <v>0</v>
      </c>
      <c r="G91" s="6" t="n">
        <v>0</v>
      </c>
    </row>
    <row r="92" spans="1:12">
      <c r="A92" t="n">
        <v>81</v>
      </c>
      <c r="B92" s="11" t="n">
        <v>0</v>
      </c>
      <c r="C92" s="6" t="n">
        <v>0</v>
      </c>
      <c r="E92" s="7" t="n">
        <v>81</v>
      </c>
      <c r="F92" s="13" t="n">
        <v>0</v>
      </c>
      <c r="G92" s="6" t="n">
        <v>0</v>
      </c>
    </row>
    <row r="93" spans="1:12">
      <c r="A93" t="n">
        <v>82</v>
      </c>
      <c r="B93" s="11" t="n">
        <v>0</v>
      </c>
      <c r="C93" s="6" t="n">
        <v>0</v>
      </c>
      <c r="E93" s="7" t="n">
        <v>82</v>
      </c>
      <c r="F93" s="13" t="n">
        <v>0</v>
      </c>
      <c r="G93" s="6" t="n">
        <v>0</v>
      </c>
    </row>
    <row r="94" spans="1:12">
      <c r="A94" t="n">
        <v>83</v>
      </c>
      <c r="B94" s="11" t="n">
        <v>0</v>
      </c>
      <c r="C94" s="6" t="n">
        <v>0</v>
      </c>
      <c r="E94" s="7" t="n">
        <v>83</v>
      </c>
      <c r="F94" s="13" t="n">
        <v>0</v>
      </c>
      <c r="G94" s="6" t="n">
        <v>0</v>
      </c>
    </row>
    <row r="95" spans="1:12">
      <c r="A95" t="n">
        <v>84</v>
      </c>
      <c r="B95" s="11" t="n">
        <v>0</v>
      </c>
      <c r="C95" s="6" t="n">
        <v>0</v>
      </c>
      <c r="E95" s="7" t="n">
        <v>84</v>
      </c>
      <c r="F95" s="13" t="n">
        <v>0</v>
      </c>
      <c r="G95" s="6" t="n">
        <v>0</v>
      </c>
    </row>
    <row r="96" spans="1:12">
      <c r="A96" t="n">
        <v>85</v>
      </c>
      <c r="B96" s="11" t="n">
        <v>0</v>
      </c>
      <c r="C96" s="6" t="n">
        <v>0</v>
      </c>
      <c r="E96" s="7" t="n">
        <v>85</v>
      </c>
      <c r="F96" s="13" t="n">
        <v>0</v>
      </c>
      <c r="G96" s="6" t="n">
        <v>0</v>
      </c>
    </row>
    <row r="97" spans="1:12">
      <c r="A97" t="n">
        <v>86</v>
      </c>
      <c r="B97" s="11" t="n">
        <v>0</v>
      </c>
      <c r="C97" s="6" t="n">
        <v>0</v>
      </c>
      <c r="E97" s="7" t="n">
        <v>86</v>
      </c>
      <c r="F97" s="13" t="n">
        <v>0</v>
      </c>
      <c r="G97" s="6" t="n">
        <v>0</v>
      </c>
    </row>
    <row r="98" spans="1:12">
      <c r="A98" t="n">
        <v>87</v>
      </c>
      <c r="B98" s="11" t="n">
        <v>0</v>
      </c>
      <c r="C98" s="6" t="n">
        <v>0</v>
      </c>
      <c r="E98" s="7" t="n">
        <v>87</v>
      </c>
      <c r="F98" s="13" t="n">
        <v>0</v>
      </c>
      <c r="G98" s="6" t="n">
        <v>0</v>
      </c>
    </row>
    <row r="99" spans="1:12">
      <c r="A99" t="n">
        <v>88</v>
      </c>
      <c r="B99" s="11" t="n">
        <v>0</v>
      </c>
      <c r="C99" s="6" t="n">
        <v>0</v>
      </c>
      <c r="E99" s="7" t="n">
        <v>88</v>
      </c>
      <c r="F99" s="13" t="n">
        <v>0</v>
      </c>
      <c r="G99" s="6" t="n">
        <v>0</v>
      </c>
    </row>
    <row r="100" spans="1:12">
      <c r="A100" t="n">
        <v>89</v>
      </c>
      <c r="B100" s="11" t="n">
        <v>0</v>
      </c>
      <c r="C100" s="6" t="n">
        <v>0</v>
      </c>
      <c r="E100" s="7" t="n">
        <v>89</v>
      </c>
      <c r="F100" s="13" t="n">
        <v>0</v>
      </c>
      <c r="G100" s="6" t="n">
        <v>0</v>
      </c>
    </row>
    <row customHeight="1" ht="15.75" r="101" s="10" spans="1:12">
      <c r="A101" s="1" t="n">
        <v>90</v>
      </c>
      <c r="B101" s="12" t="n">
        <v>0</v>
      </c>
      <c r="C101" s="6" t="n">
        <v>0</v>
      </c>
      <c r="E101" s="8" t="n">
        <v>90</v>
      </c>
      <c r="F101" s="14" t="n">
        <v>0</v>
      </c>
      <c r="G101" s="6" t="n">
        <v>0</v>
      </c>
    </row>
    <row r="102" spans="1:12">
      <c r="B102" s="11" t="n">
        <v>28661.44136517681</v>
      </c>
      <c r="C102" s="6" t="n">
        <v>1</v>
      </c>
      <c r="F102" s="11" t="n">
        <v>74905</v>
      </c>
      <c r="G102" s="6" t="n">
        <v>1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L102"/>
  <sheetViews>
    <sheetView workbookViewId="0">
      <selection activeCell="I32" sqref="I32"/>
    </sheetView>
  </sheetViews>
  <sheetFormatPr baseColWidth="10" defaultRowHeight="15" outlineLevelCol="0"/>
  <cols>
    <col collapsed="1" customWidth="1" max="1" min="1" style="10" width="13.5703125"/>
    <col collapsed="1" customWidth="1" max="2" min="2" style="10" width="10.5703125"/>
    <col collapsed="1" customWidth="1" max="5" min="5" style="10" width="12.7109375"/>
    <col collapsed="1" customWidth="1" max="6" min="6" style="10" width="10.5703125"/>
    <col collapsed="1" customWidth="1" max="12" min="12" style="10" width="10.28515625"/>
  </cols>
  <sheetData>
    <row r="1" spans="1:12">
      <c r="A1" t="s">
        <v>0</v>
      </c>
    </row>
    <row r="2" spans="1:12">
      <c r="A2" t="s">
        <v>1</v>
      </c>
    </row>
    <row r="3" spans="1:12">
      <c r="A3" t="s">
        <v>2</v>
      </c>
    </row>
    <row r="4" spans="1:12">
      <c r="A4" t="s">
        <v>3</v>
      </c>
    </row>
    <row r="5" spans="1:12">
      <c r="A5" t="s">
        <v>4</v>
      </c>
    </row>
    <row r="6" spans="1:12"/>
    <row r="7" spans="1:12">
      <c r="A7" t="s">
        <v>5</v>
      </c>
    </row>
    <row r="8" spans="1:12"/>
    <row customHeight="1" ht="15.75" r="9" s="10" spans="1:12">
      <c r="A9" s="3" t="s">
        <v>6</v>
      </c>
      <c r="B9" s="1" t="n"/>
      <c r="E9" s="3" t="s">
        <v>7</v>
      </c>
      <c r="F9" s="1" t="n"/>
      <c r="J9" s="5" t="s">
        <v>16</v>
      </c>
    </row>
    <row r="10" spans="1:12">
      <c r="A10" s="2" t="s">
        <v>9</v>
      </c>
      <c r="B10" s="9" t="s">
        <v>10</v>
      </c>
      <c r="C10" s="9" t="s">
        <v>10</v>
      </c>
      <c r="E10" s="2" t="s">
        <v>9</v>
      </c>
      <c r="F10" s="9" t="s">
        <v>11</v>
      </c>
      <c r="G10" s="9" t="s">
        <v>11</v>
      </c>
      <c r="J10" s="2" t="n"/>
      <c r="K10" s="9" t="s">
        <v>10</v>
      </c>
      <c r="L10" s="9" t="s">
        <v>11</v>
      </c>
    </row>
    <row r="11" spans="1:12">
      <c r="A11" t="n">
        <v>0</v>
      </c>
      <c r="B11" s="11" t="n">
        <v>7697.1759634008</v>
      </c>
      <c r="C11" s="6" t="n">
        <v>0.03921113320104133</v>
      </c>
      <c r="E11" s="7" t="n">
        <v>0</v>
      </c>
      <c r="F11" s="13" t="n">
        <v>34065</v>
      </c>
      <c r="G11" s="6" t="n">
        <v>0.2155344228688571</v>
      </c>
      <c r="K11" s="4" t="n">
        <v>7.101334854706915</v>
      </c>
      <c r="L11" s="4" t="n">
        <v>5.791447030140441</v>
      </c>
    </row>
    <row r="12" spans="1:12">
      <c r="A12" t="n">
        <v>1</v>
      </c>
      <c r="B12" s="11" t="n">
        <v>13853.1763116286</v>
      </c>
      <c r="C12" s="6" t="n">
        <v>0.07057117366104503</v>
      </c>
      <c r="E12" s="7" t="n">
        <v>1</v>
      </c>
      <c r="F12" s="13" t="n">
        <v>16189</v>
      </c>
      <c r="G12" s="6" t="n">
        <v>0.1024302589703193</v>
      </c>
      <c r="K12" s="4" t="n"/>
      <c r="L12" s="7" t="n"/>
    </row>
    <row r="13" spans="1:12">
      <c r="A13" t="n">
        <v>2</v>
      </c>
      <c r="B13" s="11" t="n">
        <v>7399.4990945062</v>
      </c>
      <c r="C13" s="6" t="n">
        <v>0.03769470075716902</v>
      </c>
      <c r="E13" s="7" t="n">
        <v>2</v>
      </c>
      <c r="F13" s="13" t="n">
        <v>9585</v>
      </c>
      <c r="G13" s="6" t="n">
        <v>0.06064574910312624</v>
      </c>
    </row>
    <row r="14" spans="1:12">
      <c r="A14" t="n">
        <v>3</v>
      </c>
      <c r="B14" s="11" t="n">
        <v>17427.1582521029</v>
      </c>
      <c r="C14" s="6" t="n">
        <v>0.08877783576574463</v>
      </c>
      <c r="E14" s="7" t="n">
        <v>3</v>
      </c>
      <c r="F14" s="13" t="n">
        <v>5010</v>
      </c>
      <c r="G14" s="6" t="n">
        <v>0.03169903004764345</v>
      </c>
    </row>
    <row r="15" spans="1:12">
      <c r="A15" t="n">
        <v>4</v>
      </c>
      <c r="B15" s="11" t="n">
        <v>36686.1207631128</v>
      </c>
      <c r="C15" s="6" t="n">
        <v>0.1868872914835037</v>
      </c>
      <c r="E15" s="7" t="n">
        <v>4</v>
      </c>
      <c r="F15" s="13" t="n">
        <v>24738</v>
      </c>
      <c r="G15" s="6" t="n">
        <v>0.1565210789059089</v>
      </c>
    </row>
    <row r="16" spans="1:12">
      <c r="A16" t="n">
        <v>5</v>
      </c>
      <c r="B16" s="11" t="n">
        <v>26711.1336555918</v>
      </c>
      <c r="C16" s="6" t="n">
        <v>0.136072479660121</v>
      </c>
      <c r="E16" s="7" t="n">
        <v>5</v>
      </c>
      <c r="F16" s="13" t="n">
        <v>14100</v>
      </c>
      <c r="G16" s="6" t="n">
        <v>0.08921283905624205</v>
      </c>
    </row>
    <row r="17" spans="1:12">
      <c r="A17" t="n">
        <v>6</v>
      </c>
      <c r="B17" s="11" t="n">
        <v>23476.8308241129</v>
      </c>
      <c r="C17" s="6" t="n">
        <v>0.1195962187898172</v>
      </c>
      <c r="E17" s="7" t="n">
        <v>6</v>
      </c>
      <c r="F17" s="13" t="n">
        <v>12593</v>
      </c>
      <c r="G17" s="6" t="n">
        <v>0.07967782143512454</v>
      </c>
    </row>
    <row r="18" spans="1:12">
      <c r="A18" t="n">
        <v>7</v>
      </c>
      <c r="B18" s="11" t="n">
        <v>7816.3558540315</v>
      </c>
      <c r="C18" s="6" t="n">
        <v>0.03981826217777595</v>
      </c>
      <c r="E18" s="7" t="n">
        <v>7</v>
      </c>
      <c r="F18" s="13" t="n">
        <v>5660</v>
      </c>
      <c r="G18" s="6" t="n">
        <v>0.03581167865661915</v>
      </c>
    </row>
    <row r="19" spans="1:12">
      <c r="A19" t="n">
        <v>8</v>
      </c>
      <c r="B19" s="11" t="n">
        <v>3208.1913377191</v>
      </c>
      <c r="C19" s="6" t="n">
        <v>0.01634324309017752</v>
      </c>
      <c r="E19" s="7" t="n">
        <v>8</v>
      </c>
      <c r="F19" s="13" t="n">
        <v>7419</v>
      </c>
      <c r="G19" s="6" t="n">
        <v>0.046941138507678</v>
      </c>
    </row>
    <row r="20" spans="1:12">
      <c r="A20" t="n">
        <v>9</v>
      </c>
      <c r="B20" s="11" t="n">
        <v>3720.5767793928</v>
      </c>
      <c r="C20" s="6" t="n">
        <v>0.01895344894999848</v>
      </c>
      <c r="E20" s="7" t="n">
        <v>9</v>
      </c>
      <c r="F20" s="13" t="n">
        <v>5138</v>
      </c>
      <c r="G20" s="6" t="n">
        <v>0.03250890546602636</v>
      </c>
    </row>
    <row r="21" spans="1:12">
      <c r="A21" t="n">
        <v>10</v>
      </c>
      <c r="B21" s="11" t="n">
        <v>10028.3014887067</v>
      </c>
      <c r="C21" s="6" t="n">
        <v>0.05108640718668783</v>
      </c>
      <c r="E21" s="7" t="n">
        <v>10</v>
      </c>
      <c r="F21" s="13" t="n">
        <v>1836</v>
      </c>
      <c r="G21" s="6" t="n">
        <v>0.01161665053242982</v>
      </c>
    </row>
    <row r="22" spans="1:12">
      <c r="A22" t="n">
        <v>11</v>
      </c>
      <c r="B22" s="11" t="n">
        <v>4437.065708914</v>
      </c>
      <c r="C22" s="6" t="n">
        <v>0.02260340355492277</v>
      </c>
      <c r="E22" s="7" t="n">
        <v>11</v>
      </c>
      <c r="F22" s="13" t="n">
        <v>2110</v>
      </c>
      <c r="G22" s="6" t="n">
        <v>0.01335029009990573</v>
      </c>
    </row>
    <row r="23" spans="1:12">
      <c r="A23" t="n">
        <v>12</v>
      </c>
      <c r="B23" s="11" t="n">
        <v>6654.878958653</v>
      </c>
      <c r="C23" s="6" t="n">
        <v>0.03390143950525694</v>
      </c>
      <c r="E23" s="7" t="n">
        <v>12</v>
      </c>
      <c r="F23" s="13" t="n">
        <v>2136</v>
      </c>
      <c r="G23" s="6" t="n">
        <v>0.01351479604426475</v>
      </c>
    </row>
    <row r="24" spans="1:12">
      <c r="A24" t="n">
        <v>13</v>
      </c>
      <c r="B24" s="11" t="n">
        <v>7177.130722202401</v>
      </c>
      <c r="C24" s="6" t="n">
        <v>0.03656190661194453</v>
      </c>
      <c r="E24" s="7" t="n">
        <v>13</v>
      </c>
      <c r="F24" s="13" t="n">
        <v>3052</v>
      </c>
      <c r="G24" s="6" t="n">
        <v>0.01931046700706743</v>
      </c>
    </row>
    <row r="25" spans="1:12">
      <c r="A25" t="n">
        <v>14</v>
      </c>
      <c r="B25" s="11" t="n">
        <v>1559.165240829</v>
      </c>
      <c r="C25" s="6" t="n">
        <v>0.007942735911362476</v>
      </c>
      <c r="E25" s="7" t="n">
        <v>14</v>
      </c>
      <c r="F25" s="13" t="n">
        <v>1456</v>
      </c>
      <c r="G25" s="6" t="n">
        <v>0.009212332884105561</v>
      </c>
    </row>
    <row r="26" spans="1:12">
      <c r="A26" t="n">
        <v>15</v>
      </c>
      <c r="B26" s="11" t="n">
        <v>4185.475136309</v>
      </c>
      <c r="C26" s="6" t="n">
        <v>0.02132174499580335</v>
      </c>
      <c r="E26" s="7" t="n">
        <v>15</v>
      </c>
      <c r="F26" s="13" t="n">
        <v>1920</v>
      </c>
      <c r="G26" s="6" t="n">
        <v>0.0121481312757436</v>
      </c>
    </row>
    <row r="27" spans="1:12">
      <c r="A27" t="n">
        <v>16</v>
      </c>
      <c r="B27" s="11" t="n">
        <v>1433.468906474</v>
      </c>
      <c r="C27" s="6" t="n">
        <v>0.007302410715120124</v>
      </c>
      <c r="E27" s="7" t="n">
        <v>16</v>
      </c>
      <c r="F27" s="13" t="n">
        <v>1459</v>
      </c>
      <c r="G27" s="6" t="n">
        <v>0.009231314339223912</v>
      </c>
    </row>
    <row r="28" spans="1:12">
      <c r="A28" t="n">
        <v>17</v>
      </c>
      <c r="B28" s="11" t="n">
        <v>1167.442902575</v>
      </c>
      <c r="C28" s="6" t="n">
        <v>0.005947214845437073</v>
      </c>
      <c r="E28" s="7" t="n">
        <v>17</v>
      </c>
      <c r="F28" s="13" t="n">
        <v>1280</v>
      </c>
      <c r="G28" s="6" t="n">
        <v>0.008098754183829066</v>
      </c>
    </row>
    <row r="29" spans="1:12">
      <c r="A29" t="n">
        <v>18</v>
      </c>
      <c r="B29" s="11" t="n">
        <v>3109.493426527</v>
      </c>
      <c r="C29" s="6" t="n">
        <v>0.01584045389049965</v>
      </c>
      <c r="E29" s="7" t="n">
        <v>18</v>
      </c>
      <c r="F29" s="13" t="n">
        <v>995</v>
      </c>
      <c r="G29" s="6" t="n">
        <v>0.006295515947585875</v>
      </c>
    </row>
    <row r="30" spans="1:12">
      <c r="A30" t="n">
        <v>19</v>
      </c>
      <c r="B30" s="11" t="n">
        <v>0</v>
      </c>
      <c r="C30" s="6" t="n">
        <v>0</v>
      </c>
      <c r="E30" s="7" t="n">
        <v>19</v>
      </c>
      <c r="F30" s="13" t="n">
        <v>772</v>
      </c>
      <c r="G30" s="6" t="n">
        <v>0.004884561117121905</v>
      </c>
    </row>
    <row r="31" spans="1:12">
      <c r="A31" t="n">
        <v>20</v>
      </c>
      <c r="B31" s="11" t="n">
        <v>0</v>
      </c>
      <c r="C31" s="6" t="n">
        <v>0</v>
      </c>
      <c r="E31" s="7" t="n">
        <v>20</v>
      </c>
      <c r="F31" s="13" t="n">
        <v>611</v>
      </c>
      <c r="G31" s="6" t="n">
        <v>0.003865889692437156</v>
      </c>
    </row>
    <row r="32" spans="1:12">
      <c r="A32" t="n">
        <v>21</v>
      </c>
      <c r="B32" s="11" t="n">
        <v>309.0995705256</v>
      </c>
      <c r="C32" s="6" t="n">
        <v>0.001574622236765001</v>
      </c>
      <c r="E32" s="7" t="n">
        <v>21</v>
      </c>
      <c r="F32" s="13" t="n">
        <v>831</v>
      </c>
      <c r="G32" s="6" t="n">
        <v>0.005257863067782777</v>
      </c>
    </row>
    <row r="33" spans="1:12">
      <c r="A33" t="n">
        <v>22</v>
      </c>
      <c r="B33" s="11" t="n">
        <v>2139.948876604</v>
      </c>
      <c r="C33" s="6" t="n">
        <v>0.01090137744582167</v>
      </c>
      <c r="E33" s="7" t="n">
        <v>22</v>
      </c>
      <c r="F33" s="13" t="n">
        <v>434</v>
      </c>
      <c r="G33" s="6" t="n">
        <v>0.002745983840454543</v>
      </c>
    </row>
    <row r="34" spans="1:12">
      <c r="A34" t="n">
        <v>23</v>
      </c>
      <c r="B34" s="11" t="n">
        <v>63.479249788</v>
      </c>
      <c r="C34" s="6" t="n">
        <v>0.0003233774738650642</v>
      </c>
      <c r="E34" s="7" t="n">
        <v>23</v>
      </c>
      <c r="F34" s="13" t="n">
        <v>663</v>
      </c>
      <c r="G34" s="6" t="n">
        <v>0.004194901581155212</v>
      </c>
    </row>
    <row r="35" spans="1:12">
      <c r="A35" t="n">
        <v>24</v>
      </c>
      <c r="B35" s="11" t="n">
        <v>0</v>
      </c>
      <c r="C35" s="6" t="n">
        <v>0</v>
      </c>
      <c r="E35" s="7" t="n">
        <v>24</v>
      </c>
      <c r="F35" s="13" t="n">
        <v>455</v>
      </c>
      <c r="G35" s="6" t="n">
        <v>0.002878854026282988</v>
      </c>
    </row>
    <row r="36" spans="1:12">
      <c r="A36" t="n">
        <v>25</v>
      </c>
      <c r="B36" s="11" t="n">
        <v>0</v>
      </c>
      <c r="C36" s="6" t="n">
        <v>0</v>
      </c>
      <c r="E36" s="7" t="n">
        <v>25</v>
      </c>
      <c r="F36" s="13" t="n">
        <v>525</v>
      </c>
      <c r="G36" s="6" t="n">
        <v>0.00332175464571114</v>
      </c>
    </row>
    <row r="37" spans="1:12">
      <c r="A37" t="n">
        <v>26</v>
      </c>
      <c r="B37" s="11" t="n">
        <v>0</v>
      </c>
      <c r="C37" s="6" t="n">
        <v>0</v>
      </c>
      <c r="E37" s="7" t="n">
        <v>26</v>
      </c>
      <c r="F37" s="13" t="n">
        <v>329</v>
      </c>
      <c r="G37" s="6" t="n">
        <v>0.002081632911312315</v>
      </c>
    </row>
    <row r="38" spans="1:12">
      <c r="A38" t="n">
        <v>27</v>
      </c>
      <c r="B38" s="11" t="n">
        <v>4.5575</v>
      </c>
      <c r="C38" s="6" t="n">
        <v>2.321692272769476e-05</v>
      </c>
      <c r="E38" s="7" t="n">
        <v>27</v>
      </c>
      <c r="F38" s="13" t="n">
        <v>656</v>
      </c>
      <c r="G38" s="6" t="n">
        <v>0.004150611519212396</v>
      </c>
    </row>
    <row r="39" spans="1:12">
      <c r="A39" t="n">
        <v>28</v>
      </c>
      <c r="B39" s="11" t="n">
        <v>0</v>
      </c>
      <c r="C39" s="6" t="n">
        <v>0</v>
      </c>
      <c r="E39" s="7" t="n">
        <v>28</v>
      </c>
      <c r="F39" s="13" t="n">
        <v>242</v>
      </c>
      <c r="G39" s="6" t="n">
        <v>0.001531170712880183</v>
      </c>
    </row>
    <row r="40" spans="1:12">
      <c r="A40" t="n">
        <v>29</v>
      </c>
      <c r="B40" s="11" t="n">
        <v>0</v>
      </c>
      <c r="C40" s="6" t="n">
        <v>0</v>
      </c>
      <c r="E40" s="7" t="n">
        <v>29</v>
      </c>
      <c r="F40" s="13" t="n">
        <v>165</v>
      </c>
      <c r="G40" s="6" t="n">
        <v>0.001043980031509216</v>
      </c>
    </row>
    <row r="41" spans="1:12">
      <c r="A41" t="n">
        <v>30</v>
      </c>
      <c r="B41" s="11" t="n">
        <v>0</v>
      </c>
      <c r="C41" s="6" t="n">
        <v>0</v>
      </c>
      <c r="E41" s="7" t="n">
        <v>30</v>
      </c>
      <c r="F41" s="13" t="n">
        <v>219</v>
      </c>
      <c r="G41" s="6" t="n">
        <v>0.001385646223639504</v>
      </c>
    </row>
    <row r="42" spans="1:12">
      <c r="A42" t="n">
        <v>31</v>
      </c>
      <c r="B42" s="11" t="n">
        <v>0</v>
      </c>
      <c r="C42" s="6" t="n">
        <v>0</v>
      </c>
      <c r="E42" s="7" t="n">
        <v>31</v>
      </c>
      <c r="F42" s="13" t="n">
        <v>233</v>
      </c>
      <c r="G42" s="6" t="n">
        <v>0.001474226347525135</v>
      </c>
    </row>
    <row r="43" spans="1:12">
      <c r="A43" t="n">
        <v>32</v>
      </c>
      <c r="B43" s="11" t="n">
        <v>0</v>
      </c>
      <c r="C43" s="6" t="n">
        <v>0</v>
      </c>
      <c r="E43" s="7" t="n">
        <v>32</v>
      </c>
      <c r="F43" s="13" t="n">
        <v>133</v>
      </c>
      <c r="G43" s="6" t="n">
        <v>0.0008415111769134888</v>
      </c>
    </row>
    <row r="44" spans="1:12">
      <c r="A44" t="n">
        <v>33</v>
      </c>
      <c r="B44" s="11" t="n">
        <v>0</v>
      </c>
      <c r="C44" s="6" t="n">
        <v>0</v>
      </c>
      <c r="E44" s="7" t="n">
        <v>33</v>
      </c>
      <c r="F44" s="13" t="n">
        <v>154</v>
      </c>
      <c r="G44" s="6" t="n">
        <v>0.0009743813627419344</v>
      </c>
    </row>
    <row r="45" spans="1:12">
      <c r="A45" t="n">
        <v>34</v>
      </c>
      <c r="B45" s="11" t="n">
        <v>4291.0185</v>
      </c>
      <c r="C45" s="6" t="n">
        <v>0.02185940645915714</v>
      </c>
      <c r="E45" s="7" t="n">
        <v>34</v>
      </c>
      <c r="F45" s="13" t="n">
        <v>79</v>
      </c>
      <c r="G45" s="6" t="n">
        <v>0.0004998449847832001</v>
      </c>
    </row>
    <row r="46" spans="1:12">
      <c r="A46" t="n">
        <v>35</v>
      </c>
      <c r="B46" s="11" t="n">
        <v>0</v>
      </c>
      <c r="C46" s="6" t="n">
        <v>0</v>
      </c>
      <c r="E46" s="7" t="n">
        <v>35</v>
      </c>
      <c r="F46" s="13" t="n">
        <v>72</v>
      </c>
      <c r="G46" s="6" t="n">
        <v>0.0004555549228403849</v>
      </c>
    </row>
    <row r="47" spans="1:12">
      <c r="A47" t="n">
        <v>36</v>
      </c>
      <c r="B47" s="11" t="n">
        <v>0</v>
      </c>
      <c r="C47" s="6" t="n">
        <v>0</v>
      </c>
      <c r="E47" s="7" t="n">
        <v>36</v>
      </c>
      <c r="F47" s="13" t="n">
        <v>152</v>
      </c>
      <c r="G47" s="6" t="n">
        <v>0.0009617270593297015</v>
      </c>
    </row>
    <row r="48" spans="1:12">
      <c r="A48" t="n">
        <v>37</v>
      </c>
      <c r="B48" s="11" t="n">
        <v>0</v>
      </c>
      <c r="C48" s="6" t="n">
        <v>0</v>
      </c>
      <c r="E48" s="7" t="n">
        <v>37</v>
      </c>
      <c r="F48" s="13" t="n">
        <v>88</v>
      </c>
      <c r="G48" s="6" t="n">
        <v>0.0005567893501382483</v>
      </c>
    </row>
    <row r="49" spans="1:12">
      <c r="A49" t="n">
        <v>38</v>
      </c>
      <c r="B49" s="11" t="n">
        <v>0</v>
      </c>
      <c r="C49" s="6" t="n">
        <v>0</v>
      </c>
      <c r="E49" s="7" t="n">
        <v>38</v>
      </c>
      <c r="F49" s="13" t="n">
        <v>79</v>
      </c>
      <c r="G49" s="6" t="n">
        <v>0.0004998449847832001</v>
      </c>
    </row>
    <row r="50" spans="1:12">
      <c r="A50" t="n">
        <v>39</v>
      </c>
      <c r="B50" s="11" t="n">
        <v>65.2262658228</v>
      </c>
      <c r="C50" s="6" t="n">
        <v>0.0003322771636695613</v>
      </c>
      <c r="E50" s="7" t="n">
        <v>39</v>
      </c>
      <c r="F50" s="13" t="n">
        <v>121</v>
      </c>
      <c r="G50" s="6" t="n">
        <v>0.0007655853564400914</v>
      </c>
    </row>
    <row r="51" spans="1:12">
      <c r="A51" t="n">
        <v>40</v>
      </c>
      <c r="B51" s="11" t="n">
        <v>417.967608267</v>
      </c>
      <c r="C51" s="6" t="n">
        <v>0.002129220332158932</v>
      </c>
      <c r="E51" s="7" t="n">
        <v>40</v>
      </c>
      <c r="F51" s="13" t="n">
        <v>45</v>
      </c>
      <c r="G51" s="6" t="n">
        <v>0.0002847218267752406</v>
      </c>
    </row>
    <row r="52" spans="1:12">
      <c r="A52" t="n">
        <v>41</v>
      </c>
      <c r="B52" s="11" t="n">
        <v>1219.07842926</v>
      </c>
      <c r="C52" s="6" t="n">
        <v>0.006210257749013477</v>
      </c>
      <c r="E52" s="7" t="n">
        <v>41</v>
      </c>
      <c r="F52" s="13" t="n">
        <v>84</v>
      </c>
      <c r="G52" s="6" t="n">
        <v>0.0005314807433137825</v>
      </c>
    </row>
    <row r="53" spans="1:12">
      <c r="A53" t="n">
        <v>42</v>
      </c>
      <c r="B53" s="11" t="n">
        <v>0</v>
      </c>
      <c r="C53" s="6" t="n">
        <v>0</v>
      </c>
      <c r="E53" s="7" t="n">
        <v>42</v>
      </c>
      <c r="F53" s="13" t="n">
        <v>42</v>
      </c>
      <c r="G53" s="6" t="n">
        <v>0.0002657403716568912</v>
      </c>
    </row>
    <row r="54" spans="1:12">
      <c r="A54" t="n">
        <v>43</v>
      </c>
      <c r="B54" s="11" t="n">
        <v>0</v>
      </c>
      <c r="C54" s="6" t="n">
        <v>0</v>
      </c>
      <c r="E54" s="7" t="n">
        <v>43</v>
      </c>
      <c r="F54" s="13" t="n">
        <v>14</v>
      </c>
      <c r="G54" s="6" t="n">
        <v>8.85801238856304e-05</v>
      </c>
    </row>
    <row r="55" spans="1:12">
      <c r="A55" t="n">
        <v>44</v>
      </c>
      <c r="B55" s="11" t="n">
        <v>0</v>
      </c>
      <c r="C55" s="6" t="n">
        <v>0</v>
      </c>
      <c r="E55" s="7" t="n">
        <v>44</v>
      </c>
      <c r="F55" s="13" t="n">
        <v>16</v>
      </c>
      <c r="G55" s="6" t="n">
        <v>0.0001012344272978633</v>
      </c>
    </row>
    <row r="56" spans="1:12">
      <c r="A56" t="n">
        <v>45</v>
      </c>
      <c r="B56" s="11" t="n">
        <v>0</v>
      </c>
      <c r="C56" s="6" t="n">
        <v>0</v>
      </c>
      <c r="E56" s="7" t="n">
        <v>45</v>
      </c>
      <c r="F56" s="13" t="n">
        <v>5</v>
      </c>
      <c r="G56" s="6" t="n">
        <v>3.163575853058229e-05</v>
      </c>
    </row>
    <row r="57" spans="1:12">
      <c r="A57" t="n">
        <v>46</v>
      </c>
      <c r="B57" s="11" t="n">
        <v>0</v>
      </c>
      <c r="C57" s="6" t="n">
        <v>0</v>
      </c>
      <c r="E57" s="7" t="n">
        <v>46</v>
      </c>
      <c r="F57" s="13" t="n">
        <v>14</v>
      </c>
      <c r="G57" s="6" t="n">
        <v>8.85801238856304e-05</v>
      </c>
    </row>
    <row r="58" spans="1:12">
      <c r="A58" t="n">
        <v>47</v>
      </c>
      <c r="B58" s="11" t="n">
        <v>0</v>
      </c>
      <c r="C58" s="6" t="n">
        <v>0</v>
      </c>
      <c r="E58" s="7" t="n">
        <v>47</v>
      </c>
      <c r="F58" s="13" t="n">
        <v>10</v>
      </c>
      <c r="G58" s="6" t="n">
        <v>6.327151706116458e-05</v>
      </c>
    </row>
    <row r="59" spans="1:12">
      <c r="A59" t="n">
        <v>48</v>
      </c>
      <c r="B59" s="11" t="n">
        <v>0</v>
      </c>
      <c r="C59" s="6" t="n">
        <v>0</v>
      </c>
      <c r="E59" s="7" t="n">
        <v>48</v>
      </c>
      <c r="F59" s="13" t="n">
        <v>10</v>
      </c>
      <c r="G59" s="6" t="n">
        <v>6.327151706116458e-05</v>
      </c>
    </row>
    <row r="60" spans="1:12">
      <c r="A60" t="n">
        <v>49</v>
      </c>
      <c r="B60" s="11" t="n">
        <v>0</v>
      </c>
      <c r="C60" s="6" t="n">
        <v>0</v>
      </c>
      <c r="E60" s="7" t="n">
        <v>49</v>
      </c>
      <c r="F60" s="13" t="n">
        <v>11</v>
      </c>
      <c r="G60" s="6" t="n">
        <v>6.959866876728104e-05</v>
      </c>
    </row>
    <row r="61" spans="1:12">
      <c r="A61" t="n">
        <v>50</v>
      </c>
      <c r="B61" s="11" t="n">
        <v>0</v>
      </c>
      <c r="C61" s="6" t="n">
        <v>0</v>
      </c>
      <c r="E61" s="7" t="n">
        <v>50</v>
      </c>
      <c r="F61" s="13" t="n">
        <v>10</v>
      </c>
      <c r="G61" s="6" t="n">
        <v>6.327151706116458e-05</v>
      </c>
    </row>
    <row r="62" spans="1:12">
      <c r="A62" t="n">
        <v>51</v>
      </c>
      <c r="B62" s="11" t="n">
        <v>41.7609222283</v>
      </c>
      <c r="C62" s="6" t="n">
        <v>0.0002127394633925862</v>
      </c>
      <c r="E62" s="7" t="n">
        <v>51</v>
      </c>
      <c r="F62" s="13" t="n">
        <v>9</v>
      </c>
      <c r="G62" s="6" t="n">
        <v>5.694436535504812e-05</v>
      </c>
    </row>
    <row r="63" spans="1:12">
      <c r="A63" t="n">
        <v>52</v>
      </c>
      <c r="B63" s="11" t="n">
        <v>0</v>
      </c>
      <c r="C63" s="6" t="n">
        <v>0</v>
      </c>
      <c r="E63" s="7" t="n">
        <v>52</v>
      </c>
      <c r="F63" s="13" t="n">
        <v>7</v>
      </c>
      <c r="G63" s="6" t="n">
        <v>4.42900619428152e-05</v>
      </c>
    </row>
    <row r="64" spans="1:12">
      <c r="A64" t="n">
        <v>53</v>
      </c>
      <c r="B64" s="11" t="n">
        <v>0</v>
      </c>
      <c r="C64" s="6" t="n">
        <v>0</v>
      </c>
      <c r="E64" s="7" t="n">
        <v>53</v>
      </c>
      <c r="F64" s="13" t="n">
        <v>2</v>
      </c>
      <c r="G64" s="6" t="n">
        <v>1.265430341223292e-05</v>
      </c>
    </row>
    <row r="65" spans="1:12">
      <c r="A65" t="n">
        <v>54</v>
      </c>
      <c r="B65" s="11" t="n">
        <v>0</v>
      </c>
      <c r="C65" s="6" t="n">
        <v>0</v>
      </c>
      <c r="E65" s="7" t="n">
        <v>54</v>
      </c>
      <c r="F65" s="13" t="n">
        <v>3</v>
      </c>
      <c r="G65" s="6" t="n">
        <v>1.898145511834937e-05</v>
      </c>
    </row>
    <row r="66" spans="1:12">
      <c r="A66" t="n">
        <v>55</v>
      </c>
      <c r="B66" s="11" t="n">
        <v>0</v>
      </c>
      <c r="C66" s="6" t="n">
        <v>0</v>
      </c>
      <c r="E66" s="7" t="n">
        <v>55</v>
      </c>
      <c r="F66" s="13" t="n">
        <v>5</v>
      </c>
      <c r="G66" s="6" t="n">
        <v>3.163575853058229e-05</v>
      </c>
    </row>
    <row r="67" spans="1:12">
      <c r="A67" t="n">
        <v>56</v>
      </c>
      <c r="B67" s="11" t="n">
        <v>0</v>
      </c>
      <c r="C67" s="6" t="n">
        <v>0</v>
      </c>
      <c r="E67" s="7" t="n">
        <v>56</v>
      </c>
      <c r="F67" s="13" t="n">
        <v>1</v>
      </c>
      <c r="G67" s="6" t="n">
        <v>6.327151706116458e-06</v>
      </c>
    </row>
    <row r="68" spans="1:12">
      <c r="A68" t="n">
        <v>57</v>
      </c>
      <c r="B68" s="11" t="n">
        <v>0</v>
      </c>
      <c r="C68" s="6" t="n">
        <v>0</v>
      </c>
      <c r="E68" s="7" t="n">
        <v>57</v>
      </c>
      <c r="F68" s="13" t="n">
        <v>3</v>
      </c>
      <c r="G68" s="6" t="n">
        <v>1.898145511834937e-05</v>
      </c>
    </row>
    <row r="69" spans="1:12">
      <c r="A69" t="n">
        <v>58</v>
      </c>
      <c r="B69" s="11" t="n">
        <v>0</v>
      </c>
      <c r="C69" s="6" t="n">
        <v>0</v>
      </c>
      <c r="E69" s="7" t="n">
        <v>58</v>
      </c>
      <c r="F69" s="13" t="n">
        <v>0</v>
      </c>
      <c r="G69" s="6" t="n">
        <v>0</v>
      </c>
    </row>
    <row r="70" spans="1:12">
      <c r="A70" t="n">
        <v>59</v>
      </c>
      <c r="B70" s="11" t="n">
        <v>0</v>
      </c>
      <c r="C70" s="6" t="n">
        <v>0</v>
      </c>
      <c r="E70" s="7" t="n">
        <v>59</v>
      </c>
      <c r="F70" s="13" t="n">
        <v>2</v>
      </c>
      <c r="G70" s="6" t="n">
        <v>1.265430341223292e-05</v>
      </c>
    </row>
    <row r="71" spans="1:12">
      <c r="A71" t="n">
        <v>60</v>
      </c>
      <c r="B71" s="11" t="n">
        <v>0</v>
      </c>
      <c r="C71" s="6" t="n">
        <v>0</v>
      </c>
      <c r="E71" s="7" t="n">
        <v>60</v>
      </c>
      <c r="F71" s="13" t="n">
        <v>1</v>
      </c>
      <c r="G71" s="6" t="n">
        <v>6.327151706116458e-06</v>
      </c>
    </row>
    <row r="72" spans="1:12">
      <c r="A72" t="n">
        <v>61</v>
      </c>
      <c r="B72" s="11" t="n">
        <v>0</v>
      </c>
      <c r="C72" s="6" t="n">
        <v>0</v>
      </c>
      <c r="E72" s="7" t="n">
        <v>61</v>
      </c>
      <c r="F72" s="13" t="n">
        <v>0</v>
      </c>
      <c r="G72" s="6" t="n">
        <v>0</v>
      </c>
    </row>
    <row r="73" spans="1:12">
      <c r="A73" t="n">
        <v>62</v>
      </c>
      <c r="B73" s="11" t="n">
        <v>0</v>
      </c>
      <c r="C73" s="6" t="n">
        <v>0</v>
      </c>
      <c r="E73" s="7" t="n">
        <v>62</v>
      </c>
      <c r="F73" s="13" t="n">
        <v>0</v>
      </c>
      <c r="G73" s="6" t="n">
        <v>0</v>
      </c>
    </row>
    <row r="74" spans="1:12">
      <c r="A74" t="n">
        <v>63</v>
      </c>
      <c r="B74" s="11" t="n">
        <v>0</v>
      </c>
      <c r="C74" s="6" t="n">
        <v>0</v>
      </c>
      <c r="E74" s="7" t="n">
        <v>63</v>
      </c>
      <c r="F74" s="13" t="n">
        <v>0</v>
      </c>
      <c r="G74" s="6" t="n">
        <v>0</v>
      </c>
    </row>
    <row r="75" spans="1:12">
      <c r="A75" t="n">
        <v>64</v>
      </c>
      <c r="B75" s="11" t="n">
        <v>0</v>
      </c>
      <c r="C75" s="6" t="n">
        <v>0</v>
      </c>
      <c r="E75" s="7" t="n">
        <v>64</v>
      </c>
      <c r="F75" s="13" t="n">
        <v>0</v>
      </c>
      <c r="G75" s="6" t="n">
        <v>0</v>
      </c>
    </row>
    <row r="76" spans="1:12">
      <c r="A76" t="n">
        <v>65</v>
      </c>
      <c r="B76" s="11" t="n">
        <v>0</v>
      </c>
      <c r="C76" s="6" t="n">
        <v>0</v>
      </c>
      <c r="E76" s="7" t="n">
        <v>65</v>
      </c>
      <c r="F76" s="13" t="n">
        <v>0</v>
      </c>
      <c r="G76" s="6" t="n">
        <v>0</v>
      </c>
    </row>
    <row r="77" spans="1:12">
      <c r="A77" t="n">
        <v>66</v>
      </c>
      <c r="B77" s="11" t="n">
        <v>0</v>
      </c>
      <c r="C77" s="6" t="n">
        <v>0</v>
      </c>
      <c r="E77" s="7" t="n">
        <v>66</v>
      </c>
      <c r="F77" s="13" t="n">
        <v>1</v>
      </c>
      <c r="G77" s="6" t="n">
        <v>6.327151706116458e-06</v>
      </c>
    </row>
    <row r="78" spans="1:12">
      <c r="A78" t="n">
        <v>67</v>
      </c>
      <c r="B78" s="11" t="n">
        <v>0</v>
      </c>
      <c r="C78" s="6" t="n">
        <v>0</v>
      </c>
      <c r="E78" s="7" t="n">
        <v>67</v>
      </c>
      <c r="F78" s="13" t="n">
        <v>0</v>
      </c>
      <c r="G78" s="6" t="n">
        <v>0</v>
      </c>
    </row>
    <row r="79" spans="1:12">
      <c r="A79" t="n">
        <v>68</v>
      </c>
      <c r="B79" s="11" t="n">
        <v>0</v>
      </c>
      <c r="C79" s="6" t="n">
        <v>0</v>
      </c>
      <c r="E79" s="7" t="n">
        <v>68</v>
      </c>
      <c r="F79" s="13" t="n">
        <v>0</v>
      </c>
      <c r="G79" s="6" t="n">
        <v>0</v>
      </c>
    </row>
    <row r="80" spans="1:12">
      <c r="A80" t="n">
        <v>69</v>
      </c>
      <c r="B80" s="11" t="n">
        <v>0</v>
      </c>
      <c r="C80" s="6" t="n">
        <v>0</v>
      </c>
      <c r="E80" s="7" t="n">
        <v>69</v>
      </c>
      <c r="F80" s="13" t="n">
        <v>0</v>
      </c>
      <c r="G80" s="6" t="n">
        <v>0</v>
      </c>
    </row>
    <row r="81" spans="1:12">
      <c r="A81" t="n">
        <v>70</v>
      </c>
      <c r="B81" s="11" t="n">
        <v>0</v>
      </c>
      <c r="C81" s="6" t="n">
        <v>0</v>
      </c>
      <c r="E81" s="7" t="n">
        <v>70</v>
      </c>
      <c r="F81" s="13" t="n">
        <v>0</v>
      </c>
      <c r="G81" s="6" t="n">
        <v>0</v>
      </c>
    </row>
    <row r="82" spans="1:12">
      <c r="A82" t="n">
        <v>71</v>
      </c>
      <c r="B82" s="11" t="n">
        <v>0</v>
      </c>
      <c r="C82" s="6" t="n">
        <v>0</v>
      </c>
      <c r="E82" s="7" t="n">
        <v>71</v>
      </c>
      <c r="F82" s="13" t="n">
        <v>0</v>
      </c>
      <c r="G82" s="6" t="n">
        <v>0</v>
      </c>
    </row>
    <row r="83" spans="1:12">
      <c r="A83" t="n">
        <v>72</v>
      </c>
      <c r="B83" s="11" t="n">
        <v>0</v>
      </c>
      <c r="C83" s="6" t="n">
        <v>0</v>
      </c>
      <c r="E83" s="7" t="n">
        <v>72</v>
      </c>
      <c r="F83" s="13" t="n">
        <v>0</v>
      </c>
      <c r="G83" s="6" t="n">
        <v>0</v>
      </c>
    </row>
    <row r="84" spans="1:12">
      <c r="A84" t="n">
        <v>73</v>
      </c>
      <c r="B84" s="11" t="n">
        <v>0</v>
      </c>
      <c r="C84" s="6" t="n">
        <v>0</v>
      </c>
      <c r="E84" s="7" t="n">
        <v>73</v>
      </c>
      <c r="F84" s="13" t="n">
        <v>0</v>
      </c>
      <c r="G84" s="6" t="n">
        <v>0</v>
      </c>
    </row>
    <row r="85" spans="1:12">
      <c r="A85" t="n">
        <v>74</v>
      </c>
      <c r="B85" s="11" t="n">
        <v>0</v>
      </c>
      <c r="C85" s="6" t="n">
        <v>0</v>
      </c>
      <c r="E85" s="7" t="n">
        <v>74</v>
      </c>
      <c r="F85" s="13" t="n">
        <v>0</v>
      </c>
      <c r="G85" s="6" t="n">
        <v>0</v>
      </c>
    </row>
    <row r="86" spans="1:12">
      <c r="A86" t="n">
        <v>75</v>
      </c>
      <c r="B86" s="11" t="n">
        <v>0</v>
      </c>
      <c r="C86" s="6" t="n">
        <v>0</v>
      </c>
      <c r="E86" s="7" t="n">
        <v>75</v>
      </c>
      <c r="F86" s="13" t="n">
        <v>0</v>
      </c>
      <c r="G86" s="6" t="n">
        <v>0</v>
      </c>
    </row>
    <row r="87" spans="1:12">
      <c r="A87" t="n">
        <v>76</v>
      </c>
      <c r="B87" s="11" t="n">
        <v>0</v>
      </c>
      <c r="C87" s="6" t="n">
        <v>0</v>
      </c>
      <c r="E87" s="7" t="n">
        <v>76</v>
      </c>
      <c r="F87" s="13" t="n">
        <v>0</v>
      </c>
      <c r="G87" s="6" t="n">
        <v>0</v>
      </c>
    </row>
    <row r="88" spans="1:12">
      <c r="A88" t="n">
        <v>77</v>
      </c>
      <c r="B88" s="11" t="n">
        <v>0</v>
      </c>
      <c r="C88" s="6" t="n">
        <v>0</v>
      </c>
      <c r="E88" s="7" t="n">
        <v>77</v>
      </c>
      <c r="F88" s="13" t="n">
        <v>0</v>
      </c>
      <c r="G88" s="6" t="n">
        <v>0</v>
      </c>
    </row>
    <row r="89" spans="1:12">
      <c r="A89" t="n">
        <v>78</v>
      </c>
      <c r="B89" s="11" t="n">
        <v>0</v>
      </c>
      <c r="C89" s="6" t="n">
        <v>0</v>
      </c>
      <c r="E89" s="7" t="n">
        <v>78</v>
      </c>
      <c r="F89" s="13" t="n">
        <v>0</v>
      </c>
      <c r="G89" s="6" t="n">
        <v>0</v>
      </c>
    </row>
    <row r="90" spans="1:12">
      <c r="A90" t="n">
        <v>79</v>
      </c>
      <c r="B90" s="11" t="n">
        <v>0</v>
      </c>
      <c r="C90" s="6" t="n">
        <v>0</v>
      </c>
      <c r="E90" s="7" t="n">
        <v>79</v>
      </c>
      <c r="F90" s="13" t="n">
        <v>0</v>
      </c>
      <c r="G90" s="6" t="n">
        <v>0</v>
      </c>
    </row>
    <row r="91" spans="1:12">
      <c r="A91" t="n">
        <v>80</v>
      </c>
      <c r="B91" s="11" t="n">
        <v>0</v>
      </c>
      <c r="C91" s="6" t="n">
        <v>0</v>
      </c>
      <c r="E91" s="7" t="n">
        <v>80</v>
      </c>
      <c r="F91" s="13" t="n">
        <v>0</v>
      </c>
      <c r="G91" s="6" t="n">
        <v>0</v>
      </c>
    </row>
    <row r="92" spans="1:12">
      <c r="A92" t="n">
        <v>81</v>
      </c>
      <c r="B92" s="11" t="n">
        <v>0</v>
      </c>
      <c r="C92" s="6" t="n">
        <v>0</v>
      </c>
      <c r="E92" s="7" t="n">
        <v>81</v>
      </c>
      <c r="F92" s="13" t="n">
        <v>0</v>
      </c>
      <c r="G92" s="6" t="n">
        <v>0</v>
      </c>
    </row>
    <row r="93" spans="1:12">
      <c r="A93" t="n">
        <v>82</v>
      </c>
      <c r="B93" s="11" t="n">
        <v>0</v>
      </c>
      <c r="C93" s="6" t="n">
        <v>0</v>
      </c>
      <c r="E93" s="7" t="n">
        <v>82</v>
      </c>
      <c r="F93" s="13" t="n">
        <v>0</v>
      </c>
      <c r="G93" s="6" t="n">
        <v>0</v>
      </c>
    </row>
    <row r="94" spans="1:12">
      <c r="A94" t="n">
        <v>83</v>
      </c>
      <c r="B94" s="11" t="n">
        <v>0</v>
      </c>
      <c r="C94" s="6" t="n">
        <v>0</v>
      </c>
      <c r="E94" s="7" t="n">
        <v>83</v>
      </c>
      <c r="F94" s="13" t="n">
        <v>0</v>
      </c>
      <c r="G94" s="6" t="n">
        <v>0</v>
      </c>
    </row>
    <row r="95" spans="1:12">
      <c r="A95" t="n">
        <v>84</v>
      </c>
      <c r="B95" s="11" t="n">
        <v>0</v>
      </c>
      <c r="C95" s="6" t="n">
        <v>0</v>
      </c>
      <c r="E95" s="7" t="n">
        <v>84</v>
      </c>
      <c r="F95" s="13" t="n">
        <v>0</v>
      </c>
      <c r="G95" s="6" t="n">
        <v>0</v>
      </c>
    </row>
    <row r="96" spans="1:12">
      <c r="A96" t="n">
        <v>85</v>
      </c>
      <c r="B96" s="11" t="n">
        <v>0</v>
      </c>
      <c r="C96" s="6" t="n">
        <v>0</v>
      </c>
      <c r="E96" s="7" t="n">
        <v>85</v>
      </c>
      <c r="F96" s="13" t="n">
        <v>0</v>
      </c>
      <c r="G96" s="6" t="n">
        <v>0</v>
      </c>
    </row>
    <row r="97" spans="1:12">
      <c r="A97" t="n">
        <v>86</v>
      </c>
      <c r="B97" s="11" t="n">
        <v>0</v>
      </c>
      <c r="C97" s="6" t="n">
        <v>0</v>
      </c>
      <c r="E97" s="7" t="n">
        <v>86</v>
      </c>
      <c r="F97" s="13" t="n">
        <v>0</v>
      </c>
      <c r="G97" s="6" t="n">
        <v>0</v>
      </c>
    </row>
    <row r="98" spans="1:12">
      <c r="A98" t="n">
        <v>87</v>
      </c>
      <c r="B98" s="11" t="n">
        <v>0</v>
      </c>
      <c r="C98" s="6" t="n">
        <v>0</v>
      </c>
      <c r="E98" s="7" t="n">
        <v>87</v>
      </c>
      <c r="F98" s="13" t="n">
        <v>0</v>
      </c>
      <c r="G98" s="6" t="n">
        <v>0</v>
      </c>
    </row>
    <row r="99" spans="1:12">
      <c r="A99" t="n">
        <v>88</v>
      </c>
      <c r="B99" s="11" t="n">
        <v>0</v>
      </c>
      <c r="C99" s="6" t="n">
        <v>0</v>
      </c>
      <c r="E99" s="7" t="n">
        <v>88</v>
      </c>
      <c r="F99" s="13" t="n">
        <v>0</v>
      </c>
      <c r="G99" s="6" t="n">
        <v>0</v>
      </c>
    </row>
    <row r="100" spans="1:12">
      <c r="A100" t="n">
        <v>89</v>
      </c>
      <c r="B100" s="11" t="n">
        <v>0</v>
      </c>
      <c r="C100" s="6" t="n">
        <v>0</v>
      </c>
      <c r="E100" s="7" t="n">
        <v>89</v>
      </c>
      <c r="F100" s="13" t="n">
        <v>0</v>
      </c>
      <c r="G100" s="6" t="n">
        <v>0</v>
      </c>
    </row>
    <row customHeight="1" ht="15.75" r="101" s="10" spans="1:12">
      <c r="A101" s="1" t="n">
        <v>90</v>
      </c>
      <c r="B101" s="12" t="n">
        <v>0</v>
      </c>
      <c r="C101" s="6" t="n">
        <v>0</v>
      </c>
      <c r="E101" s="8" t="n">
        <v>90</v>
      </c>
      <c r="F101" s="14" t="n">
        <v>0</v>
      </c>
      <c r="G101" s="6" t="n">
        <v>0</v>
      </c>
    </row>
    <row r="102" spans="1:12">
      <c r="B102" s="11" t="n">
        <v>196300.7782492852</v>
      </c>
      <c r="C102" s="6" t="n">
        <v>1</v>
      </c>
      <c r="F102" s="11" t="n">
        <v>158049</v>
      </c>
      <c r="G102" s="6" t="n">
        <v>1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Bhargava Sana</dc:creator>
  <dcterms:created xmlns:dcterms="http://purl.org/dc/terms/" xmlns:xsi="http://www.w3.org/2001/XMLSchema-instance" xsi:type="dcterms:W3CDTF">2011-01-31T15:16:09Z</dcterms:created>
  <dcterms:modified xmlns:dcterms="http://purl.org/dc/terms/" xmlns:xsi="http://www.w3.org/2001/XMLSchema-instance" xsi:type="dcterms:W3CDTF">2017-07-06T17:37:10Z</dcterms:modified>
  <cp:lastModifiedBy>Nagendra Dhakar</cp:lastModifiedBy>
</cp:coreProperties>
</file>