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5835" windowWidth="29040" windowHeight="15840" tabRatio="600" firstSheet="0" activeTab="4" autoFilterDateGrouping="1"/>
  </bookViews>
  <sheets>
    <sheet xmlns:r="http://schemas.openxmlformats.org/officeDocument/2006/relationships" name="All Purposes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.0%"/>
    <numFmt numFmtId="165" formatCode="_(* #,##0_);_(* \(#,##0\);_(* &quot;-&quot;??_);_(@_)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0499893185216834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2" fillId="0" borderId="0"/>
    <xf numFmtId="0" fontId="2" fillId="0" borderId="0"/>
    <xf numFmtId="0" fontId="1" fillId="0" borderId="0"/>
    <xf numFmtId="0" fontId="2" fillId="2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7">
    <xf numFmtId="0" fontId="0" fillId="0" borderId="0" pivotButton="0" quotePrefix="0" xfId="0"/>
    <xf numFmtId="0" fontId="1" fillId="0" borderId="1" pivotButton="0" quotePrefix="0" xfId="0"/>
    <xf numFmtId="0" fontId="0" fillId="0" borderId="1" pivotButton="0" quotePrefix="0" xfId="0"/>
    <xf numFmtId="0" fontId="1" fillId="0" borderId="0" pivotButton="0" quotePrefix="0" xfId="0"/>
    <xf numFmtId="0" fontId="0" fillId="0" borderId="2" pivotButton="0" quotePrefix="0" xfId="0"/>
    <xf numFmtId="0" fontId="0" fillId="0" borderId="2" applyAlignment="1" pivotButton="0" quotePrefix="0" xfId="0">
      <alignment horizontal="center"/>
    </xf>
    <xf numFmtId="3" fontId="0" fillId="0" borderId="0" pivotButton="0" quotePrefix="0" xfId="0"/>
    <xf numFmtId="3" fontId="0" fillId="0" borderId="1" pivotButton="0" quotePrefix="0" xfId="0"/>
    <xf numFmtId="0" fontId="0" fillId="0" borderId="3" pivotButton="0" quotePrefix="0" xfId="0"/>
    <xf numFmtId="164" fontId="0" fillId="0" borderId="2" pivotButton="0" quotePrefix="0" xfId="0"/>
    <xf numFmtId="164" fontId="0" fillId="0" borderId="3" pivotButton="0" quotePrefix="0" xfId="0"/>
    <xf numFmtId="3" fontId="0" fillId="0" borderId="3" pivotButton="0" quotePrefix="0" xfId="0"/>
    <xf numFmtId="164" fontId="0" fillId="0" borderId="0" pivotButton="0" quotePrefix="0" xfId="0"/>
    <xf numFmtId="0" fontId="1" fillId="2" borderId="1" pivotButton="0" quotePrefix="0" xfId="0"/>
    <xf numFmtId="165" fontId="2" fillId="0" borderId="0" pivotButton="0" quotePrefix="0" xfId="7"/>
    <xf numFmtId="0" fontId="0" fillId="2" borderId="1" pivotButton="0" quotePrefix="0" xfId="0"/>
    <xf numFmtId="0" fontId="3" fillId="3" borderId="0" pivotButton="0" quotePrefix="0" xfId="0"/>
    <xf numFmtId="0" fontId="4" fillId="3" borderId="2" pivotButton="0" quotePrefix="0" xfId="0"/>
    <xf numFmtId="0" fontId="4" fillId="3" borderId="2" applyAlignment="1" pivotButton="0" quotePrefix="0" xfId="0">
      <alignment horizontal="center"/>
    </xf>
    <xf numFmtId="0" fontId="0" fillId="2" borderId="0" pivotButton="0" quotePrefix="0" xfId="0"/>
    <xf numFmtId="164" fontId="0" fillId="2" borderId="0" pivotButton="0" quotePrefix="0" xfId="0"/>
    <xf numFmtId="0" fontId="0" fillId="4" borderId="0" pivotButton="0" quotePrefix="0" xfId="0"/>
    <xf numFmtId="0" fontId="0" fillId="2" borderId="2" pivotButton="0" quotePrefix="0" xfId="0"/>
    <xf numFmtId="3" fontId="0" fillId="4" borderId="1" pivotButton="0" quotePrefix="0" xfId="0"/>
    <xf numFmtId="164" fontId="0" fillId="4" borderId="3" pivotButton="0" quotePrefix="0" xfId="0"/>
    <xf numFmtId="0" fontId="0" fillId="0" borderId="4" applyAlignment="1" pivotButton="0" quotePrefix="0" xfId="0">
      <alignment horizontal="center"/>
    </xf>
    <xf numFmtId="0" fontId="1" fillId="2" borderId="0" pivotButton="0" quotePrefix="0" xfId="0"/>
    <xf numFmtId="165" fontId="2" fillId="0" borderId="3" pivotButton="0" quotePrefix="0" xfId="7"/>
    <xf numFmtId="0" fontId="0" fillId="0" borderId="0" applyAlignment="1" pivotButton="0" quotePrefix="0" xfId="0">
      <alignment horizontal="center"/>
    </xf>
    <xf numFmtId="0" fontId="4" fillId="3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1" applyAlignment="1" pivotButton="0" quotePrefix="0" xfId="0">
      <alignment horizontal="center"/>
    </xf>
    <xf numFmtId="0" fontId="4" fillId="3" borderId="0" applyAlignment="1" pivotButton="0" quotePrefix="0" xfId="0">
      <alignment horizontal="center"/>
    </xf>
    <xf numFmtId="0" fontId="0" fillId="0" borderId="0" pivotButton="0" quotePrefix="0" xfId="0"/>
    <xf numFmtId="0" fontId="4" fillId="3" borderId="0" pivotButton="0" quotePrefix="0" xfId="0"/>
  </cellXfs>
  <cellStyles count="8">
    <cellStyle name="Normal" xfId="0" builtinId="0"/>
    <cellStyle name="XLConnect.DateTime" xfId="1"/>
    <cellStyle name="XLConnect.General" xfId="2"/>
    <cellStyle name="XLConnect.Header" xfId="3"/>
    <cellStyle name="XLConnect.Date" xfId="4"/>
    <cellStyle name="XLConnect.Boolean" xfId="5"/>
    <cellStyle name="XLConnect.Numeric" xfId="6"/>
    <cellStyle name="XLConnect.String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X38"/>
  <sheetViews>
    <sheetView workbookViewId="0">
      <selection activeCell="B5" sqref="B5"/>
    </sheetView>
  </sheetViews>
  <sheetFormatPr baseColWidth="8" defaultColWidth="11.3984375" defaultRowHeight="14.25"/>
  <cols>
    <col collapsed="1" width="14.1328125" customWidth="1" style="35" min="1" max="1"/>
    <col collapsed="1" width="10.73046875" customWidth="1" style="35" min="2" max="10"/>
    <col hidden="1" collapsed="1" width="3.73046875" customWidth="1" style="35" min="11" max="11"/>
    <col hidden="1" collapsed="1" width="25" customWidth="1" style="35" min="12" max="12"/>
    <col hidden="1" collapsed="1" width="10.73046875" customWidth="1" style="35" min="13" max="20"/>
    <col collapsed="1" width="10.73046875" customWidth="1" style="35" min="21" max="21"/>
    <col collapsed="1" width="15.73046875" bestFit="1" customWidth="1" style="35" min="22" max="22"/>
    <col collapsed="1" width="17" customWidth="1" style="35" min="23" max="23"/>
    <col width="16" bestFit="1" customWidth="1" style="35" min="24" max="24"/>
  </cols>
  <sheetData>
    <row r="2" ht="15.75" customHeight="1" s="35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Work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</row>
    <row r="3" hidden="1" s="35">
      <c r="A3" s="3" t="n"/>
      <c r="B3" s="31" t="inlineStr">
        <is>
          <t>All Purposes Tour Mode</t>
        </is>
      </c>
      <c r="J3" s="31" t="n"/>
      <c r="L3" s="3" t="n"/>
      <c r="M3" s="31" t="inlineStr">
        <is>
          <t>All Purposes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Survey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25" t="inlineStr">
        <is>
          <t>SoundCast</t>
        </is>
      </c>
      <c r="V4" s="25" t="inlineStr">
        <is>
          <t>BKRCast_All</t>
        </is>
      </c>
      <c r="W4" s="25" t="inlineStr">
        <is>
          <t>BKRCast_InBKR</t>
        </is>
      </c>
      <c r="X4" s="25" t="inlineStr">
        <is>
          <t>BKRCast_OutBKR</t>
        </is>
      </c>
    </row>
    <row r="5">
      <c r="A5" t="inlineStr">
        <is>
          <t>Drive Alone</t>
        </is>
      </c>
      <c r="B5" s="6">
        <f>SUM(#REF!,#REF!,#REF!,#REF!,#REF!,#REF!,#REF!,#REF!)</f>
        <v/>
      </c>
      <c r="C5" s="6">
        <f>SUM(#REF!,#REF!,#REF!,#REF!,#REF!,#REF!,#REF!,#REF!)</f>
        <v/>
      </c>
      <c r="D5" s="6">
        <f>SUM(#REF!,#REF!,#REF!,#REF!,#REF!,#REF!,#REF!,#REF!)</f>
        <v/>
      </c>
      <c r="E5" s="6">
        <f>SUM(#REF!,#REF!,#REF!,#REF!,#REF!,#REF!,#REF!,#REF!)</f>
        <v/>
      </c>
      <c r="F5" s="6">
        <f>SUM(#REF!,#REF!,#REF!,#REF!,#REF!,#REF!,#REF!,#REF!)</f>
        <v/>
      </c>
      <c r="G5" s="6">
        <f>SUM(#REF!,#REF!,#REF!,#REF!,#REF!,#REF!,#REF!,#REF!)</f>
        <v/>
      </c>
      <c r="H5" s="6">
        <f>SUM(#REF!,#REF!,#REF!,#REF!,#REF!,#REF!,#REF!,#REF!)</f>
        <v/>
      </c>
      <c r="I5" s="6">
        <f>SUM(#REF!,#REF!,#REF!,#REF!,#REF!,#REF!,#REF!,#REF!)</f>
        <v/>
      </c>
      <c r="J5" s="6">
        <f>bkrcast_all!J5</f>
        <v/>
      </c>
      <c r="K5" s="6" t="n"/>
      <c r="L5" t="inlineStr">
        <is>
          <t>Drive Alone</t>
        </is>
      </c>
      <c r="M5" s="6">
        <f>SUM(#REF!,#REF!,#REF!,#REF!,#REF!,#REF!,#REF!,#REF!)</f>
        <v/>
      </c>
      <c r="N5" s="6">
        <f>SUM(#REF!,#REF!,#REF!,#REF!,#REF!,#REF!,#REF!,#REF!)</f>
        <v/>
      </c>
      <c r="O5" s="6">
        <f>SUM(#REF!,#REF!,#REF!,#REF!,#REF!,#REF!,#REF!,#REF!)</f>
        <v/>
      </c>
      <c r="P5" s="6">
        <f>SUM(#REF!,#REF!,#REF!,#REF!,#REF!,#REF!,#REF!,#REF!)</f>
        <v/>
      </c>
      <c r="Q5" s="6">
        <f>SUM(#REF!,#REF!,#REF!,#REF!,#REF!,#REF!,#REF!,#REF!)</f>
        <v/>
      </c>
      <c r="R5" s="6">
        <f>SUM(#REF!,#REF!,#REF!,#REF!,#REF!,#REF!,#REF!,#REF!)</f>
        <v/>
      </c>
      <c r="S5" s="6">
        <f>SUM(#REF!,#REF!,#REF!,#REF!,#REF!,#REF!,#REF!,#REF!)</f>
        <v/>
      </c>
      <c r="T5" s="6">
        <f>SUM(#REF!,#REF!,#REF!,#REF!,#REF!,#REF!,#REF!,#REF!)</f>
        <v/>
      </c>
      <c r="U5" s="6">
        <f>soundcast!U5</f>
        <v/>
      </c>
      <c r="V5" s="14">
        <f>bkrcast_all!U5</f>
        <v/>
      </c>
      <c r="W5" s="14">
        <f>bkrcast_inbkr!U5</f>
        <v/>
      </c>
      <c r="X5" s="6">
        <f>bkrcast_outbkr!U5</f>
        <v/>
      </c>
    </row>
    <row r="6">
      <c r="A6" t="inlineStr">
        <is>
          <t>SR2</t>
        </is>
      </c>
      <c r="B6" s="6">
        <f>SUM(#REF!,#REF!,#REF!,#REF!,#REF!,#REF!,#REF!,#REF!)</f>
        <v/>
      </c>
      <c r="C6" s="6">
        <f>SUM(#REF!,#REF!,#REF!,#REF!,#REF!,#REF!,#REF!,#REF!)</f>
        <v/>
      </c>
      <c r="D6" s="6">
        <f>SUM(#REF!,#REF!,#REF!,#REF!,#REF!,#REF!,#REF!,#REF!)</f>
        <v/>
      </c>
      <c r="E6" s="6">
        <f>SUM(#REF!,#REF!,#REF!,#REF!,#REF!,#REF!,#REF!,#REF!)</f>
        <v/>
      </c>
      <c r="F6" s="6">
        <f>SUM(#REF!,#REF!,#REF!,#REF!,#REF!,#REF!,#REF!,#REF!)</f>
        <v/>
      </c>
      <c r="G6" s="6">
        <f>SUM(#REF!,#REF!,#REF!,#REF!,#REF!,#REF!,#REF!,#REF!)</f>
        <v/>
      </c>
      <c r="H6" s="6">
        <f>SUM(#REF!,#REF!,#REF!,#REF!,#REF!,#REF!,#REF!,#REF!)</f>
        <v/>
      </c>
      <c r="I6" s="6">
        <f>SUM(#REF!,#REF!,#REF!,#REF!,#REF!,#REF!,#REF!,#REF!)</f>
        <v/>
      </c>
      <c r="J6" s="6">
        <f>bkrcast_all!J6</f>
        <v/>
      </c>
      <c r="K6" s="6" t="n"/>
      <c r="L6" t="inlineStr">
        <is>
          <t>SR2</t>
        </is>
      </c>
      <c r="M6" s="6">
        <f>SUM(#REF!,#REF!,#REF!,#REF!,#REF!,#REF!,#REF!,#REF!)</f>
        <v/>
      </c>
      <c r="N6" s="6">
        <f>SUM(#REF!,#REF!,#REF!,#REF!,#REF!,#REF!,#REF!,#REF!)</f>
        <v/>
      </c>
      <c r="O6" s="6">
        <f>SUM(#REF!,#REF!,#REF!,#REF!,#REF!,#REF!,#REF!,#REF!)</f>
        <v/>
      </c>
      <c r="P6" s="6">
        <f>SUM(#REF!,#REF!,#REF!,#REF!,#REF!,#REF!,#REF!,#REF!)</f>
        <v/>
      </c>
      <c r="Q6" s="6">
        <f>SUM(#REF!,#REF!,#REF!,#REF!,#REF!,#REF!,#REF!,#REF!)</f>
        <v/>
      </c>
      <c r="R6" s="6">
        <f>SUM(#REF!,#REF!,#REF!,#REF!,#REF!,#REF!,#REF!,#REF!)</f>
        <v/>
      </c>
      <c r="S6" s="6">
        <f>SUM(#REF!,#REF!,#REF!,#REF!,#REF!,#REF!,#REF!,#REF!)</f>
        <v/>
      </c>
      <c r="T6" s="6">
        <f>SUM(#REF!,#REF!,#REF!,#REF!,#REF!,#REF!,#REF!,#REF!)</f>
        <v/>
      </c>
      <c r="U6" s="6">
        <f>soundcast!U6</f>
        <v/>
      </c>
      <c r="V6" s="14">
        <f>bkrcast_all!U6</f>
        <v/>
      </c>
      <c r="W6" s="14">
        <f>bkrcast_inbkr!U6</f>
        <v/>
      </c>
      <c r="X6" s="6">
        <f>bkrcast_outbkr!U6</f>
        <v/>
      </c>
    </row>
    <row r="7">
      <c r="A7" t="inlineStr">
        <is>
          <t>SR3</t>
        </is>
      </c>
      <c r="B7" s="6">
        <f>SUM(#REF!,#REF!,#REF!,#REF!,#REF!,#REF!,#REF!,#REF!)</f>
        <v/>
      </c>
      <c r="C7" s="6">
        <f>SUM(#REF!,#REF!,#REF!,#REF!,#REF!,#REF!,#REF!,#REF!)</f>
        <v/>
      </c>
      <c r="D7" s="6">
        <f>SUM(#REF!,#REF!,#REF!,#REF!,#REF!,#REF!,#REF!,#REF!)</f>
        <v/>
      </c>
      <c r="E7" s="6">
        <f>SUM(#REF!,#REF!,#REF!,#REF!,#REF!,#REF!,#REF!,#REF!)</f>
        <v/>
      </c>
      <c r="F7" s="6">
        <f>SUM(#REF!,#REF!,#REF!,#REF!,#REF!,#REF!,#REF!,#REF!)</f>
        <v/>
      </c>
      <c r="G7" s="6">
        <f>SUM(#REF!,#REF!,#REF!,#REF!,#REF!,#REF!,#REF!,#REF!)</f>
        <v/>
      </c>
      <c r="H7" s="6">
        <f>SUM(#REF!,#REF!,#REF!,#REF!,#REF!,#REF!,#REF!,#REF!)</f>
        <v/>
      </c>
      <c r="I7" s="6">
        <f>SUM(#REF!,#REF!,#REF!,#REF!,#REF!,#REF!,#REF!,#REF!)</f>
        <v/>
      </c>
      <c r="J7" s="6">
        <f>bkrcast_all!J7</f>
        <v/>
      </c>
      <c r="K7" s="6" t="n"/>
      <c r="L7" t="inlineStr">
        <is>
          <t>SR3</t>
        </is>
      </c>
      <c r="M7" s="6">
        <f>SUM(#REF!,#REF!,#REF!,#REF!,#REF!,#REF!,#REF!,#REF!)</f>
        <v/>
      </c>
      <c r="N7" s="6">
        <f>SUM(#REF!,#REF!,#REF!,#REF!,#REF!,#REF!,#REF!,#REF!)</f>
        <v/>
      </c>
      <c r="O7" s="6">
        <f>SUM(#REF!,#REF!,#REF!,#REF!,#REF!,#REF!,#REF!,#REF!)</f>
        <v/>
      </c>
      <c r="P7" s="6">
        <f>SUM(#REF!,#REF!,#REF!,#REF!,#REF!,#REF!,#REF!,#REF!)</f>
        <v/>
      </c>
      <c r="Q7" s="6">
        <f>SUM(#REF!,#REF!,#REF!,#REF!,#REF!,#REF!,#REF!,#REF!)</f>
        <v/>
      </c>
      <c r="R7" s="6">
        <f>SUM(#REF!,#REF!,#REF!,#REF!,#REF!,#REF!,#REF!,#REF!)</f>
        <v/>
      </c>
      <c r="S7" s="6">
        <f>SUM(#REF!,#REF!,#REF!,#REF!,#REF!,#REF!,#REF!,#REF!)</f>
        <v/>
      </c>
      <c r="T7" s="6">
        <f>SUM(#REF!,#REF!,#REF!,#REF!,#REF!,#REF!,#REF!,#REF!)</f>
        <v/>
      </c>
      <c r="U7" s="6">
        <f>soundcast!U7</f>
        <v/>
      </c>
      <c r="V7" s="14">
        <f>bkrcast_all!U7</f>
        <v/>
      </c>
      <c r="W7" s="14">
        <f>bkrcast_inbkr!U7</f>
        <v/>
      </c>
      <c r="X7" s="6">
        <f>bkrcast_outbkr!U7</f>
        <v/>
      </c>
    </row>
    <row r="8">
      <c r="A8" t="inlineStr">
        <is>
          <t>Transit</t>
        </is>
      </c>
      <c r="B8" s="6">
        <f>SUM(#REF!,#REF!,#REF!,#REF!,#REF!,#REF!,#REF!,#REF!)</f>
        <v/>
      </c>
      <c r="C8" s="6">
        <f>SUM(#REF!,#REF!,#REF!,#REF!,#REF!,#REF!,#REF!,#REF!)</f>
        <v/>
      </c>
      <c r="D8" s="6">
        <f>SUM(#REF!,#REF!,#REF!,#REF!,#REF!,#REF!,#REF!,#REF!)</f>
        <v/>
      </c>
      <c r="E8" s="6">
        <f>SUM(#REF!,#REF!,#REF!,#REF!,#REF!,#REF!,#REF!,#REF!)</f>
        <v/>
      </c>
      <c r="F8" s="6">
        <f>SUM(#REF!,#REF!,#REF!,#REF!,#REF!,#REF!,#REF!,#REF!)</f>
        <v/>
      </c>
      <c r="G8" s="6">
        <f>SUM(#REF!,#REF!,#REF!,#REF!,#REF!,#REF!,#REF!,#REF!)</f>
        <v/>
      </c>
      <c r="H8" s="6">
        <f>SUM(#REF!,#REF!,#REF!,#REF!,#REF!,#REF!,#REF!,#REF!)</f>
        <v/>
      </c>
      <c r="I8" s="6">
        <f>SUM(#REF!,#REF!,#REF!,#REF!,#REF!,#REF!,#REF!,#REF!)</f>
        <v/>
      </c>
      <c r="J8" s="6">
        <f>bkrcast_all!J8+bkrcast_all!J9</f>
        <v/>
      </c>
      <c r="K8" s="6" t="n"/>
      <c r="L8" t="inlineStr">
        <is>
          <t>Transit - localbus</t>
        </is>
      </c>
      <c r="M8" s="6">
        <f>SUM(#REF!,#REF!,#REF!,#REF!,#REF!,#REF!,#REF!,#REF!)</f>
        <v/>
      </c>
      <c r="N8" s="6">
        <f>SUM(#REF!,#REF!,#REF!,#REF!,#REF!,#REF!,#REF!,#REF!)</f>
        <v/>
      </c>
      <c r="O8" s="6">
        <f>SUM(#REF!,#REF!,#REF!,#REF!,#REF!,#REF!,#REF!,#REF!)</f>
        <v/>
      </c>
      <c r="P8" s="6">
        <f>SUM(#REF!,#REF!,#REF!,#REF!,#REF!,#REF!,#REF!,#REF!)</f>
        <v/>
      </c>
      <c r="Q8" s="6">
        <f>SUM(#REF!,#REF!,#REF!,#REF!,#REF!,#REF!,#REF!,#REF!)</f>
        <v/>
      </c>
      <c r="R8" s="6">
        <f>SUM(#REF!,#REF!,#REF!,#REF!,#REF!,#REF!,#REF!,#REF!)</f>
        <v/>
      </c>
      <c r="S8" s="6">
        <f>SUM(#REF!,#REF!,#REF!,#REF!,#REF!,#REF!,#REF!,#REF!)</f>
        <v/>
      </c>
      <c r="T8" s="6">
        <f>SUM(#REF!,#REF!,#REF!,#REF!,#REF!,#REF!,#REF!,#REF!)</f>
        <v/>
      </c>
      <c r="U8" s="6">
        <f>soundcast!U8+soundcast!U9</f>
        <v/>
      </c>
      <c r="V8" s="14">
        <f>bkrcast_all!U8+bkrcast_all!U9</f>
        <v/>
      </c>
      <c r="W8" s="14">
        <f>bkrcast_inbkr!U8+bkrcast_inbkr!U9</f>
        <v/>
      </c>
      <c r="X8" s="6">
        <f>bkrcast_outbkr!U8+bkrcast_outbkr!U9</f>
        <v/>
      </c>
    </row>
    <row r="9">
      <c r="A9" t="inlineStr">
        <is>
          <t>School Bus</t>
        </is>
      </c>
      <c r="B9" s="6">
        <f>SUM(#REF!,#REF!,#REF!,#REF!,#REF!,#REF!,#REF!,#REF!)</f>
        <v/>
      </c>
      <c r="C9" s="6">
        <f>SUM(#REF!,#REF!,#REF!,#REF!,#REF!,#REF!,#REF!,#REF!)</f>
        <v/>
      </c>
      <c r="D9" s="6">
        <f>SUM(#REF!,#REF!,#REF!,#REF!,#REF!,#REF!,#REF!,#REF!)</f>
        <v/>
      </c>
      <c r="E9" s="6">
        <f>SUM(#REF!,#REF!,#REF!,#REF!,#REF!,#REF!,#REF!,#REF!)</f>
        <v/>
      </c>
      <c r="F9" s="6">
        <f>SUM(#REF!,#REF!,#REF!,#REF!,#REF!,#REF!,#REF!,#REF!)</f>
        <v/>
      </c>
      <c r="G9" s="6">
        <f>SUM(#REF!,#REF!,#REF!,#REF!,#REF!,#REF!,#REF!,#REF!)</f>
        <v/>
      </c>
      <c r="H9" s="6">
        <f>SUM(#REF!,#REF!,#REF!,#REF!,#REF!,#REF!,#REF!,#REF!)</f>
        <v/>
      </c>
      <c r="I9" s="6">
        <f>SUM(#REF!,#REF!,#REF!,#REF!,#REF!,#REF!,#REF!,#REF!)</f>
        <v/>
      </c>
      <c r="J9" s="6">
        <f>bkrcast_all!J13</f>
        <v/>
      </c>
      <c r="K9" s="6" t="n"/>
      <c r="L9" t="inlineStr">
        <is>
          <t>School Bus</t>
        </is>
      </c>
      <c r="M9" s="6">
        <f>SUM(#REF!,#REF!,#REF!,#REF!,#REF!,#REF!,#REF!,#REF!)</f>
        <v/>
      </c>
      <c r="N9" s="6">
        <f>SUM(#REF!,#REF!,#REF!,#REF!,#REF!,#REF!,#REF!,#REF!)</f>
        <v/>
      </c>
      <c r="O9" s="6">
        <f>SUM(#REF!,#REF!,#REF!,#REF!,#REF!,#REF!,#REF!,#REF!)</f>
        <v/>
      </c>
      <c r="P9" s="6">
        <f>SUM(#REF!,#REF!,#REF!,#REF!,#REF!,#REF!,#REF!,#REF!)</f>
        <v/>
      </c>
      <c r="Q9" s="6">
        <f>SUM(#REF!,#REF!,#REF!,#REF!,#REF!,#REF!,#REF!,#REF!)</f>
        <v/>
      </c>
      <c r="R9" s="6">
        <f>SUM(#REF!,#REF!,#REF!,#REF!,#REF!,#REF!,#REF!,#REF!)</f>
        <v/>
      </c>
      <c r="S9" s="6">
        <f>SUM(#REF!,#REF!,#REF!,#REF!,#REF!,#REF!,#REF!,#REF!)</f>
        <v/>
      </c>
      <c r="T9" s="6">
        <f>SUM(#REF!,#REF!,#REF!,#REF!,#REF!,#REF!,#REF!,#REF!)</f>
        <v/>
      </c>
      <c r="U9" s="6">
        <f>soundcast!U13</f>
        <v/>
      </c>
      <c r="V9" s="14">
        <f>bkrcast_all!U13</f>
        <v/>
      </c>
      <c r="W9" s="14">
        <f>bkrcast_inbkr!U13</f>
        <v/>
      </c>
      <c r="X9" s="6">
        <f>bkrcast_outbkr!U13</f>
        <v/>
      </c>
    </row>
    <row r="10">
      <c r="A10" t="inlineStr">
        <is>
          <t>Bike</t>
        </is>
      </c>
      <c r="B10" s="6">
        <f>SUM(#REF!,#REF!,#REF!,#REF!,#REF!,#REF!,#REF!,#REF!)</f>
        <v/>
      </c>
      <c r="C10" s="6">
        <f>SUM(#REF!,#REF!,#REF!,#REF!,#REF!,#REF!,#REF!,#REF!)</f>
        <v/>
      </c>
      <c r="D10" s="6">
        <f>SUM(#REF!,#REF!,#REF!,#REF!,#REF!,#REF!,#REF!,#REF!)</f>
        <v/>
      </c>
      <c r="E10" s="6">
        <f>SUM(#REF!,#REF!,#REF!,#REF!,#REF!,#REF!,#REF!,#REF!)</f>
        <v/>
      </c>
      <c r="F10" s="6">
        <f>SUM(#REF!,#REF!,#REF!,#REF!,#REF!,#REF!,#REF!,#REF!)</f>
        <v/>
      </c>
      <c r="G10" s="6">
        <f>SUM(#REF!,#REF!,#REF!,#REF!,#REF!,#REF!,#REF!,#REF!)</f>
        <v/>
      </c>
      <c r="H10" s="6">
        <f>SUM(#REF!,#REF!,#REF!,#REF!,#REF!,#REF!,#REF!,#REF!)</f>
        <v/>
      </c>
      <c r="I10" s="6">
        <f>SUM(#REF!,#REF!,#REF!,#REF!,#REF!,#REF!,#REF!,#REF!)</f>
        <v/>
      </c>
      <c r="J10" s="6">
        <f>bkrcast_all!J14</f>
        <v/>
      </c>
      <c r="K10" s="6" t="n"/>
      <c r="L10" t="inlineStr">
        <is>
          <t>Bike</t>
        </is>
      </c>
      <c r="M10" s="6">
        <f>SUM(#REF!,#REF!,#REF!,#REF!,#REF!,#REF!,#REF!,#REF!)</f>
        <v/>
      </c>
      <c r="N10" s="6">
        <f>SUM(#REF!,#REF!,#REF!,#REF!,#REF!,#REF!,#REF!,#REF!)</f>
        <v/>
      </c>
      <c r="O10" s="6">
        <f>SUM(#REF!,#REF!,#REF!,#REF!,#REF!,#REF!,#REF!,#REF!)</f>
        <v/>
      </c>
      <c r="P10" s="6">
        <f>SUM(#REF!,#REF!,#REF!,#REF!,#REF!,#REF!,#REF!,#REF!)</f>
        <v/>
      </c>
      <c r="Q10" s="6">
        <f>SUM(#REF!,#REF!,#REF!,#REF!,#REF!,#REF!,#REF!,#REF!)</f>
        <v/>
      </c>
      <c r="R10" s="6">
        <f>SUM(#REF!,#REF!,#REF!,#REF!,#REF!,#REF!,#REF!,#REF!)</f>
        <v/>
      </c>
      <c r="S10" s="6">
        <f>SUM(#REF!,#REF!,#REF!,#REF!,#REF!,#REF!,#REF!,#REF!)</f>
        <v/>
      </c>
      <c r="T10" s="6">
        <f>SUM(#REF!,#REF!,#REF!,#REF!,#REF!,#REF!,#REF!,#REF!)</f>
        <v/>
      </c>
      <c r="U10" s="6">
        <f>soundcast!U14</f>
        <v/>
      </c>
      <c r="V10" s="14">
        <f>bkrcast_all!U14</f>
        <v/>
      </c>
      <c r="W10" s="14">
        <f>bkrcast_inbkr!U14</f>
        <v/>
      </c>
      <c r="X10" s="6">
        <f>bkrcast_outbkr!U14</f>
        <v/>
      </c>
    </row>
    <row r="11">
      <c r="A11" s="4" t="inlineStr">
        <is>
          <t>Walk</t>
        </is>
      </c>
      <c r="B11" s="6">
        <f>SUM(#REF!,#REF!,#REF!,#REF!,#REF!,#REF!,#REF!,#REF!)</f>
        <v/>
      </c>
      <c r="C11" s="6">
        <f>SUM(#REF!,#REF!,#REF!,#REF!,#REF!,#REF!,#REF!,#REF!)</f>
        <v/>
      </c>
      <c r="D11" s="6">
        <f>SUM(#REF!,#REF!,#REF!,#REF!,#REF!,#REF!,#REF!,#REF!)</f>
        <v/>
      </c>
      <c r="E11" s="6">
        <f>SUM(#REF!,#REF!,#REF!,#REF!,#REF!,#REF!,#REF!,#REF!)</f>
        <v/>
      </c>
      <c r="F11" s="6">
        <f>SUM(#REF!,#REF!,#REF!,#REF!,#REF!,#REF!,#REF!,#REF!)</f>
        <v/>
      </c>
      <c r="G11" s="6">
        <f>SUM(#REF!,#REF!,#REF!,#REF!,#REF!,#REF!,#REF!,#REF!)</f>
        <v/>
      </c>
      <c r="H11" s="6">
        <f>SUM(#REF!,#REF!,#REF!,#REF!,#REF!,#REF!,#REF!,#REF!)</f>
        <v/>
      </c>
      <c r="I11" s="6">
        <f>SUM(#REF!,#REF!,#REF!,#REF!,#REF!,#REF!,#REF!,#REF!)</f>
        <v/>
      </c>
      <c r="J11" s="6">
        <f>bkrcast_all!J15</f>
        <v/>
      </c>
      <c r="K11" s="6" t="n"/>
      <c r="L11" s="4" t="inlineStr">
        <is>
          <t>Walk</t>
        </is>
      </c>
      <c r="M11" s="6">
        <f>SUM(#REF!,#REF!,#REF!,#REF!,#REF!,#REF!,#REF!,#REF!)</f>
        <v/>
      </c>
      <c r="N11" s="6">
        <f>SUM(#REF!,#REF!,#REF!,#REF!,#REF!,#REF!,#REF!,#REF!)</f>
        <v/>
      </c>
      <c r="O11" s="6">
        <f>SUM(#REF!,#REF!,#REF!,#REF!,#REF!,#REF!,#REF!,#REF!)</f>
        <v/>
      </c>
      <c r="P11" s="6">
        <f>SUM(#REF!,#REF!,#REF!,#REF!,#REF!,#REF!,#REF!,#REF!)</f>
        <v/>
      </c>
      <c r="Q11" s="6">
        <f>SUM(#REF!,#REF!,#REF!,#REF!,#REF!,#REF!,#REF!,#REF!)</f>
        <v/>
      </c>
      <c r="R11" s="6">
        <f>SUM(#REF!,#REF!,#REF!,#REF!,#REF!,#REF!,#REF!,#REF!)</f>
        <v/>
      </c>
      <c r="S11" s="6">
        <f>SUM(#REF!,#REF!,#REF!,#REF!,#REF!,#REF!,#REF!,#REF!)</f>
        <v/>
      </c>
      <c r="T11" s="6">
        <f>SUM(#REF!,#REF!,#REF!,#REF!,#REF!,#REF!,#REF!,#REF!)</f>
        <v/>
      </c>
      <c r="U11" s="6">
        <f>soundcast!U15</f>
        <v/>
      </c>
      <c r="V11" s="14">
        <f>bkrcast_all!U15</f>
        <v/>
      </c>
      <c r="W11" s="14">
        <f>bkrcast_inbkr!U15</f>
        <v/>
      </c>
      <c r="X11" s="6">
        <f>bkrcast_outbkr!U15</f>
        <v/>
      </c>
    </row>
    <row r="12" ht="15.75" customHeight="1" s="35">
      <c r="A12" s="8" t="inlineStr">
        <is>
          <t>Total</t>
        </is>
      </c>
      <c r="B12" s="11">
        <f>SUM(B5:B11)</f>
        <v/>
      </c>
      <c r="C12" s="11">
        <f>SUM(C5:C11)</f>
        <v/>
      </c>
      <c r="D12" s="11">
        <f>SUM(D5:D11)</f>
        <v/>
      </c>
      <c r="E12" s="11">
        <f>SUM(E5:E11)</f>
        <v/>
      </c>
      <c r="F12" s="11">
        <f>SUM(F5:F11)</f>
        <v/>
      </c>
      <c r="G12" s="11">
        <f>SUM(G5:G11)</f>
        <v/>
      </c>
      <c r="H12" s="11">
        <f>SUM(H5:H11)</f>
        <v/>
      </c>
      <c r="I12" s="11">
        <f>SUM(I5:I11)</f>
        <v/>
      </c>
      <c r="J12" s="11">
        <f>SUM(J5:J11)</f>
        <v/>
      </c>
      <c r="L12" s="7" t="inlineStr">
        <is>
          <t>Total</t>
        </is>
      </c>
      <c r="M12" s="11">
        <f>SUM(M5:M11)</f>
        <v/>
      </c>
      <c r="N12" s="11">
        <f>SUM(N5:N11)</f>
        <v/>
      </c>
      <c r="O12" s="11">
        <f>SUM(O5:O11)</f>
        <v/>
      </c>
      <c r="P12" s="11">
        <f>SUM(P5:P11)</f>
        <v/>
      </c>
      <c r="Q12" s="11">
        <f>SUM(Q5:Q11)</f>
        <v/>
      </c>
      <c r="R12" s="11">
        <f>SUM(R5:R11)</f>
        <v/>
      </c>
      <c r="S12" s="11">
        <f>SUM(S5:S11)</f>
        <v/>
      </c>
      <c r="T12" s="11">
        <f>SUM(T5:T11)</f>
        <v/>
      </c>
      <c r="U12" s="11">
        <f>soundcast!U16</f>
        <v/>
      </c>
      <c r="V12" s="27">
        <f>bkrcast_all!U16</f>
        <v/>
      </c>
      <c r="W12" s="27">
        <f>bkrcast_inbkr!U16</f>
        <v/>
      </c>
      <c r="X12" s="11">
        <f>bkrcast_outbkr!U16</f>
        <v/>
      </c>
    </row>
    <row r="15" ht="15.75" customHeight="1" s="35">
      <c r="A15" s="1" t="inlineStr">
        <is>
          <t>Table X. Observed Work Trip Mode Shares: Survey</t>
        </is>
      </c>
      <c r="B15" s="1" t="n"/>
      <c r="C15" s="2" t="n"/>
      <c r="D15" s="2" t="n"/>
      <c r="E15" s="2" t="n"/>
      <c r="F15" s="2" t="n"/>
      <c r="G15" s="2" t="n"/>
      <c r="H15" s="2" t="n"/>
      <c r="I15" s="2" t="n"/>
      <c r="J15" s="2" t="n"/>
      <c r="L15" s="1" t="inlineStr">
        <is>
          <t>Table X. Estimated Work Tour Mode Shares: DaySim</t>
        </is>
      </c>
      <c r="M15" s="1" t="n"/>
      <c r="N15" s="2" t="n"/>
      <c r="O15" s="2" t="n"/>
      <c r="P15" s="2" t="n"/>
      <c r="Q15" s="2" t="n"/>
      <c r="R15" s="2" t="n"/>
      <c r="S15" s="2" t="n"/>
      <c r="T15" s="2" t="n"/>
      <c r="U15" s="2" t="n"/>
      <c r="V15" s="2" t="n"/>
      <c r="W15" s="2" t="n"/>
      <c r="X15" s="2" t="n"/>
    </row>
    <row r="16" hidden="1" s="35">
      <c r="A16" s="3" t="n"/>
      <c r="B16" s="31" t="inlineStr">
        <is>
          <t>All Purposes Tour Mode</t>
        </is>
      </c>
      <c r="J16" s="31" t="n"/>
      <c r="L16" s="3" t="n"/>
      <c r="M16" s="31" t="inlineStr">
        <is>
          <t>All Purposes Tour Mode</t>
        </is>
      </c>
    </row>
    <row r="17">
      <c r="A17" s="4" t="inlineStr">
        <is>
          <t>Mode</t>
        </is>
      </c>
      <c r="B17" s="5" t="inlineStr">
        <is>
          <t>DA</t>
        </is>
      </c>
      <c r="C17" s="5" t="inlineStr">
        <is>
          <t>SR2</t>
        </is>
      </c>
      <c r="D17" s="5" t="inlineStr">
        <is>
          <t>SR3+</t>
        </is>
      </c>
      <c r="E17" s="5" t="inlineStr">
        <is>
          <t>D-Trans</t>
        </is>
      </c>
      <c r="F17" s="5" t="inlineStr">
        <is>
          <t>W-Trans</t>
        </is>
      </c>
      <c r="G17" s="5" t="inlineStr">
        <is>
          <t>Bike</t>
        </is>
      </c>
      <c r="H17" s="5" t="inlineStr">
        <is>
          <t>Walk</t>
        </is>
      </c>
      <c r="I17" s="5" t="inlineStr">
        <is>
          <t>Sch Bus</t>
        </is>
      </c>
      <c r="J17" s="5" t="inlineStr">
        <is>
          <t>Survey</t>
        </is>
      </c>
      <c r="L17" s="4" t="inlineStr">
        <is>
          <t>Mode</t>
        </is>
      </c>
      <c r="M17" s="5" t="inlineStr">
        <is>
          <t>Drive Alone</t>
        </is>
      </c>
      <c r="N17" s="5" t="inlineStr">
        <is>
          <t>Shared Ride 2</t>
        </is>
      </c>
      <c r="O17" s="5" t="inlineStr">
        <is>
          <t>Shared Ride 3+</t>
        </is>
      </c>
      <c r="P17" s="5" t="inlineStr">
        <is>
          <t>D-Trans</t>
        </is>
      </c>
      <c r="Q17" s="5" t="inlineStr">
        <is>
          <t>W-Trans</t>
        </is>
      </c>
      <c r="R17" s="5" t="inlineStr">
        <is>
          <t>Bike</t>
        </is>
      </c>
      <c r="S17" s="5" t="inlineStr">
        <is>
          <t>Walk</t>
        </is>
      </c>
      <c r="T17" s="5" t="inlineStr">
        <is>
          <t>Sch Bus</t>
        </is>
      </c>
      <c r="U17" s="5">
        <f>U4</f>
        <v/>
      </c>
      <c r="V17" s="5">
        <f>V4</f>
        <v/>
      </c>
      <c r="W17" s="5">
        <f>W4</f>
        <v/>
      </c>
      <c r="X17" s="5">
        <f>X4</f>
        <v/>
      </c>
    </row>
    <row r="18">
      <c r="A18">
        <f>A5</f>
        <v/>
      </c>
      <c r="B18" s="12">
        <f>B5/B$12</f>
        <v/>
      </c>
      <c r="C18" s="12">
        <f>C5/C$12</f>
        <v/>
      </c>
      <c r="D18" s="12">
        <f>D5/D$12</f>
        <v/>
      </c>
      <c r="E18" s="12">
        <f>IF(E$12&gt;0,E5/E$12,0)</f>
        <v/>
      </c>
      <c r="F18" s="12">
        <f>F5/F$12</f>
        <v/>
      </c>
      <c r="G18" s="12">
        <f>G5/G$12</f>
        <v/>
      </c>
      <c r="H18" s="12">
        <f>H5/H$12</f>
        <v/>
      </c>
      <c r="I18" s="12">
        <f>I5/I$12</f>
        <v/>
      </c>
      <c r="J18" s="12">
        <f>J5/J$12</f>
        <v/>
      </c>
      <c r="K18" s="6" t="n"/>
      <c r="L18" t="inlineStr">
        <is>
          <t>Drive Alone</t>
        </is>
      </c>
      <c r="M18" s="12">
        <f>M5/M$12</f>
        <v/>
      </c>
      <c r="N18" s="12">
        <f>N5/N$12</f>
        <v/>
      </c>
      <c r="O18" s="12">
        <f>O5/O$12</f>
        <v/>
      </c>
      <c r="P18" s="12">
        <f>P5/P$12</f>
        <v/>
      </c>
      <c r="Q18" s="12">
        <f>Q5/Q$12</f>
        <v/>
      </c>
      <c r="R18" s="12">
        <f>R5/R$12</f>
        <v/>
      </c>
      <c r="S18" s="12">
        <f>S5/S$12</f>
        <v/>
      </c>
      <c r="T18" s="12">
        <f>T5/T$12</f>
        <v/>
      </c>
      <c r="U18" s="12">
        <f>U5/U$12</f>
        <v/>
      </c>
      <c r="V18" s="12">
        <f>V5/V$12</f>
        <v/>
      </c>
      <c r="W18" s="12">
        <f>W5/W$12</f>
        <v/>
      </c>
      <c r="X18" s="12">
        <f>X5/X$12</f>
        <v/>
      </c>
    </row>
    <row r="19">
      <c r="A19">
        <f>A6</f>
        <v/>
      </c>
      <c r="B19" s="12">
        <f>B6/B$12</f>
        <v/>
      </c>
      <c r="C19" s="12">
        <f>C6/C$12</f>
        <v/>
      </c>
      <c r="D19" s="12">
        <f>D6/D$12</f>
        <v/>
      </c>
      <c r="E19" s="12">
        <f>IF(E$12&gt;0,E6/E$12,0)</f>
        <v/>
      </c>
      <c r="F19" s="12">
        <f>F6/F$12</f>
        <v/>
      </c>
      <c r="G19" s="12">
        <f>G6/G$12</f>
        <v/>
      </c>
      <c r="H19" s="12">
        <f>H6/H$12</f>
        <v/>
      </c>
      <c r="I19" s="12">
        <f>I6/I$12</f>
        <v/>
      </c>
      <c r="J19" s="12">
        <f>J6/J$12</f>
        <v/>
      </c>
      <c r="K19" s="6" t="n"/>
      <c r="L19" t="inlineStr">
        <is>
          <t>SR2</t>
        </is>
      </c>
      <c r="M19" s="12">
        <f>M6/M$12</f>
        <v/>
      </c>
      <c r="N19" s="12">
        <f>N6/N$12</f>
        <v/>
      </c>
      <c r="O19" s="12">
        <f>O6/O$12</f>
        <v/>
      </c>
      <c r="P19" s="12">
        <f>P6/P$12</f>
        <v/>
      </c>
      <c r="Q19" s="12">
        <f>Q6/Q$12</f>
        <v/>
      </c>
      <c r="R19" s="12">
        <f>R6/R$12</f>
        <v/>
      </c>
      <c r="S19" s="12">
        <f>S6/S$12</f>
        <v/>
      </c>
      <c r="T19" s="12">
        <f>T6/T$12</f>
        <v/>
      </c>
      <c r="U19" s="12">
        <f>U6/U$12</f>
        <v/>
      </c>
      <c r="V19" s="12">
        <f>V6/V$12</f>
        <v/>
      </c>
      <c r="W19" s="12">
        <f>W6/W$12</f>
        <v/>
      </c>
      <c r="X19" s="12">
        <f>X6/X$12</f>
        <v/>
      </c>
    </row>
    <row r="20">
      <c r="A20">
        <f>A7</f>
        <v/>
      </c>
      <c r="B20" s="12">
        <f>B7/B$12</f>
        <v/>
      </c>
      <c r="C20" s="12">
        <f>C7/C$12</f>
        <v/>
      </c>
      <c r="D20" s="12">
        <f>D7/D$12</f>
        <v/>
      </c>
      <c r="E20" s="12">
        <f>IF(E$12&gt;0,E7/E$12,0)</f>
        <v/>
      </c>
      <c r="F20" s="12">
        <f>F7/F$12</f>
        <v/>
      </c>
      <c r="G20" s="12">
        <f>G7/G$12</f>
        <v/>
      </c>
      <c r="H20" s="12">
        <f>H7/H$12</f>
        <v/>
      </c>
      <c r="I20" s="12">
        <f>I7/I$12</f>
        <v/>
      </c>
      <c r="J20" s="12">
        <f>J7/J$12</f>
        <v/>
      </c>
      <c r="K20" s="6" t="n"/>
      <c r="L20" t="inlineStr">
        <is>
          <t>SR3</t>
        </is>
      </c>
      <c r="M20" s="12">
        <f>M7/M$12</f>
        <v/>
      </c>
      <c r="N20" s="12">
        <f>N7/N$12</f>
        <v/>
      </c>
      <c r="O20" s="12">
        <f>O7/O$12</f>
        <v/>
      </c>
      <c r="P20" s="12">
        <f>P7/P$12</f>
        <v/>
      </c>
      <c r="Q20" s="12">
        <f>Q7/Q$12</f>
        <v/>
      </c>
      <c r="R20" s="12">
        <f>R7/R$12</f>
        <v/>
      </c>
      <c r="S20" s="12">
        <f>S7/S$12</f>
        <v/>
      </c>
      <c r="T20" s="12">
        <f>T7/T$12</f>
        <v/>
      </c>
      <c r="U20" s="12">
        <f>U7/U$12</f>
        <v/>
      </c>
      <c r="V20" s="12">
        <f>V7/V$12</f>
        <v/>
      </c>
      <c r="W20" s="12">
        <f>W7/W$12</f>
        <v/>
      </c>
      <c r="X20" s="12">
        <f>X7/X$12</f>
        <v/>
      </c>
    </row>
    <row r="21">
      <c r="A21">
        <f>A8</f>
        <v/>
      </c>
      <c r="B21" s="12">
        <f>B8/B$12</f>
        <v/>
      </c>
      <c r="C21" s="12">
        <f>C8/C$12</f>
        <v/>
      </c>
      <c r="D21" s="12">
        <f>D8/D$12</f>
        <v/>
      </c>
      <c r="E21" s="12">
        <f>IF(E$12&gt;0,E8/E$12,0)</f>
        <v/>
      </c>
      <c r="F21" s="12">
        <f>F8/F$12</f>
        <v/>
      </c>
      <c r="G21" s="12">
        <f>G8/G$12</f>
        <v/>
      </c>
      <c r="H21" s="12">
        <f>H8/H$12</f>
        <v/>
      </c>
      <c r="I21" s="12">
        <f>I8/I$12</f>
        <v/>
      </c>
      <c r="J21" s="12">
        <f>J8/J$12</f>
        <v/>
      </c>
      <c r="K21" s="6" t="n"/>
      <c r="L21" t="inlineStr">
        <is>
          <t>Transit - localbus</t>
        </is>
      </c>
      <c r="M21" s="12">
        <f>M8/M$12</f>
        <v/>
      </c>
      <c r="N21" s="12">
        <f>N8/N$12</f>
        <v/>
      </c>
      <c r="O21" s="12">
        <f>O8/O$12</f>
        <v/>
      </c>
      <c r="P21" s="12">
        <f>P8/P$12</f>
        <v/>
      </c>
      <c r="Q21" s="12">
        <f>Q8/Q$12</f>
        <v/>
      </c>
      <c r="R21" s="12">
        <f>R8/R$12</f>
        <v/>
      </c>
      <c r="S21" s="12">
        <f>S8/S$12</f>
        <v/>
      </c>
      <c r="T21" s="12">
        <f>T8/T$12</f>
        <v/>
      </c>
      <c r="U21" s="12">
        <f>U8/U$12</f>
        <v/>
      </c>
      <c r="V21" s="12">
        <f>V8/V$12</f>
        <v/>
      </c>
      <c r="W21" s="12">
        <f>W8/W$12</f>
        <v/>
      </c>
      <c r="X21" s="12">
        <f>X8/X$12</f>
        <v/>
      </c>
    </row>
    <row r="22">
      <c r="A22">
        <f>A9</f>
        <v/>
      </c>
      <c r="B22" s="12">
        <f>B9/B$12</f>
        <v/>
      </c>
      <c r="C22" s="12">
        <f>C9/C$12</f>
        <v/>
      </c>
      <c r="D22" s="12">
        <f>D9/D$12</f>
        <v/>
      </c>
      <c r="E22" s="12">
        <f>IF(E$12&gt;0,E9/E$12,0)</f>
        <v/>
      </c>
      <c r="F22" s="12">
        <f>F9/F$12</f>
        <v/>
      </c>
      <c r="G22" s="12">
        <f>G9/G$12</f>
        <v/>
      </c>
      <c r="H22" s="12">
        <f>H9/H$12</f>
        <v/>
      </c>
      <c r="I22" s="12">
        <f>I9/I$12</f>
        <v/>
      </c>
      <c r="J22" s="12">
        <f>J9/J$12</f>
        <v/>
      </c>
      <c r="K22" s="6" t="n"/>
      <c r="L22" t="inlineStr">
        <is>
          <t>School Bus</t>
        </is>
      </c>
      <c r="M22" s="12">
        <f>M9/M$12</f>
        <v/>
      </c>
      <c r="N22" s="12">
        <f>N9/N$12</f>
        <v/>
      </c>
      <c r="O22" s="12">
        <f>O9/O$12</f>
        <v/>
      </c>
      <c r="P22" s="12">
        <f>P9/P$12</f>
        <v/>
      </c>
      <c r="Q22" s="12">
        <f>Q9/Q$12</f>
        <v/>
      </c>
      <c r="R22" s="12">
        <f>R9/R$12</f>
        <v/>
      </c>
      <c r="S22" s="12">
        <f>S9/S$12</f>
        <v/>
      </c>
      <c r="T22" s="12">
        <f>T9/T$12</f>
        <v/>
      </c>
      <c r="U22" s="12">
        <f>U9/U$12</f>
        <v/>
      </c>
      <c r="V22" s="12">
        <f>V9/V$12</f>
        <v/>
      </c>
      <c r="W22" s="12">
        <f>W9/W$12</f>
        <v/>
      </c>
      <c r="X22" s="12">
        <f>X9/X$12</f>
        <v/>
      </c>
    </row>
    <row r="23">
      <c r="A23">
        <f>A10</f>
        <v/>
      </c>
      <c r="B23" s="12">
        <f>B10/B$12</f>
        <v/>
      </c>
      <c r="C23" s="12">
        <f>C10/C$12</f>
        <v/>
      </c>
      <c r="D23" s="12">
        <f>D10/D$12</f>
        <v/>
      </c>
      <c r="E23" s="12">
        <f>IF(E$12&gt;0,E10/E$12,0)</f>
        <v/>
      </c>
      <c r="F23" s="12">
        <f>F10/F$12</f>
        <v/>
      </c>
      <c r="G23" s="12">
        <f>G10/G$12</f>
        <v/>
      </c>
      <c r="H23" s="12">
        <f>H10/H$12</f>
        <v/>
      </c>
      <c r="I23" s="12">
        <f>I10/I$12</f>
        <v/>
      </c>
      <c r="J23" s="12">
        <f>J10/J$12</f>
        <v/>
      </c>
      <c r="K23" s="6" t="n"/>
      <c r="L23" t="inlineStr">
        <is>
          <t>Bike</t>
        </is>
      </c>
      <c r="M23" s="12">
        <f>M10/M$12</f>
        <v/>
      </c>
      <c r="N23" s="12">
        <f>N10/N$12</f>
        <v/>
      </c>
      <c r="O23" s="12">
        <f>O10/O$12</f>
        <v/>
      </c>
      <c r="P23" s="12">
        <f>P10/P$12</f>
        <v/>
      </c>
      <c r="Q23" s="12">
        <f>Q10/Q$12</f>
        <v/>
      </c>
      <c r="R23" s="12">
        <f>R10/R$12</f>
        <v/>
      </c>
      <c r="S23" s="12">
        <f>S10/S$12</f>
        <v/>
      </c>
      <c r="T23" s="12">
        <f>T10/T$12</f>
        <v/>
      </c>
      <c r="U23" s="12">
        <f>U10/U$12</f>
        <v/>
      </c>
      <c r="V23" s="12">
        <f>V10/V$12</f>
        <v/>
      </c>
      <c r="W23" s="12">
        <f>W10/W$12</f>
        <v/>
      </c>
      <c r="X23" s="12">
        <f>X10/X$12</f>
        <v/>
      </c>
    </row>
    <row r="24">
      <c r="A24">
        <f>A11</f>
        <v/>
      </c>
      <c r="B24" s="9">
        <f>B11/B$12</f>
        <v/>
      </c>
      <c r="C24" s="9">
        <f>C11/C$12</f>
        <v/>
      </c>
      <c r="D24" s="9">
        <f>D11/D$12</f>
        <v/>
      </c>
      <c r="E24" s="12">
        <f>IF(E$12&gt;0,E11/E$12,0)</f>
        <v/>
      </c>
      <c r="F24" s="9">
        <f>F11/F$12</f>
        <v/>
      </c>
      <c r="G24" s="9">
        <f>G11/G$12</f>
        <v/>
      </c>
      <c r="H24" s="9">
        <f>H11/H$12</f>
        <v/>
      </c>
      <c r="I24" s="9">
        <f>I11/I$12</f>
        <v/>
      </c>
      <c r="J24" s="9">
        <f>J11/J$12</f>
        <v/>
      </c>
      <c r="K24" s="6" t="n"/>
      <c r="L24" s="4" t="inlineStr">
        <is>
          <t>Walk</t>
        </is>
      </c>
      <c r="M24" s="9">
        <f>M11/M$12</f>
        <v/>
      </c>
      <c r="N24" s="9">
        <f>N11/N$12</f>
        <v/>
      </c>
      <c r="O24" s="9">
        <f>O11/O$12</f>
        <v/>
      </c>
      <c r="P24" s="9">
        <f>P11/P$12</f>
        <v/>
      </c>
      <c r="Q24" s="9">
        <f>Q11/Q$12</f>
        <v/>
      </c>
      <c r="R24" s="9">
        <f>R11/R$12</f>
        <v/>
      </c>
      <c r="S24" s="9">
        <f>S11/S$12</f>
        <v/>
      </c>
      <c r="T24" s="9">
        <f>T11/T$12</f>
        <v/>
      </c>
      <c r="U24" s="9">
        <f>U11/U$12</f>
        <v/>
      </c>
      <c r="V24" s="9">
        <f>V11/V$12</f>
        <v/>
      </c>
      <c r="W24" s="9">
        <f>W11/W$12</f>
        <v/>
      </c>
      <c r="X24" s="9">
        <f>X11/X$12</f>
        <v/>
      </c>
    </row>
    <row r="25" ht="15.75" customHeight="1" s="35">
      <c r="A25" s="8" t="inlineStr">
        <is>
          <t>Total</t>
        </is>
      </c>
      <c r="B25" s="10">
        <f>B12/B$12</f>
        <v/>
      </c>
      <c r="C25" s="10">
        <f>C12/C$12</f>
        <v/>
      </c>
      <c r="D25" s="10">
        <f>D12/D$12</f>
        <v/>
      </c>
      <c r="E25" s="10">
        <f>IF(E$12&gt;0,E12/E$12,0)</f>
        <v/>
      </c>
      <c r="F25" s="10">
        <f>F12/F$12</f>
        <v/>
      </c>
      <c r="G25" s="10">
        <f>G12/G$12</f>
        <v/>
      </c>
      <c r="H25" s="10">
        <f>H12/H$12</f>
        <v/>
      </c>
      <c r="I25" s="10">
        <f>I12/I$12</f>
        <v/>
      </c>
      <c r="J25" s="10">
        <f>J12/J$12</f>
        <v/>
      </c>
      <c r="L25" s="7" t="inlineStr">
        <is>
          <t>Total</t>
        </is>
      </c>
      <c r="M25" s="10">
        <f>M12/M$12</f>
        <v/>
      </c>
      <c r="N25" s="10">
        <f>N12/N$12</f>
        <v/>
      </c>
      <c r="O25" s="10">
        <f>O12/O$12</f>
        <v/>
      </c>
      <c r="P25" s="10">
        <f>P12/P$12</f>
        <v/>
      </c>
      <c r="Q25" s="10">
        <f>Q12/Q$12</f>
        <v/>
      </c>
      <c r="R25" s="10">
        <f>R12/R$12</f>
        <v/>
      </c>
      <c r="S25" s="10">
        <f>S12/S$12</f>
        <v/>
      </c>
      <c r="T25" s="10">
        <f>T12/T$12</f>
        <v/>
      </c>
      <c r="U25" s="10">
        <f>U12/U$12</f>
        <v/>
      </c>
      <c r="V25" s="10">
        <f>V12/V$12</f>
        <v/>
      </c>
      <c r="W25" s="10">
        <f>W12/W$12</f>
        <v/>
      </c>
      <c r="X25" s="10">
        <f>X12/X$12</f>
        <v/>
      </c>
    </row>
    <row r="28" ht="15.75" customHeight="1" s="35">
      <c r="L28" s="1" t="inlineStr">
        <is>
          <t>Table X. Estimated-Observed Work Tour Mode Share Difference</t>
        </is>
      </c>
      <c r="M28" s="3" t="n"/>
      <c r="W28" s="26" t="n"/>
    </row>
    <row r="29" ht="15.75" customHeight="1" s="35">
      <c r="A29" s="2" t="n"/>
      <c r="L29" s="3" t="n"/>
      <c r="M29" s="33" t="n"/>
      <c r="N29" s="2" t="n"/>
      <c r="O29" s="2" t="n"/>
      <c r="P29" s="2" t="n"/>
      <c r="Q29" s="2" t="n"/>
      <c r="R29" s="2" t="n"/>
      <c r="S29" s="2" t="n"/>
      <c r="T29" s="2" t="n"/>
      <c r="U29" s="2" t="n"/>
      <c r="V29" s="2" t="n"/>
      <c r="W29" s="2" t="n"/>
      <c r="X29" s="2" t="n"/>
    </row>
    <row r="30">
      <c r="A30" s="4" t="inlineStr">
        <is>
          <t>Mode</t>
        </is>
      </c>
      <c r="L30" s="4" t="inlineStr">
        <is>
          <t>Mode</t>
        </is>
      </c>
      <c r="M30" s="5" t="inlineStr">
        <is>
          <t>DA</t>
        </is>
      </c>
      <c r="N30" s="5" t="inlineStr">
        <is>
          <t>SR2</t>
        </is>
      </c>
      <c r="O30" s="5" t="inlineStr">
        <is>
          <t>SR3+</t>
        </is>
      </c>
      <c r="P30" s="5" t="inlineStr">
        <is>
          <t>D-Trans</t>
        </is>
      </c>
      <c r="Q30" s="5" t="inlineStr">
        <is>
          <t>W-Trans</t>
        </is>
      </c>
      <c r="R30" s="5" t="inlineStr">
        <is>
          <t>Bike</t>
        </is>
      </c>
      <c r="S30" s="5" t="inlineStr">
        <is>
          <t>Walk</t>
        </is>
      </c>
      <c r="T30" s="5" t="inlineStr">
        <is>
          <t>Sch Bus</t>
        </is>
      </c>
      <c r="U30" s="5">
        <f>U17</f>
        <v/>
      </c>
      <c r="V30" s="5">
        <f>V17</f>
        <v/>
      </c>
      <c r="W30" s="5">
        <f>W17</f>
        <v/>
      </c>
      <c r="X30" s="5">
        <f>X17</f>
        <v/>
      </c>
    </row>
    <row r="31">
      <c r="A31">
        <f>A18</f>
        <v/>
      </c>
      <c r="L31" t="inlineStr">
        <is>
          <t>Drive Alone</t>
        </is>
      </c>
      <c r="M31" s="12">
        <f>M18-B18</f>
        <v/>
      </c>
      <c r="N31" s="12">
        <f>N18-C18</f>
        <v/>
      </c>
      <c r="O31" s="12">
        <f>O18-D18</f>
        <v/>
      </c>
      <c r="P31" s="12">
        <f>P18-E18</f>
        <v/>
      </c>
      <c r="Q31" s="12">
        <f>Q18-F18</f>
        <v/>
      </c>
      <c r="R31" s="12">
        <f>R18-G18</f>
        <v/>
      </c>
      <c r="S31" s="12">
        <f>S18-H18</f>
        <v/>
      </c>
      <c r="T31" s="12">
        <f>T18-I18</f>
        <v/>
      </c>
      <c r="U31" s="12">
        <f>U18-$J18</f>
        <v/>
      </c>
      <c r="V31" s="12">
        <f>V18-$J18</f>
        <v/>
      </c>
      <c r="W31" s="12">
        <f>W18-$J18</f>
        <v/>
      </c>
      <c r="X31" s="12">
        <f>X18-$J18</f>
        <v/>
      </c>
    </row>
    <row r="32">
      <c r="A32">
        <f>A19</f>
        <v/>
      </c>
      <c r="L32" t="inlineStr">
        <is>
          <t>Shared Ride 2 - Driver</t>
        </is>
      </c>
      <c r="M32" s="12">
        <f>M19-B19</f>
        <v/>
      </c>
      <c r="N32" s="12">
        <f>N19-C19</f>
        <v/>
      </c>
      <c r="O32" s="12">
        <f>O19-D19</f>
        <v/>
      </c>
      <c r="P32" s="12">
        <f>P19-E19</f>
        <v/>
      </c>
      <c r="Q32" s="12">
        <f>Q19-F19</f>
        <v/>
      </c>
      <c r="R32" s="12">
        <f>R19-G19</f>
        <v/>
      </c>
      <c r="S32" s="12">
        <f>S19-H19</f>
        <v/>
      </c>
      <c r="T32" s="12">
        <f>T19-I19</f>
        <v/>
      </c>
      <c r="U32" s="12">
        <f>U19-$J19</f>
        <v/>
      </c>
      <c r="V32" s="12">
        <f>V19-$J19</f>
        <v/>
      </c>
      <c r="W32" s="12">
        <f>W19-$J19</f>
        <v/>
      </c>
      <c r="X32" s="12">
        <f>X19-$J19</f>
        <v/>
      </c>
    </row>
    <row r="33">
      <c r="A33">
        <f>A20</f>
        <v/>
      </c>
      <c r="L33" t="inlineStr">
        <is>
          <t>Shared Ride 3+ - Driver</t>
        </is>
      </c>
      <c r="M33" s="12">
        <f>M20-B20</f>
        <v/>
      </c>
      <c r="N33" s="12">
        <f>N20-C20</f>
        <v/>
      </c>
      <c r="O33" s="12">
        <f>O20-D20</f>
        <v/>
      </c>
      <c r="P33" s="12">
        <f>P20-E20</f>
        <v/>
      </c>
      <c r="Q33" s="12">
        <f>Q20-F20</f>
        <v/>
      </c>
      <c r="R33" s="12">
        <f>R20-G20</f>
        <v/>
      </c>
      <c r="S33" s="12">
        <f>S20-H20</f>
        <v/>
      </c>
      <c r="T33" s="12">
        <f>T20-I20</f>
        <v/>
      </c>
      <c r="U33" s="12">
        <f>U20-$J20</f>
        <v/>
      </c>
      <c r="V33" s="12">
        <f>V20-$J20</f>
        <v/>
      </c>
      <c r="W33" s="12">
        <f>W20-$J20</f>
        <v/>
      </c>
      <c r="X33" s="12">
        <f>X20-$J20</f>
        <v/>
      </c>
    </row>
    <row r="34">
      <c r="A34">
        <f>A21</f>
        <v/>
      </c>
      <c r="L34" t="inlineStr">
        <is>
          <t>Transit - localbus</t>
        </is>
      </c>
      <c r="M34" s="12">
        <f>M21-B21</f>
        <v/>
      </c>
      <c r="N34" s="12">
        <f>N21-C21</f>
        <v/>
      </c>
      <c r="O34" s="12">
        <f>O21-D21</f>
        <v/>
      </c>
      <c r="P34" s="12">
        <f>P21-E21</f>
        <v/>
      </c>
      <c r="Q34" s="12">
        <f>Q21-F21</f>
        <v/>
      </c>
      <c r="R34" s="12">
        <f>R21-G21</f>
        <v/>
      </c>
      <c r="S34" s="12">
        <f>S21-H21</f>
        <v/>
      </c>
      <c r="T34" s="12">
        <f>T21-I21</f>
        <v/>
      </c>
      <c r="U34" s="12">
        <f>U21-$J21</f>
        <v/>
      </c>
      <c r="V34" s="12">
        <f>V21-$J21</f>
        <v/>
      </c>
      <c r="W34" s="12">
        <f>W21-$J21</f>
        <v/>
      </c>
      <c r="X34" s="12">
        <f>X21-$J21</f>
        <v/>
      </c>
    </row>
    <row r="35">
      <c r="A35">
        <f>A22</f>
        <v/>
      </c>
      <c r="L35" t="inlineStr">
        <is>
          <t>School Bus</t>
        </is>
      </c>
      <c r="M35" s="12">
        <f>M22-B22</f>
        <v/>
      </c>
      <c r="N35" s="12">
        <f>N22-C22</f>
        <v/>
      </c>
      <c r="O35" s="12">
        <f>O22-D22</f>
        <v/>
      </c>
      <c r="P35" s="12">
        <f>P22-E22</f>
        <v/>
      </c>
      <c r="Q35" s="12">
        <f>Q22-F22</f>
        <v/>
      </c>
      <c r="R35" s="12">
        <f>R22-G22</f>
        <v/>
      </c>
      <c r="S35" s="12">
        <f>S22-H22</f>
        <v/>
      </c>
      <c r="T35" s="12">
        <f>T22-I22</f>
        <v/>
      </c>
      <c r="U35" s="12">
        <f>U22-$J22</f>
        <v/>
      </c>
      <c r="V35" s="12">
        <f>V22-$J22</f>
        <v/>
      </c>
      <c r="W35" s="12">
        <f>W22-$J22</f>
        <v/>
      </c>
      <c r="X35" s="12">
        <f>X22-$J22</f>
        <v/>
      </c>
    </row>
    <row r="36">
      <c r="A36">
        <f>A23</f>
        <v/>
      </c>
      <c r="L36" t="inlineStr">
        <is>
          <t>Bike</t>
        </is>
      </c>
      <c r="M36" s="12">
        <f>M23-B23</f>
        <v/>
      </c>
      <c r="N36" s="12">
        <f>N23-C23</f>
        <v/>
      </c>
      <c r="O36" s="12">
        <f>O23-D23</f>
        <v/>
      </c>
      <c r="P36" s="12">
        <f>P23-E23</f>
        <v/>
      </c>
      <c r="Q36" s="12">
        <f>Q23-F23</f>
        <v/>
      </c>
      <c r="R36" s="12">
        <f>R23-G23</f>
        <v/>
      </c>
      <c r="S36" s="12">
        <f>S23-H23</f>
        <v/>
      </c>
      <c r="T36" s="12">
        <f>T23-I23</f>
        <v/>
      </c>
      <c r="U36" s="12">
        <f>U23-$J23</f>
        <v/>
      </c>
      <c r="V36" s="12">
        <f>V23-$J23</f>
        <v/>
      </c>
      <c r="W36" s="12">
        <f>W23-$J23</f>
        <v/>
      </c>
      <c r="X36" s="12">
        <f>X23-$J23</f>
        <v/>
      </c>
    </row>
    <row r="37">
      <c r="A37">
        <f>A24</f>
        <v/>
      </c>
      <c r="L37" s="4" t="inlineStr">
        <is>
          <t>Walk</t>
        </is>
      </c>
      <c r="M37" s="12">
        <f>M24-B24</f>
        <v/>
      </c>
      <c r="N37" s="12">
        <f>N24-C24</f>
        <v/>
      </c>
      <c r="O37" s="12">
        <f>O24-D24</f>
        <v/>
      </c>
      <c r="P37" s="12">
        <f>P24-E24</f>
        <v/>
      </c>
      <c r="Q37" s="12">
        <f>Q24-F24</f>
        <v/>
      </c>
      <c r="R37" s="12">
        <f>R24-G24</f>
        <v/>
      </c>
      <c r="S37" s="12">
        <f>S24-H24</f>
        <v/>
      </c>
      <c r="T37" s="12">
        <f>T24-I24</f>
        <v/>
      </c>
      <c r="U37" s="12">
        <f>U24-$J24</f>
        <v/>
      </c>
      <c r="V37" s="12">
        <f>V24-$J24</f>
        <v/>
      </c>
      <c r="W37" s="12">
        <f>W24-$J24</f>
        <v/>
      </c>
      <c r="X37" s="12">
        <f>X24-$J24</f>
        <v/>
      </c>
    </row>
    <row r="38" ht="15.75" customHeight="1" s="35">
      <c r="A38" s="8" t="inlineStr">
        <is>
          <t>Total</t>
        </is>
      </c>
      <c r="L38" s="7" t="inlineStr">
        <is>
          <t>Total</t>
        </is>
      </c>
      <c r="M38" s="10">
        <f>M25-B25</f>
        <v/>
      </c>
      <c r="N38" s="10">
        <f>N25-C25</f>
        <v/>
      </c>
      <c r="O38" s="10">
        <f>O25-D25</f>
        <v/>
      </c>
      <c r="P38" s="10">
        <f>P25-E25</f>
        <v/>
      </c>
      <c r="Q38" s="10">
        <f>Q25-F25</f>
        <v/>
      </c>
      <c r="R38" s="10">
        <f>R25-G25</f>
        <v/>
      </c>
      <c r="S38" s="10">
        <f>S25-H25</f>
        <v/>
      </c>
      <c r="T38" s="10">
        <f>T25-I25</f>
        <v/>
      </c>
      <c r="U38" s="10">
        <f>U25-$J25</f>
        <v/>
      </c>
      <c r="V38" s="10">
        <f>V25-$J25</f>
        <v/>
      </c>
      <c r="W38" s="10">
        <f>W25-$J25</f>
        <v/>
      </c>
      <c r="X38" s="10">
        <f>X25-$J25</f>
        <v/>
      </c>
    </row>
  </sheetData>
  <mergeCells count="5">
    <mergeCell ref="B3:I3"/>
    <mergeCell ref="M3:U3"/>
    <mergeCell ref="B16:I16"/>
    <mergeCell ref="M16:U16"/>
    <mergeCell ref="M29:U29"/>
  </mergeCells>
  <pageMargins left="0.7" right="0.7" top="0.75" bottom="0.75" header="0.3" footer="0.3"/>
  <pageSetup orientation="portrait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2:AF50"/>
  <sheetViews>
    <sheetView workbookViewId="0">
      <selection activeCell="B29" sqref="B29"/>
    </sheetView>
  </sheetViews>
  <sheetFormatPr baseColWidth="8" defaultColWidth="11.3984375" defaultRowHeight="14.25"/>
  <cols>
    <col collapsed="1" width="25" customWidth="1" style="35" min="1" max="1"/>
    <col collapsed="1" width="10.73046875" customWidth="1" style="35" min="2" max="10"/>
    <col collapsed="1" width="3.73046875" customWidth="1" style="35" min="11" max="11"/>
    <col collapsed="1" width="25" customWidth="1" style="35" min="12" max="12"/>
    <col collapsed="1" width="10.73046875" customWidth="1" style="35" min="13" max="22"/>
    <col collapsed="1" width="17" customWidth="1" style="35" min="23" max="23"/>
    <col collapsed="1" width="25" customWidth="1" style="35" min="24" max="24"/>
    <col collapsed="1" width="10.73046875" customWidth="1" style="35" min="25" max="33"/>
  </cols>
  <sheetData>
    <row r="2" ht="15.75" customHeight="1" s="35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Work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31" t="inlineStr">
        <is>
          <t>All Purposes Tour Mode</t>
        </is>
      </c>
      <c r="J3" s="31" t="n"/>
      <c r="L3" s="3" t="n"/>
      <c r="M3" s="31" t="inlineStr">
        <is>
          <t>All Purposes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5487901.784311979</v>
      </c>
      <c r="C5" s="6" t="n">
        <v>872301.6061265359</v>
      </c>
      <c r="D5" s="6" t="n">
        <v>367911.1252432716</v>
      </c>
      <c r="E5" s="6" t="n">
        <v>113555.8572876808</v>
      </c>
      <c r="F5" s="6" t="n">
        <v>17623.4511964027</v>
      </c>
      <c r="G5" s="6" t="n">
        <v>0</v>
      </c>
      <c r="H5" s="6" t="n">
        <v>0</v>
      </c>
      <c r="I5" s="6" t="n">
        <v>1686.320331476</v>
      </c>
      <c r="J5" s="6" t="n">
        <v>6860980.144497345</v>
      </c>
      <c r="K5" s="6" t="n"/>
      <c r="L5" t="inlineStr">
        <is>
          <t>Drive Alone</t>
        </is>
      </c>
      <c r="M5" s="6" t="n">
        <v>5094195</v>
      </c>
      <c r="N5" s="6" t="n">
        <v>745791</v>
      </c>
      <c r="O5" s="6" t="n">
        <v>347516</v>
      </c>
      <c r="P5" s="6" t="n">
        <v>75550</v>
      </c>
      <c r="Q5" s="6" t="n">
        <v>18672</v>
      </c>
      <c r="R5" s="6" t="n">
        <v>0</v>
      </c>
      <c r="S5" s="6" t="n">
        <v>0</v>
      </c>
      <c r="T5" s="6" t="n">
        <v>1240</v>
      </c>
      <c r="U5" s="6" t="n">
        <v>6282964</v>
      </c>
    </row>
    <row r="6">
      <c r="A6" t="inlineStr">
        <is>
          <t>SR2</t>
        </is>
      </c>
      <c r="B6" s="6" t="n">
        <v>0</v>
      </c>
      <c r="C6" s="6" t="n">
        <v>2988044.852013417</v>
      </c>
      <c r="D6" s="6" t="n">
        <v>578286.3905384446</v>
      </c>
      <c r="E6" s="6" t="n">
        <v>5197.003405851699</v>
      </c>
      <c r="F6" s="6" t="n">
        <v>76570.99012166171</v>
      </c>
      <c r="G6" s="6" t="n">
        <v>0</v>
      </c>
      <c r="H6" s="6" t="n">
        <v>0</v>
      </c>
      <c r="I6" s="6" t="n">
        <v>45050.370104024</v>
      </c>
      <c r="J6" s="6" t="n">
        <v>3693149.606183399</v>
      </c>
      <c r="K6" s="6" t="n"/>
      <c r="L6" t="inlineStr">
        <is>
          <t>SR2</t>
        </is>
      </c>
      <c r="M6" s="6" t="n">
        <v>0</v>
      </c>
      <c r="N6" s="6" t="n">
        <v>3013309</v>
      </c>
      <c r="O6" s="6" t="n">
        <v>551374</v>
      </c>
      <c r="P6" s="6" t="n">
        <v>1780</v>
      </c>
      <c r="Q6" s="6" t="n">
        <v>47627</v>
      </c>
      <c r="R6" s="6" t="n">
        <v>0</v>
      </c>
      <c r="S6" s="6" t="n">
        <v>0</v>
      </c>
      <c r="T6" s="6" t="n">
        <v>57540</v>
      </c>
      <c r="U6" s="6" t="n">
        <v>3671630</v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2542495.557928707</v>
      </c>
      <c r="E7" s="6" t="n">
        <v>4202.013733871</v>
      </c>
      <c r="F7" s="6" t="n">
        <v>20670.845848217</v>
      </c>
      <c r="G7" s="6" t="n">
        <v>0</v>
      </c>
      <c r="H7" s="6" t="n">
        <v>0</v>
      </c>
      <c r="I7" s="6" t="n">
        <v>71299.33425</v>
      </c>
      <c r="J7" s="6" t="n">
        <v>2638667.751760795</v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2478491</v>
      </c>
      <c r="P7" s="6" t="n">
        <v>0</v>
      </c>
      <c r="Q7" s="6" t="n">
        <v>21582</v>
      </c>
      <c r="R7" s="6" t="n">
        <v>1</v>
      </c>
      <c r="S7" s="6" t="n">
        <v>7</v>
      </c>
      <c r="T7" s="6" t="n">
        <v>56396</v>
      </c>
      <c r="U7" s="6" t="n">
        <v>2556477</v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111303.5389245945</v>
      </c>
      <c r="F8" s="6" t="n">
        <v>694175.9481831968</v>
      </c>
      <c r="G8" s="6" t="n">
        <v>0</v>
      </c>
      <c r="H8" s="6" t="n">
        <v>0</v>
      </c>
      <c r="I8" s="6" t="n">
        <v>10298.046276788</v>
      </c>
      <c r="J8" s="6" t="n">
        <v>815777.5333845794</v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60004</v>
      </c>
      <c r="Q8" s="6" t="n">
        <v>417143</v>
      </c>
      <c r="R8" s="6" t="n">
        <v>0</v>
      </c>
      <c r="S8" s="6" t="n">
        <v>0</v>
      </c>
      <c r="T8" s="6" t="n">
        <v>674</v>
      </c>
      <c r="U8" s="6" t="n">
        <v>477821</v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2160</v>
      </c>
      <c r="Q9" s="6" t="n">
        <v>32237</v>
      </c>
      <c r="R9" s="6" t="n">
        <v>0</v>
      </c>
      <c r="S9" s="6" t="n">
        <v>0</v>
      </c>
      <c r="T9" s="6" t="n">
        <v>21</v>
      </c>
      <c r="U9" s="6" t="n">
        <v>34418</v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364497.700985698</v>
      </c>
      <c r="J13" s="6" t="n">
        <v>364497.700985698</v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348980</v>
      </c>
      <c r="U13" s="6" t="n">
        <v>348980</v>
      </c>
    </row>
    <row r="14">
      <c r="A14" t="inlineStr">
        <is>
          <t>Bike</t>
        </is>
      </c>
      <c r="B14" s="6" t="n">
        <v>4132.902897081</v>
      </c>
      <c r="C14" s="6" t="n">
        <v>13935.6750388237</v>
      </c>
      <c r="D14" s="6" t="n">
        <v>10855.267749194</v>
      </c>
      <c r="E14" s="6" t="n">
        <v>243.463457593</v>
      </c>
      <c r="F14" s="6" t="n">
        <v>8626.2684275048</v>
      </c>
      <c r="G14" s="6" t="n">
        <v>185644.4500970636</v>
      </c>
      <c r="H14" s="6" t="n">
        <v>0</v>
      </c>
      <c r="I14" s="6" t="n">
        <v>3038.659260836</v>
      </c>
      <c r="J14" s="6" t="n">
        <v>226476.6869280961</v>
      </c>
      <c r="K14" s="6" t="n"/>
      <c r="L14" t="inlineStr">
        <is>
          <t>Bike</t>
        </is>
      </c>
      <c r="M14" s="6" t="n">
        <v>6739</v>
      </c>
      <c r="N14" s="6" t="n">
        <v>18092</v>
      </c>
      <c r="O14" s="6" t="n">
        <v>17407</v>
      </c>
      <c r="P14" s="6" t="n">
        <v>0</v>
      </c>
      <c r="Q14" s="6" t="n">
        <v>7444</v>
      </c>
      <c r="R14" s="6" t="n">
        <v>211722</v>
      </c>
      <c r="S14" s="6" t="n">
        <v>0</v>
      </c>
      <c r="T14" s="6" t="n">
        <v>3650</v>
      </c>
      <c r="U14" s="6" t="n">
        <v>265054</v>
      </c>
    </row>
    <row r="15">
      <c r="A15" s="4" t="inlineStr">
        <is>
          <t>Walk</t>
        </is>
      </c>
      <c r="B15" s="6" t="n">
        <v>85641.75948993329</v>
      </c>
      <c r="C15" s="6" t="n">
        <v>67616.46422079091</v>
      </c>
      <c r="D15" s="6" t="n">
        <v>101851.0916785708</v>
      </c>
      <c r="E15" s="6" t="n">
        <v>13792.8235859424</v>
      </c>
      <c r="F15" s="6" t="n">
        <v>208431.6838814842</v>
      </c>
      <c r="G15" s="6" t="n">
        <v>14163.5963249168</v>
      </c>
      <c r="H15" s="6" t="n">
        <v>1579513.891878371</v>
      </c>
      <c r="I15" s="6" t="n">
        <v>13143.316485361</v>
      </c>
      <c r="J15" s="6" t="n">
        <v>2084154.62754537</v>
      </c>
      <c r="K15" s="6" t="n"/>
      <c r="L15" s="4" t="inlineStr">
        <is>
          <t>Walk</t>
        </is>
      </c>
      <c r="M15" s="6" t="n">
        <v>78559</v>
      </c>
      <c r="N15" s="6" t="n">
        <v>111311</v>
      </c>
      <c r="O15" s="6" t="n">
        <v>98284</v>
      </c>
      <c r="P15" s="6" t="n">
        <v>0</v>
      </c>
      <c r="Q15" s="6" t="n">
        <v>116588</v>
      </c>
      <c r="R15" s="6" t="n">
        <v>15306</v>
      </c>
      <c r="S15" s="6" t="n">
        <v>1698083</v>
      </c>
      <c r="T15" s="6" t="n">
        <v>33167</v>
      </c>
      <c r="U15" s="6" t="n">
        <v>2151298</v>
      </c>
    </row>
    <row r="16" ht="15.75" customHeight="1" s="35">
      <c r="A16" s="8" t="inlineStr">
        <is>
          <t>Total</t>
        </is>
      </c>
      <c r="B16" s="11" t="n">
        <v>5577676.446698993</v>
      </c>
      <c r="C16" s="11" t="n">
        <v>3941898.597399567</v>
      </c>
      <c r="D16" s="11" t="n">
        <v>3601399.433138189</v>
      </c>
      <c r="E16" s="11" t="n">
        <v>248294.7003955334</v>
      </c>
      <c r="F16" s="11" t="n">
        <v>1028578.896944723</v>
      </c>
      <c r="G16" s="11" t="n">
        <v>199808.0464219804</v>
      </c>
      <c r="H16" s="11" t="n">
        <v>1579513.891878371</v>
      </c>
      <c r="I16" s="11" t="n">
        <v>509013.7476941831</v>
      </c>
      <c r="J16" s="11" t="n">
        <v>16686183.76057154</v>
      </c>
      <c r="L16" s="7" t="inlineStr">
        <is>
          <t>Total</t>
        </is>
      </c>
      <c r="M16" s="11" t="n">
        <v>5179493</v>
      </c>
      <c r="N16" s="11" t="n">
        <v>3888503</v>
      </c>
      <c r="O16" s="11" t="n">
        <v>3493072</v>
      </c>
      <c r="P16" s="11" t="n">
        <v>139494</v>
      </c>
      <c r="Q16" s="11" t="n">
        <v>661293</v>
      </c>
      <c r="R16" s="11" t="n">
        <v>227029</v>
      </c>
      <c r="S16" s="11" t="n">
        <v>1698090</v>
      </c>
      <c r="T16" s="11" t="n">
        <v>501668</v>
      </c>
      <c r="U16" s="11" t="n">
        <v>15788642</v>
      </c>
    </row>
    <row r="19" ht="15.75" customHeight="1" s="35">
      <c r="A19" s="1" t="inlineStr">
        <is>
          <t>Table X. Observed Work Tour Mode Shares: Survey</t>
        </is>
      </c>
      <c r="B19" s="1" t="n"/>
      <c r="C19" s="2" t="n"/>
      <c r="D19" s="2" t="n"/>
      <c r="E19" s="2" t="n"/>
      <c r="F19" s="2" t="n"/>
      <c r="G19" s="2" t="n"/>
      <c r="H19" s="2" t="n"/>
      <c r="I19" s="2" t="n"/>
      <c r="J19" s="2" t="n"/>
      <c r="L19" s="1" t="inlineStr">
        <is>
          <t>Table X. Estimated Work Tour Mode Shares: DaySim</t>
        </is>
      </c>
      <c r="M19" s="1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>
      <c r="A20" s="3" t="n"/>
      <c r="B20" s="31" t="inlineStr">
        <is>
          <t>All Purposes Tour Mode</t>
        </is>
      </c>
      <c r="J20" s="31" t="n"/>
      <c r="L20" s="3" t="n"/>
      <c r="M20" s="31" t="inlineStr">
        <is>
          <t>All Purposes Tour Mode</t>
        </is>
      </c>
    </row>
    <row r="21">
      <c r="A21" s="4" t="inlineStr">
        <is>
          <t>Mode</t>
        </is>
      </c>
      <c r="B21" s="5" t="inlineStr">
        <is>
          <t>DA</t>
        </is>
      </c>
      <c r="C21" s="5" t="inlineStr">
        <is>
          <t>SR2</t>
        </is>
      </c>
      <c r="D21" s="5" t="inlineStr">
        <is>
          <t>SR3+</t>
        </is>
      </c>
      <c r="E21" s="5" t="inlineStr">
        <is>
          <t>D-Trans</t>
        </is>
      </c>
      <c r="F21" s="5" t="inlineStr">
        <is>
          <t>W-Trans</t>
        </is>
      </c>
      <c r="G21" s="5" t="inlineStr">
        <is>
          <t>Bike</t>
        </is>
      </c>
      <c r="H21" s="5" t="inlineStr">
        <is>
          <t>Walk</t>
        </is>
      </c>
      <c r="I21" s="5" t="inlineStr">
        <is>
          <t>Sch Bus</t>
        </is>
      </c>
      <c r="J21" s="5" t="inlineStr">
        <is>
          <t>Total</t>
        </is>
      </c>
      <c r="L21" s="4" t="inlineStr">
        <is>
          <t>Mode</t>
        </is>
      </c>
      <c r="M21" s="5" t="inlineStr">
        <is>
          <t>Drive Alone</t>
        </is>
      </c>
      <c r="N21" s="5" t="inlineStr">
        <is>
          <t>Shared Ride 2</t>
        </is>
      </c>
      <c r="O21" s="5" t="inlineStr">
        <is>
          <t>Shared Ride 3+</t>
        </is>
      </c>
      <c r="P21" s="5" t="inlineStr">
        <is>
          <t>D-Trans</t>
        </is>
      </c>
      <c r="Q21" s="5" t="inlineStr">
        <is>
          <t>W-Trans</t>
        </is>
      </c>
      <c r="R21" s="5" t="inlineStr">
        <is>
          <t>Bike</t>
        </is>
      </c>
      <c r="S21" s="5" t="inlineStr">
        <is>
          <t>Walk</t>
        </is>
      </c>
      <c r="T21" s="5" t="inlineStr">
        <is>
          <t>Sch Bus</t>
        </is>
      </c>
      <c r="U21" s="5" t="inlineStr">
        <is>
          <t>Total</t>
        </is>
      </c>
    </row>
    <row r="22">
      <c r="A22" t="inlineStr">
        <is>
          <t>Drive Alone</t>
        </is>
      </c>
      <c r="B22" s="12" t="n">
        <v>0.9839046486032468</v>
      </c>
      <c r="C22" s="12" t="n">
        <v>0.2212897121965504</v>
      </c>
      <c r="D22" s="12" t="n">
        <v>0.1021578228335203</v>
      </c>
      <c r="E22" s="12" t="n">
        <v>0.4573430568867815</v>
      </c>
      <c r="F22" s="12" t="n">
        <v>0.01713378647836462</v>
      </c>
      <c r="G22" s="12" t="n">
        <v>0</v>
      </c>
      <c r="H22" s="12" t="n">
        <v>0</v>
      </c>
      <c r="I22" s="12" t="n">
        <v>0.003312917065825786</v>
      </c>
      <c r="J22" s="12" t="n">
        <v>0.4111773095001766</v>
      </c>
      <c r="K22" s="6" t="n"/>
      <c r="L22" t="inlineStr">
        <is>
          <t>Drive Alone</t>
        </is>
      </c>
      <c r="M22" s="12" t="n">
        <v>0.9835315927640021</v>
      </c>
      <c r="N22" s="12" t="n">
        <v>0.1917938600021654</v>
      </c>
      <c r="O22" s="12" t="n">
        <v>0.099487213547273</v>
      </c>
      <c r="P22" s="12" t="n">
        <v>0.541600355570849</v>
      </c>
      <c r="Q22" s="12" t="n">
        <v>0.02823559299735518</v>
      </c>
      <c r="R22" s="12" t="n">
        <v>0</v>
      </c>
      <c r="S22" s="12" t="n">
        <v>0</v>
      </c>
      <c r="T22" s="12" t="n">
        <v>0.00247175422789574</v>
      </c>
      <c r="U22" s="12" t="n">
        <v>0.3979420142656981</v>
      </c>
    </row>
    <row r="23">
      <c r="A23" t="inlineStr">
        <is>
          <t>SR2</t>
        </is>
      </c>
      <c r="B23" s="12" t="n">
        <v>0</v>
      </c>
      <c r="C23" s="12" t="n">
        <v>0.7580217446447256</v>
      </c>
      <c r="D23" s="12" t="n">
        <v>0.1605726888323901</v>
      </c>
      <c r="E23" s="12" t="n">
        <v>0.02093078667234087</v>
      </c>
      <c r="F23" s="12" t="n">
        <v>0.07444347764581515</v>
      </c>
      <c r="G23" s="12" t="n">
        <v>0</v>
      </c>
      <c r="H23" s="12" t="n">
        <v>0</v>
      </c>
      <c r="I23" s="12" t="n">
        <v>0.08850521289081252</v>
      </c>
      <c r="J23" s="12" t="n">
        <v>0.2213297935091721</v>
      </c>
      <c r="K23" s="6" t="n"/>
      <c r="L23" t="inlineStr">
        <is>
          <t>SR2</t>
        </is>
      </c>
      <c r="M23" s="12" t="n">
        <v>0</v>
      </c>
      <c r="N23" s="12" t="n">
        <v>0.7749277806909239</v>
      </c>
      <c r="O23" s="12" t="n">
        <v>0.1578478771694371</v>
      </c>
      <c r="P23" s="12" t="n">
        <v>0.01276040546546805</v>
      </c>
      <c r="Q23" s="12" t="n">
        <v>0.07202102547584807</v>
      </c>
      <c r="R23" s="12" t="n">
        <v>0</v>
      </c>
      <c r="S23" s="12" t="n">
        <v>0</v>
      </c>
      <c r="T23" s="12" t="n">
        <v>0.1146973695750975</v>
      </c>
      <c r="U23" s="12" t="n">
        <v>0.2325488157879569</v>
      </c>
    </row>
    <row r="24">
      <c r="A24" t="inlineStr">
        <is>
          <t>SR3</t>
        </is>
      </c>
      <c r="B24" s="12" t="n">
        <v>0</v>
      </c>
      <c r="C24" s="12" t="n">
        <v>0</v>
      </c>
      <c r="D24" s="12" t="n">
        <v>0.7059743316817337</v>
      </c>
      <c r="E24" s="12" t="n">
        <v>0.01692349344217655</v>
      </c>
      <c r="F24" s="12" t="n">
        <v>0.02009650976664736</v>
      </c>
      <c r="G24" s="12" t="n">
        <v>0</v>
      </c>
      <c r="H24" s="12" t="n">
        <v>0</v>
      </c>
      <c r="I24" s="12" t="n">
        <v>0.1400734942287587</v>
      </c>
      <c r="J24" s="12" t="n">
        <v>0.158134885101518</v>
      </c>
      <c r="K24" s="6" t="n"/>
      <c r="L24" t="inlineStr">
        <is>
          <t>SR3</t>
        </is>
      </c>
      <c r="M24" s="12" t="n">
        <v>0</v>
      </c>
      <c r="N24" s="12" t="n">
        <v>0</v>
      </c>
      <c r="O24" s="12" t="n">
        <v>0.7095447789223926</v>
      </c>
      <c r="P24" s="12" t="n">
        <v>0</v>
      </c>
      <c r="Q24" s="12" t="n">
        <v>0.03263606298569621</v>
      </c>
      <c r="R24" s="12" t="n">
        <v>4.404723625616111e-06</v>
      </c>
      <c r="S24" s="12" t="n">
        <v>4.12227856002921e-06</v>
      </c>
      <c r="T24" s="12" t="n">
        <v>0.1124169769648453</v>
      </c>
      <c r="U24" s="12" t="n">
        <v>0.1619187387997017</v>
      </c>
    </row>
    <row r="25">
      <c r="A25" t="inlineStr">
        <is>
          <t>Transit - localbus</t>
        </is>
      </c>
      <c r="B25" s="12" t="n">
        <v>0</v>
      </c>
      <c r="C25" s="12" t="n">
        <v>0</v>
      </c>
      <c r="D25" s="12" t="n">
        <v>0</v>
      </c>
      <c r="E25" s="12" t="n">
        <v>0.4482719073233863</v>
      </c>
      <c r="F25" s="12" t="n">
        <v>0.6748883826463556</v>
      </c>
      <c r="G25" s="12" t="n">
        <v>0</v>
      </c>
      <c r="H25" s="12" t="n">
        <v>0</v>
      </c>
      <c r="I25" s="12" t="n">
        <v>0.0202313715954389</v>
      </c>
      <c r="J25" s="12" t="n">
        <v>0.04888940126095298</v>
      </c>
      <c r="K25" s="6" t="n"/>
      <c r="L25" t="inlineStr">
        <is>
          <t>Transit - localbus</t>
        </is>
      </c>
      <c r="M25" s="12" t="n">
        <v>0</v>
      </c>
      <c r="N25" s="12" t="n">
        <v>0</v>
      </c>
      <c r="O25" s="12" t="n">
        <v>0</v>
      </c>
      <c r="P25" s="12" t="n">
        <v>0.430154701994351</v>
      </c>
      <c r="Q25" s="12" t="n">
        <v>0.6307990557891887</v>
      </c>
      <c r="R25" s="12" t="n">
        <v>0</v>
      </c>
      <c r="S25" s="12" t="n">
        <v>0</v>
      </c>
      <c r="T25" s="12" t="n">
        <v>0.001343518023872362</v>
      </c>
      <c r="U25" s="12" t="n">
        <v>0.03026359075087015</v>
      </c>
    </row>
    <row r="26">
      <c r="A26" t="inlineStr">
        <is>
          <t>Transit - lightrail</t>
        </is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0.002410810968047074</v>
      </c>
      <c r="G26" s="12" t="n">
        <v>0</v>
      </c>
      <c r="H26" s="12" t="n">
        <v>0</v>
      </c>
      <c r="I26" s="12" t="n">
        <v>0</v>
      </c>
      <c r="J26" s="12" t="n">
        <v>0.0001486085327740131</v>
      </c>
      <c r="K26" s="6" t="n"/>
      <c r="L26" t="inlineStr">
        <is>
          <t>Transit - lightrail</t>
        </is>
      </c>
      <c r="M26" s="12" t="n">
        <v>0</v>
      </c>
      <c r="N26" s="12" t="n">
        <v>0</v>
      </c>
      <c r="O26" s="12" t="n">
        <v>0</v>
      </c>
      <c r="P26" s="12" t="n">
        <v>0.01548453696933201</v>
      </c>
      <c r="Q26" s="12" t="n">
        <v>0.04874843677462184</v>
      </c>
      <c r="R26" s="12" t="n">
        <v>0</v>
      </c>
      <c r="S26" s="12" t="n">
        <v>0</v>
      </c>
      <c r="T26" s="12" t="n">
        <v>4.186035385952462e-05</v>
      </c>
      <c r="U26" s="12" t="n">
        <v>0.002179921490397971</v>
      </c>
    </row>
    <row r="27">
      <c r="A27" t="inlineStr">
        <is>
          <t>Transit - premium bus</t>
        </is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n"/>
      <c r="L27" t="inlineStr">
        <is>
          <t>Transit - premium bus</t>
        </is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>
      <c r="A28" t="inlineStr">
        <is>
          <t>Transit - commuter rail</t>
        </is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n"/>
      <c r="L28" t="inlineStr">
        <is>
          <t>Transit - commuter rail</t>
        </is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>
      <c r="A29" t="inlineStr">
        <is>
          <t>Transit - ferry</t>
        </is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n"/>
      <c r="L29" t="inlineStr">
        <is>
          <t>Transit - ferry</t>
        </is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>
      <c r="A30" t="inlineStr">
        <is>
          <t>School Bus</t>
        </is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0.716086161988476</v>
      </c>
      <c r="J30" s="12" t="n">
        <v>0.02184428184513852</v>
      </c>
      <c r="K30" s="6" t="n"/>
      <c r="L30" t="inlineStr">
        <is>
          <t>School Bus</t>
        </is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0.6956393471379478</v>
      </c>
      <c r="U30" s="12" t="n">
        <v>0.02210323091751653</v>
      </c>
    </row>
    <row r="31">
      <c r="A31" t="inlineStr">
        <is>
          <t>Bike</t>
        </is>
      </c>
      <c r="B31" s="12" t="n">
        <v>0.0007409721479142006</v>
      </c>
      <c r="C31" s="12" t="n">
        <v>0.003535269793093341</v>
      </c>
      <c r="D31" s="12" t="n">
        <v>0.003014180445887096</v>
      </c>
      <c r="E31" s="12" t="n">
        <v>0.0009805423039845908</v>
      </c>
      <c r="F31" s="12" t="n">
        <v>0.008386588965735296</v>
      </c>
      <c r="G31" s="12" t="n">
        <v>0.9291139842536456</v>
      </c>
      <c r="H31" s="12" t="n">
        <v>0</v>
      </c>
      <c r="I31" s="12" t="n">
        <v>0.005969699786304465</v>
      </c>
      <c r="J31" s="12" t="n">
        <v>0.0135727072275955</v>
      </c>
      <c r="K31" s="6" t="n"/>
      <c r="L31" t="inlineStr">
        <is>
          <t>Bike</t>
        </is>
      </c>
      <c r="M31" s="12" t="n">
        <v>0.001301092597287032</v>
      </c>
      <c r="N31" s="12" t="n">
        <v>0.004652690251235501</v>
      </c>
      <c r="O31" s="12" t="n">
        <v>0.004983292643266443</v>
      </c>
      <c r="P31" s="12" t="n">
        <v>0</v>
      </c>
      <c r="Q31" s="12" t="n">
        <v>0.01125673491175621</v>
      </c>
      <c r="R31" s="12" t="n">
        <v>0.9325768954626942</v>
      </c>
      <c r="S31" s="12" t="n">
        <v>0</v>
      </c>
      <c r="T31" s="12" t="n">
        <v>0.007275728170822137</v>
      </c>
      <c r="U31" s="12" t="n">
        <v>0.01678763759416421</v>
      </c>
    </row>
    <row r="32">
      <c r="A32" s="4" t="inlineStr">
        <is>
          <t>Walk</t>
        </is>
      </c>
      <c r="B32" s="9" t="n">
        <v>0.01535437924883904</v>
      </c>
      <c r="C32" s="9" t="n">
        <v>0.01715327336563067</v>
      </c>
      <c r="D32" s="9" t="n">
        <v>0.02828097620646865</v>
      </c>
      <c r="E32" s="12" t="n">
        <v>0.05555021337133026</v>
      </c>
      <c r="F32" s="9" t="n">
        <v>0.2026404435290349</v>
      </c>
      <c r="G32" s="9" t="n">
        <v>0.07088601574635434</v>
      </c>
      <c r="H32" s="9" t="n">
        <v>1</v>
      </c>
      <c r="I32" s="9" t="n">
        <v>0.02582114244438353</v>
      </c>
      <c r="J32" s="9" t="n">
        <v>0.1249030130226723</v>
      </c>
      <c r="K32" s="6" t="n"/>
      <c r="L32" s="4" t="inlineStr">
        <is>
          <t>Walk</t>
        </is>
      </c>
      <c r="M32" s="9" t="n">
        <v>0.01516731463871078</v>
      </c>
      <c r="N32" s="9" t="n">
        <v>0.02862566905567515</v>
      </c>
      <c r="O32" s="9" t="n">
        <v>0.02813683771763079</v>
      </c>
      <c r="P32" s="9" t="n">
        <v>0</v>
      </c>
      <c r="Q32" s="9" t="n">
        <v>0.1763030910655337</v>
      </c>
      <c r="R32" s="9" t="n">
        <v>0.06741869981368019</v>
      </c>
      <c r="S32" s="9" t="n">
        <v>0.9999958777214399</v>
      </c>
      <c r="T32" s="9" t="n">
        <v>0.06611344554565968</v>
      </c>
      <c r="U32" s="9" t="n">
        <v>0.1362560503936944</v>
      </c>
    </row>
    <row r="33" ht="15.75" customHeight="1" s="35">
      <c r="A33" s="8" t="inlineStr">
        <is>
          <t>Total</t>
        </is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inlineStr">
        <is>
          <t>Total</t>
        </is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r="36" ht="15.75" customHeight="1" s="35">
      <c r="L36" s="1" t="inlineStr">
        <is>
          <t>Table X. Estimated-Observed Work Tour Mode Share Difference</t>
        </is>
      </c>
      <c r="M36" s="1" t="n"/>
      <c r="N36" s="2" t="n"/>
      <c r="O36" s="2" t="n"/>
      <c r="P36" s="2" t="n"/>
      <c r="Q36" s="2" t="n"/>
      <c r="R36" s="2" t="n"/>
      <c r="S36" s="2" t="n"/>
      <c r="T36" s="2" t="n"/>
      <c r="U36" s="2" t="n"/>
      <c r="W36" s="13" t="inlineStr">
        <is>
          <t>TRIP MODE CHOICE ALL PURPOSES: EST-OBS</t>
        </is>
      </c>
      <c r="X36" s="13" t="n"/>
      <c r="Y36" s="15" t="n"/>
      <c r="Z36" s="15" t="n"/>
      <c r="AA36" s="15" t="n"/>
      <c r="AB36" s="15" t="n"/>
      <c r="AC36" s="15" t="n"/>
      <c r="AD36" s="15" t="n"/>
      <c r="AE36" s="15" t="n"/>
      <c r="AF36" s="15" t="n"/>
    </row>
    <row r="37">
      <c r="L37" s="3" t="n"/>
      <c r="M37" s="31" t="inlineStr">
        <is>
          <t>All Purposes Tour Mode</t>
        </is>
      </c>
      <c r="W37" s="16" t="n"/>
      <c r="X37" s="34" t="inlineStr">
        <is>
          <t>All Purposes Tour Mode</t>
        </is>
      </c>
      <c r="AF37" s="34" t="n"/>
    </row>
    <row r="38">
      <c r="L38" s="4" t="inlineStr">
        <is>
          <t>Mode</t>
        </is>
      </c>
      <c r="M38" s="5" t="inlineStr">
        <is>
          <t>DA</t>
        </is>
      </c>
      <c r="N38" s="5" t="inlineStr">
        <is>
          <t>SR2</t>
        </is>
      </c>
      <c r="O38" s="5" t="inlineStr">
        <is>
          <t>SR3+</t>
        </is>
      </c>
      <c r="P38" s="5" t="inlineStr">
        <is>
          <t>D-Trans</t>
        </is>
      </c>
      <c r="Q38" s="5" t="inlineStr">
        <is>
          <t>W-Trans</t>
        </is>
      </c>
      <c r="R38" s="5" t="inlineStr">
        <is>
          <t>Bike</t>
        </is>
      </c>
      <c r="S38" s="5" t="inlineStr">
        <is>
          <t>Walk</t>
        </is>
      </c>
      <c r="T38" s="5" t="inlineStr">
        <is>
          <t>Sch Bus</t>
        </is>
      </c>
      <c r="U38" s="5" t="inlineStr">
        <is>
          <t>Total</t>
        </is>
      </c>
      <c r="W38" s="17" t="inlineStr">
        <is>
          <t>Mode</t>
        </is>
      </c>
      <c r="X38" s="18" t="inlineStr">
        <is>
          <t>DA</t>
        </is>
      </c>
      <c r="Y38" s="18" t="inlineStr">
        <is>
          <t>SR2</t>
        </is>
      </c>
      <c r="Z38" s="18" t="inlineStr">
        <is>
          <t>SR3+</t>
        </is>
      </c>
      <c r="AA38" s="18" t="inlineStr">
        <is>
          <t>D-Trans</t>
        </is>
      </c>
      <c r="AB38" s="18" t="inlineStr">
        <is>
          <t>W-Trans</t>
        </is>
      </c>
      <c r="AC38" s="5" t="inlineStr">
        <is>
          <t>Bike</t>
        </is>
      </c>
      <c r="AD38" s="5" t="inlineStr">
        <is>
          <t>Walk</t>
        </is>
      </c>
      <c r="AE38" s="5" t="inlineStr">
        <is>
          <t>Sch Bus</t>
        </is>
      </c>
      <c r="AF38" s="18" t="inlineStr">
        <is>
          <t>Total</t>
        </is>
      </c>
    </row>
    <row r="39">
      <c r="L39" t="inlineStr">
        <is>
          <t>Drive Alone</t>
        </is>
      </c>
      <c r="M39" s="12" t="n">
        <v>-0.0003730558392446293</v>
      </c>
      <c r="N39" s="12" t="n">
        <v>-0.02949585219438502</v>
      </c>
      <c r="O39" s="12" t="n">
        <v>-0.002670609286247336</v>
      </c>
      <c r="P39" s="12" t="n">
        <v>0.08425729868406745</v>
      </c>
      <c r="Q39" s="12" t="n">
        <v>0.01110180651899056</v>
      </c>
      <c r="R39" s="12" t="n">
        <v>0</v>
      </c>
      <c r="S39" s="12" t="n">
        <v>0</v>
      </c>
      <c r="T39" s="12" t="n">
        <v>-0.000841162837930046</v>
      </c>
      <c r="U39" s="12" t="n">
        <v>-0.01323529523447853</v>
      </c>
      <c r="W39" s="19" t="inlineStr">
        <is>
          <t>Drive Alone</t>
        </is>
      </c>
      <c r="X39" s="20" t="n">
        <v>-0.0003730558392446293</v>
      </c>
      <c r="Y39" s="20" t="n">
        <v>-0.02949585219438502</v>
      </c>
      <c r="Z39" s="20" t="n">
        <v>-0.002670609286247336</v>
      </c>
      <c r="AA39" s="20" t="n">
        <v>0.08425729868406745</v>
      </c>
      <c r="AB39" s="20" t="n">
        <v>0.01110180651899056</v>
      </c>
      <c r="AC39" s="20" t="n">
        <v>0</v>
      </c>
      <c r="AD39" s="20" t="n">
        <v>0</v>
      </c>
      <c r="AE39" s="20" t="n">
        <v>-0.000841162837930046</v>
      </c>
      <c r="AF39" s="20" t="n">
        <v>-0.01323529523447853</v>
      </c>
    </row>
    <row r="40">
      <c r="L40" t="inlineStr">
        <is>
          <t>Shared Ride 2 - Driver</t>
        </is>
      </c>
      <c r="M40" s="12" t="n">
        <v>0</v>
      </c>
      <c r="N40" s="12" t="n">
        <v>0.01690603604619834</v>
      </c>
      <c r="O40" s="12" t="n">
        <v>-0.002724811662953047</v>
      </c>
      <c r="P40" s="12" t="n">
        <v>-0.008170381206872822</v>
      </c>
      <c r="Q40" s="12" t="n">
        <v>-0.002422452169967074</v>
      </c>
      <c r="R40" s="12" t="n">
        <v>0</v>
      </c>
      <c r="S40" s="12" t="n">
        <v>0</v>
      </c>
      <c r="T40" s="12" t="n">
        <v>0.02619215668428496</v>
      </c>
      <c r="U40" s="12" t="n">
        <v>0.01121902227878488</v>
      </c>
      <c r="W40" s="21" t="inlineStr">
        <is>
          <t>Shared Ride 2 - Driver</t>
        </is>
      </c>
      <c r="X40" s="20" t="n">
        <v>0</v>
      </c>
      <c r="Y40" s="20" t="n">
        <v>0.01690603604619834</v>
      </c>
      <c r="Z40" s="20" t="n">
        <v>-0.002724811662953047</v>
      </c>
      <c r="AA40" s="20" t="n">
        <v>-0.008170381206872822</v>
      </c>
      <c r="AB40" s="20" t="n">
        <v>-0.002422452169967074</v>
      </c>
      <c r="AC40" s="20" t="n">
        <v>0</v>
      </c>
      <c r="AD40" s="20" t="n">
        <v>0</v>
      </c>
      <c r="AE40" s="20" t="n">
        <v>0.02619215668428496</v>
      </c>
      <c r="AF40" s="20" t="n">
        <v>0.01121902227878488</v>
      </c>
    </row>
    <row r="41">
      <c r="L41" t="inlineStr">
        <is>
          <t>Shared Ride 3+ - Driver</t>
        </is>
      </c>
      <c r="M41" s="12" t="n">
        <v>0</v>
      </c>
      <c r="N41" s="12" t="n">
        <v>0</v>
      </c>
      <c r="O41" s="12" t="n">
        <v>0.003570447240658914</v>
      </c>
      <c r="P41" s="12" t="n">
        <v>-0.01692349344217655</v>
      </c>
      <c r="Q41" s="12" t="n">
        <v>0.01253955321904884</v>
      </c>
      <c r="R41" s="12" t="n">
        <v>4.404723625616111e-06</v>
      </c>
      <c r="S41" s="12" t="n">
        <v>4.12227856002921e-06</v>
      </c>
      <c r="T41" s="12" t="n">
        <v>-0.02765651726391345</v>
      </c>
      <c r="U41" s="12" t="n">
        <v>0.003783853698183737</v>
      </c>
      <c r="W41" s="21" t="inlineStr">
        <is>
          <t>Shared Ride 3+ - Driver</t>
        </is>
      </c>
      <c r="X41" s="20" t="n">
        <v>0</v>
      </c>
      <c r="Y41" s="20" t="n">
        <v>0</v>
      </c>
      <c r="Z41" s="20" t="n">
        <v>0.003570447240658914</v>
      </c>
      <c r="AA41" s="20" t="n">
        <v>-0.01692349344217655</v>
      </c>
      <c r="AB41" s="20" t="n">
        <v>0.01253955321904884</v>
      </c>
      <c r="AC41" s="20" t="n">
        <v>4.404723625616111e-06</v>
      </c>
      <c r="AD41" s="20" t="n">
        <v>4.12227856002921e-06</v>
      </c>
      <c r="AE41" s="20" t="n">
        <v>-0.02765651726391345</v>
      </c>
      <c r="AF41" s="20" t="n">
        <v>0.003783853698183737</v>
      </c>
    </row>
    <row r="42">
      <c r="L42" t="inlineStr">
        <is>
          <t>Transit - localbus</t>
        </is>
      </c>
      <c r="M42" s="12" t="n">
        <v>0</v>
      </c>
      <c r="N42" s="12" t="n">
        <v>0</v>
      </c>
      <c r="O42" s="12" t="n">
        <v>0</v>
      </c>
      <c r="P42" s="12" t="n">
        <v>-0.01811720532903527</v>
      </c>
      <c r="Q42" s="12" t="n">
        <v>-0.04408932685716693</v>
      </c>
      <c r="R42" s="12" t="n">
        <v>0</v>
      </c>
      <c r="S42" s="12" t="n">
        <v>0</v>
      </c>
      <c r="T42" s="12" t="n">
        <v>-0.01888785357156654</v>
      </c>
      <c r="U42" s="12" t="n">
        <v>-0.01862581051008283</v>
      </c>
      <c r="W42" t="inlineStr">
        <is>
          <t>Transit - localbus</t>
        </is>
      </c>
      <c r="X42" s="20" t="n">
        <v>0</v>
      </c>
      <c r="Y42" s="20" t="n">
        <v>0</v>
      </c>
      <c r="Z42" s="20" t="n">
        <v>0</v>
      </c>
      <c r="AA42" s="20" t="n">
        <v>-0.01811720532903527</v>
      </c>
      <c r="AB42" s="20" t="n">
        <v>-0.04408932685716693</v>
      </c>
      <c r="AC42" s="20" t="n">
        <v>0</v>
      </c>
      <c r="AD42" s="20" t="n">
        <v>0</v>
      </c>
      <c r="AE42" s="20" t="n">
        <v>-0.01888785357156654</v>
      </c>
      <c r="AF42" s="20" t="n">
        <v>-0.01862581051008283</v>
      </c>
    </row>
    <row r="43">
      <c r="L43" t="inlineStr">
        <is>
          <t>Transit - lightrail</t>
        </is>
      </c>
      <c r="M43" s="12" t="n">
        <v>0</v>
      </c>
      <c r="N43" s="12" t="n">
        <v>0</v>
      </c>
      <c r="O43" s="12" t="n">
        <v>0</v>
      </c>
      <c r="P43" s="12" t="n">
        <v>0.01548453696933201</v>
      </c>
      <c r="Q43" s="12" t="n">
        <v>0.04633762580657477</v>
      </c>
      <c r="R43" s="12" t="n">
        <v>0</v>
      </c>
      <c r="S43" s="12" t="n">
        <v>0</v>
      </c>
      <c r="T43" s="12" t="n">
        <v>4.186035385952462e-05</v>
      </c>
      <c r="U43" s="12" t="n">
        <v>0.002031312957623958</v>
      </c>
      <c r="W43" t="inlineStr">
        <is>
          <t>Transit - lightrail</t>
        </is>
      </c>
      <c r="X43" s="20" t="n">
        <v>0</v>
      </c>
      <c r="Y43" s="20" t="n">
        <v>0</v>
      </c>
      <c r="Z43" s="20" t="n">
        <v>0</v>
      </c>
      <c r="AA43" s="20" t="n">
        <v>0.01548453696933201</v>
      </c>
      <c r="AB43" s="20" t="n">
        <v>0.04633762580657477</v>
      </c>
      <c r="AC43" s="20" t="n">
        <v>0</v>
      </c>
      <c r="AD43" s="20" t="n">
        <v>0</v>
      </c>
      <c r="AE43" s="20" t="n">
        <v>4.186035385952462e-05</v>
      </c>
      <c r="AF43" s="20" t="n">
        <v>0.002031312957623958</v>
      </c>
    </row>
    <row r="44">
      <c r="L44" t="inlineStr">
        <is>
          <t>Transit - premium bus</t>
        </is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inlineStr">
        <is>
          <t>Transit - premium bus</t>
        </is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>
      <c r="L45" t="inlineStr">
        <is>
          <t>Transit - commuter rail</t>
        </is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inlineStr">
        <is>
          <t>Transit - commuter rail</t>
        </is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>
      <c r="L46" t="inlineStr">
        <is>
          <t>Transit - ferry</t>
        </is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inlineStr">
        <is>
          <t>Transit - ferry</t>
        </is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>
      <c r="L47" t="inlineStr">
        <is>
          <t>School Bus</t>
        </is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-0.02044681485052813</v>
      </c>
      <c r="U47" s="12" t="n">
        <v>0.0002589490723780112</v>
      </c>
      <c r="W47" s="19" t="inlineStr">
        <is>
          <t>School Bus</t>
        </is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-0.02044681485052813</v>
      </c>
      <c r="AF47" s="20" t="n">
        <v>0.0002589490723780112</v>
      </c>
    </row>
    <row r="48">
      <c r="L48" t="inlineStr">
        <is>
          <t>Bike</t>
        </is>
      </c>
      <c r="M48" s="12" t="n">
        <v>0.000560120449372831</v>
      </c>
      <c r="N48" s="12" t="n">
        <v>0.00111742045814216</v>
      </c>
      <c r="O48" s="12" t="n">
        <v>0.001969112197379347</v>
      </c>
      <c r="P48" s="12" t="n">
        <v>-0.0009805423039845908</v>
      </c>
      <c r="Q48" s="12" t="n">
        <v>0.002870145946020915</v>
      </c>
      <c r="R48" s="12" t="n">
        <v>0.003462911209048625</v>
      </c>
      <c r="S48" s="12" t="n">
        <v>0</v>
      </c>
      <c r="T48" s="12" t="n">
        <v>0.001306028384517672</v>
      </c>
      <c r="U48" s="12" t="n">
        <v>0.003214930366568704</v>
      </c>
      <c r="W48" s="21" t="inlineStr">
        <is>
          <t>Bike</t>
        </is>
      </c>
      <c r="X48" s="20" t="n">
        <v>0.000560120449372831</v>
      </c>
      <c r="Y48" s="20" t="n">
        <v>0.00111742045814216</v>
      </c>
      <c r="Z48" s="20" t="n">
        <v>0.001969112197379347</v>
      </c>
      <c r="AA48" s="20" t="n">
        <v>-0.0009805423039845908</v>
      </c>
      <c r="AB48" s="20" t="n">
        <v>0.002870145946020915</v>
      </c>
      <c r="AC48" s="20" t="n">
        <v>0.003462911209048625</v>
      </c>
      <c r="AD48" s="20" t="n">
        <v>0</v>
      </c>
      <c r="AE48" s="20" t="n">
        <v>0.001306028384517672</v>
      </c>
      <c r="AF48" s="20" t="n">
        <v>0.003214930366568704</v>
      </c>
    </row>
    <row r="49">
      <c r="L49" s="4" t="inlineStr">
        <is>
          <t>Walk</t>
        </is>
      </c>
      <c r="M49" s="12" t="n">
        <v>-0.0001870646101282628</v>
      </c>
      <c r="N49" s="12" t="n">
        <v>0.01147239569004448</v>
      </c>
      <c r="O49" s="12" t="n">
        <v>-0.0001441384888378611</v>
      </c>
      <c r="P49" s="12" t="n">
        <v>-0.05555021337133026</v>
      </c>
      <c r="Q49" s="12" t="n">
        <v>-0.02633735246350113</v>
      </c>
      <c r="R49" s="12" t="n">
        <v>-0.003467315932674145</v>
      </c>
      <c r="S49" s="12" t="n">
        <v>-4.1222785600592e-06</v>
      </c>
      <c r="T49" s="12" t="n">
        <v>0.04029230310127615</v>
      </c>
      <c r="U49" s="12" t="n">
        <v>0.01135303737102207</v>
      </c>
      <c r="W49" s="22" t="inlineStr">
        <is>
          <t>Walk</t>
        </is>
      </c>
      <c r="X49" s="20" t="n">
        <v>-0.0001870646101282628</v>
      </c>
      <c r="Y49" s="20" t="n">
        <v>0.01147239569004448</v>
      </c>
      <c r="Z49" s="20" t="n">
        <v>-0.0001441384888378611</v>
      </c>
      <c r="AA49" s="20" t="n">
        <v>-0.05555021337133026</v>
      </c>
      <c r="AB49" s="20" t="n">
        <v>-0.02633735246350113</v>
      </c>
      <c r="AC49" s="20" t="n">
        <v>-0.003467315932674145</v>
      </c>
      <c r="AD49" s="20" t="n">
        <v>-4.1222785600592e-06</v>
      </c>
      <c r="AE49" s="20" t="n">
        <v>0.04029230310127615</v>
      </c>
      <c r="AF49" s="20" t="n">
        <v>0.01135303737102207</v>
      </c>
    </row>
    <row r="50" ht="15.75" customHeight="1" s="35">
      <c r="L50" s="7" t="inlineStr">
        <is>
          <t>Total</t>
        </is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inlineStr">
        <is>
          <t>Total</t>
        </is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2:AF50"/>
  <sheetViews>
    <sheetView topLeftCell="M7" workbookViewId="0">
      <selection activeCell="X37" sqref="X37:AE37"/>
    </sheetView>
  </sheetViews>
  <sheetFormatPr baseColWidth="8" defaultColWidth="11.3984375" defaultRowHeight="14.25"/>
  <cols>
    <col collapsed="1" width="25" customWidth="1" style="35" min="1" max="1"/>
    <col collapsed="1" width="10.73046875" customWidth="1" style="35" min="2" max="10"/>
    <col collapsed="1" width="3.73046875" customWidth="1" style="35" min="11" max="11"/>
    <col collapsed="1" width="25" customWidth="1" style="35" min="12" max="12"/>
    <col collapsed="1" width="10.73046875" customWidth="1" style="35" min="13" max="22"/>
    <col collapsed="1" width="17" customWidth="1" style="35" min="23" max="23"/>
    <col collapsed="1" width="25" customWidth="1" style="35" min="24" max="24"/>
    <col collapsed="1" width="10.73046875" customWidth="1" style="35" min="25" max="33"/>
  </cols>
  <sheetData>
    <row r="2" ht="15.75" customHeight="1" s="35">
      <c r="A2" s="1" t="inlineStr">
        <is>
          <t>Table X. Observed Work Tour Modes: Survey</t>
        </is>
      </c>
      <c r="B2" s="1" t="inlineStr"/>
      <c r="C2" s="2" t="inlineStr"/>
      <c r="D2" s="2" t="inlineStr"/>
      <c r="E2" s="2" t="inlineStr"/>
      <c r="F2" s="2" t="inlineStr"/>
      <c r="G2" s="2" t="inlineStr"/>
      <c r="H2" s="2" t="inlineStr"/>
      <c r="I2" s="2" t="inlineStr"/>
      <c r="J2" s="2" t="inlineStr"/>
      <c r="L2" s="1" t="inlineStr">
        <is>
          <t>Table X. Estimated Work Tour Modes: DaySim</t>
        </is>
      </c>
      <c r="M2" s="1" t="inlineStr"/>
      <c r="N2" s="2" t="inlineStr"/>
      <c r="O2" s="2" t="inlineStr"/>
      <c r="P2" s="2" t="inlineStr"/>
      <c r="Q2" s="2" t="inlineStr"/>
      <c r="R2" s="2" t="inlineStr"/>
      <c r="S2" s="2" t="inlineStr"/>
      <c r="T2" s="2" t="inlineStr"/>
      <c r="U2" s="2" t="inlineStr"/>
    </row>
    <row r="3">
      <c r="A3" s="3" t="inlineStr"/>
      <c r="B3" t="inlineStr">
        <is>
          <t>All Purposes Tour Mode</t>
        </is>
      </c>
      <c r="J3" s="31" t="inlineStr"/>
      <c r="L3" s="3" t="inlineStr"/>
      <c r="M3" t="inlineStr">
        <is>
          <t>All Purposes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5487901.784311979</v>
      </c>
      <c r="C5" s="6" t="n">
        <v>872301.6061265359</v>
      </c>
      <c r="D5" s="6" t="n">
        <v>367911.1252432716</v>
      </c>
      <c r="E5" s="6" t="n">
        <v>113555.8572876808</v>
      </c>
      <c r="F5" s="6" t="n">
        <v>17623.4511964027</v>
      </c>
      <c r="G5" s="6" t="n">
        <v>0</v>
      </c>
      <c r="H5" s="6" t="n">
        <v>0</v>
      </c>
      <c r="I5" s="6" t="n">
        <v>1686.320331476</v>
      </c>
      <c r="J5" s="6" t="n">
        <v>6860980.144497345</v>
      </c>
      <c r="K5" s="6" t="inlineStr"/>
      <c r="L5" t="inlineStr">
        <is>
          <t>Drive Alone</t>
        </is>
      </c>
      <c r="M5" s="6" t="n">
        <v>6037308</v>
      </c>
      <c r="N5" s="6" t="n">
        <v>1007747</v>
      </c>
      <c r="O5" s="6" t="n">
        <v>424387</v>
      </c>
      <c r="P5" s="6" t="n">
        <v>143569</v>
      </c>
      <c r="Q5" s="6" t="n">
        <v>25349</v>
      </c>
      <c r="R5" s="6" t="n">
        <v>0</v>
      </c>
      <c r="S5" s="6" t="n">
        <v>0</v>
      </c>
      <c r="T5" s="6" t="n">
        <v>1182</v>
      </c>
      <c r="U5" s="6" t="n">
        <v>7639542</v>
      </c>
    </row>
    <row r="6">
      <c r="A6" t="inlineStr">
        <is>
          <t>SR2</t>
        </is>
      </c>
      <c r="B6" s="6" t="n">
        <v>0</v>
      </c>
      <c r="C6" s="6" t="n">
        <v>2988044.852013417</v>
      </c>
      <c r="D6" s="6" t="n">
        <v>578286.3905384446</v>
      </c>
      <c r="E6" s="6" t="n">
        <v>5197.003405851699</v>
      </c>
      <c r="F6" s="6" t="n">
        <v>76570.99012166171</v>
      </c>
      <c r="G6" s="6" t="n">
        <v>0</v>
      </c>
      <c r="H6" s="6" t="n">
        <v>0</v>
      </c>
      <c r="I6" s="6" t="n">
        <v>45050.370104024</v>
      </c>
      <c r="J6" s="6" t="n">
        <v>3693149.606183399</v>
      </c>
      <c r="K6" s="6" t="inlineStr"/>
      <c r="L6" t="inlineStr">
        <is>
          <t>SR2</t>
        </is>
      </c>
      <c r="M6" s="6" t="n">
        <v>0</v>
      </c>
      <c r="N6" s="6" t="n">
        <v>3525574</v>
      </c>
      <c r="O6" s="6" t="n">
        <v>664105</v>
      </c>
      <c r="P6" s="6" t="n">
        <v>9611</v>
      </c>
      <c r="Q6" s="6" t="n">
        <v>50220</v>
      </c>
      <c r="R6" s="6" t="n">
        <v>0</v>
      </c>
      <c r="S6" s="6" t="n">
        <v>0</v>
      </c>
      <c r="T6" s="6" t="n">
        <v>62784</v>
      </c>
      <c r="U6" s="6" t="n">
        <v>4312294</v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2542495.557928707</v>
      </c>
      <c r="E7" s="6" t="n">
        <v>4202.013733871</v>
      </c>
      <c r="F7" s="6" t="n">
        <v>20670.845848217</v>
      </c>
      <c r="G7" s="6" t="n">
        <v>0</v>
      </c>
      <c r="H7" s="6" t="n">
        <v>0</v>
      </c>
      <c r="I7" s="6" t="n">
        <v>71299.33425</v>
      </c>
      <c r="J7" s="6" t="n">
        <v>2638667.751760795</v>
      </c>
      <c r="K7" s="6" t="inlineStr"/>
      <c r="L7" t="inlineStr">
        <is>
          <t>SR3</t>
        </is>
      </c>
      <c r="M7" s="6" t="n">
        <v>0</v>
      </c>
      <c r="N7" s="6" t="n">
        <v>0</v>
      </c>
      <c r="O7" s="6" t="n">
        <v>2960330</v>
      </c>
      <c r="P7" s="6" t="n">
        <v>0</v>
      </c>
      <c r="Q7" s="6" t="n">
        <v>23254</v>
      </c>
      <c r="R7" s="6" t="n">
        <v>0</v>
      </c>
      <c r="S7" s="6" t="n">
        <v>0</v>
      </c>
      <c r="T7" s="6" t="n">
        <v>62988</v>
      </c>
      <c r="U7" s="6" t="n">
        <v>3046572</v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111303.5389245945</v>
      </c>
      <c r="F8" s="6" t="n">
        <v>694175.9481831968</v>
      </c>
      <c r="G8" s="6" t="n">
        <v>0</v>
      </c>
      <c r="H8" s="6" t="n">
        <v>0</v>
      </c>
      <c r="I8" s="6" t="n">
        <v>10298.046276788</v>
      </c>
      <c r="J8" s="6" t="n">
        <v>815777.5333845794</v>
      </c>
      <c r="K8" s="6" t="inlineStr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114674</v>
      </c>
      <c r="Q8" s="6" t="n">
        <v>366060</v>
      </c>
      <c r="R8" s="6" t="n">
        <v>0</v>
      </c>
      <c r="S8" s="6" t="n">
        <v>0</v>
      </c>
      <c r="T8" s="6" t="n">
        <v>213</v>
      </c>
      <c r="U8" s="6" t="n">
        <v>480947</v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inlineStr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inlineStr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inlineStr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inlineStr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364497.700985698</v>
      </c>
      <c r="J13" s="6" t="n">
        <v>364497.700985698</v>
      </c>
      <c r="K13" s="6" t="inlineStr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393858</v>
      </c>
      <c r="U13" s="6" t="n">
        <v>393858</v>
      </c>
    </row>
    <row r="14">
      <c r="A14" t="inlineStr">
        <is>
          <t>Bike</t>
        </is>
      </c>
      <c r="B14" s="6" t="n">
        <v>4132.902897081</v>
      </c>
      <c r="C14" s="6" t="n">
        <v>13935.6750388237</v>
      </c>
      <c r="D14" s="6" t="n">
        <v>10855.267749194</v>
      </c>
      <c r="E14" s="6" t="n">
        <v>243.463457593</v>
      </c>
      <c r="F14" s="6" t="n">
        <v>8626.2684275048</v>
      </c>
      <c r="G14" s="6" t="n">
        <v>185644.4500970636</v>
      </c>
      <c r="H14" s="6" t="n">
        <v>0</v>
      </c>
      <c r="I14" s="6" t="n">
        <v>3038.659260836</v>
      </c>
      <c r="J14" s="6" t="n">
        <v>226476.6869280961</v>
      </c>
      <c r="K14" s="6" t="inlineStr"/>
      <c r="L14" t="inlineStr">
        <is>
          <t>Bike</t>
        </is>
      </c>
      <c r="M14" s="6" t="n">
        <v>5380</v>
      </c>
      <c r="N14" s="6" t="n">
        <v>16766</v>
      </c>
      <c r="O14" s="6" t="n">
        <v>13963</v>
      </c>
      <c r="P14" s="6" t="n">
        <v>0</v>
      </c>
      <c r="Q14" s="6" t="n">
        <v>6032</v>
      </c>
      <c r="R14" s="6" t="n">
        <v>190259</v>
      </c>
      <c r="S14" s="6" t="n">
        <v>0</v>
      </c>
      <c r="T14" s="6" t="n">
        <v>2771</v>
      </c>
      <c r="U14" s="6" t="n">
        <v>235171</v>
      </c>
    </row>
    <row r="15">
      <c r="A15" s="4" t="inlineStr">
        <is>
          <t>Walk</t>
        </is>
      </c>
      <c r="B15" s="6" t="n">
        <v>85641.75948993329</v>
      </c>
      <c r="C15" s="6" t="n">
        <v>67616.46422079091</v>
      </c>
      <c r="D15" s="6" t="n">
        <v>101851.0916785708</v>
      </c>
      <c r="E15" s="6" t="n">
        <v>13792.8235859424</v>
      </c>
      <c r="F15" s="6" t="n">
        <v>208431.6838814842</v>
      </c>
      <c r="G15" s="6" t="n">
        <v>14163.5963249168</v>
      </c>
      <c r="H15" s="6" t="n">
        <v>1579513.891878371</v>
      </c>
      <c r="I15" s="6" t="n">
        <v>13143.316485361</v>
      </c>
      <c r="J15" s="6" t="n">
        <v>2084154.62754537</v>
      </c>
      <c r="K15" s="6" t="inlineStr"/>
      <c r="L15" s="4" t="inlineStr">
        <is>
          <t>Walk</t>
        </is>
      </c>
      <c r="M15" s="6" t="n">
        <v>308211</v>
      </c>
      <c r="N15" s="6" t="n">
        <v>222420</v>
      </c>
      <c r="O15" s="6" t="n">
        <v>145779</v>
      </c>
      <c r="P15" s="6" t="n">
        <v>0</v>
      </c>
      <c r="Q15" s="6" t="n">
        <v>123741</v>
      </c>
      <c r="R15" s="6" t="n">
        <v>34411</v>
      </c>
      <c r="S15" s="6" t="n">
        <v>1480606</v>
      </c>
      <c r="T15" s="6" t="n">
        <v>20836</v>
      </c>
      <c r="U15" s="6" t="n">
        <v>2336004</v>
      </c>
    </row>
    <row r="16" ht="15.75" customHeight="1" s="35">
      <c r="A16" s="8" t="inlineStr">
        <is>
          <t>Total</t>
        </is>
      </c>
      <c r="B16" s="11" t="n">
        <v>5577676.446698993</v>
      </c>
      <c r="C16" s="11" t="n">
        <v>3941898.597399567</v>
      </c>
      <c r="D16" s="11" t="n">
        <v>3601399.433138189</v>
      </c>
      <c r="E16" s="11" t="n">
        <v>248294.7003955334</v>
      </c>
      <c r="F16" s="11" t="n">
        <v>1028578.896944723</v>
      </c>
      <c r="G16" s="11" t="n">
        <v>199808.0464219804</v>
      </c>
      <c r="H16" s="11" t="n">
        <v>1579513.891878371</v>
      </c>
      <c r="I16" s="11" t="n">
        <v>509013.7476941831</v>
      </c>
      <c r="J16" s="11" t="n">
        <v>16686183.76057154</v>
      </c>
      <c r="L16" s="7" t="inlineStr">
        <is>
          <t>Total</t>
        </is>
      </c>
      <c r="M16" s="11" t="n">
        <v>6350899</v>
      </c>
      <c r="N16" s="11" t="n">
        <v>4772507</v>
      </c>
      <c r="O16" s="11" t="n">
        <v>4208564</v>
      </c>
      <c r="P16" s="11" t="n">
        <v>267854</v>
      </c>
      <c r="Q16" s="11" t="n">
        <v>594656</v>
      </c>
      <c r="R16" s="11" t="n">
        <v>224670</v>
      </c>
      <c r="S16" s="11" t="n">
        <v>1480606</v>
      </c>
      <c r="T16" s="11" t="n">
        <v>544632</v>
      </c>
      <c r="U16" s="11" t="n">
        <v>18444388</v>
      </c>
    </row>
    <row r="19" ht="15.75" customHeight="1" s="35">
      <c r="A19" s="1" t="inlineStr">
        <is>
          <t>Table X. Observed Work Tour Mode Shares: Survey</t>
        </is>
      </c>
      <c r="B19" s="1" t="inlineStr"/>
      <c r="C19" s="2" t="inlineStr"/>
      <c r="D19" s="2" t="inlineStr"/>
      <c r="E19" s="2" t="inlineStr"/>
      <c r="F19" s="2" t="inlineStr"/>
      <c r="G19" s="2" t="inlineStr"/>
      <c r="H19" s="2" t="inlineStr"/>
      <c r="I19" s="2" t="inlineStr"/>
      <c r="J19" s="2" t="inlineStr"/>
      <c r="L19" s="1" t="inlineStr">
        <is>
          <t>Table X. Estimated Work Tour Mode Shares: DaySim</t>
        </is>
      </c>
      <c r="M19" s="1" t="inlineStr"/>
      <c r="N19" s="2" t="inlineStr"/>
      <c r="O19" s="2" t="inlineStr"/>
      <c r="P19" s="2" t="inlineStr"/>
      <c r="Q19" s="2" t="inlineStr"/>
      <c r="R19" s="2" t="inlineStr"/>
      <c r="S19" s="2" t="inlineStr"/>
      <c r="T19" s="2" t="inlineStr"/>
      <c r="U19" s="2" t="inlineStr"/>
    </row>
    <row r="20">
      <c r="A20" s="3" t="inlineStr"/>
      <c r="B20" t="inlineStr">
        <is>
          <t>All Purposes Tour Mode</t>
        </is>
      </c>
      <c r="J20" s="31" t="inlineStr"/>
      <c r="L20" s="3" t="inlineStr"/>
      <c r="M20" t="inlineStr">
        <is>
          <t>All Purposes Tour Mode</t>
        </is>
      </c>
    </row>
    <row r="21">
      <c r="A21" s="4" t="inlineStr">
        <is>
          <t>Mode</t>
        </is>
      </c>
      <c r="B21" s="5" t="inlineStr">
        <is>
          <t>DA</t>
        </is>
      </c>
      <c r="C21" s="5" t="inlineStr">
        <is>
          <t>SR2</t>
        </is>
      </c>
      <c r="D21" s="5" t="inlineStr">
        <is>
          <t>SR3+</t>
        </is>
      </c>
      <c r="E21" s="5" t="inlineStr">
        <is>
          <t>D-Trans</t>
        </is>
      </c>
      <c r="F21" s="5" t="inlineStr">
        <is>
          <t>W-Trans</t>
        </is>
      </c>
      <c r="G21" s="5" t="inlineStr">
        <is>
          <t>Bike</t>
        </is>
      </c>
      <c r="H21" s="5" t="inlineStr">
        <is>
          <t>Walk</t>
        </is>
      </c>
      <c r="I21" s="5" t="inlineStr">
        <is>
          <t>Sch Bus</t>
        </is>
      </c>
      <c r="J21" s="5" t="inlineStr">
        <is>
          <t>Total</t>
        </is>
      </c>
      <c r="L21" s="4" t="inlineStr">
        <is>
          <t>Mode</t>
        </is>
      </c>
      <c r="M21" s="5" t="inlineStr">
        <is>
          <t>Drive Alone</t>
        </is>
      </c>
      <c r="N21" s="5" t="inlineStr">
        <is>
          <t>Shared Ride 2</t>
        </is>
      </c>
      <c r="O21" s="5" t="inlineStr">
        <is>
          <t>Shared Ride 3+</t>
        </is>
      </c>
      <c r="P21" s="5" t="inlineStr">
        <is>
          <t>D-Trans</t>
        </is>
      </c>
      <c r="Q21" s="5" t="inlineStr">
        <is>
          <t>W-Trans</t>
        </is>
      </c>
      <c r="R21" s="5" t="inlineStr">
        <is>
          <t>Bike</t>
        </is>
      </c>
      <c r="S21" s="5" t="inlineStr">
        <is>
          <t>Walk</t>
        </is>
      </c>
      <c r="T21" s="5" t="inlineStr">
        <is>
          <t>Sch Bus</t>
        </is>
      </c>
      <c r="U21" s="5" t="inlineStr">
        <is>
          <t>Total</t>
        </is>
      </c>
    </row>
    <row r="22">
      <c r="A22" t="inlineStr">
        <is>
          <t>Drive Alone</t>
        </is>
      </c>
      <c r="B22" s="12" t="n">
        <v>0.9839046486032468</v>
      </c>
      <c r="C22" s="12" t="n">
        <v>0.2212897121965504</v>
      </c>
      <c r="D22" s="12" t="n">
        <v>0.1021578228335203</v>
      </c>
      <c r="E22" s="12" t="n">
        <v>0.4573430568867815</v>
      </c>
      <c r="F22" s="12" t="n">
        <v>0.01713378647836462</v>
      </c>
      <c r="G22" s="12" t="n">
        <v>0</v>
      </c>
      <c r="H22" s="12" t="n">
        <v>0</v>
      </c>
      <c r="I22" s="12" t="n">
        <v>0.003312917065825786</v>
      </c>
      <c r="J22" s="12" t="n">
        <v>0.4111773095001766</v>
      </c>
      <c r="K22" s="6" t="inlineStr"/>
      <c r="L22" t="inlineStr">
        <is>
          <t>Drive Alone</t>
        </is>
      </c>
      <c r="M22" s="12" t="n">
        <v>0.9506225811495349</v>
      </c>
      <c r="N22" s="12" t="n">
        <v>0.2111567358623047</v>
      </c>
      <c r="O22" s="12" t="n">
        <v>0.100838908473294</v>
      </c>
      <c r="P22" s="12" t="n">
        <v>0.5359972223674091</v>
      </c>
      <c r="Q22" s="12" t="n">
        <v>0.04262800678039068</v>
      </c>
      <c r="R22" s="12" t="n">
        <v>0</v>
      </c>
      <c r="S22" s="12" t="n">
        <v>0</v>
      </c>
      <c r="T22" s="12" t="n">
        <v>0.00217027277133918</v>
      </c>
      <c r="U22" s="12" t="n">
        <v>0.4141933036758932</v>
      </c>
    </row>
    <row r="23">
      <c r="A23" t="inlineStr">
        <is>
          <t>SR2</t>
        </is>
      </c>
      <c r="B23" s="12" t="n">
        <v>0</v>
      </c>
      <c r="C23" s="12" t="n">
        <v>0.7580217446447256</v>
      </c>
      <c r="D23" s="12" t="n">
        <v>0.1605726888323901</v>
      </c>
      <c r="E23" s="12" t="n">
        <v>0.02093078667234087</v>
      </c>
      <c r="F23" s="12" t="n">
        <v>0.07444347764581515</v>
      </c>
      <c r="G23" s="12" t="n">
        <v>0</v>
      </c>
      <c r="H23" s="12" t="n">
        <v>0</v>
      </c>
      <c r="I23" s="12" t="n">
        <v>0.08850521289081252</v>
      </c>
      <c r="J23" s="12" t="n">
        <v>0.2213297935091721</v>
      </c>
      <c r="K23" s="6" t="inlineStr"/>
      <c r="L23" t="inlineStr">
        <is>
          <t>SR2</t>
        </is>
      </c>
      <c r="M23" s="12" t="n">
        <v>0</v>
      </c>
      <c r="N23" s="12" t="n">
        <v>0.7387257891921374</v>
      </c>
      <c r="O23" s="12" t="n">
        <v>0.1577984794813623</v>
      </c>
      <c r="P23" s="12" t="n">
        <v>0.03588148767612206</v>
      </c>
      <c r="Q23" s="12" t="n">
        <v>0.08445218748318356</v>
      </c>
      <c r="R23" s="12" t="n">
        <v>0</v>
      </c>
      <c r="S23" s="12" t="n">
        <v>0</v>
      </c>
      <c r="T23" s="12" t="n">
        <v>0.1152778389811836</v>
      </c>
      <c r="U23" s="12" t="n">
        <v>0.2337997877728445</v>
      </c>
    </row>
    <row r="24">
      <c r="A24" t="inlineStr">
        <is>
          <t>SR3</t>
        </is>
      </c>
      <c r="B24" s="12" t="n">
        <v>0</v>
      </c>
      <c r="C24" s="12" t="n">
        <v>0</v>
      </c>
      <c r="D24" s="12" t="n">
        <v>0.7059743316817337</v>
      </c>
      <c r="E24" s="12" t="n">
        <v>0.01692349344217655</v>
      </c>
      <c r="F24" s="12" t="n">
        <v>0.02009650976664736</v>
      </c>
      <c r="G24" s="12" t="n">
        <v>0</v>
      </c>
      <c r="H24" s="12" t="n">
        <v>0</v>
      </c>
      <c r="I24" s="12" t="n">
        <v>0.1400734942287587</v>
      </c>
      <c r="J24" s="12" t="n">
        <v>0.158134885101518</v>
      </c>
      <c r="K24" s="6" t="inlineStr"/>
      <c r="L24" t="inlineStr">
        <is>
          <t>SR3</t>
        </is>
      </c>
      <c r="M24" s="12" t="n">
        <v>0</v>
      </c>
      <c r="N24" s="12" t="n">
        <v>0</v>
      </c>
      <c r="O24" s="12" t="n">
        <v>0.7034061974583254</v>
      </c>
      <c r="P24" s="12" t="n">
        <v>0</v>
      </c>
      <c r="Q24" s="12" t="n">
        <v>0.03910496152397352</v>
      </c>
      <c r="R24" s="12" t="n">
        <v>0</v>
      </c>
      <c r="S24" s="12" t="n">
        <v>0</v>
      </c>
      <c r="T24" s="12" t="n">
        <v>0.1156524038249681</v>
      </c>
      <c r="U24" s="12" t="n">
        <v>0.1651760958401005</v>
      </c>
    </row>
    <row r="25">
      <c r="A25" t="inlineStr">
        <is>
          <t>Transit - localbus</t>
        </is>
      </c>
      <c r="B25" s="12" t="n">
        <v>0</v>
      </c>
      <c r="C25" s="12" t="n">
        <v>0</v>
      </c>
      <c r="D25" s="12" t="n">
        <v>0</v>
      </c>
      <c r="E25" s="12" t="n">
        <v>0.4482719073233863</v>
      </c>
      <c r="F25" s="12" t="n">
        <v>0.6748883826463556</v>
      </c>
      <c r="G25" s="12" t="n">
        <v>0</v>
      </c>
      <c r="H25" s="12" t="n">
        <v>0</v>
      </c>
      <c r="I25" s="12" t="n">
        <v>0.0202313715954389</v>
      </c>
      <c r="J25" s="12" t="n">
        <v>0.04888940126095298</v>
      </c>
      <c r="K25" s="6" t="inlineStr"/>
      <c r="L25" t="inlineStr">
        <is>
          <t>Transit - localbus</t>
        </is>
      </c>
      <c r="M25" s="12" t="n">
        <v>0</v>
      </c>
      <c r="N25" s="12" t="n">
        <v>0</v>
      </c>
      <c r="O25" s="12" t="n">
        <v>0</v>
      </c>
      <c r="P25" s="12" t="n">
        <v>0.4281212899564688</v>
      </c>
      <c r="Q25" s="12" t="n">
        <v>0.6155827907227035</v>
      </c>
      <c r="R25" s="12" t="n">
        <v>0</v>
      </c>
      <c r="S25" s="12" t="n">
        <v>0</v>
      </c>
      <c r="T25" s="12" t="n">
        <v>0.0003910897633631516</v>
      </c>
      <c r="U25" s="12" t="n">
        <v>0.02607551955640924</v>
      </c>
    </row>
    <row r="26">
      <c r="A26" t="inlineStr">
        <is>
          <t>Transit - lightrail</t>
        </is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0.002410810968047074</v>
      </c>
      <c r="G26" s="12" t="n">
        <v>0</v>
      </c>
      <c r="H26" s="12" t="n">
        <v>0</v>
      </c>
      <c r="I26" s="12" t="n">
        <v>0</v>
      </c>
      <c r="J26" s="12" t="n">
        <v>0.0001486085327740131</v>
      </c>
      <c r="K26" s="6" t="inlineStr"/>
      <c r="L26" t="inlineStr">
        <is>
          <t>Transit - lightrail</t>
        </is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</row>
    <row r="27">
      <c r="A27" t="inlineStr">
        <is>
          <t>Transit - premium bus</t>
        </is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inlineStr"/>
      <c r="L27" t="inlineStr">
        <is>
          <t>Transit - premium bus</t>
        </is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>
      <c r="A28" t="inlineStr">
        <is>
          <t>Transit - commuter rail</t>
        </is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inlineStr"/>
      <c r="L28" t="inlineStr">
        <is>
          <t>Transit - commuter rail</t>
        </is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>
      <c r="A29" t="inlineStr">
        <is>
          <t>Transit - ferry</t>
        </is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inlineStr"/>
      <c r="L29" t="inlineStr">
        <is>
          <t>Transit - ferry</t>
        </is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>
      <c r="A30" t="inlineStr">
        <is>
          <t>School Bus</t>
        </is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0.716086161988476</v>
      </c>
      <c r="J30" s="12" t="n">
        <v>0.02184428184513852</v>
      </c>
      <c r="K30" s="6" t="inlineStr"/>
      <c r="L30" t="inlineStr">
        <is>
          <t>School Bus</t>
        </is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0.7231635306041511</v>
      </c>
      <c r="U30" s="12" t="n">
        <v>0.02135381233576305</v>
      </c>
    </row>
    <row r="31">
      <c r="A31" t="inlineStr">
        <is>
          <t>Bike</t>
        </is>
      </c>
      <c r="B31" s="12" t="n">
        <v>0.0007409721479142006</v>
      </c>
      <c r="C31" s="12" t="n">
        <v>0.003535269793093341</v>
      </c>
      <c r="D31" s="12" t="n">
        <v>0.003014180445887096</v>
      </c>
      <c r="E31" s="12" t="n">
        <v>0.0009805423039845908</v>
      </c>
      <c r="F31" s="12" t="n">
        <v>0.008386588965735296</v>
      </c>
      <c r="G31" s="12" t="n">
        <v>0.9291139842536456</v>
      </c>
      <c r="H31" s="12" t="n">
        <v>0</v>
      </c>
      <c r="I31" s="12" t="n">
        <v>0.005969699786304465</v>
      </c>
      <c r="J31" s="12" t="n">
        <v>0.0135727072275955</v>
      </c>
      <c r="K31" s="6" t="inlineStr"/>
      <c r="L31" t="inlineStr">
        <is>
          <t>Bike</t>
        </is>
      </c>
      <c r="M31" s="12" t="n">
        <v>0.0008471241630515617</v>
      </c>
      <c r="N31" s="12" t="n">
        <v>0.003513038325559292</v>
      </c>
      <c r="O31" s="12" t="n">
        <v>0.003317758741461458</v>
      </c>
      <c r="P31" s="12" t="n">
        <v>0</v>
      </c>
      <c r="Q31" s="12" t="n">
        <v>0.01014367970725932</v>
      </c>
      <c r="R31" s="12" t="n">
        <v>0.8468375840121066</v>
      </c>
      <c r="S31" s="12" t="n">
        <v>0</v>
      </c>
      <c r="T31" s="12" t="n">
        <v>0.005087839128071799</v>
      </c>
      <c r="U31" s="12" t="n">
        <v>0.01275027395866971</v>
      </c>
    </row>
    <row r="32">
      <c r="A32" s="4" t="inlineStr">
        <is>
          <t>Walk</t>
        </is>
      </c>
      <c r="B32" s="9" t="n">
        <v>0.01535437924883904</v>
      </c>
      <c r="C32" s="9" t="n">
        <v>0.01715327336563067</v>
      </c>
      <c r="D32" s="9" t="n">
        <v>0.02828097620646865</v>
      </c>
      <c r="E32" s="12" t="n">
        <v>0.05555021337133026</v>
      </c>
      <c r="F32" s="9" t="n">
        <v>0.2026404435290349</v>
      </c>
      <c r="G32" s="9" t="n">
        <v>0.07088601574635434</v>
      </c>
      <c r="H32" s="9" t="n">
        <v>1</v>
      </c>
      <c r="I32" s="9" t="n">
        <v>0.02582114244438353</v>
      </c>
      <c r="J32" s="9" t="n">
        <v>0.1249030130226723</v>
      </c>
      <c r="K32" s="6" t="inlineStr"/>
      <c r="L32" s="4" t="inlineStr">
        <is>
          <t>Walk</t>
        </is>
      </c>
      <c r="M32" s="9" t="n">
        <v>0.04853029468741354</v>
      </c>
      <c r="N32" s="9" t="n">
        <v>0.04660443661999867</v>
      </c>
      <c r="O32" s="9" t="n">
        <v>0.03463865584555682</v>
      </c>
      <c r="P32" s="9" t="n">
        <v>0</v>
      </c>
      <c r="Q32" s="9" t="n">
        <v>0.2080883737824894</v>
      </c>
      <c r="R32" s="9" t="n">
        <v>0.1531624159878933</v>
      </c>
      <c r="S32" s="9" t="n">
        <v>1</v>
      </c>
      <c r="T32" s="9" t="n">
        <v>0.03825702492692314</v>
      </c>
      <c r="U32" s="9" t="n">
        <v>0.1266512068603198</v>
      </c>
    </row>
    <row r="33" ht="15.75" customHeight="1" s="35">
      <c r="A33" s="8" t="inlineStr">
        <is>
          <t>Total</t>
        </is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inlineStr">
        <is>
          <t>Total</t>
        </is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r="36" ht="15.75" customHeight="1" s="35">
      <c r="L36" s="1" t="inlineStr">
        <is>
          <t>Table X. Estimated-Observed Work Tour Mode Share Difference</t>
        </is>
      </c>
      <c r="M36" s="1" t="inlineStr"/>
      <c r="N36" s="2" t="inlineStr"/>
      <c r="O36" s="2" t="inlineStr"/>
      <c r="P36" s="2" t="inlineStr"/>
      <c r="Q36" s="2" t="inlineStr"/>
      <c r="R36" s="2" t="inlineStr"/>
      <c r="S36" s="2" t="inlineStr"/>
      <c r="T36" s="2" t="inlineStr"/>
      <c r="U36" s="2" t="inlineStr"/>
      <c r="W36" s="13" t="inlineStr">
        <is>
          <t>TRIP MODE CHOICE ALL PURPOSES: EST-OBS</t>
        </is>
      </c>
      <c r="X36" s="13" t="inlineStr"/>
      <c r="Y36" s="15" t="inlineStr"/>
      <c r="Z36" s="15" t="inlineStr"/>
      <c r="AA36" s="15" t="inlineStr"/>
      <c r="AB36" s="15" t="inlineStr"/>
      <c r="AC36" s="15" t="inlineStr"/>
      <c r="AD36" s="15" t="inlineStr"/>
      <c r="AE36" s="15" t="inlineStr"/>
      <c r="AF36" s="15" t="inlineStr"/>
    </row>
    <row r="37">
      <c r="L37" s="3" t="inlineStr"/>
      <c r="M37" t="inlineStr">
        <is>
          <t>All Purposes Tour Mode</t>
        </is>
      </c>
      <c r="W37" s="16" t="inlineStr"/>
      <c r="X37" s="36" t="inlineStr">
        <is>
          <t>All Purposes Tour Mode</t>
        </is>
      </c>
      <c r="AF37" s="34" t="inlineStr"/>
    </row>
    <row r="38">
      <c r="L38" s="4" t="inlineStr">
        <is>
          <t>Mode</t>
        </is>
      </c>
      <c r="M38" s="5" t="inlineStr">
        <is>
          <t>DA</t>
        </is>
      </c>
      <c r="N38" s="5" t="inlineStr">
        <is>
          <t>SR2</t>
        </is>
      </c>
      <c r="O38" s="5" t="inlineStr">
        <is>
          <t>SR3+</t>
        </is>
      </c>
      <c r="P38" s="5" t="inlineStr">
        <is>
          <t>D-Trans</t>
        </is>
      </c>
      <c r="Q38" s="5" t="inlineStr">
        <is>
          <t>W-Trans</t>
        </is>
      </c>
      <c r="R38" s="5" t="inlineStr">
        <is>
          <t>Bike</t>
        </is>
      </c>
      <c r="S38" s="5" t="inlineStr">
        <is>
          <t>Walk</t>
        </is>
      </c>
      <c r="T38" s="5" t="inlineStr">
        <is>
          <t>Sch Bus</t>
        </is>
      </c>
      <c r="U38" s="5" t="inlineStr">
        <is>
          <t>Total</t>
        </is>
      </c>
      <c r="W38" s="17" t="inlineStr">
        <is>
          <t>Mode</t>
        </is>
      </c>
      <c r="X38" s="18" t="inlineStr">
        <is>
          <t>DA</t>
        </is>
      </c>
      <c r="Y38" s="18" t="inlineStr">
        <is>
          <t>SR2</t>
        </is>
      </c>
      <c r="Z38" s="18" t="inlineStr">
        <is>
          <t>SR3+</t>
        </is>
      </c>
      <c r="AA38" s="18" t="inlineStr">
        <is>
          <t>D-Trans</t>
        </is>
      </c>
      <c r="AB38" s="18" t="inlineStr">
        <is>
          <t>W-Trans</t>
        </is>
      </c>
      <c r="AC38" s="5" t="inlineStr">
        <is>
          <t>Bike</t>
        </is>
      </c>
      <c r="AD38" s="5" t="inlineStr">
        <is>
          <t>Walk</t>
        </is>
      </c>
      <c r="AE38" s="5" t="inlineStr">
        <is>
          <t>Sch Bus</t>
        </is>
      </c>
      <c r="AF38" s="18" t="inlineStr">
        <is>
          <t>Total</t>
        </is>
      </c>
    </row>
    <row r="39">
      <c r="L39" t="inlineStr">
        <is>
          <t>Drive Alone</t>
        </is>
      </c>
      <c r="M39" s="12" t="n">
        <v>-0.03328206745371187</v>
      </c>
      <c r="N39" s="12" t="n">
        <v>-0.01013297633424573</v>
      </c>
      <c r="O39" s="12" t="n">
        <v>-0.001318914360226353</v>
      </c>
      <c r="P39" s="12" t="n">
        <v>0.07865416548062759</v>
      </c>
      <c r="Q39" s="12" t="n">
        <v>0.02549422030202606</v>
      </c>
      <c r="R39" s="12" t="n">
        <v>0</v>
      </c>
      <c r="S39" s="12" t="n">
        <v>0</v>
      </c>
      <c r="T39" s="12" t="n">
        <v>-0.001142644294486606</v>
      </c>
      <c r="U39" s="12" t="n">
        <v>0.003015994175716574</v>
      </c>
      <c r="W39" s="19" t="inlineStr">
        <is>
          <t>Drive Alone</t>
        </is>
      </c>
      <c r="X39" s="20" t="n">
        <v>-0.03328206745371187</v>
      </c>
      <c r="Y39" s="20" t="n">
        <v>-0.01013297633424573</v>
      </c>
      <c r="Z39" s="20" t="n">
        <v>-0.001318914360226353</v>
      </c>
      <c r="AA39" s="20" t="n">
        <v>0.07865416548062759</v>
      </c>
      <c r="AB39" s="20" t="n">
        <v>0.02549422030202606</v>
      </c>
      <c r="AC39" s="20" t="n">
        <v>0</v>
      </c>
      <c r="AD39" s="20" t="n">
        <v>0</v>
      </c>
      <c r="AE39" s="20" t="n">
        <v>-0.001142644294486606</v>
      </c>
      <c r="AF39" s="20" t="n">
        <v>0.003015994175716574</v>
      </c>
    </row>
    <row r="40">
      <c r="L40" t="inlineStr">
        <is>
          <t>Shared Ride 2 - Driver</t>
        </is>
      </c>
      <c r="M40" s="12" t="n">
        <v>0</v>
      </c>
      <c r="N40" s="12" t="n">
        <v>-0.01929595545258822</v>
      </c>
      <c r="O40" s="12" t="n">
        <v>-0.002774209351027845</v>
      </c>
      <c r="P40" s="12" t="n">
        <v>0.01495070100378119</v>
      </c>
      <c r="Q40" s="12" t="n">
        <v>0.01000870983736842</v>
      </c>
      <c r="R40" s="12" t="n">
        <v>0</v>
      </c>
      <c r="S40" s="12" t="n">
        <v>0</v>
      </c>
      <c r="T40" s="12" t="n">
        <v>0.02677262609037111</v>
      </c>
      <c r="U40" s="12" t="n">
        <v>0.01246999426367246</v>
      </c>
      <c r="W40" s="21" t="inlineStr">
        <is>
          <t>Shared Ride 2 - Driver</t>
        </is>
      </c>
      <c r="X40" s="20" t="n">
        <v>0</v>
      </c>
      <c r="Y40" s="20" t="n">
        <v>-0.01929595545258822</v>
      </c>
      <c r="Z40" s="20" t="n">
        <v>-0.002774209351027845</v>
      </c>
      <c r="AA40" s="20" t="n">
        <v>0.01495070100378119</v>
      </c>
      <c r="AB40" s="20" t="n">
        <v>0.01000870983736842</v>
      </c>
      <c r="AC40" s="20" t="n">
        <v>0</v>
      </c>
      <c r="AD40" s="20" t="n">
        <v>0</v>
      </c>
      <c r="AE40" s="20" t="n">
        <v>0.02677262609037111</v>
      </c>
      <c r="AF40" s="20" t="n">
        <v>0.01246999426367246</v>
      </c>
    </row>
    <row r="41">
      <c r="L41" t="inlineStr">
        <is>
          <t>Shared Ride 3+ - Driver</t>
        </is>
      </c>
      <c r="M41" s="12" t="n">
        <v>0</v>
      </c>
      <c r="N41" s="12" t="n">
        <v>0</v>
      </c>
      <c r="O41" s="12" t="n">
        <v>-0.002568134223408292</v>
      </c>
      <c r="P41" s="12" t="n">
        <v>-0.01692349344217655</v>
      </c>
      <c r="Q41" s="12" t="n">
        <v>0.01900845175732616</v>
      </c>
      <c r="R41" s="12" t="n">
        <v>0</v>
      </c>
      <c r="S41" s="12" t="n">
        <v>0</v>
      </c>
      <c r="T41" s="12" t="n">
        <v>-0.02442109040379067</v>
      </c>
      <c r="U41" s="12" t="n">
        <v>0.007041210738582548</v>
      </c>
      <c r="W41" s="21" t="inlineStr">
        <is>
          <t>Shared Ride 3+ - Driver</t>
        </is>
      </c>
      <c r="X41" s="20" t="n">
        <v>0</v>
      </c>
      <c r="Y41" s="20" t="n">
        <v>0</v>
      </c>
      <c r="Z41" s="20" t="n">
        <v>-0.002568134223408292</v>
      </c>
      <c r="AA41" s="20" t="n">
        <v>-0.01692349344217655</v>
      </c>
      <c r="AB41" s="20" t="n">
        <v>0.01900845175732616</v>
      </c>
      <c r="AC41" s="20" t="n">
        <v>0</v>
      </c>
      <c r="AD41" s="20" t="n">
        <v>0</v>
      </c>
      <c r="AE41" s="20" t="n">
        <v>-0.02442109040379067</v>
      </c>
      <c r="AF41" s="20" t="n">
        <v>0.007041210738582548</v>
      </c>
    </row>
    <row r="42">
      <c r="L42" t="inlineStr">
        <is>
          <t>Transit - localbus</t>
        </is>
      </c>
      <c r="M42" s="12" t="n">
        <v>0</v>
      </c>
      <c r="N42" s="12" t="n">
        <v>0</v>
      </c>
      <c r="O42" s="12" t="n">
        <v>0</v>
      </c>
      <c r="P42" s="12" t="n">
        <v>-0.02015061736691748</v>
      </c>
      <c r="Q42" s="12" t="n">
        <v>-0.05930559192365215</v>
      </c>
      <c r="R42" s="12" t="n">
        <v>0</v>
      </c>
      <c r="S42" s="12" t="n">
        <v>0</v>
      </c>
      <c r="T42" s="12" t="n">
        <v>-0.01984028183207575</v>
      </c>
      <c r="U42" s="12" t="n">
        <v>-0.02281388170454374</v>
      </c>
      <c r="W42" t="inlineStr">
        <is>
          <t>Transit - localbus</t>
        </is>
      </c>
      <c r="X42" s="20" t="n">
        <v>0</v>
      </c>
      <c r="Y42" s="20" t="n">
        <v>0</v>
      </c>
      <c r="Z42" s="20" t="n">
        <v>0</v>
      </c>
      <c r="AA42" s="20" t="n">
        <v>-0.02015061736691748</v>
      </c>
      <c r="AB42" s="20" t="n">
        <v>-0.05930559192365215</v>
      </c>
      <c r="AC42" s="20" t="n">
        <v>0</v>
      </c>
      <c r="AD42" s="20" t="n">
        <v>0</v>
      </c>
      <c r="AE42" s="20" t="n">
        <v>-0.01984028183207575</v>
      </c>
      <c r="AF42" s="20" t="n">
        <v>-0.02281388170454374</v>
      </c>
    </row>
    <row r="43">
      <c r="L43" t="inlineStr">
        <is>
          <t>Transit - lightrail</t>
        </is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-0.002410810968047074</v>
      </c>
      <c r="R43" s="12" t="n">
        <v>0</v>
      </c>
      <c r="S43" s="12" t="n">
        <v>0</v>
      </c>
      <c r="T43" s="12" t="n">
        <v>0</v>
      </c>
      <c r="U43" s="12" t="n">
        <v>-0.0001486085327740131</v>
      </c>
      <c r="W43" t="inlineStr">
        <is>
          <t>Transit - lightrail</t>
        </is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-0.002410810968047074</v>
      </c>
      <c r="AC43" s="20" t="n">
        <v>0</v>
      </c>
      <c r="AD43" s="20" t="n">
        <v>0</v>
      </c>
      <c r="AE43" s="20" t="n">
        <v>0</v>
      </c>
      <c r="AF43" s="20" t="n">
        <v>-0.0001486085327740131</v>
      </c>
    </row>
    <row r="44">
      <c r="L44" t="inlineStr">
        <is>
          <t>Transit - premium bus</t>
        </is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inlineStr">
        <is>
          <t>Transit - premium bus</t>
        </is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>
      <c r="L45" t="inlineStr">
        <is>
          <t>Transit - commuter rail</t>
        </is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inlineStr">
        <is>
          <t>Transit - commuter rail</t>
        </is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>
      <c r="L46" t="inlineStr">
        <is>
          <t>Transit - ferry</t>
        </is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inlineStr">
        <is>
          <t>Transit - ferry</t>
        </is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>
      <c r="L47" t="inlineStr">
        <is>
          <t>School Bus</t>
        </is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0.007077368615675095</v>
      </c>
      <c r="U47" s="12" t="n">
        <v>-0.0004904695093754657</v>
      </c>
      <c r="W47" s="19" t="inlineStr">
        <is>
          <t>School Bus</t>
        </is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0.007077368615675095</v>
      </c>
      <c r="AF47" s="20" t="n">
        <v>-0.0004904695093754657</v>
      </c>
    </row>
    <row r="48">
      <c r="L48" t="inlineStr">
        <is>
          <t>Bike</t>
        </is>
      </c>
      <c r="M48" s="12" t="n">
        <v>0.0001061520151373611</v>
      </c>
      <c r="N48" s="12" t="n">
        <v>-2.223146753404896e-05</v>
      </c>
      <c r="O48" s="12" t="n">
        <v>0.0003035782955743624</v>
      </c>
      <c r="P48" s="12" t="n">
        <v>-0.0009805423039845908</v>
      </c>
      <c r="Q48" s="12" t="n">
        <v>0.001757090741524027</v>
      </c>
      <c r="R48" s="12" t="n">
        <v>-0.08227640024153893</v>
      </c>
      <c r="S48" s="12" t="n">
        <v>0</v>
      </c>
      <c r="T48" s="12" t="n">
        <v>-0.0008818606582326662</v>
      </c>
      <c r="U48" s="12" t="n">
        <v>-0.0008224332689257992</v>
      </c>
      <c r="W48" s="21" t="inlineStr">
        <is>
          <t>Bike</t>
        </is>
      </c>
      <c r="X48" s="20" t="n">
        <v>0.0001061520151373611</v>
      </c>
      <c r="Y48" s="20" t="n">
        <v>-2.223146753404896e-05</v>
      </c>
      <c r="Z48" s="20" t="n">
        <v>0.0003035782955743624</v>
      </c>
      <c r="AA48" s="20" t="n">
        <v>-0.0009805423039845908</v>
      </c>
      <c r="AB48" s="20" t="n">
        <v>0.001757090741524027</v>
      </c>
      <c r="AC48" s="20" t="n">
        <v>-0.08227640024153893</v>
      </c>
      <c r="AD48" s="20" t="n">
        <v>0</v>
      </c>
      <c r="AE48" s="20" t="n">
        <v>-0.0008818606582326662</v>
      </c>
      <c r="AF48" s="20" t="n">
        <v>-0.0008224332689257992</v>
      </c>
    </row>
    <row r="49">
      <c r="L49" s="4" t="inlineStr">
        <is>
          <t>Walk</t>
        </is>
      </c>
      <c r="M49" s="12" t="n">
        <v>0.0331759154385745</v>
      </c>
      <c r="N49" s="12" t="n">
        <v>0.029451163254368</v>
      </c>
      <c r="O49" s="12" t="n">
        <v>0.006357679639088176</v>
      </c>
      <c r="P49" s="12" t="n">
        <v>-0.05555021337133026</v>
      </c>
      <c r="Q49" s="12" t="n">
        <v>0.005447930253454497</v>
      </c>
      <c r="R49" s="12" t="n">
        <v>0.08227640024153901</v>
      </c>
      <c r="S49" s="12" t="n">
        <v>0</v>
      </c>
      <c r="T49" s="12" t="n">
        <v>0.01243588248253961</v>
      </c>
      <c r="U49" s="12" t="n">
        <v>0.001748193837647447</v>
      </c>
      <c r="W49" s="22" t="inlineStr">
        <is>
          <t>Walk</t>
        </is>
      </c>
      <c r="X49" s="20" t="n">
        <v>0.0331759154385745</v>
      </c>
      <c r="Y49" s="20" t="n">
        <v>0.029451163254368</v>
      </c>
      <c r="Z49" s="20" t="n">
        <v>0.006357679639088176</v>
      </c>
      <c r="AA49" s="20" t="n">
        <v>-0.05555021337133026</v>
      </c>
      <c r="AB49" s="20" t="n">
        <v>0.005447930253454497</v>
      </c>
      <c r="AC49" s="20" t="n">
        <v>0.08227640024153901</v>
      </c>
      <c r="AD49" s="20" t="n">
        <v>0</v>
      </c>
      <c r="AE49" s="20" t="n">
        <v>0.01243588248253961</v>
      </c>
      <c r="AF49" s="20" t="n">
        <v>0.001748193837647447</v>
      </c>
    </row>
    <row r="50" ht="15.75" customHeight="1" s="35">
      <c r="L50" s="7" t="inlineStr">
        <is>
          <t>Total</t>
        </is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inlineStr">
        <is>
          <t>Total</t>
        </is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F50"/>
  <sheetViews>
    <sheetView topLeftCell="J1" workbookViewId="0">
      <selection activeCell="X37" sqref="X37:AE37"/>
    </sheetView>
  </sheetViews>
  <sheetFormatPr baseColWidth="8" defaultColWidth="11.3984375" defaultRowHeight="14.25"/>
  <cols>
    <col collapsed="1" width="25" customWidth="1" style="35" min="1" max="1"/>
    <col collapsed="1" width="10.73046875" customWidth="1" style="35" min="2" max="10"/>
    <col collapsed="1" width="3.73046875" customWidth="1" style="35" min="11" max="11"/>
    <col collapsed="1" width="25" customWidth="1" style="35" min="12" max="12"/>
    <col collapsed="1" width="10.73046875" customWidth="1" style="35" min="13" max="22"/>
    <col collapsed="1" width="17" customWidth="1" style="35" min="23" max="23"/>
    <col collapsed="1" width="25" customWidth="1" style="35" min="24" max="24"/>
    <col collapsed="1" width="10.73046875" customWidth="1" style="35" min="25" max="33"/>
  </cols>
  <sheetData>
    <row r="1"/>
    <row r="2" ht="15.75" customHeight="1" s="35">
      <c r="A2" s="1" t="inlineStr">
        <is>
          <t>Table X. Observed Work Tour Modes: Survey</t>
        </is>
      </c>
      <c r="B2" s="1" t="inlineStr"/>
      <c r="C2" s="2" t="inlineStr"/>
      <c r="D2" s="2" t="inlineStr"/>
      <c r="E2" s="2" t="inlineStr"/>
      <c r="F2" s="2" t="inlineStr"/>
      <c r="G2" s="2" t="inlineStr"/>
      <c r="H2" s="2" t="inlineStr"/>
      <c r="I2" s="2" t="inlineStr"/>
      <c r="J2" s="2" t="inlineStr"/>
      <c r="L2" s="1" t="inlineStr">
        <is>
          <t>Table X. Estimated Work Tour Modes: DaySim</t>
        </is>
      </c>
      <c r="M2" s="1" t="inlineStr"/>
      <c r="N2" s="2" t="inlineStr"/>
      <c r="O2" s="2" t="inlineStr"/>
      <c r="P2" s="2" t="inlineStr"/>
      <c r="Q2" s="2" t="inlineStr"/>
      <c r="R2" s="2" t="inlineStr"/>
      <c r="S2" s="2" t="inlineStr"/>
      <c r="T2" s="2" t="inlineStr"/>
      <c r="U2" s="2" t="inlineStr"/>
    </row>
    <row r="3">
      <c r="A3" s="3" t="inlineStr"/>
      <c r="B3" t="inlineStr">
        <is>
          <t>All Purposes Tour Mode</t>
        </is>
      </c>
      <c r="J3" s="31" t="inlineStr"/>
      <c r="L3" s="3" t="inlineStr"/>
      <c r="M3" t="inlineStr">
        <is>
          <t>All Purposes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575094.5502431291</v>
      </c>
      <c r="C5" s="6" t="n">
        <v>130021.9640610826</v>
      </c>
      <c r="D5" s="6" t="n">
        <v>48087.80643831679</v>
      </c>
      <c r="E5" s="6" t="n">
        <v>11152.673759817</v>
      </c>
      <c r="F5" s="6" t="n">
        <v>3484.31742205</v>
      </c>
      <c r="G5" s="6" t="n">
        <v>0</v>
      </c>
      <c r="H5" s="6" t="n">
        <v>0</v>
      </c>
      <c r="I5" s="6" t="n">
        <v>461.112895342</v>
      </c>
      <c r="J5" s="6" t="n">
        <v>768302.4248197377</v>
      </c>
      <c r="K5" s="6" t="inlineStr"/>
      <c r="L5" t="inlineStr">
        <is>
          <t>Drive Alone</t>
        </is>
      </c>
      <c r="M5" s="6" t="n">
        <v>742537</v>
      </c>
      <c r="N5" s="6" t="n">
        <v>128298</v>
      </c>
      <c r="O5" s="6" t="n">
        <v>48312</v>
      </c>
      <c r="P5" s="6" t="n">
        <v>29069</v>
      </c>
      <c r="Q5" s="6" t="n">
        <v>1252</v>
      </c>
      <c r="R5" s="6" t="n">
        <v>0</v>
      </c>
      <c r="S5" s="6" t="n">
        <v>0</v>
      </c>
      <c r="T5" s="6" t="n">
        <v>129</v>
      </c>
      <c r="U5" s="6" t="n">
        <v>949597</v>
      </c>
    </row>
    <row r="6">
      <c r="A6" t="inlineStr">
        <is>
          <t>SR2</t>
        </is>
      </c>
      <c r="B6" s="6" t="n">
        <v>0</v>
      </c>
      <c r="C6" s="6" t="n">
        <v>417398.8712191744</v>
      </c>
      <c r="D6" s="6" t="n">
        <v>67986.862961394</v>
      </c>
      <c r="E6" s="6" t="n">
        <v>1091.09538293</v>
      </c>
      <c r="F6" s="6" t="n">
        <v>5814.027497216101</v>
      </c>
      <c r="G6" s="6" t="n">
        <v>0</v>
      </c>
      <c r="H6" s="6" t="n">
        <v>0</v>
      </c>
      <c r="I6" s="6" t="n">
        <v>3607.043625</v>
      </c>
      <c r="J6" s="6" t="n">
        <v>495897.9006857146</v>
      </c>
      <c r="K6" s="6" t="inlineStr"/>
      <c r="L6" t="inlineStr">
        <is>
          <t>SR2</t>
        </is>
      </c>
      <c r="M6" s="6" t="n">
        <v>0</v>
      </c>
      <c r="N6" s="6" t="n">
        <v>427789</v>
      </c>
      <c r="O6" s="6" t="n">
        <v>76800</v>
      </c>
      <c r="P6" s="6" t="n">
        <v>1530</v>
      </c>
      <c r="Q6" s="6" t="n">
        <v>2826</v>
      </c>
      <c r="R6" s="6" t="n">
        <v>0</v>
      </c>
      <c r="S6" s="6" t="n">
        <v>0</v>
      </c>
      <c r="T6" s="6" t="n">
        <v>8296</v>
      </c>
      <c r="U6" s="6" t="n">
        <v>517241</v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262566.8152279279</v>
      </c>
      <c r="E7" s="6" t="n">
        <v>665.4161953380001</v>
      </c>
      <c r="F7" s="6" t="n">
        <v>4228.387166091</v>
      </c>
      <c r="G7" s="6" t="n">
        <v>0</v>
      </c>
      <c r="H7" s="6" t="n">
        <v>0</v>
      </c>
      <c r="I7" s="6" t="n">
        <v>4928.25125</v>
      </c>
      <c r="J7" s="6" t="n">
        <v>272388.8698393569</v>
      </c>
      <c r="K7" s="6" t="inlineStr"/>
      <c r="L7" t="inlineStr">
        <is>
          <t>SR3</t>
        </is>
      </c>
      <c r="M7" s="6" t="n">
        <v>0</v>
      </c>
      <c r="N7" s="6" t="n">
        <v>0</v>
      </c>
      <c r="O7" s="6" t="n">
        <v>326286</v>
      </c>
      <c r="P7" s="6" t="n">
        <v>0</v>
      </c>
      <c r="Q7" s="6" t="n">
        <v>1241</v>
      </c>
      <c r="R7" s="6" t="n">
        <v>0</v>
      </c>
      <c r="S7" s="6" t="n">
        <v>0</v>
      </c>
      <c r="T7" s="6" t="n">
        <v>7923</v>
      </c>
      <c r="U7" s="6" t="n">
        <v>335450</v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12324.113908806</v>
      </c>
      <c r="F8" s="6" t="n">
        <v>88115.34749913029</v>
      </c>
      <c r="G8" s="6" t="n">
        <v>0</v>
      </c>
      <c r="H8" s="6" t="n">
        <v>0</v>
      </c>
      <c r="I8" s="6" t="n">
        <v>367.9275</v>
      </c>
      <c r="J8" s="6" t="n">
        <v>100807.3889079363</v>
      </c>
      <c r="K8" s="6" t="inlineStr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22618</v>
      </c>
      <c r="Q8" s="6" t="n">
        <v>17234</v>
      </c>
      <c r="R8" s="6" t="n">
        <v>0</v>
      </c>
      <c r="S8" s="6" t="n">
        <v>0</v>
      </c>
      <c r="T8" s="6" t="n">
        <v>55</v>
      </c>
      <c r="U8" s="6" t="n">
        <v>39907</v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inlineStr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inlineStr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inlineStr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inlineStr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34069.988872052</v>
      </c>
      <c r="J13" s="6" t="n">
        <v>34069.988872052</v>
      </c>
      <c r="K13" s="6" t="inlineStr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46128</v>
      </c>
      <c r="U13" s="6" t="n">
        <v>46128</v>
      </c>
    </row>
    <row r="14">
      <c r="A14" t="inlineStr">
        <is>
          <t>Bike</t>
        </is>
      </c>
      <c r="B14" s="6" t="n">
        <v>1008.17381248</v>
      </c>
      <c r="C14" s="6" t="n">
        <v>625.9179386088</v>
      </c>
      <c r="D14" s="6" t="n">
        <v>406.5105</v>
      </c>
      <c r="E14" s="6" t="n">
        <v>0</v>
      </c>
      <c r="F14" s="6" t="n">
        <v>603.6734290539999</v>
      </c>
      <c r="G14" s="6" t="n">
        <v>18156.369856281</v>
      </c>
      <c r="H14" s="6" t="n">
        <v>0</v>
      </c>
      <c r="I14" s="6" t="n">
        <v>0</v>
      </c>
      <c r="J14" s="6" t="n">
        <v>20800.6455364238</v>
      </c>
      <c r="K14" s="6" t="inlineStr"/>
      <c r="L14" t="inlineStr">
        <is>
          <t>Bike</t>
        </is>
      </c>
      <c r="M14" s="6" t="n">
        <v>727</v>
      </c>
      <c r="N14" s="6" t="n">
        <v>2104</v>
      </c>
      <c r="O14" s="6" t="n">
        <v>1629</v>
      </c>
      <c r="P14" s="6" t="n">
        <v>0</v>
      </c>
      <c r="Q14" s="6" t="n">
        <v>284</v>
      </c>
      <c r="R14" s="6" t="n">
        <v>20884</v>
      </c>
      <c r="S14" s="6" t="n">
        <v>0</v>
      </c>
      <c r="T14" s="6" t="n">
        <v>384</v>
      </c>
      <c r="U14" s="6" t="n">
        <v>26012</v>
      </c>
    </row>
    <row r="15">
      <c r="A15" s="4" t="inlineStr">
        <is>
          <t>Walk</t>
        </is>
      </c>
      <c r="B15" s="6" t="n">
        <v>10983.9062326066</v>
      </c>
      <c r="C15" s="6" t="n">
        <v>12239.3061682248</v>
      </c>
      <c r="D15" s="6" t="n">
        <v>22879.417446959</v>
      </c>
      <c r="E15" s="6" t="n">
        <v>1062.510245566</v>
      </c>
      <c r="F15" s="6" t="n">
        <v>10940.805689869</v>
      </c>
      <c r="G15" s="6" t="n">
        <v>294.711832887</v>
      </c>
      <c r="H15" s="6" t="n">
        <v>142468.167170037</v>
      </c>
      <c r="I15" s="6" t="n">
        <v>1013.776875</v>
      </c>
      <c r="J15" s="6" t="n">
        <v>201882.6016611494</v>
      </c>
      <c r="K15" s="6" t="inlineStr"/>
      <c r="L15" s="4" t="inlineStr">
        <is>
          <t>Walk</t>
        </is>
      </c>
      <c r="M15" s="6" t="n">
        <v>33530</v>
      </c>
      <c r="N15" s="6" t="n">
        <v>22215</v>
      </c>
      <c r="O15" s="6" t="n">
        <v>13228</v>
      </c>
      <c r="P15" s="6" t="n">
        <v>0</v>
      </c>
      <c r="Q15" s="6" t="n">
        <v>4809</v>
      </c>
      <c r="R15" s="6" t="n">
        <v>4688</v>
      </c>
      <c r="S15" s="6" t="n">
        <v>148873</v>
      </c>
      <c r="T15" s="6" t="n">
        <v>2206</v>
      </c>
      <c r="U15" s="6" t="n">
        <v>229549</v>
      </c>
    </row>
    <row r="16" ht="15.75" customHeight="1" s="35">
      <c r="A16" s="8" t="inlineStr">
        <is>
          <t>Total</t>
        </is>
      </c>
      <c r="B16" s="11" t="n">
        <v>587086.6302882157</v>
      </c>
      <c r="C16" s="11" t="n">
        <v>560286.0593870906</v>
      </c>
      <c r="D16" s="11" t="n">
        <v>401927.4125745977</v>
      </c>
      <c r="E16" s="11" t="n">
        <v>26295.809492457</v>
      </c>
      <c r="F16" s="11" t="n">
        <v>113186.5587034104</v>
      </c>
      <c r="G16" s="11" t="n">
        <v>18451.081689168</v>
      </c>
      <c r="H16" s="11" t="n">
        <v>142468.167170037</v>
      </c>
      <c r="I16" s="11" t="n">
        <v>44448.10101739401</v>
      </c>
      <c r="J16" s="11" t="n">
        <v>1894149.820322371</v>
      </c>
      <c r="L16" s="7" t="inlineStr">
        <is>
          <t>Total</t>
        </is>
      </c>
      <c r="M16" s="11" t="n">
        <v>776794</v>
      </c>
      <c r="N16" s="11" t="n">
        <v>580406</v>
      </c>
      <c r="O16" s="11" t="n">
        <v>466255</v>
      </c>
      <c r="P16" s="11" t="n">
        <v>53217</v>
      </c>
      <c r="Q16" s="11" t="n">
        <v>27646</v>
      </c>
      <c r="R16" s="11" t="n">
        <v>25572</v>
      </c>
      <c r="S16" s="11" t="n">
        <v>148873</v>
      </c>
      <c r="T16" s="11" t="n">
        <v>65121</v>
      </c>
      <c r="U16" s="11" t="n">
        <v>2143884</v>
      </c>
    </row>
    <row r="17"/>
    <row r="18"/>
    <row r="19" ht="15.75" customHeight="1" s="35">
      <c r="A19" s="1" t="inlineStr">
        <is>
          <t>Table X. Observed Work Tour Mode Shares: Survey</t>
        </is>
      </c>
      <c r="B19" s="1" t="inlineStr"/>
      <c r="C19" s="2" t="inlineStr"/>
      <c r="D19" s="2" t="inlineStr"/>
      <c r="E19" s="2" t="inlineStr"/>
      <c r="F19" s="2" t="inlineStr"/>
      <c r="G19" s="2" t="inlineStr"/>
      <c r="H19" s="2" t="inlineStr"/>
      <c r="I19" s="2" t="inlineStr"/>
      <c r="J19" s="2" t="inlineStr"/>
      <c r="L19" s="1" t="inlineStr">
        <is>
          <t>Table X. Estimated Work Tour Mode Shares: DaySim</t>
        </is>
      </c>
      <c r="M19" s="1" t="inlineStr"/>
      <c r="N19" s="2" t="inlineStr"/>
      <c r="O19" s="2" t="inlineStr"/>
      <c r="P19" s="2" t="inlineStr"/>
      <c r="Q19" s="2" t="inlineStr"/>
      <c r="R19" s="2" t="inlineStr"/>
      <c r="S19" s="2" t="inlineStr"/>
      <c r="T19" s="2" t="inlineStr"/>
      <c r="U19" s="2" t="inlineStr"/>
    </row>
    <row r="20">
      <c r="A20" s="3" t="inlineStr"/>
      <c r="B20" t="inlineStr">
        <is>
          <t>All Purposes Tour Mode</t>
        </is>
      </c>
      <c r="J20" s="31" t="inlineStr"/>
      <c r="L20" s="3" t="inlineStr"/>
      <c r="M20" t="inlineStr">
        <is>
          <t>All Purposes Tour Mode</t>
        </is>
      </c>
    </row>
    <row r="21">
      <c r="A21" s="4" t="inlineStr">
        <is>
          <t>Mode</t>
        </is>
      </c>
      <c r="B21" s="5" t="inlineStr">
        <is>
          <t>DA</t>
        </is>
      </c>
      <c r="C21" s="5" t="inlineStr">
        <is>
          <t>SR2</t>
        </is>
      </c>
      <c r="D21" s="5" t="inlineStr">
        <is>
          <t>SR3+</t>
        </is>
      </c>
      <c r="E21" s="5" t="inlineStr">
        <is>
          <t>D-Trans</t>
        </is>
      </c>
      <c r="F21" s="5" t="inlineStr">
        <is>
          <t>W-Trans</t>
        </is>
      </c>
      <c r="G21" s="5" t="inlineStr">
        <is>
          <t>Bike</t>
        </is>
      </c>
      <c r="H21" s="5" t="inlineStr">
        <is>
          <t>Walk</t>
        </is>
      </c>
      <c r="I21" s="5" t="inlineStr">
        <is>
          <t>Sch Bus</t>
        </is>
      </c>
      <c r="J21" s="5" t="inlineStr">
        <is>
          <t>Total</t>
        </is>
      </c>
      <c r="L21" s="4" t="inlineStr">
        <is>
          <t>Mode</t>
        </is>
      </c>
      <c r="M21" s="5" t="inlineStr">
        <is>
          <t>Drive Alone</t>
        </is>
      </c>
      <c r="N21" s="5" t="inlineStr">
        <is>
          <t>Shared Ride 2</t>
        </is>
      </c>
      <c r="O21" s="5" t="inlineStr">
        <is>
          <t>Shared Ride 3+</t>
        </is>
      </c>
      <c r="P21" s="5" t="inlineStr">
        <is>
          <t>D-Trans</t>
        </is>
      </c>
      <c r="Q21" s="5" t="inlineStr">
        <is>
          <t>W-Trans</t>
        </is>
      </c>
      <c r="R21" s="5" t="inlineStr">
        <is>
          <t>Bike</t>
        </is>
      </c>
      <c r="S21" s="5" t="inlineStr">
        <is>
          <t>Walk</t>
        </is>
      </c>
      <c r="T21" s="5" t="inlineStr">
        <is>
          <t>Sch Bus</t>
        </is>
      </c>
      <c r="U21" s="5" t="inlineStr">
        <is>
          <t>Total</t>
        </is>
      </c>
    </row>
    <row r="22">
      <c r="A22" t="inlineStr">
        <is>
          <t>Drive Alone</t>
        </is>
      </c>
      <c r="B22" s="12" t="n">
        <v>0.9795735766641469</v>
      </c>
      <c r="C22" s="12" t="n">
        <v>0.2320635359075622</v>
      </c>
      <c r="D22" s="12" t="n">
        <v>0.119643012479005</v>
      </c>
      <c r="E22" s="12" t="n">
        <v>0.4241236141833231</v>
      </c>
      <c r="F22" s="12" t="n">
        <v>0.03078384449500023</v>
      </c>
      <c r="G22" s="12" t="n">
        <v>0</v>
      </c>
      <c r="H22" s="12" t="n">
        <v>0</v>
      </c>
      <c r="I22" s="12" t="n">
        <v>0.01037418663086532</v>
      </c>
      <c r="J22" s="12" t="n">
        <v>0.4056186139958972</v>
      </c>
      <c r="K22" s="6" t="inlineStr"/>
      <c r="L22" t="inlineStr">
        <is>
          <t>Drive Alone</t>
        </is>
      </c>
      <c r="M22" s="12" t="n">
        <v>0.9558995048880398</v>
      </c>
      <c r="N22" s="12" t="n">
        <v>0.2210487141759389</v>
      </c>
      <c r="O22" s="12" t="n">
        <v>0.1036171193874597</v>
      </c>
      <c r="P22" s="12" t="n">
        <v>0.5462352255858091</v>
      </c>
      <c r="Q22" s="12" t="n">
        <v>0.04528684077262533</v>
      </c>
      <c r="R22" s="12" t="n">
        <v>0</v>
      </c>
      <c r="S22" s="12" t="n">
        <v>0</v>
      </c>
      <c r="T22" s="12" t="n">
        <v>0.001980927811305109</v>
      </c>
      <c r="U22" s="12" t="n">
        <v>0.4429330131667572</v>
      </c>
    </row>
    <row r="23">
      <c r="A23" t="inlineStr">
        <is>
          <t>SR2</t>
        </is>
      </c>
      <c r="B23" s="12" t="n">
        <v>0</v>
      </c>
      <c r="C23" s="12" t="n">
        <v>0.7449745790137565</v>
      </c>
      <c r="D23" s="12" t="n">
        <v>0.1691520927271305</v>
      </c>
      <c r="E23" s="12" t="n">
        <v>0.0414931277640638</v>
      </c>
      <c r="F23" s="12" t="n">
        <v>0.05136676619395197</v>
      </c>
      <c r="G23" s="12" t="n">
        <v>0</v>
      </c>
      <c r="H23" s="12" t="n">
        <v>0</v>
      </c>
      <c r="I23" s="12" t="n">
        <v>0.0811518049688657</v>
      </c>
      <c r="J23" s="12" t="n">
        <v>0.261805003683033</v>
      </c>
      <c r="K23" s="6" t="inlineStr"/>
      <c r="L23" t="inlineStr">
        <is>
          <t>SR2</t>
        </is>
      </c>
      <c r="M23" s="12" t="n">
        <v>0</v>
      </c>
      <c r="N23" s="12" t="n">
        <v>0.7370513054654845</v>
      </c>
      <c r="O23" s="12" t="n">
        <v>0.1647167322602439</v>
      </c>
      <c r="P23" s="12" t="n">
        <v>0.02875021139861322</v>
      </c>
      <c r="Q23" s="12" t="n">
        <v>0.1022209361209578</v>
      </c>
      <c r="R23" s="12" t="n">
        <v>0</v>
      </c>
      <c r="S23" s="12" t="n">
        <v>0</v>
      </c>
      <c r="T23" s="12" t="n">
        <v>0.127393621105327</v>
      </c>
      <c r="U23" s="12" t="n">
        <v>0.241263519854619</v>
      </c>
    </row>
    <row r="24">
      <c r="A24" t="inlineStr">
        <is>
          <t>SR3</t>
        </is>
      </c>
      <c r="B24" s="12" t="n">
        <v>0</v>
      </c>
      <c r="C24" s="12" t="n">
        <v>0</v>
      </c>
      <c r="D24" s="12" t="n">
        <v>0.6532692397018219</v>
      </c>
      <c r="E24" s="12" t="n">
        <v>0.02530502799424661</v>
      </c>
      <c r="F24" s="12" t="n">
        <v>0.03735767934398376</v>
      </c>
      <c r="G24" s="12" t="n">
        <v>0</v>
      </c>
      <c r="H24" s="12" t="n">
        <v>0</v>
      </c>
      <c r="I24" s="12" t="n">
        <v>0.1108765309922107</v>
      </c>
      <c r="J24" s="12" t="n">
        <v>0.1438053457635143</v>
      </c>
      <c r="K24" s="6" t="inlineStr"/>
      <c r="L24" t="inlineStr">
        <is>
          <t>SR3</t>
        </is>
      </c>
      <c r="M24" s="12" t="n">
        <v>0</v>
      </c>
      <c r="N24" s="12" t="n">
        <v>0</v>
      </c>
      <c r="O24" s="12" t="n">
        <v>0.6998016107065876</v>
      </c>
      <c r="P24" s="12" t="n">
        <v>0</v>
      </c>
      <c r="Q24" s="12" t="n">
        <v>0.04488895319395211</v>
      </c>
      <c r="R24" s="12" t="n">
        <v>0</v>
      </c>
      <c r="S24" s="12" t="n">
        <v>0</v>
      </c>
      <c r="T24" s="12" t="n">
        <v>0.1216658220850417</v>
      </c>
      <c r="U24" s="12" t="n">
        <v>0.1564683536982411</v>
      </c>
    </row>
    <row r="25">
      <c r="A25" t="inlineStr">
        <is>
          <t>Transit - localbus</t>
        </is>
      </c>
      <c r="B25" s="12" t="n">
        <v>0</v>
      </c>
      <c r="C25" s="12" t="n">
        <v>0</v>
      </c>
      <c r="D25" s="12" t="n">
        <v>0</v>
      </c>
      <c r="E25" s="12" t="n">
        <v>0.4686721628532179</v>
      </c>
      <c r="F25" s="12" t="n">
        <v>0.7784965680423617</v>
      </c>
      <c r="G25" s="12" t="n">
        <v>0</v>
      </c>
      <c r="H25" s="12" t="n">
        <v>0</v>
      </c>
      <c r="I25" s="12" t="n">
        <v>0.0082776877206974</v>
      </c>
      <c r="J25" s="12" t="n">
        <v>0.05322038828522001</v>
      </c>
      <c r="K25" s="6" t="inlineStr"/>
      <c r="L25" t="inlineStr">
        <is>
          <t>Transit - localbus</t>
        </is>
      </c>
      <c r="M25" s="12" t="n">
        <v>0</v>
      </c>
      <c r="N25" s="12" t="n">
        <v>0</v>
      </c>
      <c r="O25" s="12" t="n">
        <v>0</v>
      </c>
      <c r="P25" s="12" t="n">
        <v>0.4250145630155777</v>
      </c>
      <c r="Q25" s="12" t="n">
        <v>0.6233813209867612</v>
      </c>
      <c r="R25" s="12" t="n">
        <v>0</v>
      </c>
      <c r="S25" s="12" t="n">
        <v>0</v>
      </c>
      <c r="T25" s="12" t="n">
        <v>0.0008445816249750465</v>
      </c>
      <c r="U25" s="12" t="n">
        <v>0.01861434667174157</v>
      </c>
    </row>
    <row r="26">
      <c r="A26" t="inlineStr">
        <is>
          <t>Transit - lightrail</t>
        </is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</v>
      </c>
      <c r="G26" s="12" t="n">
        <v>0</v>
      </c>
      <c r="H26" s="12" t="n">
        <v>0</v>
      </c>
      <c r="I26" s="12" t="n">
        <v>0</v>
      </c>
      <c r="J26" s="12" t="n">
        <v>0</v>
      </c>
      <c r="K26" s="6" t="inlineStr"/>
      <c r="L26" t="inlineStr">
        <is>
          <t>Transit - lightrail</t>
        </is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</row>
    <row r="27">
      <c r="A27" t="inlineStr">
        <is>
          <t>Transit - premium bus</t>
        </is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inlineStr"/>
      <c r="L27" t="inlineStr">
        <is>
          <t>Transit - premium bus</t>
        </is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>
      <c r="A28" t="inlineStr">
        <is>
          <t>Transit - commuter rail</t>
        </is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inlineStr"/>
      <c r="L28" t="inlineStr">
        <is>
          <t>Transit - commuter rail</t>
        </is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>
      <c r="A29" t="inlineStr">
        <is>
          <t>Transit - ferry</t>
        </is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inlineStr"/>
      <c r="L29" t="inlineStr">
        <is>
          <t>Transit - ferry</t>
        </is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>
      <c r="A30" t="inlineStr">
        <is>
          <t>School Bus</t>
        </is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0.7665116864884575</v>
      </c>
      <c r="J30" s="12" t="n">
        <v>0.01798695568139036</v>
      </c>
      <c r="K30" s="6" t="inlineStr"/>
      <c r="L30" t="inlineStr">
        <is>
          <t>School Bus</t>
        </is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0.708342930851799</v>
      </c>
      <c r="U30" s="12" t="n">
        <v>0.02151608948991643</v>
      </c>
    </row>
    <row r="31">
      <c r="A31" t="inlineStr">
        <is>
          <t>Bike</t>
        </is>
      </c>
      <c r="B31" s="12" t="n">
        <v>0.001717248801910311</v>
      </c>
      <c r="C31" s="12" t="n">
        <v>0.001117139946857692</v>
      </c>
      <c r="D31" s="12" t="n">
        <v>0.001011402773938818</v>
      </c>
      <c r="E31" s="12" t="n">
        <v>0</v>
      </c>
      <c r="F31" s="12" t="n">
        <v>0.005333437432582804</v>
      </c>
      <c r="G31" s="12" t="n">
        <v>0.9840273953662015</v>
      </c>
      <c r="H31" s="12" t="n">
        <v>0</v>
      </c>
      <c r="I31" s="12" t="n">
        <v>0</v>
      </c>
      <c r="J31" s="12" t="n">
        <v>0.01098152073994003</v>
      </c>
      <c r="K31" s="6" t="inlineStr"/>
      <c r="L31" t="inlineStr">
        <is>
          <t>Bike</t>
        </is>
      </c>
      <c r="M31" s="12" t="n">
        <v>0.0009358980630643388</v>
      </c>
      <c r="N31" s="12" t="n">
        <v>0.003625048672825574</v>
      </c>
      <c r="O31" s="12" t="n">
        <v>0.003493796313176266</v>
      </c>
      <c r="P31" s="12" t="n">
        <v>0</v>
      </c>
      <c r="Q31" s="12" t="n">
        <v>0.01027273384938147</v>
      </c>
      <c r="R31" s="12" t="n">
        <v>0.8166744877209448</v>
      </c>
      <c r="S31" s="12" t="n">
        <v>0</v>
      </c>
      <c r="T31" s="12" t="n">
        <v>0.005896715345280325</v>
      </c>
      <c r="U31" s="12" t="n">
        <v>0.01213311914264018</v>
      </c>
    </row>
    <row r="32">
      <c r="A32" s="4" t="inlineStr">
        <is>
          <t>Walk</t>
        </is>
      </c>
      <c r="B32" s="9" t="n">
        <v>0.01870917453394284</v>
      </c>
      <c r="C32" s="9" t="n">
        <v>0.02184474513182364</v>
      </c>
      <c r="D32" s="9" t="n">
        <v>0.05692425231810379</v>
      </c>
      <c r="E32" s="12" t="n">
        <v>0.04040606720514851</v>
      </c>
      <c r="F32" s="9" t="n">
        <v>0.09666170449211957</v>
      </c>
      <c r="G32" s="9" t="n">
        <v>0.01597260463379853</v>
      </c>
      <c r="H32" s="9" t="n">
        <v>1</v>
      </c>
      <c r="I32" s="9" t="n">
        <v>0.02280810319890327</v>
      </c>
      <c r="J32" s="9" t="n">
        <v>0.1065821718510051</v>
      </c>
      <c r="K32" s="6" t="inlineStr"/>
      <c r="L32" s="4" t="inlineStr">
        <is>
          <t>Walk</t>
        </is>
      </c>
      <c r="M32" s="9" t="n">
        <v>0.04316459704889584</v>
      </c>
      <c r="N32" s="9" t="n">
        <v>0.03827493168575101</v>
      </c>
      <c r="O32" s="9" t="n">
        <v>0.02837074133253263</v>
      </c>
      <c r="P32" s="9" t="n">
        <v>0</v>
      </c>
      <c r="Q32" s="9" t="n">
        <v>0.1739492150763221</v>
      </c>
      <c r="R32" s="9" t="n">
        <v>0.1833255122790552</v>
      </c>
      <c r="S32" s="9" t="n">
        <v>1</v>
      </c>
      <c r="T32" s="9" t="n">
        <v>0.03387540117627186</v>
      </c>
      <c r="U32" s="9" t="n">
        <v>0.1070715579760845</v>
      </c>
    </row>
    <row r="33" ht="15.75" customHeight="1" s="35">
      <c r="A33" s="8" t="inlineStr">
        <is>
          <t>Total</t>
        </is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inlineStr">
        <is>
          <t>Total</t>
        </is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r="34"/>
    <row r="35"/>
    <row r="36" ht="15.75" customHeight="1" s="35">
      <c r="L36" s="1" t="inlineStr">
        <is>
          <t>Table X. Estimated-Observed Work Tour Mode Share Difference</t>
        </is>
      </c>
      <c r="M36" s="1" t="inlineStr"/>
      <c r="N36" s="2" t="inlineStr"/>
      <c r="O36" s="2" t="inlineStr"/>
      <c r="P36" s="2" t="inlineStr"/>
      <c r="Q36" s="2" t="inlineStr"/>
      <c r="R36" s="2" t="inlineStr"/>
      <c r="S36" s="2" t="inlineStr"/>
      <c r="T36" s="2" t="inlineStr"/>
      <c r="U36" s="2" t="inlineStr"/>
      <c r="W36" s="13" t="inlineStr">
        <is>
          <t>TRIP MODE CHOICE ALL PURPOSES: EST-OBS</t>
        </is>
      </c>
      <c r="X36" s="13" t="inlineStr"/>
      <c r="Y36" s="15" t="inlineStr"/>
      <c r="Z36" s="15" t="inlineStr"/>
      <c r="AA36" s="15" t="inlineStr"/>
      <c r="AB36" s="15" t="inlineStr"/>
      <c r="AC36" s="15" t="inlineStr"/>
      <c r="AD36" s="15" t="inlineStr"/>
      <c r="AE36" s="15" t="inlineStr"/>
      <c r="AF36" s="15" t="inlineStr"/>
    </row>
    <row r="37">
      <c r="L37" s="3" t="inlineStr"/>
      <c r="M37" t="inlineStr">
        <is>
          <t>All Purposes Tour Mode</t>
        </is>
      </c>
      <c r="W37" s="16" t="inlineStr"/>
      <c r="X37" s="36" t="inlineStr">
        <is>
          <t>All Purposes Tour Mode</t>
        </is>
      </c>
      <c r="AF37" s="34" t="inlineStr"/>
    </row>
    <row r="38">
      <c r="L38" s="4" t="inlineStr">
        <is>
          <t>Mode</t>
        </is>
      </c>
      <c r="M38" s="5" t="inlineStr">
        <is>
          <t>DA</t>
        </is>
      </c>
      <c r="N38" s="5" t="inlineStr">
        <is>
          <t>SR2</t>
        </is>
      </c>
      <c r="O38" s="5" t="inlineStr">
        <is>
          <t>SR3+</t>
        </is>
      </c>
      <c r="P38" s="5" t="inlineStr">
        <is>
          <t>D-Trans</t>
        </is>
      </c>
      <c r="Q38" s="5" t="inlineStr">
        <is>
          <t>W-Trans</t>
        </is>
      </c>
      <c r="R38" s="5" t="inlineStr">
        <is>
          <t>Bike</t>
        </is>
      </c>
      <c r="S38" s="5" t="inlineStr">
        <is>
          <t>Walk</t>
        </is>
      </c>
      <c r="T38" s="5" t="inlineStr">
        <is>
          <t>Sch Bus</t>
        </is>
      </c>
      <c r="U38" s="5" t="inlineStr">
        <is>
          <t>Total</t>
        </is>
      </c>
      <c r="W38" s="17" t="inlineStr">
        <is>
          <t>Mode</t>
        </is>
      </c>
      <c r="X38" s="18" t="inlineStr">
        <is>
          <t>DA</t>
        </is>
      </c>
      <c r="Y38" s="18" t="inlineStr">
        <is>
          <t>SR2</t>
        </is>
      </c>
      <c r="Z38" s="18" t="inlineStr">
        <is>
          <t>SR3+</t>
        </is>
      </c>
      <c r="AA38" s="18" t="inlineStr">
        <is>
          <t>D-Trans</t>
        </is>
      </c>
      <c r="AB38" s="18" t="inlineStr">
        <is>
          <t>W-Trans</t>
        </is>
      </c>
      <c r="AC38" s="5" t="inlineStr">
        <is>
          <t>Bike</t>
        </is>
      </c>
      <c r="AD38" s="5" t="inlineStr">
        <is>
          <t>Walk</t>
        </is>
      </c>
      <c r="AE38" s="5" t="inlineStr">
        <is>
          <t>Sch Bus</t>
        </is>
      </c>
      <c r="AF38" s="18" t="inlineStr">
        <is>
          <t>Total</t>
        </is>
      </c>
    </row>
    <row r="39">
      <c r="L39" t="inlineStr">
        <is>
          <t>Drive Alone</t>
        </is>
      </c>
      <c r="M39" s="12" t="n">
        <v>-0.02367407177610714</v>
      </c>
      <c r="N39" s="12" t="n">
        <v>-0.01101482173162324</v>
      </c>
      <c r="O39" s="12" t="n">
        <v>-0.01602589309154537</v>
      </c>
      <c r="P39" s="12" t="n">
        <v>0.1221116114024859</v>
      </c>
      <c r="Q39" s="12" t="n">
        <v>0.0145029962776251</v>
      </c>
      <c r="R39" s="12" t="n">
        <v>0</v>
      </c>
      <c r="S39" s="12" t="n">
        <v>0</v>
      </c>
      <c r="T39" s="12" t="n">
        <v>-0.008393258819560209</v>
      </c>
      <c r="U39" s="12" t="n">
        <v>0.03731439917085999</v>
      </c>
      <c r="W39" s="19" t="inlineStr">
        <is>
          <t>Drive Alone</t>
        </is>
      </c>
      <c r="X39" s="20" t="n">
        <v>-0.02367407177610714</v>
      </c>
      <c r="Y39" s="20" t="n">
        <v>-0.01101482173162324</v>
      </c>
      <c r="Z39" s="20" t="n">
        <v>-0.01602589309154537</v>
      </c>
      <c r="AA39" s="20" t="n">
        <v>0.1221116114024859</v>
      </c>
      <c r="AB39" s="20" t="n">
        <v>0.0145029962776251</v>
      </c>
      <c r="AC39" s="20" t="n">
        <v>0</v>
      </c>
      <c r="AD39" s="20" t="n">
        <v>0</v>
      </c>
      <c r="AE39" s="20" t="n">
        <v>-0.008393258819560209</v>
      </c>
      <c r="AF39" s="20" t="n">
        <v>0.03731439917085999</v>
      </c>
    </row>
    <row r="40">
      <c r="L40" t="inlineStr">
        <is>
          <t>Shared Ride 2 - Driver</t>
        </is>
      </c>
      <c r="M40" s="12" t="n">
        <v>0</v>
      </c>
      <c r="N40" s="12" t="n">
        <v>-0.007923273548272047</v>
      </c>
      <c r="O40" s="12" t="n">
        <v>-0.004435360466886668</v>
      </c>
      <c r="P40" s="12" t="n">
        <v>-0.01274291636545058</v>
      </c>
      <c r="Q40" s="12" t="n">
        <v>0.05085416992700586</v>
      </c>
      <c r="R40" s="12" t="n">
        <v>0</v>
      </c>
      <c r="S40" s="12" t="n">
        <v>0</v>
      </c>
      <c r="T40" s="12" t="n">
        <v>0.04624181613646131</v>
      </c>
      <c r="U40" s="12" t="n">
        <v>-0.020541483828414</v>
      </c>
      <c r="W40" s="21" t="inlineStr">
        <is>
          <t>Shared Ride 2 - Driver</t>
        </is>
      </c>
      <c r="X40" s="20" t="n">
        <v>0</v>
      </c>
      <c r="Y40" s="20" t="n">
        <v>-0.007923273548272047</v>
      </c>
      <c r="Z40" s="20" t="n">
        <v>-0.004435360466886668</v>
      </c>
      <c r="AA40" s="20" t="n">
        <v>-0.01274291636545058</v>
      </c>
      <c r="AB40" s="20" t="n">
        <v>0.05085416992700586</v>
      </c>
      <c r="AC40" s="20" t="n">
        <v>0</v>
      </c>
      <c r="AD40" s="20" t="n">
        <v>0</v>
      </c>
      <c r="AE40" s="20" t="n">
        <v>0.04624181613646131</v>
      </c>
      <c r="AF40" s="20" t="n">
        <v>-0.020541483828414</v>
      </c>
    </row>
    <row r="41">
      <c r="L41" t="inlineStr">
        <is>
          <t>Shared Ride 3+ - Driver</t>
        </is>
      </c>
      <c r="M41" s="12" t="n">
        <v>0</v>
      </c>
      <c r="N41" s="12" t="n">
        <v>0</v>
      </c>
      <c r="O41" s="12" t="n">
        <v>0.0465323710047657</v>
      </c>
      <c r="P41" s="12" t="n">
        <v>-0.02530502799424661</v>
      </c>
      <c r="Q41" s="12" t="n">
        <v>0.007531273849968344</v>
      </c>
      <c r="R41" s="12" t="n">
        <v>0</v>
      </c>
      <c r="S41" s="12" t="n">
        <v>0</v>
      </c>
      <c r="T41" s="12" t="n">
        <v>0.01078929109283096</v>
      </c>
      <c r="U41" s="12" t="n">
        <v>0.01266300793472688</v>
      </c>
      <c r="W41" s="21" t="inlineStr">
        <is>
          <t>Shared Ride 3+ - Driver</t>
        </is>
      </c>
      <c r="X41" s="20" t="n">
        <v>0</v>
      </c>
      <c r="Y41" s="20" t="n">
        <v>0</v>
      </c>
      <c r="Z41" s="20" t="n">
        <v>0.0465323710047657</v>
      </c>
      <c r="AA41" s="20" t="n">
        <v>-0.02530502799424661</v>
      </c>
      <c r="AB41" s="20" t="n">
        <v>0.007531273849968344</v>
      </c>
      <c r="AC41" s="20" t="n">
        <v>0</v>
      </c>
      <c r="AD41" s="20" t="n">
        <v>0</v>
      </c>
      <c r="AE41" s="20" t="n">
        <v>0.01078929109283096</v>
      </c>
      <c r="AF41" s="20" t="n">
        <v>0.01266300793472688</v>
      </c>
    </row>
    <row r="42">
      <c r="L42" t="inlineStr">
        <is>
          <t>Transit - localbus</t>
        </is>
      </c>
      <c r="M42" s="12" t="n">
        <v>0</v>
      </c>
      <c r="N42" s="12" t="n">
        <v>0</v>
      </c>
      <c r="O42" s="12" t="n">
        <v>0</v>
      </c>
      <c r="P42" s="12" t="n">
        <v>-0.04365759983764017</v>
      </c>
      <c r="Q42" s="12" t="n">
        <v>-0.1551152470556004</v>
      </c>
      <c r="R42" s="12" t="n">
        <v>0</v>
      </c>
      <c r="S42" s="12" t="n">
        <v>0</v>
      </c>
      <c r="T42" s="12" t="n">
        <v>-0.007433106095722354</v>
      </c>
      <c r="U42" s="12" t="n">
        <v>-0.03460604161347845</v>
      </c>
      <c r="W42" t="inlineStr">
        <is>
          <t>Transit - localbus</t>
        </is>
      </c>
      <c r="X42" s="20" t="n">
        <v>0</v>
      </c>
      <c r="Y42" s="20" t="n">
        <v>0</v>
      </c>
      <c r="Z42" s="20" t="n">
        <v>0</v>
      </c>
      <c r="AA42" s="20" t="n">
        <v>-0.04365759983764017</v>
      </c>
      <c r="AB42" s="20" t="n">
        <v>-0.1551152470556004</v>
      </c>
      <c r="AC42" s="20" t="n">
        <v>0</v>
      </c>
      <c r="AD42" s="20" t="n">
        <v>0</v>
      </c>
      <c r="AE42" s="20" t="n">
        <v>-0.007433106095722354</v>
      </c>
      <c r="AF42" s="20" t="n">
        <v>-0.03460604161347845</v>
      </c>
    </row>
    <row r="43">
      <c r="L43" t="inlineStr">
        <is>
          <t>Transit - lightrail</t>
        </is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0</v>
      </c>
      <c r="R43" s="12" t="n">
        <v>0</v>
      </c>
      <c r="S43" s="12" t="n">
        <v>0</v>
      </c>
      <c r="T43" s="12" t="n">
        <v>0</v>
      </c>
      <c r="U43" s="12" t="n">
        <v>0</v>
      </c>
      <c r="W43" t="inlineStr">
        <is>
          <t>Transit - lightrail</t>
        </is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0</v>
      </c>
      <c r="AC43" s="20" t="n">
        <v>0</v>
      </c>
      <c r="AD43" s="20" t="n">
        <v>0</v>
      </c>
      <c r="AE43" s="20" t="n">
        <v>0</v>
      </c>
      <c r="AF43" s="20" t="n">
        <v>0</v>
      </c>
    </row>
    <row r="44">
      <c r="L44" t="inlineStr">
        <is>
          <t>Transit - premium bus</t>
        </is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inlineStr">
        <is>
          <t>Transit - premium bus</t>
        </is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>
      <c r="L45" t="inlineStr">
        <is>
          <t>Transit - commuter rail</t>
        </is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inlineStr">
        <is>
          <t>Transit - commuter rail</t>
        </is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>
      <c r="L46" t="inlineStr">
        <is>
          <t>Transit - ferry</t>
        </is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inlineStr">
        <is>
          <t>Transit - ferry</t>
        </is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>
      <c r="L47" t="inlineStr">
        <is>
          <t>School Bus</t>
        </is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-0.05816875563665846</v>
      </c>
      <c r="U47" s="12" t="n">
        <v>0.003529133808526069</v>
      </c>
      <c r="W47" s="19" t="inlineStr">
        <is>
          <t>School Bus</t>
        </is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-0.05816875563665846</v>
      </c>
      <c r="AF47" s="20" t="n">
        <v>0.003529133808526069</v>
      </c>
    </row>
    <row r="48">
      <c r="L48" t="inlineStr">
        <is>
          <t>Bike</t>
        </is>
      </c>
      <c r="M48" s="12" t="n">
        <v>-0.0007813507388459721</v>
      </c>
      <c r="N48" s="12" t="n">
        <v>0.002507908725967882</v>
      </c>
      <c r="O48" s="12" t="n">
        <v>0.002482393539237448</v>
      </c>
      <c r="P48" s="12" t="n">
        <v>0</v>
      </c>
      <c r="Q48" s="12" t="n">
        <v>0.004939296416798662</v>
      </c>
      <c r="R48" s="12" t="n">
        <v>-0.1673529076452568</v>
      </c>
      <c r="S48" s="12" t="n">
        <v>0</v>
      </c>
      <c r="T48" s="12" t="n">
        <v>0.005896715345280325</v>
      </c>
      <c r="U48" s="12" t="n">
        <v>0.001151598402700148</v>
      </c>
      <c r="W48" s="21" t="inlineStr">
        <is>
          <t>Bike</t>
        </is>
      </c>
      <c r="X48" s="20" t="n">
        <v>-0.0007813507388459721</v>
      </c>
      <c r="Y48" s="20" t="n">
        <v>0.002507908725967882</v>
      </c>
      <c r="Z48" s="20" t="n">
        <v>0.002482393539237448</v>
      </c>
      <c r="AA48" s="20" t="n">
        <v>0</v>
      </c>
      <c r="AB48" s="20" t="n">
        <v>0.004939296416798662</v>
      </c>
      <c r="AC48" s="20" t="n">
        <v>-0.1673529076452568</v>
      </c>
      <c r="AD48" s="20" t="n">
        <v>0</v>
      </c>
      <c r="AE48" s="20" t="n">
        <v>0.005896715345280325</v>
      </c>
      <c r="AF48" s="20" t="n">
        <v>0.001151598402700148</v>
      </c>
    </row>
    <row r="49">
      <c r="L49" s="4" t="inlineStr">
        <is>
          <t>Walk</t>
        </is>
      </c>
      <c r="M49" s="12" t="n">
        <v>0.02445542251495301</v>
      </c>
      <c r="N49" s="12" t="n">
        <v>0.01643018655392737</v>
      </c>
      <c r="O49" s="12" t="n">
        <v>-0.02855351098557116</v>
      </c>
      <c r="P49" s="12" t="n">
        <v>-0.04040606720514851</v>
      </c>
      <c r="Q49" s="12" t="n">
        <v>0.07728751058420251</v>
      </c>
      <c r="R49" s="12" t="n">
        <v>0.1673529076452567</v>
      </c>
      <c r="S49" s="12" t="n">
        <v>0</v>
      </c>
      <c r="T49" s="12" t="n">
        <v>0.01106729797736859</v>
      </c>
      <c r="U49" s="12" t="n">
        <v>0.0004893861250794135</v>
      </c>
      <c r="W49" s="22" t="inlineStr">
        <is>
          <t>Walk</t>
        </is>
      </c>
      <c r="X49" s="20" t="n">
        <v>0.02445542251495301</v>
      </c>
      <c r="Y49" s="20" t="n">
        <v>0.01643018655392737</v>
      </c>
      <c r="Z49" s="20" t="n">
        <v>-0.02855351098557116</v>
      </c>
      <c r="AA49" s="20" t="n">
        <v>-0.04040606720514851</v>
      </c>
      <c r="AB49" s="20" t="n">
        <v>0.07728751058420251</v>
      </c>
      <c r="AC49" s="20" t="n">
        <v>0.1673529076452567</v>
      </c>
      <c r="AD49" s="20" t="n">
        <v>0</v>
      </c>
      <c r="AE49" s="20" t="n">
        <v>0.01106729797736859</v>
      </c>
      <c r="AF49" s="20" t="n">
        <v>0.0004893861250794135</v>
      </c>
    </row>
    <row r="50" ht="15.75" customHeight="1" s="35">
      <c r="L50" s="7" t="inlineStr">
        <is>
          <t>Total</t>
        </is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inlineStr">
        <is>
          <t>Total</t>
        </is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F50"/>
  <sheetViews>
    <sheetView tabSelected="1" topLeftCell="J16" workbookViewId="0">
      <selection activeCell="X37" sqref="X37:AE37"/>
    </sheetView>
  </sheetViews>
  <sheetFormatPr baseColWidth="8" defaultColWidth="11.3984375" defaultRowHeight="14.25"/>
  <cols>
    <col collapsed="1" width="25" customWidth="1" style="35" min="1" max="1"/>
    <col collapsed="1" width="10.73046875" customWidth="1" style="35" min="2" max="10"/>
    <col collapsed="1" width="3.73046875" customWidth="1" style="35" min="11" max="11"/>
    <col collapsed="1" width="25" customWidth="1" style="35" min="12" max="12"/>
    <col collapsed="1" width="10.73046875" customWidth="1" style="35" min="13" max="22"/>
    <col collapsed="1" width="17" customWidth="1" style="35" min="23" max="23"/>
    <col collapsed="1" width="25" customWidth="1" style="35" min="24" max="24"/>
    <col collapsed="1" width="10.73046875" customWidth="1" style="35" min="25" max="33"/>
  </cols>
  <sheetData>
    <row r="1">
      <c r="A1" t="inlineStr"/>
      <c r="B1" t="inlineStr"/>
      <c r="C1" t="inlineStr"/>
      <c r="D1" t="inlineStr"/>
      <c r="E1" t="inlineStr"/>
      <c r="F1" t="inlineStr"/>
      <c r="G1" t="inlineStr"/>
      <c r="H1" t="inlineStr"/>
      <c r="I1" t="inlineStr"/>
      <c r="J1" t="inlineStr"/>
      <c r="K1" t="inlineStr"/>
      <c r="L1" t="inlineStr"/>
      <c r="M1" t="inlineStr"/>
      <c r="N1" t="inlineStr"/>
      <c r="O1" t="inlineStr"/>
      <c r="P1" t="inlineStr"/>
      <c r="Q1" t="inlineStr"/>
      <c r="R1" t="inlineStr"/>
      <c r="S1" t="inlineStr"/>
      <c r="T1" t="inlineStr"/>
      <c r="U1" t="inlineStr"/>
      <c r="V1" t="inlineStr"/>
      <c r="W1" t="inlineStr"/>
      <c r="X1" t="inlineStr"/>
      <c r="Y1" t="inlineStr"/>
      <c r="Z1" t="inlineStr"/>
      <c r="AA1" t="inlineStr"/>
      <c r="AB1" t="inlineStr"/>
      <c r="AC1" t="inlineStr"/>
      <c r="AD1" t="inlineStr"/>
      <c r="AE1" t="inlineStr"/>
      <c r="AF1" t="inlineStr"/>
    </row>
    <row r="2" ht="15.75" customHeight="1" s="35">
      <c r="A2" s="1" t="inlineStr">
        <is>
          <t>Table X. Observed Work Tour Modes: Survey</t>
        </is>
      </c>
      <c r="B2" s="1" t="inlineStr"/>
      <c r="C2" s="2" t="inlineStr"/>
      <c r="D2" s="2" t="inlineStr"/>
      <c r="E2" s="2" t="inlineStr"/>
      <c r="F2" s="2" t="inlineStr"/>
      <c r="G2" s="2" t="inlineStr"/>
      <c r="H2" s="2" t="inlineStr"/>
      <c r="I2" s="2" t="inlineStr"/>
      <c r="J2" s="2" t="inlineStr"/>
      <c r="K2" t="inlineStr"/>
      <c r="L2" s="1" t="inlineStr">
        <is>
          <t>Table X. Estimated Work Tour Modes: DaySim</t>
        </is>
      </c>
      <c r="M2" s="1" t="inlineStr"/>
      <c r="N2" s="2" t="inlineStr"/>
      <c r="O2" s="2" t="inlineStr"/>
      <c r="P2" s="2" t="inlineStr"/>
      <c r="Q2" s="2" t="inlineStr"/>
      <c r="R2" s="2" t="inlineStr"/>
      <c r="S2" s="2" t="inlineStr"/>
      <c r="T2" s="2" t="inlineStr"/>
      <c r="U2" s="2" t="inlineStr"/>
      <c r="V2" t="inlineStr"/>
      <c r="W2" t="inlineStr"/>
      <c r="X2" t="inlineStr"/>
      <c r="Y2" t="inlineStr"/>
      <c r="Z2" t="inlineStr"/>
      <c r="AA2" t="inlineStr"/>
      <c r="AB2" t="inlineStr"/>
      <c r="AC2" t="inlineStr"/>
      <c r="AD2" t="inlineStr"/>
      <c r="AE2" t="inlineStr"/>
      <c r="AF2" t="inlineStr"/>
    </row>
    <row r="3">
      <c r="A3" s="3" t="inlineStr"/>
      <c r="B3" t="inlineStr">
        <is>
          <t>All Purposes Tour Mode</t>
        </is>
      </c>
      <c r="C3" t="inlineStr"/>
      <c r="D3" t="inlineStr"/>
      <c r="E3" t="inlineStr"/>
      <c r="F3" t="inlineStr"/>
      <c r="G3" t="inlineStr"/>
      <c r="H3" t="inlineStr"/>
      <c r="I3" t="inlineStr"/>
      <c r="J3" s="31" t="inlineStr"/>
      <c r="K3" t="inlineStr"/>
      <c r="L3" s="3" t="inlineStr"/>
      <c r="M3" t="inlineStr">
        <is>
          <t>All Purposes Tour Mode</t>
        </is>
      </c>
      <c r="N3" t="inlineStr"/>
      <c r="O3" t="inlineStr"/>
      <c r="P3" t="inlineStr"/>
      <c r="Q3" t="inlineStr"/>
      <c r="R3" t="inlineStr"/>
      <c r="S3" t="inlineStr"/>
      <c r="T3" t="inlineStr"/>
      <c r="U3" t="inlineStr"/>
      <c r="V3" t="inlineStr"/>
      <c r="W3" t="inlineStr"/>
      <c r="X3" t="inlineStr"/>
      <c r="Y3" t="inlineStr"/>
      <c r="Z3" t="inlineStr"/>
      <c r="AA3" t="inlineStr"/>
      <c r="AB3" t="inlineStr"/>
      <c r="AC3" t="inlineStr"/>
      <c r="AD3" t="inlineStr"/>
      <c r="AE3" t="inlineStr"/>
      <c r="AF3" t="inlineStr"/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K4" t="inlineStr"/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  <c r="V4" t="inlineStr"/>
      <c r="W4" t="inlineStr"/>
      <c r="X4" t="inlineStr"/>
      <c r="Y4" t="inlineStr"/>
      <c r="Z4" t="inlineStr"/>
      <c r="AA4" t="inlineStr"/>
      <c r="AB4" t="inlineStr"/>
      <c r="AC4" t="inlineStr"/>
      <c r="AD4" t="inlineStr"/>
      <c r="AE4" t="inlineStr"/>
      <c r="AF4" t="inlineStr"/>
    </row>
    <row r="5">
      <c r="A5" t="inlineStr">
        <is>
          <t>Drive Alone</t>
        </is>
      </c>
      <c r="B5" s="6" t="n">
        <v>4912807.23406885</v>
      </c>
      <c r="C5" s="6" t="n">
        <v>742279.6420654532</v>
      </c>
      <c r="D5" s="6" t="n">
        <v>319823.3188049549</v>
      </c>
      <c r="E5" s="6" t="n">
        <v>102403.1835278638</v>
      </c>
      <c r="F5" s="6" t="n">
        <v>14139.1337743527</v>
      </c>
      <c r="G5" s="6" t="n">
        <v>0</v>
      </c>
      <c r="H5" s="6" t="n">
        <v>0</v>
      </c>
      <c r="I5" s="6" t="n">
        <v>1225.207436134</v>
      </c>
      <c r="J5" s="6" t="n">
        <v>6092677.719677608</v>
      </c>
      <c r="K5" s="6" t="inlineStr"/>
      <c r="L5" t="inlineStr">
        <is>
          <t>Drive Alone</t>
        </is>
      </c>
      <c r="M5" s="6" t="n">
        <v>5294771</v>
      </c>
      <c r="N5" s="6" t="n">
        <v>879449</v>
      </c>
      <c r="O5" s="6" t="n">
        <v>376075</v>
      </c>
      <c r="P5" s="6" t="n">
        <v>114500</v>
      </c>
      <c r="Q5" s="6" t="n">
        <v>24097</v>
      </c>
      <c r="R5" s="6" t="n">
        <v>0</v>
      </c>
      <c r="S5" s="6" t="n">
        <v>0</v>
      </c>
      <c r="T5" s="6" t="n">
        <v>1053</v>
      </c>
      <c r="U5" s="6" t="n">
        <v>6689945</v>
      </c>
      <c r="V5" t="inlineStr"/>
      <c r="W5" t="inlineStr"/>
      <c r="X5" t="inlineStr"/>
      <c r="Y5" t="inlineStr"/>
      <c r="Z5" t="inlineStr"/>
      <c r="AA5" t="inlineStr"/>
      <c r="AB5" t="inlineStr"/>
      <c r="AC5" t="inlineStr"/>
      <c r="AD5" t="inlineStr"/>
      <c r="AE5" t="inlineStr"/>
      <c r="AF5" t="inlineStr"/>
    </row>
    <row r="6">
      <c r="A6" t="inlineStr">
        <is>
          <t>SR2</t>
        </is>
      </c>
      <c r="B6" s="6" t="n">
        <v>0</v>
      </c>
      <c r="C6" s="6" t="n">
        <v>2570645.980794242</v>
      </c>
      <c r="D6" s="6" t="n">
        <v>510299.5275770506</v>
      </c>
      <c r="E6" s="6" t="n">
        <v>4105.9080229217</v>
      </c>
      <c r="F6" s="6" t="n">
        <v>70756.9626244456</v>
      </c>
      <c r="G6" s="6" t="n">
        <v>0</v>
      </c>
      <c r="H6" s="6" t="n">
        <v>0</v>
      </c>
      <c r="I6" s="6" t="n">
        <v>41443.32647902401</v>
      </c>
      <c r="J6" s="6" t="n">
        <v>3197251.705497683</v>
      </c>
      <c r="K6" s="6" t="inlineStr"/>
      <c r="L6" t="inlineStr">
        <is>
          <t>SR2</t>
        </is>
      </c>
      <c r="M6" s="6" t="n">
        <v>0</v>
      </c>
      <c r="N6" s="6" t="n">
        <v>3097785</v>
      </c>
      <c r="O6" s="6" t="n">
        <v>587305</v>
      </c>
      <c r="P6" s="6" t="n">
        <v>8081</v>
      </c>
      <c r="Q6" s="6" t="n">
        <v>47394</v>
      </c>
      <c r="R6" s="6" t="n">
        <v>0</v>
      </c>
      <c r="S6" s="6" t="n">
        <v>0</v>
      </c>
      <c r="T6" s="6" t="n">
        <v>54488</v>
      </c>
      <c r="U6" s="6" t="n">
        <v>3795053</v>
      </c>
      <c r="V6" t="inlineStr"/>
      <c r="W6" t="inlineStr"/>
      <c r="X6" t="inlineStr"/>
      <c r="Y6" t="inlineStr"/>
      <c r="Z6" t="inlineStr"/>
      <c r="AA6" t="inlineStr"/>
      <c r="AB6" t="inlineStr"/>
      <c r="AC6" t="inlineStr"/>
      <c r="AD6" t="inlineStr"/>
      <c r="AE6" t="inlineStr"/>
      <c r="AF6" t="inlineStr"/>
    </row>
    <row r="7">
      <c r="A7" t="inlineStr">
        <is>
          <t>SR3</t>
        </is>
      </c>
      <c r="B7" s="6" t="n">
        <v>0</v>
      </c>
      <c r="C7" s="6" t="n">
        <v>0</v>
      </c>
      <c r="D7" s="6" t="n">
        <v>2279928.742700779</v>
      </c>
      <c r="E7" s="6" t="n">
        <v>3536.597538533</v>
      </c>
      <c r="F7" s="6" t="n">
        <v>16442.458682126</v>
      </c>
      <c r="G7" s="6" t="n">
        <v>0</v>
      </c>
      <c r="H7" s="6" t="n">
        <v>0</v>
      </c>
      <c r="I7" s="6" t="n">
        <v>66371.083</v>
      </c>
      <c r="J7" s="6" t="n">
        <v>2366278.881921439</v>
      </c>
      <c r="K7" s="6" t="inlineStr"/>
      <c r="L7" t="inlineStr">
        <is>
          <t>SR3</t>
        </is>
      </c>
      <c r="M7" s="6" t="n">
        <v>0</v>
      </c>
      <c r="N7" s="6" t="n">
        <v>0</v>
      </c>
      <c r="O7" s="6" t="n">
        <v>2634044</v>
      </c>
      <c r="P7" s="6" t="n">
        <v>0</v>
      </c>
      <c r="Q7" s="6" t="n">
        <v>22013</v>
      </c>
      <c r="R7" s="6" t="n">
        <v>0</v>
      </c>
      <c r="S7" s="6" t="n">
        <v>0</v>
      </c>
      <c r="T7" s="6" t="n">
        <v>55065</v>
      </c>
      <c r="U7" s="6" t="n">
        <v>2711122</v>
      </c>
      <c r="V7" t="inlineStr"/>
      <c r="W7" t="inlineStr"/>
      <c r="X7" t="inlineStr"/>
      <c r="Y7" t="inlineStr"/>
      <c r="Z7" t="inlineStr"/>
      <c r="AA7" t="inlineStr"/>
      <c r="AB7" t="inlineStr"/>
      <c r="AC7" t="inlineStr"/>
      <c r="AD7" t="inlineStr"/>
      <c r="AE7" t="inlineStr"/>
      <c r="AF7" t="inlineStr"/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98979.42501578848</v>
      </c>
      <c r="F8" s="6" t="n">
        <v>606060.6006840664</v>
      </c>
      <c r="G8" s="6" t="n">
        <v>0</v>
      </c>
      <c r="H8" s="6" t="n">
        <v>0</v>
      </c>
      <c r="I8" s="6" t="n">
        <v>9930.118776788</v>
      </c>
      <c r="J8" s="6" t="n">
        <v>714970.1444766429</v>
      </c>
      <c r="K8" s="6" t="inlineStr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92056</v>
      </c>
      <c r="Q8" s="6" t="n">
        <v>348826</v>
      </c>
      <c r="R8" s="6" t="n">
        <v>0</v>
      </c>
      <c r="S8" s="6" t="n">
        <v>0</v>
      </c>
      <c r="T8" s="6" t="n">
        <v>158</v>
      </c>
      <c r="U8" s="6" t="n">
        <v>441040</v>
      </c>
      <c r="V8" t="inlineStr"/>
      <c r="W8" t="inlineStr"/>
      <c r="X8" t="inlineStr"/>
      <c r="Y8" t="inlineStr"/>
      <c r="Z8" t="inlineStr"/>
      <c r="AA8" t="inlineStr"/>
      <c r="AB8" t="inlineStr"/>
      <c r="AC8" t="inlineStr"/>
      <c r="AD8" t="inlineStr"/>
      <c r="AE8" t="inlineStr"/>
      <c r="AF8" t="inlineStr"/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inlineStr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t="inlineStr"/>
      <c r="W9" t="inlineStr"/>
      <c r="X9" t="inlineStr"/>
      <c r="Y9" t="inlineStr"/>
      <c r="Z9" t="inlineStr"/>
      <c r="AA9" t="inlineStr"/>
      <c r="AB9" t="inlineStr"/>
      <c r="AC9" t="inlineStr"/>
      <c r="AD9" t="inlineStr"/>
      <c r="AE9" t="inlineStr"/>
      <c r="AF9" t="inlineStr"/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inlineStr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t="inlineStr"/>
      <c r="W10" t="inlineStr"/>
      <c r="X10" t="inlineStr"/>
      <c r="Y10" t="inlineStr"/>
      <c r="Z10" t="inlineStr"/>
      <c r="AA10" t="inlineStr"/>
      <c r="AB10" t="inlineStr"/>
      <c r="AC10" t="inlineStr"/>
      <c r="AD10" t="inlineStr"/>
      <c r="AE10" t="inlineStr"/>
      <c r="AF10" t="inlineStr"/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inlineStr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  <c r="V11" t="inlineStr"/>
      <c r="W11" t="inlineStr"/>
      <c r="X11" t="inlineStr"/>
      <c r="Y11" t="inlineStr"/>
      <c r="Z11" t="inlineStr"/>
      <c r="AA11" t="inlineStr"/>
      <c r="AB11" t="inlineStr"/>
      <c r="AC11" t="inlineStr"/>
      <c r="AD11" t="inlineStr"/>
      <c r="AE11" t="inlineStr"/>
      <c r="AF11" t="inlineStr"/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inlineStr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  <c r="V12" t="inlineStr"/>
      <c r="W12" t="inlineStr"/>
      <c r="X12" t="inlineStr"/>
      <c r="Y12" t="inlineStr"/>
      <c r="Z12" t="inlineStr"/>
      <c r="AA12" t="inlineStr"/>
      <c r="AB12" t="inlineStr"/>
      <c r="AC12" t="inlineStr"/>
      <c r="AD12" t="inlineStr"/>
      <c r="AE12" t="inlineStr"/>
      <c r="AF12" t="inlineStr"/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330427.712113646</v>
      </c>
      <c r="J13" s="6" t="n">
        <v>330427.712113646</v>
      </c>
      <c r="K13" s="6" t="inlineStr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347730</v>
      </c>
      <c r="U13" s="6" t="n">
        <v>347730</v>
      </c>
      <c r="V13" t="inlineStr"/>
      <c r="W13" t="inlineStr"/>
      <c r="X13" t="inlineStr"/>
      <c r="Y13" t="inlineStr"/>
      <c r="Z13" t="inlineStr"/>
      <c r="AA13" t="inlineStr"/>
      <c r="AB13" t="inlineStr"/>
      <c r="AC13" t="inlineStr"/>
      <c r="AD13" t="inlineStr"/>
      <c r="AE13" t="inlineStr"/>
      <c r="AF13" t="inlineStr"/>
    </row>
    <row r="14">
      <c r="A14" t="inlineStr">
        <is>
          <t>Bike</t>
        </is>
      </c>
      <c r="B14" s="6" t="n">
        <v>3124.729084601</v>
      </c>
      <c r="C14" s="6" t="n">
        <v>13309.7571002149</v>
      </c>
      <c r="D14" s="6" t="n">
        <v>10448.757249194</v>
      </c>
      <c r="E14" s="6" t="n">
        <v>243.463457593</v>
      </c>
      <c r="F14" s="6" t="n">
        <v>8022.5949984508</v>
      </c>
      <c r="G14" s="6" t="n">
        <v>167488.0802407826</v>
      </c>
      <c r="H14" s="6" t="n">
        <v>0</v>
      </c>
      <c r="I14" s="6" t="n">
        <v>3038.659260836</v>
      </c>
      <c r="J14" s="6" t="n">
        <v>205676.0413916723</v>
      </c>
      <c r="K14" s="6" t="inlineStr"/>
      <c r="L14" t="inlineStr">
        <is>
          <t>Bike</t>
        </is>
      </c>
      <c r="M14" s="6" t="n">
        <v>4653</v>
      </c>
      <c r="N14" s="6" t="n">
        <v>14662</v>
      </c>
      <c r="O14" s="6" t="n">
        <v>12334</v>
      </c>
      <c r="P14" s="6" t="n">
        <v>0</v>
      </c>
      <c r="Q14" s="6" t="n">
        <v>5748</v>
      </c>
      <c r="R14" s="6" t="n">
        <v>169375</v>
      </c>
      <c r="S14" s="6" t="n">
        <v>0</v>
      </c>
      <c r="T14" s="6" t="n">
        <v>2387</v>
      </c>
      <c r="U14" s="6" t="n">
        <v>209159</v>
      </c>
      <c r="V14" t="inlineStr"/>
      <c r="W14" t="inlineStr"/>
      <c r="X14" t="inlineStr"/>
      <c r="Y14" t="inlineStr"/>
      <c r="Z14" t="inlineStr"/>
      <c r="AA14" t="inlineStr"/>
      <c r="AB14" t="inlineStr"/>
      <c r="AC14" t="inlineStr"/>
      <c r="AD14" t="inlineStr"/>
      <c r="AE14" t="inlineStr"/>
      <c r="AF14" t="inlineStr"/>
    </row>
    <row r="15">
      <c r="A15" s="4" t="inlineStr">
        <is>
          <t>Walk</t>
        </is>
      </c>
      <c r="B15" s="6" t="n">
        <v>74657.8532573267</v>
      </c>
      <c r="C15" s="6" t="n">
        <v>55377.1580525661</v>
      </c>
      <c r="D15" s="6" t="n">
        <v>78971.6742316118</v>
      </c>
      <c r="E15" s="6" t="n">
        <v>12730.3133403764</v>
      </c>
      <c r="F15" s="6" t="n">
        <v>197490.8781916152</v>
      </c>
      <c r="G15" s="6" t="n">
        <v>13868.8844920298</v>
      </c>
      <c r="H15" s="6" t="n">
        <v>1437045.724708334</v>
      </c>
      <c r="I15" s="6" t="n">
        <v>12129.539610361</v>
      </c>
      <c r="J15" s="6" t="n">
        <v>1882272.025884221</v>
      </c>
      <c r="K15" s="6" t="inlineStr"/>
      <c r="L15" s="4" t="inlineStr">
        <is>
          <t>Walk</t>
        </is>
      </c>
      <c r="M15" s="6" t="n">
        <v>274681</v>
      </c>
      <c r="N15" s="6" t="n">
        <v>200205</v>
      </c>
      <c r="O15" s="6" t="n">
        <v>132551</v>
      </c>
      <c r="P15" s="6" t="n">
        <v>0</v>
      </c>
      <c r="Q15" s="6" t="n">
        <v>118932</v>
      </c>
      <c r="R15" s="6" t="n">
        <v>29723</v>
      </c>
      <c r="S15" s="6" t="n">
        <v>1331733</v>
      </c>
      <c r="T15" s="6" t="n">
        <v>18630</v>
      </c>
      <c r="U15" s="6" t="n">
        <v>2106455</v>
      </c>
      <c r="V15" t="inlineStr"/>
      <c r="W15" t="inlineStr"/>
      <c r="X15" t="inlineStr"/>
      <c r="Y15" t="inlineStr"/>
      <c r="Z15" t="inlineStr"/>
      <c r="AA15" t="inlineStr"/>
      <c r="AB15" t="inlineStr"/>
      <c r="AC15" t="inlineStr"/>
      <c r="AD15" t="inlineStr"/>
      <c r="AE15" t="inlineStr"/>
      <c r="AF15" t="inlineStr"/>
    </row>
    <row r="16" ht="15.75" customHeight="1" s="35">
      <c r="A16" s="8" t="inlineStr">
        <is>
          <t>Total</t>
        </is>
      </c>
      <c r="B16" s="11" t="n">
        <v>4990589.816410777</v>
      </c>
      <c r="C16" s="11" t="n">
        <v>3381612.538012476</v>
      </c>
      <c r="D16" s="11" t="n">
        <v>3199472.020563591</v>
      </c>
      <c r="E16" s="11" t="n">
        <v>221998.8909030763</v>
      </c>
      <c r="F16" s="11" t="n">
        <v>915392.3382413129</v>
      </c>
      <c r="G16" s="11" t="n">
        <v>181356.9647328124</v>
      </c>
      <c r="H16" s="11" t="n">
        <v>1437045.724708334</v>
      </c>
      <c r="I16" s="11" t="n">
        <v>464565.646676789</v>
      </c>
      <c r="J16" s="11" t="n">
        <v>14792033.94024917</v>
      </c>
      <c r="K16" t="inlineStr"/>
      <c r="L16" s="7" t="inlineStr">
        <is>
          <t>Total</t>
        </is>
      </c>
      <c r="M16" s="11" t="n">
        <v>5574105</v>
      </c>
      <c r="N16" s="11" t="n">
        <v>4192101</v>
      </c>
      <c r="O16" s="11" t="n">
        <v>3742309</v>
      </c>
      <c r="P16" s="11" t="n">
        <v>214637</v>
      </c>
      <c r="Q16" s="11" t="n">
        <v>567010</v>
      </c>
      <c r="R16" s="11" t="n">
        <v>199098</v>
      </c>
      <c r="S16" s="11" t="n">
        <v>1331733</v>
      </c>
      <c r="T16" s="11" t="n">
        <v>479511</v>
      </c>
      <c r="U16" s="11" t="n">
        <v>16300504</v>
      </c>
      <c r="V16" t="inlineStr"/>
      <c r="W16" t="inlineStr"/>
      <c r="X16" t="inlineStr"/>
      <c r="Y16" t="inlineStr"/>
      <c r="Z16" t="inlineStr"/>
      <c r="AA16" t="inlineStr"/>
      <c r="AB16" t="inlineStr"/>
      <c r="AC16" t="inlineStr"/>
      <c r="AD16" t="inlineStr"/>
      <c r="AE16" t="inlineStr"/>
      <c r="AF16" t="inlineStr"/>
    </row>
    <row r="17">
      <c r="A17" t="inlineStr"/>
      <c r="B17" t="inlineStr"/>
      <c r="C17" t="inlineStr"/>
      <c r="D17" t="inlineStr"/>
      <c r="E17" t="inlineStr"/>
      <c r="F17" t="inlineStr"/>
      <c r="G17" t="inlineStr"/>
      <c r="H17" t="inlineStr"/>
      <c r="I17" t="inlineStr"/>
      <c r="J17" t="inlineStr"/>
      <c r="K17" t="inlineStr"/>
      <c r="L17" t="inlineStr"/>
      <c r="M17" t="inlineStr"/>
      <c r="N17" t="inlineStr"/>
      <c r="O17" t="inlineStr"/>
      <c r="P17" t="inlineStr"/>
      <c r="Q17" t="inlineStr"/>
      <c r="R17" t="inlineStr"/>
      <c r="S17" t="inlineStr"/>
      <c r="T17" t="inlineStr"/>
      <c r="U17" t="inlineStr"/>
      <c r="V17" t="inlineStr"/>
      <c r="W17" t="inlineStr"/>
      <c r="X17" t="inlineStr"/>
      <c r="Y17" t="inlineStr"/>
      <c r="Z17" t="inlineStr"/>
      <c r="AA17" t="inlineStr"/>
      <c r="AB17" t="inlineStr"/>
      <c r="AC17" t="inlineStr"/>
      <c r="AD17" t="inlineStr"/>
      <c r="AE17" t="inlineStr"/>
      <c r="AF17" t="inlineStr"/>
    </row>
    <row r="18">
      <c r="A18" t="inlineStr"/>
      <c r="B18" t="inlineStr"/>
      <c r="C18" t="inlineStr"/>
      <c r="D18" t="inlineStr"/>
      <c r="E18" t="inlineStr"/>
      <c r="F18" t="inlineStr"/>
      <c r="G18" t="inlineStr"/>
      <c r="H18" t="inlineStr"/>
      <c r="I18" t="inlineStr"/>
      <c r="J18" t="inlineStr"/>
      <c r="K18" t="inlineStr"/>
      <c r="L18" t="inlineStr"/>
      <c r="M18" t="inlineStr"/>
      <c r="N18" t="inlineStr"/>
      <c r="O18" t="inlineStr"/>
      <c r="P18" t="inlineStr"/>
      <c r="Q18" t="inlineStr"/>
      <c r="R18" t="inlineStr"/>
      <c r="S18" t="inlineStr"/>
      <c r="T18" t="inlineStr"/>
      <c r="U18" t="inlineStr"/>
      <c r="V18" t="inlineStr"/>
      <c r="W18" t="inlineStr"/>
      <c r="X18" t="inlineStr"/>
      <c r="Y18" t="inlineStr"/>
      <c r="Z18" t="inlineStr"/>
      <c r="AA18" t="inlineStr"/>
      <c r="AB18" t="inlineStr"/>
      <c r="AC18" t="inlineStr"/>
      <c r="AD18" t="inlineStr"/>
      <c r="AE18" t="inlineStr"/>
      <c r="AF18" t="inlineStr"/>
    </row>
    <row r="19" ht="15.75" customHeight="1" s="35">
      <c r="A19" s="1" t="inlineStr">
        <is>
          <t>Table X. Observed Work Tour Mode Shares: Survey</t>
        </is>
      </c>
      <c r="B19" s="1" t="inlineStr"/>
      <c r="C19" s="2" t="inlineStr"/>
      <c r="D19" s="2" t="inlineStr"/>
      <c r="E19" s="2" t="inlineStr"/>
      <c r="F19" s="2" t="inlineStr"/>
      <c r="G19" s="2" t="inlineStr"/>
      <c r="H19" s="2" t="inlineStr"/>
      <c r="I19" s="2" t="inlineStr"/>
      <c r="J19" s="2" t="inlineStr"/>
      <c r="K19" t="inlineStr"/>
      <c r="L19" s="1" t="inlineStr">
        <is>
          <t>Table X. Estimated Work Tour Mode Shares: DaySim</t>
        </is>
      </c>
      <c r="M19" s="1" t="inlineStr"/>
      <c r="N19" s="2" t="inlineStr"/>
      <c r="O19" s="2" t="inlineStr"/>
      <c r="P19" s="2" t="inlineStr"/>
      <c r="Q19" s="2" t="inlineStr"/>
      <c r="R19" s="2" t="inlineStr"/>
      <c r="S19" s="2" t="inlineStr"/>
      <c r="T19" s="2" t="inlineStr"/>
      <c r="U19" s="2" t="inlineStr"/>
      <c r="V19" t="inlineStr"/>
      <c r="W19" t="inlineStr"/>
      <c r="X19" t="inlineStr"/>
      <c r="Y19" t="inlineStr"/>
      <c r="Z19" t="inlineStr"/>
      <c r="AA19" t="inlineStr"/>
      <c r="AB19" t="inlineStr"/>
      <c r="AC19" t="inlineStr"/>
      <c r="AD19" t="inlineStr"/>
      <c r="AE19" t="inlineStr"/>
      <c r="AF19" t="inlineStr"/>
    </row>
    <row r="20">
      <c r="A20" s="3" t="inlineStr"/>
      <c r="B20" t="inlineStr">
        <is>
          <t>All Purposes Tour Mode</t>
        </is>
      </c>
      <c r="C20" t="inlineStr"/>
      <c r="D20" t="inlineStr"/>
      <c r="E20" t="inlineStr"/>
      <c r="F20" t="inlineStr"/>
      <c r="G20" t="inlineStr"/>
      <c r="H20" t="inlineStr"/>
      <c r="I20" t="inlineStr"/>
      <c r="J20" s="31" t="inlineStr"/>
      <c r="K20" t="inlineStr"/>
      <c r="L20" s="3" t="inlineStr"/>
      <c r="M20" t="inlineStr">
        <is>
          <t>All Purposes Tour Mode</t>
        </is>
      </c>
      <c r="N20" t="inlineStr"/>
      <c r="O20" t="inlineStr"/>
      <c r="P20" t="inlineStr"/>
      <c r="Q20" t="inlineStr"/>
      <c r="R20" t="inlineStr"/>
      <c r="S20" t="inlineStr"/>
      <c r="T20" t="inlineStr"/>
      <c r="U20" t="inlineStr"/>
      <c r="V20" t="inlineStr"/>
      <c r="W20" t="inlineStr"/>
      <c r="X20" t="inlineStr"/>
      <c r="Y20" t="inlineStr"/>
      <c r="Z20" t="inlineStr"/>
      <c r="AA20" t="inlineStr"/>
      <c r="AB20" t="inlineStr"/>
      <c r="AC20" t="inlineStr"/>
      <c r="AD20" t="inlineStr"/>
      <c r="AE20" t="inlineStr"/>
      <c r="AF20" t="inlineStr"/>
    </row>
    <row r="21">
      <c r="A21" s="4" t="inlineStr">
        <is>
          <t>Mode</t>
        </is>
      </c>
      <c r="B21" s="5" t="inlineStr">
        <is>
          <t>DA</t>
        </is>
      </c>
      <c r="C21" s="5" t="inlineStr">
        <is>
          <t>SR2</t>
        </is>
      </c>
      <c r="D21" s="5" t="inlineStr">
        <is>
          <t>SR3+</t>
        </is>
      </c>
      <c r="E21" s="5" t="inlineStr">
        <is>
          <t>D-Trans</t>
        </is>
      </c>
      <c r="F21" s="5" t="inlineStr">
        <is>
          <t>W-Trans</t>
        </is>
      </c>
      <c r="G21" s="5" t="inlineStr">
        <is>
          <t>Bike</t>
        </is>
      </c>
      <c r="H21" s="5" t="inlineStr">
        <is>
          <t>Walk</t>
        </is>
      </c>
      <c r="I21" s="5" t="inlineStr">
        <is>
          <t>Sch Bus</t>
        </is>
      </c>
      <c r="J21" s="5" t="inlineStr">
        <is>
          <t>Total</t>
        </is>
      </c>
      <c r="K21" t="inlineStr"/>
      <c r="L21" s="4" t="inlineStr">
        <is>
          <t>Mode</t>
        </is>
      </c>
      <c r="M21" s="5" t="inlineStr">
        <is>
          <t>Drive Alone</t>
        </is>
      </c>
      <c r="N21" s="5" t="inlineStr">
        <is>
          <t>Shared Ride 2</t>
        </is>
      </c>
      <c r="O21" s="5" t="inlineStr">
        <is>
          <t>Shared Ride 3+</t>
        </is>
      </c>
      <c r="P21" s="5" t="inlineStr">
        <is>
          <t>D-Trans</t>
        </is>
      </c>
      <c r="Q21" s="5" t="inlineStr">
        <is>
          <t>W-Trans</t>
        </is>
      </c>
      <c r="R21" s="5" t="inlineStr">
        <is>
          <t>Bike</t>
        </is>
      </c>
      <c r="S21" s="5" t="inlineStr">
        <is>
          <t>Walk</t>
        </is>
      </c>
      <c r="T21" s="5" t="inlineStr">
        <is>
          <t>Sch Bus</t>
        </is>
      </c>
      <c r="U21" s="5" t="inlineStr">
        <is>
          <t>Total</t>
        </is>
      </c>
      <c r="V21" t="inlineStr"/>
      <c r="W21" t="inlineStr"/>
      <c r="X21" t="inlineStr"/>
      <c r="Y21" t="inlineStr"/>
      <c r="Z21" t="inlineStr"/>
      <c r="AA21" t="inlineStr"/>
      <c r="AB21" t="inlineStr"/>
      <c r="AC21" t="inlineStr"/>
      <c r="AD21" t="inlineStr"/>
      <c r="AE21" t="inlineStr"/>
      <c r="AF21" t="inlineStr"/>
    </row>
    <row r="22">
      <c r="A22" t="inlineStr">
        <is>
          <t>Drive Alone</t>
        </is>
      </c>
      <c r="B22" s="12" t="n">
        <v>0.9844141503903705</v>
      </c>
      <c r="C22" s="12" t="n">
        <v>0.2195046397899045</v>
      </c>
      <c r="D22" s="12" t="n">
        <v>0.09996128009540074</v>
      </c>
      <c r="E22" s="12" t="n">
        <v>0.4612779059899562</v>
      </c>
      <c r="F22" s="12" t="n">
        <v>0.01544598221295729</v>
      </c>
      <c r="G22" s="12" t="n">
        <v>0</v>
      </c>
      <c r="H22" s="12" t="n">
        <v>0</v>
      </c>
      <c r="I22" s="12" t="n">
        <v>0.002637318202278548</v>
      </c>
      <c r="J22" s="12" t="n">
        <v>0.411889111685947</v>
      </c>
      <c r="K22" s="6" t="inlineStr"/>
      <c r="L22" t="inlineStr">
        <is>
          <t>Drive Alone</t>
        </is>
      </c>
      <c r="M22" s="12" t="n">
        <v>0.9498872016225026</v>
      </c>
      <c r="N22" s="12" t="n">
        <v>0.2097871687728898</v>
      </c>
      <c r="O22" s="12" t="n">
        <v>0.1004927706397307</v>
      </c>
      <c r="P22" s="12" t="n">
        <v>0.5334588165134623</v>
      </c>
      <c r="Q22" s="12" t="n">
        <v>0.0424983686354738</v>
      </c>
      <c r="R22" s="12" t="n">
        <v>0</v>
      </c>
      <c r="S22" s="12" t="n">
        <v>0</v>
      </c>
      <c r="T22" s="12" t="n">
        <v>0.002195987161921207</v>
      </c>
      <c r="U22" s="12" t="n">
        <v>0.410413383537098</v>
      </c>
      <c r="V22" t="inlineStr"/>
      <c r="W22" t="inlineStr"/>
      <c r="X22" t="inlineStr"/>
      <c r="Y22" t="inlineStr"/>
      <c r="Z22" t="inlineStr"/>
      <c r="AA22" t="inlineStr"/>
      <c r="AB22" t="inlineStr"/>
      <c r="AC22" t="inlineStr"/>
      <c r="AD22" t="inlineStr"/>
      <c r="AE22" t="inlineStr"/>
      <c r="AF22" t="inlineStr"/>
    </row>
    <row r="23">
      <c r="A23" t="inlineStr">
        <is>
          <t>SR2</t>
        </is>
      </c>
      <c r="B23" s="12" t="n">
        <v>0</v>
      </c>
      <c r="C23" s="12" t="n">
        <v>0.7601834781181421</v>
      </c>
      <c r="D23" s="12" t="n">
        <v>0.1594949180043652</v>
      </c>
      <c r="E23" s="12" t="n">
        <v>0.01849517358496318</v>
      </c>
      <c r="F23" s="12" t="n">
        <v>0.07729687006162474</v>
      </c>
      <c r="G23" s="12" t="n">
        <v>0</v>
      </c>
      <c r="H23" s="12" t="n">
        <v>0</v>
      </c>
      <c r="I23" s="12" t="n">
        <v>0.08920876258389648</v>
      </c>
      <c r="J23" s="12" t="n">
        <v>0.2161468611019038</v>
      </c>
      <c r="K23" s="6" t="inlineStr"/>
      <c r="L23" t="inlineStr">
        <is>
          <t>SR2</t>
        </is>
      </c>
      <c r="M23" s="12" t="n">
        <v>0</v>
      </c>
      <c r="N23" s="12" t="n">
        <v>0.7389576253053063</v>
      </c>
      <c r="O23" s="12" t="n">
        <v>0.1569365330334828</v>
      </c>
      <c r="P23" s="12" t="n">
        <v>0.03764961306764444</v>
      </c>
      <c r="Q23" s="12" t="n">
        <v>0.08358582741045131</v>
      </c>
      <c r="R23" s="12" t="n">
        <v>0</v>
      </c>
      <c r="S23" s="12" t="n">
        <v>0</v>
      </c>
      <c r="T23" s="12" t="n">
        <v>0.1136324297044281</v>
      </c>
      <c r="U23" s="12" t="n">
        <v>0.2328181386293332</v>
      </c>
      <c r="V23" t="inlineStr"/>
      <c r="W23" t="inlineStr"/>
      <c r="X23" t="inlineStr"/>
      <c r="Y23" t="inlineStr"/>
      <c r="Z23" t="inlineStr"/>
      <c r="AA23" t="inlineStr"/>
      <c r="AB23" t="inlineStr"/>
      <c r="AC23" t="inlineStr"/>
      <c r="AD23" t="inlineStr"/>
      <c r="AE23" t="inlineStr"/>
      <c r="AF23" t="inlineStr"/>
    </row>
    <row r="24">
      <c r="A24" t="inlineStr">
        <is>
          <t>SR3</t>
        </is>
      </c>
      <c r="B24" s="12" t="n">
        <v>0</v>
      </c>
      <c r="C24" s="12" t="n">
        <v>0</v>
      </c>
      <c r="D24" s="12" t="n">
        <v>0.7125953057402162</v>
      </c>
      <c r="E24" s="12" t="n">
        <v>0.01593069913163243</v>
      </c>
      <c r="F24" s="12" t="n">
        <v>0.01796219827851726</v>
      </c>
      <c r="G24" s="12" t="n">
        <v>0</v>
      </c>
      <c r="H24" s="12" t="n">
        <v>0</v>
      </c>
      <c r="I24" s="12" t="n">
        <v>0.1428669628819459</v>
      </c>
      <c r="J24" s="12" t="n">
        <v>0.1599698115539599</v>
      </c>
      <c r="K24" s="6" t="inlineStr"/>
      <c r="L24" t="inlineStr">
        <is>
          <t>SR3</t>
        </is>
      </c>
      <c r="M24" s="12" t="n">
        <v>0</v>
      </c>
      <c r="N24" s="12" t="n">
        <v>0</v>
      </c>
      <c r="O24" s="12" t="n">
        <v>0.7038552936168553</v>
      </c>
      <c r="P24" s="12" t="n">
        <v>0</v>
      </c>
      <c r="Q24" s="12" t="n">
        <v>0.03882294844888097</v>
      </c>
      <c r="R24" s="12" t="n">
        <v>0</v>
      </c>
      <c r="S24" s="12" t="n">
        <v>0</v>
      </c>
      <c r="T24" s="12" t="n">
        <v>0.1148357389090136</v>
      </c>
      <c r="U24" s="12" t="n">
        <v>0.1663213603702069</v>
      </c>
      <c r="V24" t="inlineStr"/>
      <c r="W24" t="inlineStr"/>
      <c r="X24" t="inlineStr"/>
      <c r="Y24" t="inlineStr"/>
      <c r="Z24" t="inlineStr"/>
      <c r="AA24" t="inlineStr"/>
      <c r="AB24" t="inlineStr"/>
      <c r="AC24" t="inlineStr"/>
      <c r="AD24" t="inlineStr"/>
      <c r="AE24" t="inlineStr"/>
      <c r="AF24" t="inlineStr"/>
    </row>
    <row r="25">
      <c r="A25" t="inlineStr">
        <is>
          <t>Transit - localbus</t>
        </is>
      </c>
      <c r="B25" s="12" t="n">
        <v>0</v>
      </c>
      <c r="C25" s="12" t="n">
        <v>0</v>
      </c>
      <c r="D25" s="12" t="n">
        <v>0</v>
      </c>
      <c r="E25" s="12" t="n">
        <v>0.4458554933006509</v>
      </c>
      <c r="F25" s="12" t="n">
        <v>0.662077423379415</v>
      </c>
      <c r="G25" s="12" t="n">
        <v>0</v>
      </c>
      <c r="H25" s="12" t="n">
        <v>0</v>
      </c>
      <c r="I25" s="12" t="n">
        <v>0.02137506044155834</v>
      </c>
      <c r="J25" s="12" t="n">
        <v>0.0483348096255517</v>
      </c>
      <c r="K25" s="6" t="inlineStr"/>
      <c r="L25" t="inlineStr">
        <is>
          <t>Transit - localbus</t>
        </is>
      </c>
      <c r="M25" s="12" t="n">
        <v>0</v>
      </c>
      <c r="N25" s="12" t="n">
        <v>0</v>
      </c>
      <c r="O25" s="12" t="n">
        <v>0</v>
      </c>
      <c r="P25" s="12" t="n">
        <v>0.4288915704188933</v>
      </c>
      <c r="Q25" s="12" t="n">
        <v>0.6152025537468475</v>
      </c>
      <c r="R25" s="12" t="n">
        <v>0</v>
      </c>
      <c r="S25" s="12" t="n">
        <v>0</v>
      </c>
      <c r="T25" s="12" t="n">
        <v>0.0003295023471828592</v>
      </c>
      <c r="U25" s="12" t="n">
        <v>0.02705683210776796</v>
      </c>
      <c r="V25" t="inlineStr"/>
      <c r="W25" t="inlineStr"/>
      <c r="X25" t="inlineStr"/>
      <c r="Y25" t="inlineStr"/>
      <c r="Z25" t="inlineStr"/>
      <c r="AA25" t="inlineStr"/>
      <c r="AB25" t="inlineStr"/>
      <c r="AC25" t="inlineStr"/>
      <c r="AD25" t="inlineStr"/>
      <c r="AE25" t="inlineStr"/>
      <c r="AF25" t="inlineStr"/>
    </row>
    <row r="26">
      <c r="A26" t="inlineStr">
        <is>
          <t>Transit - lightrail</t>
        </is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0.002708903256739305</v>
      </c>
      <c r="G26" s="12" t="n">
        <v>0</v>
      </c>
      <c r="H26" s="12" t="n">
        <v>0</v>
      </c>
      <c r="I26" s="12" t="n">
        <v>0</v>
      </c>
      <c r="J26" s="12" t="n">
        <v>0.0001676381555283485</v>
      </c>
      <c r="K26" s="6" t="inlineStr"/>
      <c r="L26" t="inlineStr">
        <is>
          <t>Transit - lightrail</t>
        </is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  <c r="V26" t="inlineStr"/>
      <c r="W26" t="inlineStr"/>
      <c r="X26" t="inlineStr"/>
      <c r="Y26" t="inlineStr"/>
      <c r="Z26" t="inlineStr"/>
      <c r="AA26" t="inlineStr"/>
      <c r="AB26" t="inlineStr"/>
      <c r="AC26" t="inlineStr"/>
      <c r="AD26" t="inlineStr"/>
      <c r="AE26" t="inlineStr"/>
      <c r="AF26" t="inlineStr"/>
    </row>
    <row r="27">
      <c r="A27" t="inlineStr">
        <is>
          <t>Transit - premium bus</t>
        </is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inlineStr"/>
      <c r="L27" t="inlineStr">
        <is>
          <t>Transit - premium bus</t>
        </is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  <c r="V27" t="inlineStr"/>
      <c r="W27" t="inlineStr"/>
      <c r="X27" t="inlineStr"/>
      <c r="Y27" t="inlineStr"/>
      <c r="Z27" t="inlineStr"/>
      <c r="AA27" t="inlineStr"/>
      <c r="AB27" t="inlineStr"/>
      <c r="AC27" t="inlineStr"/>
      <c r="AD27" t="inlineStr"/>
      <c r="AE27" t="inlineStr"/>
      <c r="AF27" t="inlineStr"/>
    </row>
    <row r="28">
      <c r="A28" t="inlineStr">
        <is>
          <t>Transit - commuter rail</t>
        </is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inlineStr"/>
      <c r="L28" t="inlineStr">
        <is>
          <t>Transit - commuter rail</t>
        </is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  <c r="V28" t="inlineStr"/>
      <c r="W28" t="inlineStr"/>
      <c r="X28" t="inlineStr"/>
      <c r="Y28" t="inlineStr"/>
      <c r="Z28" t="inlineStr"/>
      <c r="AA28" t="inlineStr"/>
      <c r="AB28" t="inlineStr"/>
      <c r="AC28" t="inlineStr"/>
      <c r="AD28" t="inlineStr"/>
      <c r="AE28" t="inlineStr"/>
      <c r="AF28" t="inlineStr"/>
    </row>
    <row r="29">
      <c r="A29" t="inlineStr">
        <is>
          <t>Transit - ferry</t>
        </is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inlineStr"/>
      <c r="L29" t="inlineStr">
        <is>
          <t>Transit - ferry</t>
        </is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  <c r="V29" t="inlineStr"/>
      <c r="W29" t="inlineStr"/>
      <c r="X29" t="inlineStr"/>
      <c r="Y29" t="inlineStr"/>
      <c r="Z29" t="inlineStr"/>
      <c r="AA29" t="inlineStr"/>
      <c r="AB29" t="inlineStr"/>
      <c r="AC29" t="inlineStr"/>
      <c r="AD29" t="inlineStr"/>
      <c r="AE29" t="inlineStr"/>
      <c r="AF29" t="inlineStr"/>
    </row>
    <row r="30">
      <c r="A30" t="inlineStr">
        <is>
          <t>School Bus</t>
        </is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0.7112616149672676</v>
      </c>
      <c r="J30" s="12" t="n">
        <v>0.02233822025073585</v>
      </c>
      <c r="K30" s="6" t="inlineStr"/>
      <c r="L30" t="inlineStr">
        <is>
          <t>School Bus</t>
        </is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0.7251762733284534</v>
      </c>
      <c r="U30" s="12" t="n">
        <v>0.0213324692291723</v>
      </c>
      <c r="V30" t="inlineStr"/>
      <c r="W30" t="inlineStr"/>
      <c r="X30" t="inlineStr"/>
      <c r="Y30" t="inlineStr"/>
      <c r="Z30" t="inlineStr"/>
      <c r="AA30" t="inlineStr"/>
      <c r="AB30" t="inlineStr"/>
      <c r="AC30" t="inlineStr"/>
      <c r="AD30" t="inlineStr"/>
      <c r="AE30" t="inlineStr"/>
      <c r="AF30" t="inlineStr"/>
    </row>
    <row r="31">
      <c r="A31" t="inlineStr">
        <is>
          <t>Bike</t>
        </is>
      </c>
      <c r="B31" s="12" t="n">
        <v>0.0006261242056651931</v>
      </c>
      <c r="C31" s="12" t="n">
        <v>0.003935920200969457</v>
      </c>
      <c r="D31" s="12" t="n">
        <v>0.00326577547233979</v>
      </c>
      <c r="E31" s="12" t="n">
        <v>0.001096687720387283</v>
      </c>
      <c r="F31" s="12" t="n">
        <v>0.008764105469643889</v>
      </c>
      <c r="G31" s="12" t="n">
        <v>0.923527147068973</v>
      </c>
      <c r="H31" s="12" t="n">
        <v>0</v>
      </c>
      <c r="I31" s="12" t="n">
        <v>0.006540860872026722</v>
      </c>
      <c r="J31" s="12" t="n">
        <v>0.01390451389054937</v>
      </c>
      <c r="K31" s="6" t="inlineStr"/>
      <c r="L31" t="inlineStr">
        <is>
          <t>Bike</t>
        </is>
      </c>
      <c r="M31" s="12" t="n">
        <v>0.0008347528437300697</v>
      </c>
      <c r="N31" s="12" t="n">
        <v>0.003497530236032004</v>
      </c>
      <c r="O31" s="12" t="n">
        <v>0.003295826186453337</v>
      </c>
      <c r="P31" s="12" t="n">
        <v>0</v>
      </c>
      <c r="Q31" s="12" t="n">
        <v>0.01013738734766583</v>
      </c>
      <c r="R31" s="12" t="n">
        <v>0.8507117098112488</v>
      </c>
      <c r="S31" s="12" t="n">
        <v>0</v>
      </c>
      <c r="T31" s="12" t="n">
        <v>0.004977987991933449</v>
      </c>
      <c r="U31" s="12" t="n">
        <v>0.0128314437394083</v>
      </c>
      <c r="V31" t="inlineStr"/>
      <c r="W31" t="inlineStr"/>
      <c r="X31" t="inlineStr"/>
      <c r="Y31" t="inlineStr"/>
      <c r="Z31" t="inlineStr"/>
      <c r="AA31" t="inlineStr"/>
      <c r="AB31" t="inlineStr"/>
      <c r="AC31" t="inlineStr"/>
      <c r="AD31" t="inlineStr"/>
      <c r="AE31" t="inlineStr"/>
      <c r="AF31" t="inlineStr"/>
    </row>
    <row r="32">
      <c r="A32" s="4" t="inlineStr">
        <is>
          <t>Walk</t>
        </is>
      </c>
      <c r="B32" s="9" t="n">
        <v>0.01495972540396447</v>
      </c>
      <c r="C32" s="9" t="n">
        <v>0.01637596189098403</v>
      </c>
      <c r="D32" s="9" t="n">
        <v>0.02468272068767798</v>
      </c>
      <c r="E32" s="12" t="n">
        <v>0.05734404027241017</v>
      </c>
      <c r="F32" s="9" t="n">
        <v>0.2157445173411024</v>
      </c>
      <c r="G32" s="9" t="n">
        <v>0.07647285293102694</v>
      </c>
      <c r="H32" s="9" t="n">
        <v>1</v>
      </c>
      <c r="I32" s="9" t="n">
        <v>0.0261094200510264</v>
      </c>
      <c r="J32" s="9" t="n">
        <v>0.1272490337358241</v>
      </c>
      <c r="K32" s="6" t="inlineStr"/>
      <c r="L32" s="4" t="inlineStr">
        <is>
          <t>Walk</t>
        </is>
      </c>
      <c r="M32" s="9" t="n">
        <v>0.04927804553376731</v>
      </c>
      <c r="N32" s="9" t="n">
        <v>0.04775767568577188</v>
      </c>
      <c r="O32" s="9" t="n">
        <v>0.03541957652347789</v>
      </c>
      <c r="P32" s="9" t="n">
        <v>0</v>
      </c>
      <c r="Q32" s="9" t="n">
        <v>0.2097529144106806</v>
      </c>
      <c r="R32" s="9" t="n">
        <v>0.1492882901887513</v>
      </c>
      <c r="S32" s="9" t="n">
        <v>1</v>
      </c>
      <c r="T32" s="9" t="n">
        <v>0.03885208055706751</v>
      </c>
      <c r="U32" s="9" t="n">
        <v>0.1292263723870133</v>
      </c>
      <c r="V32" t="inlineStr"/>
      <c r="W32" t="inlineStr"/>
      <c r="X32" t="inlineStr"/>
      <c r="Y32" t="inlineStr"/>
      <c r="Z32" t="inlineStr"/>
      <c r="AA32" t="inlineStr"/>
      <c r="AB32" t="inlineStr"/>
      <c r="AC32" t="inlineStr"/>
      <c r="AD32" t="inlineStr"/>
      <c r="AE32" t="inlineStr"/>
      <c r="AF32" t="inlineStr"/>
    </row>
    <row r="33" ht="15.75" customHeight="1" s="35">
      <c r="A33" s="8" t="inlineStr">
        <is>
          <t>Total</t>
        </is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K33" t="inlineStr"/>
      <c r="L33" s="7" t="inlineStr">
        <is>
          <t>Total</t>
        </is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  <c r="V33" t="inlineStr"/>
      <c r="W33" t="inlineStr"/>
      <c r="X33" t="inlineStr"/>
      <c r="Y33" t="inlineStr"/>
      <c r="Z33" t="inlineStr"/>
      <c r="AA33" t="inlineStr"/>
      <c r="AB33" t="inlineStr"/>
      <c r="AC33" t="inlineStr"/>
      <c r="AD33" t="inlineStr"/>
      <c r="AE33" t="inlineStr"/>
      <c r="AF33" t="inlineStr"/>
    </row>
    <row r="34">
      <c r="A34" t="inlineStr"/>
      <c r="B34" t="inlineStr"/>
      <c r="C34" t="inlineStr"/>
      <c r="D34" t="inlineStr"/>
      <c r="E34" t="inlineStr"/>
      <c r="F34" t="inlineStr"/>
      <c r="G34" t="inlineStr"/>
      <c r="H34" t="inlineStr"/>
      <c r="I34" t="inlineStr"/>
      <c r="J34" t="inlineStr"/>
      <c r="K34" t="inlineStr"/>
      <c r="L34" t="inlineStr"/>
      <c r="M34" t="inlineStr"/>
      <c r="N34" t="inlineStr"/>
      <c r="O34" t="inlineStr"/>
      <c r="P34" t="inlineStr"/>
      <c r="Q34" t="inlineStr"/>
      <c r="R34" t="inlineStr"/>
      <c r="S34" t="inlineStr"/>
      <c r="T34" t="inlineStr"/>
      <c r="U34" t="inlineStr"/>
      <c r="V34" t="inlineStr"/>
      <c r="W34" t="inlineStr"/>
      <c r="X34" t="inlineStr"/>
      <c r="Y34" t="inlineStr"/>
      <c r="Z34" t="inlineStr"/>
      <c r="AA34" t="inlineStr"/>
      <c r="AB34" t="inlineStr"/>
      <c r="AC34" t="inlineStr"/>
      <c r="AD34" t="inlineStr"/>
      <c r="AE34" t="inlineStr"/>
      <c r="AF34" t="inlineStr"/>
    </row>
    <row r="35">
      <c r="A35" t="inlineStr"/>
      <c r="B35" t="inlineStr"/>
      <c r="C35" t="inlineStr"/>
      <c r="D35" t="inlineStr"/>
      <c r="E35" t="inlineStr"/>
      <c r="F35" t="inlineStr"/>
      <c r="G35" t="inlineStr"/>
      <c r="H35" t="inlineStr"/>
      <c r="I35" t="inlineStr"/>
      <c r="J35" t="inlineStr"/>
      <c r="K35" t="inlineStr"/>
      <c r="L35" t="inlineStr"/>
      <c r="M35" t="inlineStr"/>
      <c r="N35" t="inlineStr"/>
      <c r="O35" t="inlineStr"/>
      <c r="P35" t="inlineStr"/>
      <c r="Q35" t="inlineStr"/>
      <c r="R35" t="inlineStr"/>
      <c r="S35" t="inlineStr"/>
      <c r="T35" t="inlineStr"/>
      <c r="U35" t="inlineStr"/>
      <c r="V35" t="inlineStr"/>
      <c r="W35" t="inlineStr"/>
      <c r="X35" t="inlineStr"/>
      <c r="Y35" t="inlineStr"/>
      <c r="Z35" t="inlineStr"/>
      <c r="AA35" t="inlineStr"/>
      <c r="AB35" t="inlineStr"/>
      <c r="AC35" t="inlineStr"/>
      <c r="AD35" t="inlineStr"/>
      <c r="AE35" t="inlineStr"/>
      <c r="AF35" t="inlineStr"/>
    </row>
    <row r="36" ht="15.75" customHeight="1" s="35">
      <c r="A36" t="inlineStr"/>
      <c r="B36" t="inlineStr"/>
      <c r="C36" t="inlineStr"/>
      <c r="D36" t="inlineStr"/>
      <c r="E36" t="inlineStr"/>
      <c r="F36" t="inlineStr"/>
      <c r="G36" t="inlineStr"/>
      <c r="H36" t="inlineStr"/>
      <c r="I36" t="inlineStr"/>
      <c r="J36" t="inlineStr"/>
      <c r="K36" t="inlineStr"/>
      <c r="L36" s="1" t="inlineStr">
        <is>
          <t>Table X. Estimated-Observed Work Tour Mode Share Difference</t>
        </is>
      </c>
      <c r="M36" s="1" t="inlineStr"/>
      <c r="N36" s="2" t="inlineStr"/>
      <c r="O36" s="2" t="inlineStr"/>
      <c r="P36" s="2" t="inlineStr"/>
      <c r="Q36" s="2" t="inlineStr"/>
      <c r="R36" s="2" t="inlineStr"/>
      <c r="S36" s="2" t="inlineStr"/>
      <c r="T36" s="2" t="inlineStr"/>
      <c r="U36" s="2" t="inlineStr"/>
      <c r="V36" t="inlineStr"/>
      <c r="W36" s="13" t="inlineStr">
        <is>
          <t>TRIP MODE CHOICE ALL PURPOSES: EST-OBS</t>
        </is>
      </c>
      <c r="X36" s="13" t="inlineStr"/>
      <c r="Y36" s="15" t="inlineStr"/>
      <c r="Z36" s="15" t="inlineStr"/>
      <c r="AA36" s="15" t="inlineStr"/>
      <c r="AB36" s="15" t="inlineStr"/>
      <c r="AC36" s="15" t="inlineStr"/>
      <c r="AD36" s="15" t="inlineStr"/>
      <c r="AE36" s="15" t="inlineStr"/>
      <c r="AF36" s="15" t="inlineStr"/>
    </row>
    <row r="37">
      <c r="A37" t="inlineStr"/>
      <c r="B37" t="inlineStr"/>
      <c r="C37" t="inlineStr"/>
      <c r="D37" t="inlineStr"/>
      <c r="E37" t="inlineStr"/>
      <c r="F37" t="inlineStr"/>
      <c r="G37" t="inlineStr"/>
      <c r="H37" t="inlineStr"/>
      <c r="I37" t="inlineStr"/>
      <c r="J37" t="inlineStr"/>
      <c r="K37" t="inlineStr"/>
      <c r="L37" s="3" t="inlineStr"/>
      <c r="M37" t="inlineStr">
        <is>
          <t>All Purposes Tour Mode</t>
        </is>
      </c>
      <c r="N37" t="inlineStr"/>
      <c r="O37" t="inlineStr"/>
      <c r="P37" t="inlineStr"/>
      <c r="Q37" t="inlineStr"/>
      <c r="R37" t="inlineStr"/>
      <c r="S37" t="inlineStr"/>
      <c r="T37" t="inlineStr"/>
      <c r="U37" t="inlineStr"/>
      <c r="V37" t="inlineStr"/>
      <c r="W37" s="16" t="inlineStr"/>
      <c r="X37" s="36" t="inlineStr">
        <is>
          <t>All Purposes Tour Mode</t>
        </is>
      </c>
      <c r="Y37" t="inlineStr"/>
      <c r="Z37" t="inlineStr"/>
      <c r="AA37" t="inlineStr"/>
      <c r="AB37" t="inlineStr"/>
      <c r="AC37" t="inlineStr"/>
      <c r="AD37" t="inlineStr"/>
      <c r="AE37" t="inlineStr"/>
      <c r="AF37" s="34" t="inlineStr"/>
    </row>
    <row r="38">
      <c r="A38" t="inlineStr"/>
      <c r="B38" t="inlineStr"/>
      <c r="C38" t="inlineStr"/>
      <c r="D38" t="inlineStr"/>
      <c r="E38" t="inlineStr"/>
      <c r="F38" t="inlineStr"/>
      <c r="G38" t="inlineStr"/>
      <c r="H38" t="inlineStr"/>
      <c r="I38" t="inlineStr"/>
      <c r="J38" t="inlineStr"/>
      <c r="K38" t="inlineStr"/>
      <c r="L38" s="4" t="inlineStr">
        <is>
          <t>Mode</t>
        </is>
      </c>
      <c r="M38" s="5" t="inlineStr">
        <is>
          <t>DA</t>
        </is>
      </c>
      <c r="N38" s="5" t="inlineStr">
        <is>
          <t>SR2</t>
        </is>
      </c>
      <c r="O38" s="5" t="inlineStr">
        <is>
          <t>SR3+</t>
        </is>
      </c>
      <c r="P38" s="5" t="inlineStr">
        <is>
          <t>D-Trans</t>
        </is>
      </c>
      <c r="Q38" s="5" t="inlineStr">
        <is>
          <t>W-Trans</t>
        </is>
      </c>
      <c r="R38" s="5" t="inlineStr">
        <is>
          <t>Bike</t>
        </is>
      </c>
      <c r="S38" s="5" t="inlineStr">
        <is>
          <t>Walk</t>
        </is>
      </c>
      <c r="T38" s="5" t="inlineStr">
        <is>
          <t>Sch Bus</t>
        </is>
      </c>
      <c r="U38" s="5" t="inlineStr">
        <is>
          <t>Total</t>
        </is>
      </c>
      <c r="V38" t="inlineStr"/>
      <c r="W38" s="17" t="inlineStr">
        <is>
          <t>Mode</t>
        </is>
      </c>
      <c r="X38" s="18" t="inlineStr">
        <is>
          <t>DA</t>
        </is>
      </c>
      <c r="Y38" s="18" t="inlineStr">
        <is>
          <t>SR2</t>
        </is>
      </c>
      <c r="Z38" s="18" t="inlineStr">
        <is>
          <t>SR3+</t>
        </is>
      </c>
      <c r="AA38" s="18" t="inlineStr">
        <is>
          <t>D-Trans</t>
        </is>
      </c>
      <c r="AB38" s="18" t="inlineStr">
        <is>
          <t>W-Trans</t>
        </is>
      </c>
      <c r="AC38" s="5" t="inlineStr">
        <is>
          <t>Bike</t>
        </is>
      </c>
      <c r="AD38" s="5" t="inlineStr">
        <is>
          <t>Walk</t>
        </is>
      </c>
      <c r="AE38" s="5" t="inlineStr">
        <is>
          <t>Sch Bus</t>
        </is>
      </c>
      <c r="AF38" s="18" t="inlineStr">
        <is>
          <t>Total</t>
        </is>
      </c>
    </row>
    <row r="39">
      <c r="A39" t="inlineStr"/>
      <c r="B39" t="inlineStr"/>
      <c r="C39" t="inlineStr"/>
      <c r="D39" t="inlineStr"/>
      <c r="E39" t="inlineStr"/>
      <c r="F39" t="inlineStr"/>
      <c r="G39" t="inlineStr"/>
      <c r="H39" t="inlineStr"/>
      <c r="I39" t="inlineStr"/>
      <c r="J39" t="inlineStr"/>
      <c r="K39" t="inlineStr"/>
      <c r="L39" t="inlineStr">
        <is>
          <t>Drive Alone</t>
        </is>
      </c>
      <c r="M39" s="12" t="n">
        <v>-0.03452694876786788</v>
      </c>
      <c r="N39" s="12" t="n">
        <v>-0.009717471017014701</v>
      </c>
      <c r="O39" s="12" t="n">
        <v>0.0005314905443299656</v>
      </c>
      <c r="P39" s="12" t="n">
        <v>0.07218091052350611</v>
      </c>
      <c r="Q39" s="12" t="n">
        <v>0.02705238642251651</v>
      </c>
      <c r="R39" s="12" t="n">
        <v>0</v>
      </c>
      <c r="S39" s="12" t="n">
        <v>0</v>
      </c>
      <c r="T39" s="12" t="n">
        <v>-0.0004413310403573404</v>
      </c>
      <c r="U39" s="12" t="n">
        <v>-0.001475728148848998</v>
      </c>
      <c r="V39" t="inlineStr"/>
      <c r="W39" s="19" t="inlineStr">
        <is>
          <t>Drive Alone</t>
        </is>
      </c>
      <c r="X39" s="20" t="n">
        <v>-0.03452694876786788</v>
      </c>
      <c r="Y39" s="20" t="n">
        <v>-0.009717471017014701</v>
      </c>
      <c r="Z39" s="20" t="n">
        <v>0.0005314905443299656</v>
      </c>
      <c r="AA39" s="20" t="n">
        <v>0.07218091052350611</v>
      </c>
      <c r="AB39" s="20" t="n">
        <v>0.02705238642251651</v>
      </c>
      <c r="AC39" s="20" t="n">
        <v>0</v>
      </c>
      <c r="AD39" s="20" t="n">
        <v>0</v>
      </c>
      <c r="AE39" s="20" t="n">
        <v>-0.0004413310403573404</v>
      </c>
      <c r="AF39" s="20" t="n">
        <v>-0.001475728148848998</v>
      </c>
    </row>
    <row r="40">
      <c r="A40" t="inlineStr"/>
      <c r="B40" t="inlineStr"/>
      <c r="C40" t="inlineStr"/>
      <c r="D40" t="inlineStr"/>
      <c r="E40" t="inlineStr"/>
      <c r="F40" t="inlineStr"/>
      <c r="G40" t="inlineStr"/>
      <c r="H40" t="inlineStr"/>
      <c r="I40" t="inlineStr"/>
      <c r="J40" t="inlineStr"/>
      <c r="K40" t="inlineStr"/>
      <c r="L40" t="inlineStr">
        <is>
          <t>Shared Ride 2 - Driver</t>
        </is>
      </c>
      <c r="M40" s="12" t="n">
        <v>0</v>
      </c>
      <c r="N40" s="12" t="n">
        <v>-0.02122585281283584</v>
      </c>
      <c r="O40" s="12" t="n">
        <v>-0.002558384970882399</v>
      </c>
      <c r="P40" s="12" t="n">
        <v>0.01915443948268127</v>
      </c>
      <c r="Q40" s="12" t="n">
        <v>0.006288957348826577</v>
      </c>
      <c r="R40" s="12" t="n">
        <v>0</v>
      </c>
      <c r="S40" s="12" t="n">
        <v>0</v>
      </c>
      <c r="T40" s="12" t="n">
        <v>0.02442366712053157</v>
      </c>
      <c r="U40" s="12" t="n">
        <v>0.01667127752742942</v>
      </c>
      <c r="V40" t="inlineStr"/>
      <c r="W40" s="21" t="inlineStr">
        <is>
          <t>Shared Ride 2 - Driver</t>
        </is>
      </c>
      <c r="X40" s="20" t="n">
        <v>0</v>
      </c>
      <c r="Y40" s="20" t="n">
        <v>-0.02122585281283584</v>
      </c>
      <c r="Z40" s="20" t="n">
        <v>-0.002558384970882399</v>
      </c>
      <c r="AA40" s="20" t="n">
        <v>0.01915443948268127</v>
      </c>
      <c r="AB40" s="20" t="n">
        <v>0.006288957348826577</v>
      </c>
      <c r="AC40" s="20" t="n">
        <v>0</v>
      </c>
      <c r="AD40" s="20" t="n">
        <v>0</v>
      </c>
      <c r="AE40" s="20" t="n">
        <v>0.02442366712053157</v>
      </c>
      <c r="AF40" s="20" t="n">
        <v>0.01667127752742942</v>
      </c>
    </row>
    <row r="41">
      <c r="A41" t="inlineStr"/>
      <c r="B41" t="inlineStr"/>
      <c r="C41" t="inlineStr"/>
      <c r="D41" t="inlineStr"/>
      <c r="E41" t="inlineStr"/>
      <c r="F41" t="inlineStr"/>
      <c r="G41" t="inlineStr"/>
      <c r="H41" t="inlineStr"/>
      <c r="I41" t="inlineStr"/>
      <c r="J41" t="inlineStr"/>
      <c r="K41" t="inlineStr"/>
      <c r="L41" t="inlineStr">
        <is>
          <t>Shared Ride 3+ - Driver</t>
        </is>
      </c>
      <c r="M41" s="12" t="n">
        <v>0</v>
      </c>
      <c r="N41" s="12" t="n">
        <v>0</v>
      </c>
      <c r="O41" s="12" t="n">
        <v>-0.008740012123360952</v>
      </c>
      <c r="P41" s="12" t="n">
        <v>-0.01593069913163243</v>
      </c>
      <c r="Q41" s="12" t="n">
        <v>0.02086075017036371</v>
      </c>
      <c r="R41" s="12" t="n">
        <v>0</v>
      </c>
      <c r="S41" s="12" t="n">
        <v>0</v>
      </c>
      <c r="T41" s="12" t="n">
        <v>-0.02803122397293234</v>
      </c>
      <c r="U41" s="12" t="n">
        <v>0.006351548816247055</v>
      </c>
      <c r="V41" t="inlineStr"/>
      <c r="W41" s="21" t="inlineStr">
        <is>
          <t>Shared Ride 3+ - Driver</t>
        </is>
      </c>
      <c r="X41" s="20" t="n">
        <v>0</v>
      </c>
      <c r="Y41" s="20" t="n">
        <v>0</v>
      </c>
      <c r="Z41" s="20" t="n">
        <v>-0.008740012123360952</v>
      </c>
      <c r="AA41" s="20" t="n">
        <v>-0.01593069913163243</v>
      </c>
      <c r="AB41" s="20" t="n">
        <v>0.02086075017036371</v>
      </c>
      <c r="AC41" s="20" t="n">
        <v>0</v>
      </c>
      <c r="AD41" s="20" t="n">
        <v>0</v>
      </c>
      <c r="AE41" s="20" t="n">
        <v>-0.02803122397293234</v>
      </c>
      <c r="AF41" s="20" t="n">
        <v>0.006351548816247055</v>
      </c>
    </row>
    <row r="42">
      <c r="A42" t="inlineStr"/>
      <c r="B42" t="inlineStr"/>
      <c r="C42" t="inlineStr"/>
      <c r="D42" t="inlineStr"/>
      <c r="E42" t="inlineStr"/>
      <c r="F42" t="inlineStr"/>
      <c r="G42" t="inlineStr"/>
      <c r="H42" t="inlineStr"/>
      <c r="I42" t="inlineStr"/>
      <c r="J42" t="inlineStr"/>
      <c r="K42" t="inlineStr"/>
      <c r="L42" t="inlineStr">
        <is>
          <t>Transit - localbus</t>
        </is>
      </c>
      <c r="M42" s="12" t="n">
        <v>0</v>
      </c>
      <c r="N42" s="12" t="n">
        <v>0</v>
      </c>
      <c r="O42" s="12" t="n">
        <v>0</v>
      </c>
      <c r="P42" s="12" t="n">
        <v>-0.01696392288175758</v>
      </c>
      <c r="Q42" s="12" t="n">
        <v>-0.04687486963256748</v>
      </c>
      <c r="R42" s="12" t="n">
        <v>0</v>
      </c>
      <c r="S42" s="12" t="n">
        <v>0</v>
      </c>
      <c r="T42" s="12" t="n">
        <v>-0.02104555809437548</v>
      </c>
      <c r="U42" s="12" t="n">
        <v>-0.02127797751778374</v>
      </c>
      <c r="V42" t="inlineStr"/>
      <c r="W42" t="inlineStr">
        <is>
          <t>Transit - localbus</t>
        </is>
      </c>
      <c r="X42" s="20" t="n">
        <v>0</v>
      </c>
      <c r="Y42" s="20" t="n">
        <v>0</v>
      </c>
      <c r="Z42" s="20" t="n">
        <v>0</v>
      </c>
      <c r="AA42" s="20" t="n">
        <v>-0.01696392288175758</v>
      </c>
      <c r="AB42" s="20" t="n">
        <v>-0.04687486963256748</v>
      </c>
      <c r="AC42" s="20" t="n">
        <v>0</v>
      </c>
      <c r="AD42" s="20" t="n">
        <v>0</v>
      </c>
      <c r="AE42" s="20" t="n">
        <v>-0.02104555809437548</v>
      </c>
      <c r="AF42" s="20" t="n">
        <v>-0.02127797751778374</v>
      </c>
    </row>
    <row r="43">
      <c r="A43" t="inlineStr"/>
      <c r="B43" t="inlineStr"/>
      <c r="C43" t="inlineStr"/>
      <c r="D43" t="inlineStr"/>
      <c r="E43" t="inlineStr"/>
      <c r="F43" t="inlineStr"/>
      <c r="G43" t="inlineStr"/>
      <c r="H43" t="inlineStr"/>
      <c r="I43" t="inlineStr"/>
      <c r="J43" t="inlineStr"/>
      <c r="K43" t="inlineStr"/>
      <c r="L43" t="inlineStr">
        <is>
          <t>Transit - lightrail</t>
        </is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-0.002708903256739305</v>
      </c>
      <c r="R43" s="12" t="n">
        <v>0</v>
      </c>
      <c r="S43" s="12" t="n">
        <v>0</v>
      </c>
      <c r="T43" s="12" t="n">
        <v>0</v>
      </c>
      <c r="U43" s="12" t="n">
        <v>-0.0001676381555283485</v>
      </c>
      <c r="V43" t="inlineStr"/>
      <c r="W43" t="inlineStr">
        <is>
          <t>Transit - lightrail</t>
        </is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-0.002708903256739305</v>
      </c>
      <c r="AC43" s="20" t="n">
        <v>0</v>
      </c>
      <c r="AD43" s="20" t="n">
        <v>0</v>
      </c>
      <c r="AE43" s="20" t="n">
        <v>0</v>
      </c>
      <c r="AF43" s="20" t="n">
        <v>-0.0001676381555283485</v>
      </c>
    </row>
    <row r="44">
      <c r="A44" t="inlineStr"/>
      <c r="B44" t="inlineStr"/>
      <c r="C44" t="inlineStr"/>
      <c r="D44" t="inlineStr"/>
      <c r="E44" t="inlineStr"/>
      <c r="F44" t="inlineStr"/>
      <c r="G44" t="inlineStr"/>
      <c r="H44" t="inlineStr"/>
      <c r="I44" t="inlineStr"/>
      <c r="J44" t="inlineStr"/>
      <c r="K44" t="inlineStr"/>
      <c r="L44" t="inlineStr">
        <is>
          <t>Transit - premium bus</t>
        </is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V44" t="inlineStr"/>
      <c r="W44" t="inlineStr">
        <is>
          <t>Transit - premium bus</t>
        </is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>
      <c r="A45" t="inlineStr"/>
      <c r="B45" t="inlineStr"/>
      <c r="C45" t="inlineStr"/>
      <c r="D45" t="inlineStr"/>
      <c r="E45" t="inlineStr"/>
      <c r="F45" t="inlineStr"/>
      <c r="G45" t="inlineStr"/>
      <c r="H45" t="inlineStr"/>
      <c r="I45" t="inlineStr"/>
      <c r="J45" t="inlineStr"/>
      <c r="K45" t="inlineStr"/>
      <c r="L45" t="inlineStr">
        <is>
          <t>Transit - commuter rail</t>
        </is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V45" t="inlineStr"/>
      <c r="W45" t="inlineStr">
        <is>
          <t>Transit - commuter rail</t>
        </is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>
      <c r="A46" t="inlineStr"/>
      <c r="B46" t="inlineStr"/>
      <c r="C46" t="inlineStr"/>
      <c r="D46" t="inlineStr"/>
      <c r="E46" t="inlineStr"/>
      <c r="F46" t="inlineStr"/>
      <c r="G46" t="inlineStr"/>
      <c r="H46" t="inlineStr"/>
      <c r="I46" t="inlineStr"/>
      <c r="J46" t="inlineStr"/>
      <c r="K46" t="inlineStr"/>
      <c r="L46" t="inlineStr">
        <is>
          <t>Transit - ferry</t>
        </is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V46" t="inlineStr"/>
      <c r="W46" t="inlineStr">
        <is>
          <t>Transit - ferry</t>
        </is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>
      <c r="A47" t="inlineStr"/>
      <c r="B47" t="inlineStr"/>
      <c r="C47" t="inlineStr"/>
      <c r="D47" t="inlineStr"/>
      <c r="E47" t="inlineStr"/>
      <c r="F47" t="inlineStr"/>
      <c r="G47" t="inlineStr"/>
      <c r="H47" t="inlineStr"/>
      <c r="I47" t="inlineStr"/>
      <c r="J47" t="inlineStr"/>
      <c r="K47" t="inlineStr"/>
      <c r="L47" t="inlineStr">
        <is>
          <t>School Bus</t>
        </is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0.01391465836118577</v>
      </c>
      <c r="U47" s="12" t="n">
        <v>-0.001005751021563549</v>
      </c>
      <c r="V47" t="inlineStr"/>
      <c r="W47" s="19" t="inlineStr">
        <is>
          <t>School Bus</t>
        </is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0.01391465836118577</v>
      </c>
      <c r="AF47" s="20" t="n">
        <v>-0.001005751021563549</v>
      </c>
    </row>
    <row r="48">
      <c r="A48" t="inlineStr"/>
      <c r="B48" t="inlineStr"/>
      <c r="C48" t="inlineStr"/>
      <c r="D48" t="inlineStr"/>
      <c r="E48" t="inlineStr"/>
      <c r="F48" t="inlineStr"/>
      <c r="G48" t="inlineStr"/>
      <c r="H48" t="inlineStr"/>
      <c r="I48" t="inlineStr"/>
      <c r="J48" t="inlineStr"/>
      <c r="K48" t="inlineStr"/>
      <c r="L48" t="inlineStr">
        <is>
          <t>Bike</t>
        </is>
      </c>
      <c r="M48" s="12" t="n">
        <v>0.0002086286380648765</v>
      </c>
      <c r="N48" s="12" t="n">
        <v>-0.0004383899649374533</v>
      </c>
      <c r="O48" s="12" t="n">
        <v>3.005071411354716e-05</v>
      </c>
      <c r="P48" s="12" t="n">
        <v>-0.001096687720387283</v>
      </c>
      <c r="Q48" s="12" t="n">
        <v>0.001373281878021937</v>
      </c>
      <c r="R48" s="12" t="n">
        <v>-0.07281543725772421</v>
      </c>
      <c r="S48" s="12" t="n">
        <v>0</v>
      </c>
      <c r="T48" s="12" t="n">
        <v>-0.001562872880093272</v>
      </c>
      <c r="U48" s="12" t="n">
        <v>-0.001073070151141066</v>
      </c>
      <c r="V48" t="inlineStr"/>
      <c r="W48" s="21" t="inlineStr">
        <is>
          <t>Bike</t>
        </is>
      </c>
      <c r="X48" s="20" t="n">
        <v>0.0002086286380648765</v>
      </c>
      <c r="Y48" s="20" t="n">
        <v>-0.0004383899649374533</v>
      </c>
      <c r="Z48" s="20" t="n">
        <v>3.005071411354716e-05</v>
      </c>
      <c r="AA48" s="20" t="n">
        <v>-0.001096687720387283</v>
      </c>
      <c r="AB48" s="20" t="n">
        <v>0.001373281878021937</v>
      </c>
      <c r="AC48" s="20" t="n">
        <v>-0.07281543725772421</v>
      </c>
      <c r="AD48" s="20" t="n">
        <v>0</v>
      </c>
      <c r="AE48" s="20" t="n">
        <v>-0.001562872880093272</v>
      </c>
      <c r="AF48" s="20" t="n">
        <v>-0.001073070151141066</v>
      </c>
    </row>
    <row r="49">
      <c r="A49" t="inlineStr"/>
      <c r="B49" t="inlineStr"/>
      <c r="C49" t="inlineStr"/>
      <c r="D49" t="inlineStr"/>
      <c r="E49" t="inlineStr"/>
      <c r="F49" t="inlineStr"/>
      <c r="G49" t="inlineStr"/>
      <c r="H49" t="inlineStr"/>
      <c r="I49" t="inlineStr"/>
      <c r="J49" t="inlineStr"/>
      <c r="K49" t="inlineStr"/>
      <c r="L49" s="4" t="inlineStr">
        <is>
          <t>Walk</t>
        </is>
      </c>
      <c r="M49" s="12" t="n">
        <v>0.03431832012980283</v>
      </c>
      <c r="N49" s="12" t="n">
        <v>0.03138171379478785</v>
      </c>
      <c r="O49" s="12" t="n">
        <v>0.01073685583579991</v>
      </c>
      <c r="P49" s="12" t="n">
        <v>-0.05734404027241017</v>
      </c>
      <c r="Q49" s="12" t="n">
        <v>-0.00599160293042178</v>
      </c>
      <c r="R49" s="12" t="n">
        <v>0.07281543725772431</v>
      </c>
      <c r="S49" s="12" t="n">
        <v>0</v>
      </c>
      <c r="T49" s="12" t="n">
        <v>0.01274266050604111</v>
      </c>
      <c r="U49" s="12" t="n">
        <v>0.001977338651189264</v>
      </c>
      <c r="V49" t="inlineStr"/>
      <c r="W49" s="22" t="inlineStr">
        <is>
          <t>Walk</t>
        </is>
      </c>
      <c r="X49" s="20" t="n">
        <v>0.03431832012980283</v>
      </c>
      <c r="Y49" s="20" t="n">
        <v>0.03138171379478785</v>
      </c>
      <c r="Z49" s="20" t="n">
        <v>0.01073685583579991</v>
      </c>
      <c r="AA49" s="20" t="n">
        <v>-0.05734404027241017</v>
      </c>
      <c r="AB49" s="20" t="n">
        <v>-0.00599160293042178</v>
      </c>
      <c r="AC49" s="20" t="n">
        <v>0.07281543725772431</v>
      </c>
      <c r="AD49" s="20" t="n">
        <v>0</v>
      </c>
      <c r="AE49" s="20" t="n">
        <v>0.01274266050604111</v>
      </c>
      <c r="AF49" s="20" t="n">
        <v>0.001977338651189264</v>
      </c>
    </row>
    <row r="50" ht="15.75" customHeight="1" s="35">
      <c r="A50" t="inlineStr"/>
      <c r="B50" t="inlineStr"/>
      <c r="C50" t="inlineStr"/>
      <c r="D50" t="inlineStr"/>
      <c r="E50" t="inlineStr"/>
      <c r="F50" t="inlineStr"/>
      <c r="G50" t="inlineStr"/>
      <c r="H50" t="inlineStr"/>
      <c r="I50" t="inlineStr"/>
      <c r="J50" t="inlineStr"/>
      <c r="K50" t="inlineStr"/>
      <c r="L50" s="7" t="inlineStr">
        <is>
          <t>Total</t>
        </is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V50" t="inlineStr"/>
      <c r="W50" s="23" t="inlineStr">
        <is>
          <t>Total</t>
        </is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2011-03-29T15:31:17Z</dcterms:created>
  <dcterms:modified xmlns:dcterms="http://purl.org/dc/terms/" xmlns:xsi="http://www.w3.org/2001/XMLSchema-instance" xsi:type="dcterms:W3CDTF">2022-01-21T23:18:29Z</dcterms:modified>
  <cp:lastModifiedBy>Dong, Hu</cp:lastModifiedBy>
</cp:coreProperties>
</file>