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ist">'bkrcast_all'!$O$11:$O$14</definedName>
    <definedName localSheetId="3" name="avgdist">'bkrcast_inbkr'!$O$11:$O$14</definedName>
    <definedName localSheetId="4" name="avgdist">'bkrcast_outbkr'!$O$11:$O$14</definedName>
    <definedName localSheetId="1" name="avgdist">'soundcast'!$O$11:$O$14</definedName>
    <definedName name="avgdist">'TLFD'!$W$11:$W$14</definedName>
    <definedName localSheetId="2" name="out1">'bkrcast_all'!$B$11:$D$101</definedName>
    <definedName localSheetId="3" name="out1">'bkrcast_inbkr'!$B$11:$D$101</definedName>
    <definedName localSheetId="4" name="out1">'bkrcast_outbkr'!$B$11:$D$101</definedName>
    <definedName localSheetId="1" name="out1">'soundcast'!$B$11:$D$101</definedName>
    <definedName name="out1">'TLFD'!$B$11:$D$101</definedName>
    <definedName localSheetId="2" name="out2">'bkrcast_all'!$H$11:$J$101</definedName>
    <definedName localSheetId="3" name="out2">'bkrcast_inbkr'!$H$11:$J$101</definedName>
    <definedName localSheetId="4" name="out2">'bkrcast_outbkr'!$H$11:$J$101</definedName>
    <definedName localSheetId="1" name="out2">'soundcast'!$H$11:$J$101</definedName>
    <definedName name="out2">'TLFD'!$H$11:$J$101</definedName>
    <definedName localSheetId="2" name="out5">'bkrcast_all'!$N$11:$N$14</definedName>
    <definedName localSheetId="3" name="out5">'bkrcast_inbkr'!$N$11:$N$14</definedName>
    <definedName localSheetId="4" name="out5">'bkrcast_outbkr'!$N$11:$N$14</definedName>
    <definedName localSheetId="1" name="out5">'soundcast'!$N$11:$N$14</definedName>
    <definedName name="out5">'TLFD'!$V$11:$V$14</definedName>
    <definedName localSheetId="2" name="out6">'bkrcast_all'!$O$11:$O$14</definedName>
    <definedName localSheetId="3" name="out6">'bkrcast_inbkr'!$O$11:$O$14</definedName>
    <definedName localSheetId="4" name="out6">'bkrcast_outbkr'!$O$11:$O$14</definedName>
    <definedName localSheetId="1" name="out6">'soundcast'!$O$11:$O$14</definedName>
    <definedName name="out6">'TLFD'!$W$11:$W$14</definedName>
    <definedName localSheetId="2" name="Wrk_dist">'bkrcast_all'!$H$11:$J$101</definedName>
    <definedName localSheetId="3" name="Wrk_dist">'bkrcast_inbkr'!$H$11:$J$101</definedName>
    <definedName localSheetId="4" name="Wrk_dist">'bkrcast_outbkr'!$H$11:$J$101</definedName>
    <definedName localSheetId="1" name="Wrk_dist">'soundcast'!$H$11:$J$101</definedName>
    <definedName name="Wrk_dist">'TLFD'!$H$11:$J$101</definedName>
  </definedNames>
  <calcPr calcId="124519" fullCalcOnLoad="1"/>
</workbook>
</file>

<file path=xl/sharedStrings.xml><?xml version="1.0" encoding="utf-8"?>
<sst xmlns="http://schemas.openxmlformats.org/spreadsheetml/2006/main" uniqueCount="24">
  <si>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</si>
  <si>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</si>
  <si>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</si>
  <si>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</si>
  <si>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</si>
  <si>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</si>
  <si>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</si>
  <si>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</si>
  <si>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Distance (miles)</t>
  </si>
  <si>
    <t>Distance (mi)</t>
  </si>
  <si>
    <t>FT</t>
  </si>
  <si>
    <t>PT</t>
  </si>
  <si>
    <t>NotFTPT</t>
  </si>
  <si>
    <t>Survey</t>
  </si>
  <si>
    <t>BKRCast (all)</t>
  </si>
  <si>
    <t>BKRCast (in BKR)</t>
  </si>
  <si>
    <t>BKRCast (out BKR)</t>
  </si>
  <si>
    <t>SoundCast</t>
  </si>
  <si>
    <t>Other Workers</t>
  </si>
  <si>
    <t>Total</t>
  </si>
  <si>
    <t>out-of-region</t>
  </si>
  <si>
    <t>Table X. Average Trip Length (miles)</t>
  </si>
  <si>
    <t>BKRCast (LODES)</t>
  </si>
  <si>
    <t>DaySim</t>
  </si>
</sst>
</file>

<file path=xl/styles.xml><?xml version="1.0" encoding="utf-8"?>
<styleSheet xmlns="http://schemas.openxmlformats.org/spreadsheetml/2006/main">
  <numFmts count="3">
    <numFmt formatCode="0.0%" numFmtId="164"/>
    <numFmt formatCode="_(* #,##0_);_(* \(#,##0\);_(* &quot;-&quot;??_);_(@_)" numFmtId="165"/>
    <numFmt formatCode="0.0" numFmtId="166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</cellStyleXfs>
  <cellXfs count="42">
    <xf borderId="0" fillId="0" fontId="0" numFmtId="0" pivotButton="0" quotePrefix="0" xfId="0"/>
    <xf borderId="1" fillId="0" fontId="0" numFmtId="0" pivotButton="0" quotePrefix="0" xfId="7"/>
    <xf borderId="2" fillId="0" fontId="0" numFmtId="0" pivotButton="0" quotePrefix="0" xfId="7"/>
    <xf borderId="1" fillId="0" fontId="1" numFmtId="0" pivotButton="0" quotePrefix="0" xfId="7"/>
    <xf applyAlignment="1" borderId="2" fillId="0" fontId="0" numFmtId="0" pivotButton="0" quotePrefix="0" xfId="7">
      <alignment horizontal="center" vertical="top"/>
    </xf>
    <xf borderId="0" fillId="0" fontId="0" numFmtId="0" pivotButton="0" quotePrefix="0" xfId="7"/>
    <xf borderId="0" fillId="0" fontId="0" numFmtId="2" pivotButton="0" quotePrefix="0" xfId="7"/>
    <xf borderId="1" fillId="0" fontId="0" numFmtId="2" pivotButton="0" quotePrefix="0" xfId="7"/>
    <xf borderId="2" fillId="2" fontId="0" numFmtId="0" pivotButton="0" quotePrefix="0" xfId="7"/>
    <xf borderId="0" fillId="2" fontId="0" numFmtId="0" pivotButton="0" quotePrefix="0" xfId="7"/>
    <xf borderId="3" fillId="2" fontId="0" numFmtId="0" pivotButton="0" quotePrefix="0" xfId="7"/>
    <xf borderId="0" fillId="2" fontId="1" numFmtId="0" pivotButton="0" quotePrefix="0" xfId="7"/>
    <xf applyAlignment="1" borderId="2" fillId="2" fontId="0" numFmtId="0" pivotButton="0" quotePrefix="0" xfId="7">
      <alignment horizontal="center" vertical="top"/>
    </xf>
    <xf borderId="0" fillId="0" fontId="0" numFmtId="165" pivotButton="0" quotePrefix="0" xfId="3"/>
    <xf borderId="1" fillId="0" fontId="0" numFmtId="165" pivotButton="0" quotePrefix="0" xfId="3"/>
    <xf borderId="0" fillId="0" fontId="2" numFmtId="165" pivotButton="0" quotePrefix="0" xfId="3"/>
    <xf borderId="1" fillId="0" fontId="2" numFmtId="165" pivotButton="0" quotePrefix="0" xfId="3"/>
    <xf borderId="0" fillId="0" fontId="0" numFmtId="165" pivotButton="0" quotePrefix="0" xfId="7"/>
    <xf borderId="0" fillId="0" fontId="0" numFmtId="164" pivotButton="0" quotePrefix="0" xfId="4"/>
    <xf borderId="0" fillId="0" fontId="0" numFmtId="0" pivotButton="0" quotePrefix="0" xfId="5"/>
    <xf borderId="1" fillId="0" fontId="1" numFmtId="0" pivotButton="0" quotePrefix="0" xfId="5"/>
    <xf borderId="1" fillId="0" fontId="0" numFmtId="0" pivotButton="0" quotePrefix="0" xfId="5"/>
    <xf borderId="0" fillId="2" fontId="1" numFmtId="0" pivotButton="0" quotePrefix="0" xfId="5"/>
    <xf borderId="0" fillId="2" fontId="0" numFmtId="0" pivotButton="0" quotePrefix="0" xfId="5"/>
    <xf borderId="2" fillId="0" fontId="0" numFmtId="0" pivotButton="0" quotePrefix="0" xfId="5"/>
    <xf applyAlignment="1" borderId="2" fillId="0" fontId="0" numFmtId="0" pivotButton="0" quotePrefix="0" xfId="5">
      <alignment horizontal="center" vertical="top"/>
    </xf>
    <xf applyAlignment="1" borderId="2" fillId="2" fontId="0" numFmtId="0" pivotButton="0" quotePrefix="0" xfId="5">
      <alignment horizontal="center" vertical="top"/>
    </xf>
    <xf borderId="2" fillId="2" fontId="0" numFmtId="0" pivotButton="0" quotePrefix="0" xfId="5"/>
    <xf borderId="0" fillId="0" fontId="0" numFmtId="165" pivotButton="0" quotePrefix="0" xfId="6"/>
    <xf borderId="0" fillId="0" fontId="2" numFmtId="165" pivotButton="0" quotePrefix="0" xfId="6"/>
    <xf borderId="0" fillId="2" fontId="0" numFmtId="166" pivotButton="0" quotePrefix="0" xfId="5"/>
    <xf borderId="3" fillId="2" fontId="0" numFmtId="0" pivotButton="0" quotePrefix="0" xfId="5"/>
    <xf borderId="3" fillId="2" fontId="0" numFmtId="166" pivotButton="0" quotePrefix="0" xfId="5"/>
    <xf borderId="1" fillId="2" fontId="0" numFmtId="0" pivotButton="0" quotePrefix="0" xfId="5"/>
    <xf borderId="1" fillId="2" fontId="0" numFmtId="166" pivotButton="0" quotePrefix="0" xfId="5"/>
    <xf borderId="0" fillId="0" fontId="0" numFmtId="2" pivotButton="0" quotePrefix="0" xfId="5"/>
    <xf borderId="1" fillId="0" fontId="0" numFmtId="165" pivotButton="0" quotePrefix="0" xfId="6"/>
    <xf borderId="1" fillId="0" fontId="0" numFmtId="2" pivotButton="0" quotePrefix="0" xfId="5"/>
    <xf borderId="1" fillId="0" fontId="2" numFmtId="165" pivotButton="0" quotePrefix="0" xfId="6"/>
    <xf borderId="0" fillId="0" fontId="0" numFmtId="165" pivotButton="0" quotePrefix="0" xfId="5"/>
    <xf borderId="1" fillId="2" fontId="1" numFmtId="0" pivotButton="0" quotePrefix="0" xfId="7"/>
    <xf borderId="1" fillId="2" fontId="1" numFmtId="166" pivotButton="0" quotePrefix="0" xfId="5"/>
  </cellXfs>
  <cellStyles count="10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Workers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102"/>
  <sheetViews>
    <sheetView tabSelected="1" topLeftCell="I1" workbookViewId="0">
      <selection activeCell="W4" sqref="W4"/>
    </sheetView>
  </sheetViews>
  <sheetFormatPr baseColWidth="10" defaultRowHeight="15" outlineLevelCol="0"/>
  <cols>
    <col collapsed="1" customWidth="1" max="1" min="1" style="5" width="13.5703125"/>
    <col bestFit="1" collapsed="1" customWidth="1" max="3" min="2" style="5" width="10.5703125"/>
    <col bestFit="1" collapsed="1" customWidth="1" max="4" min="4" style="5" width="9.5703125"/>
    <col bestFit="1" collapsed="1" customWidth="1" max="5" min="5" style="5" width="10.5703125"/>
    <col bestFit="1" collapsed="1" customWidth="1" max="8" min="8" style="5" width="10.5703125"/>
    <col bestFit="1" collapsed="1" customWidth="1" max="10" min="9" style="5" width="9.5703125"/>
    <col collapsed="1" customWidth="1" max="11" min="11" style="19" width="11.5703125"/>
    <col customWidth="1" max="14" min="12" style="19" width="11.5703125"/>
    <col customWidth="1" max="19" min="15" style="5" width="11.5703125"/>
    <col customWidth="1" max="21" min="21" style="19" width="15.140625"/>
    <col bestFit="1" collapsed="1" customWidth="1" max="23" min="23" style="5" width="12.140625"/>
    <col bestFit="1" customWidth="1" max="24" min="24" style="5" width="15.7109375"/>
    <col bestFit="1" customWidth="1" max="25" min="25" style="5" width="17"/>
    <col bestFit="1" customWidth="1" max="26" min="26" style="5" width="10.28515625"/>
  </cols>
  <sheetData>
    <row r="1" spans="1:31">
      <c r="A1" t="s">
        <v>0</v>
      </c>
    </row>
    <row r="2" spans="1:31">
      <c r="A2" t="s">
        <v>1</v>
      </c>
    </row>
    <row r="3" spans="1:31">
      <c r="A3" t="s">
        <v>2</v>
      </c>
    </row>
    <row r="4" spans="1:31">
      <c r="A4" t="s">
        <v>3</v>
      </c>
    </row>
    <row r="5" spans="1:31">
      <c r="A5" t="s">
        <v>4</v>
      </c>
    </row>
    <row r="7" spans="1:31">
      <c r="A7" t="s">
        <v>5</v>
      </c>
    </row>
    <row customHeight="1" ht="15.75" r="9" spans="1:31">
      <c r="A9" s="3" t="s">
        <v>6</v>
      </c>
      <c r="B9" s="1" t="n"/>
      <c r="C9" s="1" t="n"/>
      <c r="D9" s="1" t="n"/>
      <c r="E9" s="1" t="n"/>
      <c r="G9" s="3" t="s">
        <v>7</v>
      </c>
      <c r="H9" s="1" t="n"/>
      <c r="I9" s="1" t="n"/>
      <c r="J9" s="1" t="n"/>
      <c r="K9" s="21" t="n"/>
      <c r="U9" s="11" t="s">
        <v>8</v>
      </c>
      <c r="V9" s="9" t="n"/>
      <c r="W9" s="9" t="n"/>
      <c r="X9" s="9" t="n"/>
      <c r="Y9" s="9" t="n"/>
      <c r="Z9" s="9" t="n"/>
    </row>
    <row r="10" spans="1:31">
      <c r="A10" s="2" t="s">
        <v>9</v>
      </c>
      <c r="B10" s="4" t="s">
        <v>10</v>
      </c>
      <c r="C10" s="4" t="s">
        <v>11</v>
      </c>
      <c r="D10" s="4" t="s">
        <v>12</v>
      </c>
      <c r="E10" s="4" t="s">
        <v>13</v>
      </c>
      <c r="G10" s="2" t="s">
        <v>9</v>
      </c>
      <c r="H10" s="4" t="s">
        <v>10</v>
      </c>
      <c r="I10" s="4" t="s">
        <v>11</v>
      </c>
      <c r="J10" s="4" t="s">
        <v>12</v>
      </c>
      <c r="K10" s="26" t="s">
        <v>14</v>
      </c>
      <c r="L10" s="26" t="s">
        <v>15</v>
      </c>
      <c r="M10" s="26" t="s">
        <v>16</v>
      </c>
      <c r="N10" s="26" t="s">
        <v>17</v>
      </c>
      <c r="O10" s="12" t="s">
        <v>14</v>
      </c>
      <c r="P10" s="12" t="s">
        <v>15</v>
      </c>
      <c r="Q10" s="12" t="s">
        <v>16</v>
      </c>
      <c r="R10" s="12" t="s">
        <v>17</v>
      </c>
      <c r="S10" s="12" t="s">
        <v>13</v>
      </c>
      <c r="U10" s="8" t="n"/>
      <c r="V10" s="12" t="s">
        <v>13</v>
      </c>
      <c r="W10" s="12" t="s">
        <v>14</v>
      </c>
      <c r="X10" s="12" t="s">
        <v>15</v>
      </c>
      <c r="Y10" s="12" t="s">
        <v>16</v>
      </c>
      <c r="Z10" s="12" t="s">
        <v>17</v>
      </c>
    </row>
    <row r="11" spans="1:31">
      <c r="A11" t="n">
        <v>0</v>
      </c>
      <c r="B11" s="13">
        <f>bkrcast_all!B11</f>
        <v/>
      </c>
      <c r="C11" s="13">
        <f>bkrcast_all!C11</f>
        <v/>
      </c>
      <c r="D11" s="13">
        <f>bkrcast_all!D11</f>
        <v/>
      </c>
      <c r="E11" s="13">
        <f>SUM(B11:D11)</f>
        <v/>
      </c>
      <c r="G11" t="n">
        <v>0</v>
      </c>
      <c r="H11" s="15" t="n">
        <v>82831.85612738338</v>
      </c>
      <c r="I11" s="15" t="n">
        <v>39693.47285475121</v>
      </c>
      <c r="J11" s="15" t="n">
        <v>12070.13507643049</v>
      </c>
      <c r="K11" s="28">
        <f>bkrcast_all!K11</f>
        <v/>
      </c>
      <c r="L11" s="28">
        <f>bkrcast_inbkr!K11</f>
        <v/>
      </c>
      <c r="M11" s="28">
        <f>bkrcast_outbkr!K11</f>
        <v/>
      </c>
      <c r="N11" s="28">
        <f>soundcast!K11</f>
        <v/>
      </c>
      <c r="O11" s="18">
        <f>K11/K$102</f>
        <v/>
      </c>
      <c r="P11" s="18">
        <f>L11/L$102</f>
        <v/>
      </c>
      <c r="Q11" s="18">
        <f>M11/M$102</f>
        <v/>
      </c>
      <c r="R11" s="18">
        <f>N11/N$102</f>
        <v/>
      </c>
      <c r="S11" s="18">
        <f>E11/E$102</f>
        <v/>
      </c>
      <c r="U11" s="9" t="s">
        <v>10</v>
      </c>
      <c r="V11" s="30">
        <f>bkrcast_all!N11</f>
        <v/>
      </c>
      <c r="W11" s="30">
        <f>bkrcast_all!O11</f>
        <v/>
      </c>
      <c r="X11" s="30">
        <f>bkrcast_inbkr!O11</f>
        <v/>
      </c>
      <c r="Y11" s="30">
        <f>bkrcast_outbkr!O11</f>
        <v/>
      </c>
      <c r="Z11" s="30">
        <f>soundcast!O11</f>
        <v/>
      </c>
    </row>
    <row r="12" spans="1:31">
      <c r="A12" t="n">
        <v>1</v>
      </c>
      <c r="B12" s="13">
        <f>bkrcast_all!B12</f>
        <v/>
      </c>
      <c r="C12" s="13">
        <f>bkrcast_all!C12</f>
        <v/>
      </c>
      <c r="D12" s="13">
        <f>bkrcast_all!D12</f>
        <v/>
      </c>
      <c r="E12" s="13">
        <f>SUM(B12:D12)</f>
        <v/>
      </c>
      <c r="G12" t="n">
        <v>1</v>
      </c>
      <c r="H12" s="15" t="n">
        <v>43900.32560057178</v>
      </c>
      <c r="I12" s="15" t="n">
        <v>22309.90070398529</v>
      </c>
      <c r="J12" s="15" t="n">
        <v>6995.972882350771</v>
      </c>
      <c r="K12" s="28">
        <f>bkrcast_all!K12</f>
        <v/>
      </c>
      <c r="L12" s="28">
        <f>bkrcast_inbkr!K12</f>
        <v/>
      </c>
      <c r="M12" s="28">
        <f>bkrcast_outbkr!K12</f>
        <v/>
      </c>
      <c r="N12" s="28">
        <f>soundcast!K12</f>
        <v/>
      </c>
      <c r="O12" s="18">
        <f>K12/K$102</f>
        <v/>
      </c>
      <c r="P12" s="18">
        <f>L12/L$102</f>
        <v/>
      </c>
      <c r="Q12" s="18">
        <f>M12/M$102</f>
        <v/>
      </c>
      <c r="R12" s="18">
        <f>N12/N$102</f>
        <v/>
      </c>
      <c r="S12" s="18">
        <f>E12/E$102</f>
        <v/>
      </c>
      <c r="U12" s="9" t="s">
        <v>11</v>
      </c>
      <c r="V12" s="30">
        <f>bkrcast_all!N12</f>
        <v/>
      </c>
      <c r="W12" s="30">
        <f>bkrcast_all!O12</f>
        <v/>
      </c>
      <c r="X12" s="30">
        <f>bkrcast_inbkr!O12</f>
        <v/>
      </c>
      <c r="Y12" s="30">
        <f>bkrcast_outbkr!O12</f>
        <v/>
      </c>
      <c r="Z12" s="30">
        <f>soundcast!O12</f>
        <v/>
      </c>
    </row>
    <row r="13" spans="1:31">
      <c r="A13" t="n">
        <v>2</v>
      </c>
      <c r="B13" s="13">
        <f>bkrcast_all!B13</f>
        <v/>
      </c>
      <c r="C13" s="13">
        <f>bkrcast_all!C13</f>
        <v/>
      </c>
      <c r="D13" s="13">
        <f>bkrcast_all!D13</f>
        <v/>
      </c>
      <c r="E13" s="13">
        <f>SUM(B13:D13)</f>
        <v/>
      </c>
      <c r="G13" t="n">
        <v>2</v>
      </c>
      <c r="H13" s="15" t="n">
        <v>30458.02681806342</v>
      </c>
      <c r="I13" s="15" t="n">
        <v>12057.3929953418</v>
      </c>
      <c r="J13" s="15" t="n">
        <v>3323.802938050898</v>
      </c>
      <c r="K13" s="28">
        <f>bkrcast_all!K13</f>
        <v/>
      </c>
      <c r="L13" s="28">
        <f>bkrcast_inbkr!K13</f>
        <v/>
      </c>
      <c r="M13" s="28">
        <f>bkrcast_outbkr!K13</f>
        <v/>
      </c>
      <c r="N13" s="28">
        <f>soundcast!K13</f>
        <v/>
      </c>
      <c r="O13" s="18">
        <f>K13/K$102</f>
        <v/>
      </c>
      <c r="P13" s="18">
        <f>L13/L$102</f>
        <v/>
      </c>
      <c r="Q13" s="18">
        <f>M13/M$102</f>
        <v/>
      </c>
      <c r="R13" s="18">
        <f>N13/N$102</f>
        <v/>
      </c>
      <c r="S13" s="18">
        <f>E13/E$102</f>
        <v/>
      </c>
      <c r="U13" s="10" t="s">
        <v>18</v>
      </c>
      <c r="V13" s="32">
        <f>bkrcast_all!N13</f>
        <v/>
      </c>
      <c r="W13" s="32">
        <f>bkrcast_all!O13</f>
        <v/>
      </c>
      <c r="X13" s="32">
        <f>bkrcast_inbkr!O13</f>
        <v/>
      </c>
      <c r="Y13" s="32">
        <f>bkrcast_outbkr!O13</f>
        <v/>
      </c>
      <c r="Z13" s="32">
        <f>soundcast!O13</f>
        <v/>
      </c>
    </row>
    <row customHeight="1" ht="15.75" r="14" spans="1:31">
      <c r="A14" t="n">
        <v>3</v>
      </c>
      <c r="B14" s="13">
        <f>bkrcast_all!B14</f>
        <v/>
      </c>
      <c r="C14" s="13">
        <f>bkrcast_all!C14</f>
        <v/>
      </c>
      <c r="D14" s="13">
        <f>bkrcast_all!D14</f>
        <v/>
      </c>
      <c r="E14" s="13">
        <f>SUM(B14:D14)</f>
        <v/>
      </c>
      <c r="G14" t="n">
        <v>3</v>
      </c>
      <c r="H14" s="15" t="n">
        <v>25112.15570369229</v>
      </c>
      <c r="I14" s="15" t="n">
        <v>8393.212034674854</v>
      </c>
      <c r="J14" s="15" t="n">
        <v>2511.736055575281</v>
      </c>
      <c r="K14" s="28">
        <f>bkrcast_all!K14</f>
        <v/>
      </c>
      <c r="L14" s="28">
        <f>bkrcast_inbkr!K14</f>
        <v/>
      </c>
      <c r="M14" s="28">
        <f>bkrcast_outbkr!K14</f>
        <v/>
      </c>
      <c r="N14" s="28">
        <f>soundcast!K14</f>
        <v/>
      </c>
      <c r="O14" s="18">
        <f>K14/K$102</f>
        <v/>
      </c>
      <c r="P14" s="18">
        <f>L14/L$102</f>
        <v/>
      </c>
      <c r="Q14" s="18">
        <f>M14/M$102</f>
        <v/>
      </c>
      <c r="R14" s="18">
        <f>N14/N$102</f>
        <v/>
      </c>
      <c r="S14" s="18">
        <f>E14/E$102</f>
        <v/>
      </c>
      <c r="U14" s="40" t="s">
        <v>19</v>
      </c>
      <c r="V14" s="41">
        <f>bkrcast_all!N14</f>
        <v/>
      </c>
      <c r="W14" s="41">
        <f>bkrcast_all!O14</f>
        <v/>
      </c>
      <c r="X14" s="41">
        <f>bkrcast_inbkr!O14</f>
        <v/>
      </c>
      <c r="Y14" s="41">
        <f>bkrcast_outbkr!O14</f>
        <v/>
      </c>
      <c r="Z14" s="41">
        <f>soundcast!O14</f>
        <v/>
      </c>
    </row>
    <row r="15" spans="1:31">
      <c r="A15" t="n">
        <v>4</v>
      </c>
      <c r="B15" s="13">
        <f>bkrcast_all!B15</f>
        <v/>
      </c>
      <c r="C15" s="13">
        <f>bkrcast_all!C15</f>
        <v/>
      </c>
      <c r="D15" s="13">
        <f>bkrcast_all!D15</f>
        <v/>
      </c>
      <c r="E15" s="13">
        <f>SUM(B15:D15)</f>
        <v/>
      </c>
      <c r="G15" t="n">
        <v>4</v>
      </c>
      <c r="H15" s="15" t="n">
        <v>77994.4586728889</v>
      </c>
      <c r="I15" s="15" t="n">
        <v>30064.09562037855</v>
      </c>
      <c r="J15" s="15" t="n">
        <v>8390.412579802469</v>
      </c>
      <c r="K15" s="28">
        <f>bkrcast_all!K15</f>
        <v/>
      </c>
      <c r="L15" s="28">
        <f>bkrcast_inbkr!K15</f>
        <v/>
      </c>
      <c r="M15" s="28">
        <f>bkrcast_outbkr!K15</f>
        <v/>
      </c>
      <c r="N15" s="28">
        <f>soundcast!K15</f>
        <v/>
      </c>
      <c r="O15" s="18">
        <f>K15/K$102</f>
        <v/>
      </c>
      <c r="P15" s="18">
        <f>L15/L$102</f>
        <v/>
      </c>
      <c r="Q15" s="18">
        <f>M15/M$102</f>
        <v/>
      </c>
      <c r="R15" s="18">
        <f>N15/N$102</f>
        <v/>
      </c>
      <c r="S15" s="18">
        <f>E15/E$102</f>
        <v/>
      </c>
      <c r="AE15" s="6" t="n"/>
    </row>
    <row r="16" spans="1:31">
      <c r="A16" t="n">
        <v>5</v>
      </c>
      <c r="B16" s="13">
        <f>bkrcast_all!B16</f>
        <v/>
      </c>
      <c r="C16" s="13">
        <f>bkrcast_all!C16</f>
        <v/>
      </c>
      <c r="D16" s="13">
        <f>bkrcast_all!D16</f>
        <v/>
      </c>
      <c r="E16" s="13">
        <f>SUM(B16:D16)</f>
        <v/>
      </c>
      <c r="G16" t="n">
        <v>5</v>
      </c>
      <c r="H16" s="15" t="n">
        <v>87443.72381498356</v>
      </c>
      <c r="I16" s="15" t="n">
        <v>23690.31921491839</v>
      </c>
      <c r="J16" s="15" t="n">
        <v>7030.318094366287</v>
      </c>
      <c r="K16" s="28">
        <f>bkrcast_all!K16</f>
        <v/>
      </c>
      <c r="L16" s="28">
        <f>bkrcast_inbkr!K16</f>
        <v/>
      </c>
      <c r="M16" s="28">
        <f>bkrcast_outbkr!K16</f>
        <v/>
      </c>
      <c r="N16" s="28">
        <f>soundcast!K16</f>
        <v/>
      </c>
      <c r="O16" s="18">
        <f>K16/K$102</f>
        <v/>
      </c>
      <c r="P16" s="18">
        <f>L16/L$102</f>
        <v/>
      </c>
      <c r="Q16" s="18">
        <f>M16/M$102</f>
        <v/>
      </c>
      <c r="R16" s="18">
        <f>N16/N$102</f>
        <v/>
      </c>
      <c r="S16" s="18">
        <f>E16/E$102</f>
        <v/>
      </c>
      <c r="AE16" s="6" t="n"/>
    </row>
    <row r="17" spans="1:31">
      <c r="A17" t="n">
        <v>6</v>
      </c>
      <c r="B17" s="13">
        <f>bkrcast_all!B17</f>
        <v/>
      </c>
      <c r="C17" s="13">
        <f>bkrcast_all!C17</f>
        <v/>
      </c>
      <c r="D17" s="13">
        <f>bkrcast_all!D17</f>
        <v/>
      </c>
      <c r="E17" s="13">
        <f>SUM(B17:D17)</f>
        <v/>
      </c>
      <c r="G17" t="n">
        <v>6</v>
      </c>
      <c r="H17" s="15" t="n">
        <v>76629.58439109348</v>
      </c>
      <c r="I17" s="15" t="n">
        <v>21610.72051460869</v>
      </c>
      <c r="J17" s="15" t="n">
        <v>6705.268331819901</v>
      </c>
      <c r="K17" s="28">
        <f>bkrcast_all!K17</f>
        <v/>
      </c>
      <c r="L17" s="28">
        <f>bkrcast_inbkr!K17</f>
        <v/>
      </c>
      <c r="M17" s="28">
        <f>bkrcast_outbkr!K17</f>
        <v/>
      </c>
      <c r="N17" s="28">
        <f>soundcast!K17</f>
        <v/>
      </c>
      <c r="O17" s="18">
        <f>K17/K$102</f>
        <v/>
      </c>
      <c r="P17" s="18">
        <f>L17/L$102</f>
        <v/>
      </c>
      <c r="Q17" s="18">
        <f>M17/M$102</f>
        <v/>
      </c>
      <c r="R17" s="18">
        <f>N17/N$102</f>
        <v/>
      </c>
      <c r="S17" s="18">
        <f>E17/E$102</f>
        <v/>
      </c>
      <c r="AE17" s="6" t="n"/>
    </row>
    <row r="18" spans="1:31">
      <c r="A18" t="n">
        <v>7</v>
      </c>
      <c r="B18" s="13">
        <f>bkrcast_all!B18</f>
        <v/>
      </c>
      <c r="C18" s="13">
        <f>bkrcast_all!C18</f>
        <v/>
      </c>
      <c r="D18" s="13">
        <f>bkrcast_all!D18</f>
        <v/>
      </c>
      <c r="E18" s="13">
        <f>SUM(B18:D18)</f>
        <v/>
      </c>
      <c r="G18" t="n">
        <v>7</v>
      </c>
      <c r="H18" s="15" t="n">
        <v>53234.74799870279</v>
      </c>
      <c r="I18" s="15" t="n">
        <v>13125.12862668963</v>
      </c>
      <c r="J18" s="15" t="n">
        <v>4294.548778407708</v>
      </c>
      <c r="K18" s="28">
        <f>bkrcast_all!K18</f>
        <v/>
      </c>
      <c r="L18" s="28">
        <f>bkrcast_inbkr!K18</f>
        <v/>
      </c>
      <c r="M18" s="28">
        <f>bkrcast_outbkr!K18</f>
        <v/>
      </c>
      <c r="N18" s="28">
        <f>soundcast!K18</f>
        <v/>
      </c>
      <c r="O18" s="18">
        <f>K18/K$102</f>
        <v/>
      </c>
      <c r="P18" s="18">
        <f>L18/L$102</f>
        <v/>
      </c>
      <c r="Q18" s="18">
        <f>M18/M$102</f>
        <v/>
      </c>
      <c r="R18" s="18">
        <f>N18/N$102</f>
        <v/>
      </c>
      <c r="S18" s="18">
        <f>E18/E$102</f>
        <v/>
      </c>
      <c r="AE18" s="6" t="n"/>
    </row>
    <row r="19" spans="1:31">
      <c r="A19" t="n">
        <v>8</v>
      </c>
      <c r="B19" s="13">
        <f>bkrcast_all!B19</f>
        <v/>
      </c>
      <c r="C19" s="13">
        <f>bkrcast_all!C19</f>
        <v/>
      </c>
      <c r="D19" s="13">
        <f>bkrcast_all!D19</f>
        <v/>
      </c>
      <c r="E19" s="13">
        <f>SUM(B19:D19)</f>
        <v/>
      </c>
      <c r="G19" t="n">
        <v>8</v>
      </c>
      <c r="H19" s="15" t="n">
        <v>88569.63945672319</v>
      </c>
      <c r="I19" s="15" t="n">
        <v>22578.86987199056</v>
      </c>
      <c r="J19" s="15" t="n">
        <v>6149.379998775411</v>
      </c>
      <c r="K19" s="28">
        <f>bkrcast_all!K19</f>
        <v/>
      </c>
      <c r="L19" s="28">
        <f>bkrcast_inbkr!K19</f>
        <v/>
      </c>
      <c r="M19" s="28">
        <f>bkrcast_outbkr!K19</f>
        <v/>
      </c>
      <c r="N19" s="28">
        <f>soundcast!K19</f>
        <v/>
      </c>
      <c r="O19" s="18">
        <f>K19/K$102</f>
        <v/>
      </c>
      <c r="P19" s="18">
        <f>L19/L$102</f>
        <v/>
      </c>
      <c r="Q19" s="18">
        <f>M19/M$102</f>
        <v/>
      </c>
      <c r="R19" s="18">
        <f>N19/N$102</f>
        <v/>
      </c>
      <c r="S19" s="18">
        <f>E19/E$102</f>
        <v/>
      </c>
      <c r="AE19" s="6" t="n"/>
    </row>
    <row r="20" spans="1:31">
      <c r="A20" t="n">
        <v>9</v>
      </c>
      <c r="B20" s="13">
        <f>bkrcast_all!B20</f>
        <v/>
      </c>
      <c r="C20" s="13">
        <f>bkrcast_all!C20</f>
        <v/>
      </c>
      <c r="D20" s="13">
        <f>bkrcast_all!D20</f>
        <v/>
      </c>
      <c r="E20" s="13">
        <f>SUM(B20:D20)</f>
        <v/>
      </c>
      <c r="G20" t="n">
        <v>9</v>
      </c>
      <c r="H20" s="15" t="n">
        <v>58999.98486136671</v>
      </c>
      <c r="I20" s="15" t="n">
        <v>13319.37166063745</v>
      </c>
      <c r="J20" s="15" t="n">
        <v>3979.206470052055</v>
      </c>
      <c r="K20" s="28">
        <f>bkrcast_all!K20</f>
        <v/>
      </c>
      <c r="L20" s="28">
        <f>bkrcast_inbkr!K20</f>
        <v/>
      </c>
      <c r="M20" s="28">
        <f>bkrcast_outbkr!K20</f>
        <v/>
      </c>
      <c r="N20" s="28">
        <f>soundcast!K20</f>
        <v/>
      </c>
      <c r="O20" s="18">
        <f>K20/K$102</f>
        <v/>
      </c>
      <c r="P20" s="18">
        <f>L20/L$102</f>
        <v/>
      </c>
      <c r="Q20" s="18">
        <f>M20/M$102</f>
        <v/>
      </c>
      <c r="R20" s="18">
        <f>N20/N$102</f>
        <v/>
      </c>
      <c r="S20" s="18">
        <f>E20/E$102</f>
        <v/>
      </c>
      <c r="AE20" s="6" t="n"/>
    </row>
    <row r="21" spans="1:31">
      <c r="A21" t="n">
        <v>10</v>
      </c>
      <c r="B21" s="13">
        <f>bkrcast_all!B21</f>
        <v/>
      </c>
      <c r="C21" s="13">
        <f>bkrcast_all!C21</f>
        <v/>
      </c>
      <c r="D21" s="13">
        <f>bkrcast_all!D21</f>
        <v/>
      </c>
      <c r="E21" s="13">
        <f>SUM(B21:D21)</f>
        <v/>
      </c>
      <c r="G21" t="n">
        <v>10</v>
      </c>
      <c r="H21" s="15" t="n">
        <v>43329.70752897074</v>
      </c>
      <c r="I21" s="15" t="n">
        <v>9820.66887817257</v>
      </c>
      <c r="J21" s="15" t="n">
        <v>2759.339842383411</v>
      </c>
      <c r="K21" s="28">
        <f>bkrcast_all!K21</f>
        <v/>
      </c>
      <c r="L21" s="28">
        <f>bkrcast_inbkr!K21</f>
        <v/>
      </c>
      <c r="M21" s="28">
        <f>bkrcast_outbkr!K21</f>
        <v/>
      </c>
      <c r="N21" s="28">
        <f>soundcast!K21</f>
        <v/>
      </c>
      <c r="O21" s="18">
        <f>K21/K$102</f>
        <v/>
      </c>
      <c r="P21" s="18">
        <f>L21/L$102</f>
        <v/>
      </c>
      <c r="Q21" s="18">
        <f>M21/M$102</f>
        <v/>
      </c>
      <c r="R21" s="18">
        <f>N21/N$102</f>
        <v/>
      </c>
      <c r="S21" s="18">
        <f>E21/E$102</f>
        <v/>
      </c>
      <c r="AE21" s="6" t="n"/>
    </row>
    <row r="22" spans="1:31">
      <c r="A22" t="n">
        <v>11</v>
      </c>
      <c r="B22" s="13">
        <f>bkrcast_all!B22</f>
        <v/>
      </c>
      <c r="C22" s="13">
        <f>bkrcast_all!C22</f>
        <v/>
      </c>
      <c r="D22" s="13">
        <f>bkrcast_all!D22</f>
        <v/>
      </c>
      <c r="E22" s="13">
        <f>SUM(B22:D22)</f>
        <v/>
      </c>
      <c r="G22" t="n">
        <v>11</v>
      </c>
      <c r="H22" s="15" t="n">
        <v>48990.31517754411</v>
      </c>
      <c r="I22" s="15" t="n">
        <v>9678.524670903864</v>
      </c>
      <c r="J22" s="15" t="n">
        <v>2672.594175533026</v>
      </c>
      <c r="K22" s="28">
        <f>bkrcast_all!K22</f>
        <v/>
      </c>
      <c r="L22" s="28">
        <f>bkrcast_inbkr!K22</f>
        <v/>
      </c>
      <c r="M22" s="28">
        <f>bkrcast_outbkr!K22</f>
        <v/>
      </c>
      <c r="N22" s="28">
        <f>soundcast!K22</f>
        <v/>
      </c>
      <c r="O22" s="18">
        <f>K22/K$102</f>
        <v/>
      </c>
      <c r="P22" s="18">
        <f>L22/L$102</f>
        <v/>
      </c>
      <c r="Q22" s="18">
        <f>M22/M$102</f>
        <v/>
      </c>
      <c r="R22" s="18">
        <f>N22/N$102</f>
        <v/>
      </c>
      <c r="S22" s="18">
        <f>E22/E$102</f>
        <v/>
      </c>
      <c r="AE22" s="6" t="n"/>
    </row>
    <row r="23" spans="1:31">
      <c r="A23" t="n">
        <v>12</v>
      </c>
      <c r="B23" s="13">
        <f>bkrcast_all!B23</f>
        <v/>
      </c>
      <c r="C23" s="13">
        <f>bkrcast_all!C23</f>
        <v/>
      </c>
      <c r="D23" s="13">
        <f>bkrcast_all!D23</f>
        <v/>
      </c>
      <c r="E23" s="13">
        <f>SUM(B23:D23)</f>
        <v/>
      </c>
      <c r="G23" t="n">
        <v>12</v>
      </c>
      <c r="H23" s="15" t="n">
        <v>47511.63172298355</v>
      </c>
      <c r="I23" s="15" t="n">
        <v>8739.306385941814</v>
      </c>
      <c r="J23" s="15" t="n">
        <v>2168.749381611409</v>
      </c>
      <c r="K23" s="28">
        <f>bkrcast_all!K23</f>
        <v/>
      </c>
      <c r="L23" s="28">
        <f>bkrcast_inbkr!K23</f>
        <v/>
      </c>
      <c r="M23" s="28">
        <f>bkrcast_outbkr!K23</f>
        <v/>
      </c>
      <c r="N23" s="28">
        <f>soundcast!K23</f>
        <v/>
      </c>
      <c r="O23" s="18">
        <f>K23/K$102</f>
        <v/>
      </c>
      <c r="P23" s="18">
        <f>L23/L$102</f>
        <v/>
      </c>
      <c r="Q23" s="18">
        <f>M23/M$102</f>
        <v/>
      </c>
      <c r="R23" s="18">
        <f>N23/N$102</f>
        <v/>
      </c>
      <c r="S23" s="18">
        <f>E23/E$102</f>
        <v/>
      </c>
      <c r="AE23" s="6" t="n"/>
    </row>
    <row r="24" spans="1:31">
      <c r="A24" t="n">
        <v>13</v>
      </c>
      <c r="B24" s="13">
        <f>bkrcast_all!B24</f>
        <v/>
      </c>
      <c r="C24" s="13">
        <f>bkrcast_all!C24</f>
        <v/>
      </c>
      <c r="D24" s="13">
        <f>bkrcast_all!D24</f>
        <v/>
      </c>
      <c r="E24" s="13">
        <f>SUM(B24:D24)</f>
        <v/>
      </c>
      <c r="G24" t="n">
        <v>13</v>
      </c>
      <c r="H24" s="15" t="n">
        <v>46224.40420887611</v>
      </c>
      <c r="I24" s="15" t="n">
        <v>8542.50541718559</v>
      </c>
      <c r="J24" s="15" t="n">
        <v>2580.546327451084</v>
      </c>
      <c r="K24" s="28">
        <f>bkrcast_all!K24</f>
        <v/>
      </c>
      <c r="L24" s="28">
        <f>bkrcast_inbkr!K24</f>
        <v/>
      </c>
      <c r="M24" s="28">
        <f>bkrcast_outbkr!K24</f>
        <v/>
      </c>
      <c r="N24" s="28">
        <f>soundcast!K24</f>
        <v/>
      </c>
      <c r="O24" s="18">
        <f>K24/K$102</f>
        <v/>
      </c>
      <c r="P24" s="18">
        <f>L24/L$102</f>
        <v/>
      </c>
      <c r="Q24" s="18">
        <f>M24/M$102</f>
        <v/>
      </c>
      <c r="R24" s="18">
        <f>N24/N$102</f>
        <v/>
      </c>
      <c r="S24" s="18">
        <f>E24/E$102</f>
        <v/>
      </c>
      <c r="AE24" s="6" t="n"/>
    </row>
    <row r="25" spans="1:31">
      <c r="A25" t="n">
        <v>14</v>
      </c>
      <c r="B25" s="13">
        <f>bkrcast_all!B25</f>
        <v/>
      </c>
      <c r="C25" s="13">
        <f>bkrcast_all!C25</f>
        <v/>
      </c>
      <c r="D25" s="13">
        <f>bkrcast_all!D25</f>
        <v/>
      </c>
      <c r="E25" s="13">
        <f>SUM(B25:D25)</f>
        <v/>
      </c>
      <c r="G25" t="n">
        <v>14</v>
      </c>
      <c r="H25" s="15" t="n">
        <v>48427.91350797837</v>
      </c>
      <c r="I25" s="15" t="n">
        <v>10441.99964117101</v>
      </c>
      <c r="J25" s="15" t="n">
        <v>2510.91136251543</v>
      </c>
      <c r="K25" s="28">
        <f>bkrcast_all!K25</f>
        <v/>
      </c>
      <c r="L25" s="28">
        <f>bkrcast_inbkr!K25</f>
        <v/>
      </c>
      <c r="M25" s="28">
        <f>bkrcast_outbkr!K25</f>
        <v/>
      </c>
      <c r="N25" s="28">
        <f>soundcast!K25</f>
        <v/>
      </c>
      <c r="O25" s="18">
        <f>K25/K$102</f>
        <v/>
      </c>
      <c r="P25" s="18">
        <f>L25/L$102</f>
        <v/>
      </c>
      <c r="Q25" s="18">
        <f>M25/M$102</f>
        <v/>
      </c>
      <c r="R25" s="18">
        <f>N25/N$102</f>
        <v/>
      </c>
      <c r="S25" s="18">
        <f>E25/E$102</f>
        <v/>
      </c>
      <c r="AE25" s="6" t="n"/>
    </row>
    <row r="26" spans="1:31">
      <c r="A26" t="n">
        <v>15</v>
      </c>
      <c r="B26" s="13">
        <f>bkrcast_all!B26</f>
        <v/>
      </c>
      <c r="C26" s="13">
        <f>bkrcast_all!C26</f>
        <v/>
      </c>
      <c r="D26" s="13">
        <f>bkrcast_all!D26</f>
        <v/>
      </c>
      <c r="E26" s="13">
        <f>SUM(B26:D26)</f>
        <v/>
      </c>
      <c r="G26" t="n">
        <v>15</v>
      </c>
      <c r="H26" s="15" t="n">
        <v>52006.98243523225</v>
      </c>
      <c r="I26" s="15" t="n">
        <v>9008.821400916693</v>
      </c>
      <c r="J26" s="15" t="n">
        <v>2265.801241184228</v>
      </c>
      <c r="K26" s="28">
        <f>bkrcast_all!K26</f>
        <v/>
      </c>
      <c r="L26" s="28">
        <f>bkrcast_inbkr!K26</f>
        <v/>
      </c>
      <c r="M26" s="28">
        <f>bkrcast_outbkr!K26</f>
        <v/>
      </c>
      <c r="N26" s="28">
        <f>soundcast!K26</f>
        <v/>
      </c>
      <c r="O26" s="18">
        <f>K26/K$102</f>
        <v/>
      </c>
      <c r="P26" s="18">
        <f>L26/L$102</f>
        <v/>
      </c>
      <c r="Q26" s="18">
        <f>M26/M$102</f>
        <v/>
      </c>
      <c r="R26" s="18">
        <f>N26/N$102</f>
        <v/>
      </c>
      <c r="S26" s="18">
        <f>E26/E$102</f>
        <v/>
      </c>
      <c r="AE26" s="6" t="n"/>
    </row>
    <row r="27" spans="1:31">
      <c r="A27" t="n">
        <v>16</v>
      </c>
      <c r="B27" s="13">
        <f>bkrcast_all!B27</f>
        <v/>
      </c>
      <c r="C27" s="13">
        <f>bkrcast_all!C27</f>
        <v/>
      </c>
      <c r="D27" s="13">
        <f>bkrcast_all!D27</f>
        <v/>
      </c>
      <c r="E27" s="13">
        <f>SUM(B27:D27)</f>
        <v/>
      </c>
      <c r="G27" t="n">
        <v>16</v>
      </c>
      <c r="H27" s="15" t="n">
        <v>41017.93430746045</v>
      </c>
      <c r="I27" s="15" t="n">
        <v>6588.972857661396</v>
      </c>
      <c r="J27" s="15" t="n">
        <v>1747.913327877945</v>
      </c>
      <c r="K27" s="28">
        <f>bkrcast_all!K27</f>
        <v/>
      </c>
      <c r="L27" s="28">
        <f>bkrcast_inbkr!K27</f>
        <v/>
      </c>
      <c r="M27" s="28">
        <f>bkrcast_outbkr!K27</f>
        <v/>
      </c>
      <c r="N27" s="28">
        <f>soundcast!K27</f>
        <v/>
      </c>
      <c r="O27" s="18">
        <f>K27/K$102</f>
        <v/>
      </c>
      <c r="P27" s="18">
        <f>L27/L$102</f>
        <v/>
      </c>
      <c r="Q27" s="18">
        <f>M27/M$102</f>
        <v/>
      </c>
      <c r="R27" s="18">
        <f>N27/N$102</f>
        <v/>
      </c>
      <c r="S27" s="18">
        <f>E27/E$102</f>
        <v/>
      </c>
      <c r="AE27" s="6" t="n"/>
    </row>
    <row r="28" spans="1:31">
      <c r="A28" t="n">
        <v>17</v>
      </c>
      <c r="B28" s="13">
        <f>bkrcast_all!B28</f>
        <v/>
      </c>
      <c r="C28" s="13">
        <f>bkrcast_all!C28</f>
        <v/>
      </c>
      <c r="D28" s="13">
        <f>bkrcast_all!D28</f>
        <v/>
      </c>
      <c r="E28" s="13">
        <f>SUM(B28:D28)</f>
        <v/>
      </c>
      <c r="G28" t="n">
        <v>17</v>
      </c>
      <c r="H28" s="15" t="n">
        <v>40126.30180639333</v>
      </c>
      <c r="I28" s="15" t="n">
        <v>6683.367170904141</v>
      </c>
      <c r="J28" s="15" t="n">
        <v>1504.490866826004</v>
      </c>
      <c r="K28" s="28">
        <f>bkrcast_all!K28</f>
        <v/>
      </c>
      <c r="L28" s="28">
        <f>bkrcast_inbkr!K28</f>
        <v/>
      </c>
      <c r="M28" s="28">
        <f>bkrcast_outbkr!K28</f>
        <v/>
      </c>
      <c r="N28" s="28">
        <f>soundcast!K28</f>
        <v/>
      </c>
      <c r="O28" s="18">
        <f>K28/K$102</f>
        <v/>
      </c>
      <c r="P28" s="18">
        <f>L28/L$102</f>
        <v/>
      </c>
      <c r="Q28" s="18">
        <f>M28/M$102</f>
        <v/>
      </c>
      <c r="R28" s="18">
        <f>N28/N$102</f>
        <v/>
      </c>
      <c r="S28" s="18">
        <f>E28/E$102</f>
        <v/>
      </c>
      <c r="AE28" s="6" t="n"/>
    </row>
    <row r="29" spans="1:31">
      <c r="A29" t="n">
        <v>18</v>
      </c>
      <c r="B29" s="13">
        <f>bkrcast_all!B29</f>
        <v/>
      </c>
      <c r="C29" s="13">
        <f>bkrcast_all!C29</f>
        <v/>
      </c>
      <c r="D29" s="13">
        <f>bkrcast_all!D29</f>
        <v/>
      </c>
      <c r="E29" s="13">
        <f>SUM(B29:D29)</f>
        <v/>
      </c>
      <c r="G29" t="n">
        <v>18</v>
      </c>
      <c r="H29" s="15" t="n">
        <v>40330.45245441007</v>
      </c>
      <c r="I29" s="15" t="n">
        <v>5860.555719581997</v>
      </c>
      <c r="J29" s="15" t="n">
        <v>1466.3858350549</v>
      </c>
      <c r="K29" s="28">
        <f>bkrcast_all!K29</f>
        <v/>
      </c>
      <c r="L29" s="28">
        <f>bkrcast_inbkr!K29</f>
        <v/>
      </c>
      <c r="M29" s="28">
        <f>bkrcast_outbkr!K29</f>
        <v/>
      </c>
      <c r="N29" s="28">
        <f>soundcast!K29</f>
        <v/>
      </c>
      <c r="O29" s="18">
        <f>K29/K$102</f>
        <v/>
      </c>
      <c r="P29" s="18">
        <f>L29/L$102</f>
        <v/>
      </c>
      <c r="Q29" s="18">
        <f>M29/M$102</f>
        <v/>
      </c>
      <c r="R29" s="18">
        <f>N29/N$102</f>
        <v/>
      </c>
      <c r="S29" s="18">
        <f>E29/E$102</f>
        <v/>
      </c>
      <c r="AE29" s="6" t="n"/>
    </row>
    <row r="30" spans="1:31">
      <c r="A30" t="n">
        <v>19</v>
      </c>
      <c r="B30" s="13">
        <f>bkrcast_all!B30</f>
        <v/>
      </c>
      <c r="C30" s="13">
        <f>bkrcast_all!C30</f>
        <v/>
      </c>
      <c r="D30" s="13">
        <f>bkrcast_all!D30</f>
        <v/>
      </c>
      <c r="E30" s="13">
        <f>SUM(B30:D30)</f>
        <v/>
      </c>
      <c r="G30" t="n">
        <v>19</v>
      </c>
      <c r="H30" s="15" t="n">
        <v>33219.86340584855</v>
      </c>
      <c r="I30" s="15" t="n">
        <v>4856.646088282805</v>
      </c>
      <c r="J30" s="15" t="n">
        <v>1369.341306017154</v>
      </c>
      <c r="K30" s="28">
        <f>bkrcast_all!K30</f>
        <v/>
      </c>
      <c r="L30" s="28">
        <f>bkrcast_inbkr!K30</f>
        <v/>
      </c>
      <c r="M30" s="28">
        <f>bkrcast_outbkr!K30</f>
        <v/>
      </c>
      <c r="N30" s="28">
        <f>soundcast!K30</f>
        <v/>
      </c>
      <c r="O30" s="18">
        <f>K30/K$102</f>
        <v/>
      </c>
      <c r="P30" s="18">
        <f>L30/L$102</f>
        <v/>
      </c>
      <c r="Q30" s="18">
        <f>M30/M$102</f>
        <v/>
      </c>
      <c r="R30" s="18">
        <f>N30/N$102</f>
        <v/>
      </c>
      <c r="S30" s="18">
        <f>E30/E$102</f>
        <v/>
      </c>
      <c r="AE30" s="6" t="n"/>
    </row>
    <row r="31" spans="1:31">
      <c r="A31" t="n">
        <v>20</v>
      </c>
      <c r="B31" s="13">
        <f>bkrcast_all!B31</f>
        <v/>
      </c>
      <c r="C31" s="13">
        <f>bkrcast_all!C31</f>
        <v/>
      </c>
      <c r="D31" s="13">
        <f>bkrcast_all!D31</f>
        <v/>
      </c>
      <c r="E31" s="13">
        <f>SUM(B31:D31)</f>
        <v/>
      </c>
      <c r="G31" t="n">
        <v>20</v>
      </c>
      <c r="H31" s="15" t="n">
        <v>31630.4833804999</v>
      </c>
      <c r="I31" s="15" t="n">
        <v>4564.679061746186</v>
      </c>
      <c r="J31" s="15" t="n">
        <v>1100.493586108605</v>
      </c>
      <c r="K31" s="28">
        <f>bkrcast_all!K31</f>
        <v/>
      </c>
      <c r="L31" s="28">
        <f>bkrcast_inbkr!K31</f>
        <v/>
      </c>
      <c r="M31" s="28">
        <f>bkrcast_outbkr!K31</f>
        <v/>
      </c>
      <c r="N31" s="28">
        <f>soundcast!K31</f>
        <v/>
      </c>
      <c r="O31" s="18">
        <f>K31/K$102</f>
        <v/>
      </c>
      <c r="P31" s="18">
        <f>L31/L$102</f>
        <v/>
      </c>
      <c r="Q31" s="18">
        <f>M31/M$102</f>
        <v/>
      </c>
      <c r="R31" s="18">
        <f>N31/N$102</f>
        <v/>
      </c>
      <c r="S31" s="18">
        <f>E31/E$102</f>
        <v/>
      </c>
      <c r="AE31" s="6" t="n"/>
    </row>
    <row r="32" spans="1:31">
      <c r="A32" t="n">
        <v>21</v>
      </c>
      <c r="B32" s="13">
        <f>bkrcast_all!B32</f>
        <v/>
      </c>
      <c r="C32" s="13">
        <f>bkrcast_all!C32</f>
        <v/>
      </c>
      <c r="D32" s="13">
        <f>bkrcast_all!D32</f>
        <v/>
      </c>
      <c r="E32" s="13">
        <f>SUM(B32:D32)</f>
        <v/>
      </c>
      <c r="G32" t="n">
        <v>21</v>
      </c>
      <c r="H32" s="15" t="n">
        <v>29049.33320198749</v>
      </c>
      <c r="I32" s="15" t="n">
        <v>4486.305691159927</v>
      </c>
      <c r="J32" s="15" t="n">
        <v>947.492866745547</v>
      </c>
      <c r="K32" s="28">
        <f>bkrcast_all!K32</f>
        <v/>
      </c>
      <c r="L32" s="28">
        <f>bkrcast_inbkr!K32</f>
        <v/>
      </c>
      <c r="M32" s="28">
        <f>bkrcast_outbkr!K32</f>
        <v/>
      </c>
      <c r="N32" s="28">
        <f>soundcast!K32</f>
        <v/>
      </c>
      <c r="O32" s="18">
        <f>K32/K$102</f>
        <v/>
      </c>
      <c r="P32" s="18">
        <f>L32/L$102</f>
        <v/>
      </c>
      <c r="Q32" s="18">
        <f>M32/M$102</f>
        <v/>
      </c>
      <c r="R32" s="18">
        <f>N32/N$102</f>
        <v/>
      </c>
      <c r="S32" s="18">
        <f>E32/E$102</f>
        <v/>
      </c>
      <c r="AE32" s="6" t="n"/>
    </row>
    <row r="33" spans="1:31">
      <c r="A33" t="n">
        <v>22</v>
      </c>
      <c r="B33" s="13">
        <f>bkrcast_all!B33</f>
        <v/>
      </c>
      <c r="C33" s="13">
        <f>bkrcast_all!C33</f>
        <v/>
      </c>
      <c r="D33" s="13">
        <f>bkrcast_all!D33</f>
        <v/>
      </c>
      <c r="E33" s="13">
        <f>SUM(B33:D33)</f>
        <v/>
      </c>
      <c r="G33" t="n">
        <v>22</v>
      </c>
      <c r="H33" s="15" t="n">
        <v>22956.82892330238</v>
      </c>
      <c r="I33" s="15" t="n">
        <v>3035.0103658342</v>
      </c>
      <c r="J33" s="15" t="n">
        <v>664.955193531333</v>
      </c>
      <c r="K33" s="28">
        <f>bkrcast_all!K33</f>
        <v/>
      </c>
      <c r="L33" s="28">
        <f>bkrcast_inbkr!K33</f>
        <v/>
      </c>
      <c r="M33" s="28">
        <f>bkrcast_outbkr!K33</f>
        <v/>
      </c>
      <c r="N33" s="28">
        <f>soundcast!K33</f>
        <v/>
      </c>
      <c r="O33" s="18">
        <f>K33/K$102</f>
        <v/>
      </c>
      <c r="P33" s="18">
        <f>L33/L$102</f>
        <v/>
      </c>
      <c r="Q33" s="18">
        <f>M33/M$102</f>
        <v/>
      </c>
      <c r="R33" s="18">
        <f>N33/N$102</f>
        <v/>
      </c>
      <c r="S33" s="18">
        <f>E33/E$102</f>
        <v/>
      </c>
      <c r="AE33" s="6" t="n"/>
    </row>
    <row r="34" spans="1:31">
      <c r="A34" t="n">
        <v>23</v>
      </c>
      <c r="B34" s="13">
        <f>bkrcast_all!B34</f>
        <v/>
      </c>
      <c r="C34" s="13">
        <f>bkrcast_all!C34</f>
        <v/>
      </c>
      <c r="D34" s="13">
        <f>bkrcast_all!D34</f>
        <v/>
      </c>
      <c r="E34" s="13">
        <f>SUM(B34:D34)</f>
        <v/>
      </c>
      <c r="G34" t="n">
        <v>23</v>
      </c>
      <c r="H34" s="15" t="n">
        <v>31062.70112628506</v>
      </c>
      <c r="I34" s="15" t="n">
        <v>3541.28680743725</v>
      </c>
      <c r="J34" s="15" t="n">
        <v>778.4717268920668</v>
      </c>
      <c r="K34" s="28">
        <f>bkrcast_all!K34</f>
        <v/>
      </c>
      <c r="L34" s="28">
        <f>bkrcast_inbkr!K34</f>
        <v/>
      </c>
      <c r="M34" s="28">
        <f>bkrcast_outbkr!K34</f>
        <v/>
      </c>
      <c r="N34" s="28">
        <f>soundcast!K34</f>
        <v/>
      </c>
      <c r="O34" s="18">
        <f>K34/K$102</f>
        <v/>
      </c>
      <c r="P34" s="18">
        <f>L34/L$102</f>
        <v/>
      </c>
      <c r="Q34" s="18">
        <f>M34/M$102</f>
        <v/>
      </c>
      <c r="R34" s="18">
        <f>N34/N$102</f>
        <v/>
      </c>
      <c r="S34" s="18">
        <f>E34/E$102</f>
        <v/>
      </c>
      <c r="AE34" s="6" t="n"/>
    </row>
    <row r="35" spans="1:31">
      <c r="A35" t="n">
        <v>24</v>
      </c>
      <c r="B35" s="13">
        <f>bkrcast_all!B35</f>
        <v/>
      </c>
      <c r="C35" s="13">
        <f>bkrcast_all!C35</f>
        <v/>
      </c>
      <c r="D35" s="13">
        <f>bkrcast_all!D35</f>
        <v/>
      </c>
      <c r="E35" s="13">
        <f>SUM(B35:D35)</f>
        <v/>
      </c>
      <c r="G35" t="n">
        <v>24</v>
      </c>
      <c r="H35" s="15" t="n">
        <v>19538.93740679378</v>
      </c>
      <c r="I35" s="15" t="n">
        <v>2540.851667755023</v>
      </c>
      <c r="J35" s="15" t="n">
        <v>578.7928605964522</v>
      </c>
      <c r="K35" s="28">
        <f>bkrcast_all!K35</f>
        <v/>
      </c>
      <c r="L35" s="28">
        <f>bkrcast_inbkr!K35</f>
        <v/>
      </c>
      <c r="M35" s="28">
        <f>bkrcast_outbkr!K35</f>
        <v/>
      </c>
      <c r="N35" s="28">
        <f>soundcast!K35</f>
        <v/>
      </c>
      <c r="O35" s="18">
        <f>K35/K$102</f>
        <v/>
      </c>
      <c r="P35" s="18">
        <f>L35/L$102</f>
        <v/>
      </c>
      <c r="Q35" s="18">
        <f>M35/M$102</f>
        <v/>
      </c>
      <c r="R35" s="18">
        <f>N35/N$102</f>
        <v/>
      </c>
      <c r="S35" s="18">
        <f>E35/E$102</f>
        <v/>
      </c>
      <c r="AE35" s="6" t="n"/>
    </row>
    <row r="36" spans="1:31">
      <c r="A36" t="n">
        <v>25</v>
      </c>
      <c r="B36" s="13">
        <f>bkrcast_all!B36</f>
        <v/>
      </c>
      <c r="C36" s="13">
        <f>bkrcast_all!C36</f>
        <v/>
      </c>
      <c r="D36" s="13">
        <f>bkrcast_all!D36</f>
        <v/>
      </c>
      <c r="E36" s="13">
        <f>SUM(B36:D36)</f>
        <v/>
      </c>
      <c r="G36" t="n">
        <v>25</v>
      </c>
      <c r="H36" s="15" t="n">
        <v>18694.38168747651</v>
      </c>
      <c r="I36" s="15" t="n">
        <v>2570.810565549077</v>
      </c>
      <c r="J36" s="15" t="n">
        <v>460.1887976586784</v>
      </c>
      <c r="K36" s="28">
        <f>bkrcast_all!K36</f>
        <v/>
      </c>
      <c r="L36" s="28">
        <f>bkrcast_inbkr!K36</f>
        <v/>
      </c>
      <c r="M36" s="28">
        <f>bkrcast_outbkr!K36</f>
        <v/>
      </c>
      <c r="N36" s="28">
        <f>soundcast!K36</f>
        <v/>
      </c>
      <c r="O36" s="18">
        <f>K36/K$102</f>
        <v/>
      </c>
      <c r="P36" s="18">
        <f>L36/L$102</f>
        <v/>
      </c>
      <c r="Q36" s="18">
        <f>M36/M$102</f>
        <v/>
      </c>
      <c r="R36" s="18">
        <f>N36/N$102</f>
        <v/>
      </c>
      <c r="S36" s="18">
        <f>E36/E$102</f>
        <v/>
      </c>
      <c r="AE36" s="6" t="n"/>
    </row>
    <row r="37" spans="1:31">
      <c r="A37" t="n">
        <v>26</v>
      </c>
      <c r="B37" s="13">
        <f>bkrcast_all!B37</f>
        <v/>
      </c>
      <c r="C37" s="13">
        <f>bkrcast_all!C37</f>
        <v/>
      </c>
      <c r="D37" s="13">
        <f>bkrcast_all!D37</f>
        <v/>
      </c>
      <c r="E37" s="13">
        <f>SUM(B37:D37)</f>
        <v/>
      </c>
      <c r="G37" t="n">
        <v>26</v>
      </c>
      <c r="H37" s="15" t="n">
        <v>17586.49523118469</v>
      </c>
      <c r="I37" s="15" t="n">
        <v>2324.582606090484</v>
      </c>
      <c r="J37" s="15" t="n">
        <v>441.3667265900007</v>
      </c>
      <c r="K37" s="28">
        <f>bkrcast_all!K37</f>
        <v/>
      </c>
      <c r="L37" s="28">
        <f>bkrcast_inbkr!K37</f>
        <v/>
      </c>
      <c r="M37" s="28">
        <f>bkrcast_outbkr!K37</f>
        <v/>
      </c>
      <c r="N37" s="28">
        <f>soundcast!K37</f>
        <v/>
      </c>
      <c r="O37" s="18">
        <f>K37/K$102</f>
        <v/>
      </c>
      <c r="P37" s="18">
        <f>L37/L$102</f>
        <v/>
      </c>
      <c r="Q37" s="18">
        <f>M37/M$102</f>
        <v/>
      </c>
      <c r="R37" s="18">
        <f>N37/N$102</f>
        <v/>
      </c>
      <c r="S37" s="18">
        <f>E37/E$102</f>
        <v/>
      </c>
      <c r="AE37" s="6" t="n"/>
    </row>
    <row r="38" spans="1:31">
      <c r="A38" t="n">
        <v>27</v>
      </c>
      <c r="B38" s="13">
        <f>bkrcast_all!B38</f>
        <v/>
      </c>
      <c r="C38" s="13">
        <f>bkrcast_all!C38</f>
        <v/>
      </c>
      <c r="D38" s="13">
        <f>bkrcast_all!D38</f>
        <v/>
      </c>
      <c r="E38" s="13">
        <f>SUM(B38:D38)</f>
        <v/>
      </c>
      <c r="G38" t="n">
        <v>27</v>
      </c>
      <c r="H38" s="15" t="n">
        <v>23570.66769290541</v>
      </c>
      <c r="I38" s="15" t="n">
        <v>3416.660844457982</v>
      </c>
      <c r="J38" s="15" t="n">
        <v>576.2367124466518</v>
      </c>
      <c r="K38" s="28">
        <f>bkrcast_all!K38</f>
        <v/>
      </c>
      <c r="L38" s="28">
        <f>bkrcast_inbkr!K38</f>
        <v/>
      </c>
      <c r="M38" s="28">
        <f>bkrcast_outbkr!K38</f>
        <v/>
      </c>
      <c r="N38" s="28">
        <f>soundcast!K38</f>
        <v/>
      </c>
      <c r="O38" s="18">
        <f>K38/K$102</f>
        <v/>
      </c>
      <c r="P38" s="18">
        <f>L38/L$102</f>
        <v/>
      </c>
      <c r="Q38" s="18">
        <f>M38/M$102</f>
        <v/>
      </c>
      <c r="R38" s="18">
        <f>N38/N$102</f>
        <v/>
      </c>
      <c r="S38" s="18">
        <f>E38/E$102</f>
        <v/>
      </c>
      <c r="AE38" s="6" t="n"/>
    </row>
    <row r="39" spans="1:31">
      <c r="A39" t="n">
        <v>28</v>
      </c>
      <c r="B39" s="13">
        <f>bkrcast_all!B39</f>
        <v/>
      </c>
      <c r="C39" s="13">
        <f>bkrcast_all!C39</f>
        <v/>
      </c>
      <c r="D39" s="13">
        <f>bkrcast_all!D39</f>
        <v/>
      </c>
      <c r="E39" s="13">
        <f>SUM(B39:D39)</f>
        <v/>
      </c>
      <c r="G39" t="n">
        <v>28</v>
      </c>
      <c r="H39" s="15" t="n">
        <v>12796.8490348702</v>
      </c>
      <c r="I39" s="15" t="n">
        <v>1493.602227691409</v>
      </c>
      <c r="J39" s="15" t="n">
        <v>341.4601446759105</v>
      </c>
      <c r="K39" s="28">
        <f>bkrcast_all!K39</f>
        <v/>
      </c>
      <c r="L39" s="28">
        <f>bkrcast_inbkr!K39</f>
        <v/>
      </c>
      <c r="M39" s="28">
        <f>bkrcast_outbkr!K39</f>
        <v/>
      </c>
      <c r="N39" s="28">
        <f>soundcast!K39</f>
        <v/>
      </c>
      <c r="O39" s="18">
        <f>K39/K$102</f>
        <v/>
      </c>
      <c r="P39" s="18">
        <f>L39/L$102</f>
        <v/>
      </c>
      <c r="Q39" s="18">
        <f>M39/M$102</f>
        <v/>
      </c>
      <c r="R39" s="18">
        <f>N39/N$102</f>
        <v/>
      </c>
      <c r="S39" s="18">
        <f>E39/E$102</f>
        <v/>
      </c>
      <c r="AE39" s="6" t="n"/>
    </row>
    <row r="40" spans="1:31">
      <c r="A40" t="n">
        <v>29</v>
      </c>
      <c r="B40" s="13">
        <f>bkrcast_all!B40</f>
        <v/>
      </c>
      <c r="C40" s="13">
        <f>bkrcast_all!C40</f>
        <v/>
      </c>
      <c r="D40" s="13">
        <f>bkrcast_all!D40</f>
        <v/>
      </c>
      <c r="E40" s="13">
        <f>SUM(B40:D40)</f>
        <v/>
      </c>
      <c r="G40" t="n">
        <v>29</v>
      </c>
      <c r="H40" s="15" t="n">
        <v>13757.87909430596</v>
      </c>
      <c r="I40" s="15" t="n">
        <v>1769.61434173548</v>
      </c>
      <c r="J40" s="15" t="n">
        <v>333.6141986934483</v>
      </c>
      <c r="K40" s="28">
        <f>bkrcast_all!K40</f>
        <v/>
      </c>
      <c r="L40" s="28">
        <f>bkrcast_inbkr!K40</f>
        <v/>
      </c>
      <c r="M40" s="28">
        <f>bkrcast_outbkr!K40</f>
        <v/>
      </c>
      <c r="N40" s="28">
        <f>soundcast!K40</f>
        <v/>
      </c>
      <c r="O40" s="18">
        <f>K40/K$102</f>
        <v/>
      </c>
      <c r="P40" s="18">
        <f>L40/L$102</f>
        <v/>
      </c>
      <c r="Q40" s="18">
        <f>M40/M$102</f>
        <v/>
      </c>
      <c r="R40" s="18">
        <f>N40/N$102</f>
        <v/>
      </c>
      <c r="S40" s="18">
        <f>E40/E$102</f>
        <v/>
      </c>
      <c r="AE40" s="6" t="n"/>
    </row>
    <row r="41" spans="1:31">
      <c r="A41" t="n">
        <v>30</v>
      </c>
      <c r="B41" s="13">
        <f>bkrcast_all!B41</f>
        <v/>
      </c>
      <c r="C41" s="13">
        <f>bkrcast_all!C41</f>
        <v/>
      </c>
      <c r="D41" s="13">
        <f>bkrcast_all!D41</f>
        <v/>
      </c>
      <c r="E41" s="13">
        <f>SUM(B41:D41)</f>
        <v/>
      </c>
      <c r="G41" t="n">
        <v>30</v>
      </c>
      <c r="H41" s="15" t="n">
        <v>10347.12835239717</v>
      </c>
      <c r="I41" s="15" t="n">
        <v>1305.636762625453</v>
      </c>
      <c r="J41" s="15" t="n">
        <v>199.6452129063697</v>
      </c>
      <c r="K41" s="28">
        <f>bkrcast_all!K41</f>
        <v/>
      </c>
      <c r="L41" s="28">
        <f>bkrcast_inbkr!K41</f>
        <v/>
      </c>
      <c r="M41" s="28">
        <f>bkrcast_outbkr!K41</f>
        <v/>
      </c>
      <c r="N41" s="28">
        <f>soundcast!K41</f>
        <v/>
      </c>
      <c r="O41" s="18">
        <f>K41/K$102</f>
        <v/>
      </c>
      <c r="P41" s="18">
        <f>L41/L$102</f>
        <v/>
      </c>
      <c r="Q41" s="18">
        <f>M41/M$102</f>
        <v/>
      </c>
      <c r="R41" s="18">
        <f>N41/N$102</f>
        <v/>
      </c>
      <c r="S41" s="18">
        <f>E41/E$102</f>
        <v/>
      </c>
      <c r="AE41" s="6" t="n"/>
    </row>
    <row r="42" spans="1:31">
      <c r="A42" t="n">
        <v>31</v>
      </c>
      <c r="B42" s="13">
        <f>bkrcast_all!B42</f>
        <v/>
      </c>
      <c r="C42" s="13">
        <f>bkrcast_all!C42</f>
        <v/>
      </c>
      <c r="D42" s="13">
        <f>bkrcast_all!D42</f>
        <v/>
      </c>
      <c r="E42" s="13">
        <f>SUM(B42:D42)</f>
        <v/>
      </c>
      <c r="G42" t="n">
        <v>31</v>
      </c>
      <c r="H42" s="15" t="n">
        <v>9360.650144918693</v>
      </c>
      <c r="I42" s="15" t="n">
        <v>1178.9855126197</v>
      </c>
      <c r="J42" s="15" t="n">
        <v>177.0924166624027</v>
      </c>
      <c r="K42" s="28">
        <f>bkrcast_all!K42</f>
        <v/>
      </c>
      <c r="L42" s="28">
        <f>bkrcast_inbkr!K42</f>
        <v/>
      </c>
      <c r="M42" s="28">
        <f>bkrcast_outbkr!K42</f>
        <v/>
      </c>
      <c r="N42" s="28">
        <f>soundcast!K42</f>
        <v/>
      </c>
      <c r="O42" s="18">
        <f>K42/K$102</f>
        <v/>
      </c>
      <c r="P42" s="18">
        <f>L42/L$102</f>
        <v/>
      </c>
      <c r="Q42" s="18">
        <f>M42/M$102</f>
        <v/>
      </c>
      <c r="R42" s="18">
        <f>N42/N$102</f>
        <v/>
      </c>
      <c r="S42" s="18">
        <f>E42/E$102</f>
        <v/>
      </c>
      <c r="AE42" s="6" t="n"/>
    </row>
    <row r="43" spans="1:31">
      <c r="A43" t="n">
        <v>32</v>
      </c>
      <c r="B43" s="13">
        <f>bkrcast_all!B43</f>
        <v/>
      </c>
      <c r="C43" s="13">
        <f>bkrcast_all!C43</f>
        <v/>
      </c>
      <c r="D43" s="13">
        <f>bkrcast_all!D43</f>
        <v/>
      </c>
      <c r="E43" s="13">
        <f>SUM(B43:D43)</f>
        <v/>
      </c>
      <c r="G43" t="n">
        <v>32</v>
      </c>
      <c r="H43" s="15" t="n">
        <v>8838.066399764639</v>
      </c>
      <c r="I43" s="15" t="n">
        <v>1280.411589524308</v>
      </c>
      <c r="J43" s="15" t="n">
        <v>187.9639378033617</v>
      </c>
      <c r="K43" s="28">
        <f>bkrcast_all!K43</f>
        <v/>
      </c>
      <c r="L43" s="28">
        <f>bkrcast_inbkr!K43</f>
        <v/>
      </c>
      <c r="M43" s="28">
        <f>bkrcast_outbkr!K43</f>
        <v/>
      </c>
      <c r="N43" s="28">
        <f>soundcast!K43</f>
        <v/>
      </c>
      <c r="O43" s="18">
        <f>K43/K$102</f>
        <v/>
      </c>
      <c r="P43" s="18">
        <f>L43/L$102</f>
        <v/>
      </c>
      <c r="Q43" s="18">
        <f>M43/M$102</f>
        <v/>
      </c>
      <c r="R43" s="18">
        <f>N43/N$102</f>
        <v/>
      </c>
      <c r="S43" s="18">
        <f>E43/E$102</f>
        <v/>
      </c>
      <c r="AE43" s="6" t="n"/>
    </row>
    <row r="44" spans="1:31">
      <c r="A44" t="n">
        <v>33</v>
      </c>
      <c r="B44" s="13">
        <f>bkrcast_all!B44</f>
        <v/>
      </c>
      <c r="C44" s="13">
        <f>bkrcast_all!C44</f>
        <v/>
      </c>
      <c r="D44" s="13">
        <f>bkrcast_all!D44</f>
        <v/>
      </c>
      <c r="E44" s="13">
        <f>SUM(B44:D44)</f>
        <v/>
      </c>
      <c r="G44" t="n">
        <v>33</v>
      </c>
      <c r="H44" s="15" t="n">
        <v>8168.279602822349</v>
      </c>
      <c r="I44" s="15" t="n">
        <v>944.2365085344846</v>
      </c>
      <c r="J44" s="15" t="n">
        <v>182.5429010428881</v>
      </c>
      <c r="K44" s="28">
        <f>bkrcast_all!K44</f>
        <v/>
      </c>
      <c r="L44" s="28">
        <f>bkrcast_inbkr!K44</f>
        <v/>
      </c>
      <c r="M44" s="28">
        <f>bkrcast_outbkr!K44</f>
        <v/>
      </c>
      <c r="N44" s="28">
        <f>soundcast!K44</f>
        <v/>
      </c>
      <c r="O44" s="18">
        <f>K44/K$102</f>
        <v/>
      </c>
      <c r="P44" s="18">
        <f>L44/L$102</f>
        <v/>
      </c>
      <c r="Q44" s="18">
        <f>M44/M$102</f>
        <v/>
      </c>
      <c r="R44" s="18">
        <f>N44/N$102</f>
        <v/>
      </c>
      <c r="S44" s="18">
        <f>E44/E$102</f>
        <v/>
      </c>
      <c r="AE44" s="6" t="n"/>
    </row>
    <row r="45" spans="1:31">
      <c r="A45" t="n">
        <v>34</v>
      </c>
      <c r="B45" s="13">
        <f>bkrcast_all!B45</f>
        <v/>
      </c>
      <c r="C45" s="13">
        <f>bkrcast_all!C45</f>
        <v/>
      </c>
      <c r="D45" s="13">
        <f>bkrcast_all!D45</f>
        <v/>
      </c>
      <c r="E45" s="13">
        <f>SUM(B45:D45)</f>
        <v/>
      </c>
      <c r="G45" t="n">
        <v>34</v>
      </c>
      <c r="H45" s="15" t="n">
        <v>6379.977258246119</v>
      </c>
      <c r="I45" s="15" t="n">
        <v>675.7742608786039</v>
      </c>
      <c r="J45" s="15" t="n">
        <v>184.036595499619</v>
      </c>
      <c r="K45" s="28">
        <f>bkrcast_all!K45</f>
        <v/>
      </c>
      <c r="L45" s="28">
        <f>bkrcast_inbkr!K45</f>
        <v/>
      </c>
      <c r="M45" s="28">
        <f>bkrcast_outbkr!K45</f>
        <v/>
      </c>
      <c r="N45" s="28">
        <f>soundcast!K45</f>
        <v/>
      </c>
      <c r="O45" s="18">
        <f>K45/K$102</f>
        <v/>
      </c>
      <c r="P45" s="18">
        <f>L45/L$102</f>
        <v/>
      </c>
      <c r="Q45" s="18">
        <f>M45/M$102</f>
        <v/>
      </c>
      <c r="R45" s="18">
        <f>N45/N$102</f>
        <v/>
      </c>
      <c r="S45" s="18">
        <f>E45/E$102</f>
        <v/>
      </c>
      <c r="AE45" s="6" t="n"/>
    </row>
    <row r="46" spans="1:31">
      <c r="A46" t="n">
        <v>35</v>
      </c>
      <c r="B46" s="13">
        <f>bkrcast_all!B46</f>
        <v/>
      </c>
      <c r="C46" s="13">
        <f>bkrcast_all!C46</f>
        <v/>
      </c>
      <c r="D46" s="13">
        <f>bkrcast_all!D46</f>
        <v/>
      </c>
      <c r="E46" s="13">
        <f>SUM(B46:D46)</f>
        <v/>
      </c>
      <c r="G46" t="n">
        <v>35</v>
      </c>
      <c r="H46" s="15" t="n">
        <v>6894.724119890928</v>
      </c>
      <c r="I46" s="15" t="n">
        <v>747.9012618193748</v>
      </c>
      <c r="J46" s="15" t="n">
        <v>138.3508120705151</v>
      </c>
      <c r="K46" s="28">
        <f>bkrcast_all!K46</f>
        <v/>
      </c>
      <c r="L46" s="28">
        <f>bkrcast_inbkr!K46</f>
        <v/>
      </c>
      <c r="M46" s="28">
        <f>bkrcast_outbkr!K46</f>
        <v/>
      </c>
      <c r="N46" s="28">
        <f>soundcast!K46</f>
        <v/>
      </c>
      <c r="O46" s="18">
        <f>K46/K$102</f>
        <v/>
      </c>
      <c r="P46" s="18">
        <f>L46/L$102</f>
        <v/>
      </c>
      <c r="Q46" s="18">
        <f>M46/M$102</f>
        <v/>
      </c>
      <c r="R46" s="18">
        <f>N46/N$102</f>
        <v/>
      </c>
      <c r="S46" s="18">
        <f>E46/E$102</f>
        <v/>
      </c>
      <c r="AE46" s="6" t="n"/>
    </row>
    <row r="47" spans="1:31">
      <c r="A47" t="n">
        <v>36</v>
      </c>
      <c r="B47" s="13">
        <f>bkrcast_all!B47</f>
        <v/>
      </c>
      <c r="C47" s="13">
        <f>bkrcast_all!C47</f>
        <v/>
      </c>
      <c r="D47" s="13">
        <f>bkrcast_all!D47</f>
        <v/>
      </c>
      <c r="E47" s="13">
        <f>SUM(B47:D47)</f>
        <v/>
      </c>
      <c r="G47" t="n">
        <v>36</v>
      </c>
      <c r="H47" s="15" t="n">
        <v>9373.480251775976</v>
      </c>
      <c r="I47" s="15" t="n">
        <v>1161.927595284045</v>
      </c>
      <c r="J47" s="15" t="n">
        <v>156.6273866702113</v>
      </c>
      <c r="K47" s="28">
        <f>bkrcast_all!K47</f>
        <v/>
      </c>
      <c r="L47" s="28">
        <f>bkrcast_inbkr!K47</f>
        <v/>
      </c>
      <c r="M47" s="28">
        <f>bkrcast_outbkr!K47</f>
        <v/>
      </c>
      <c r="N47" s="28">
        <f>soundcast!K47</f>
        <v/>
      </c>
      <c r="O47" s="18">
        <f>K47/K$102</f>
        <v/>
      </c>
      <c r="P47" s="18">
        <f>L47/L$102</f>
        <v/>
      </c>
      <c r="Q47" s="18">
        <f>M47/M$102</f>
        <v/>
      </c>
      <c r="R47" s="18">
        <f>N47/N$102</f>
        <v/>
      </c>
      <c r="S47" s="18">
        <f>E47/E$102</f>
        <v/>
      </c>
      <c r="AE47" s="6" t="n"/>
    </row>
    <row r="48" spans="1:31">
      <c r="A48" t="n">
        <v>37</v>
      </c>
      <c r="B48" s="13">
        <f>bkrcast_all!B48</f>
        <v/>
      </c>
      <c r="C48" s="13">
        <f>bkrcast_all!C48</f>
        <v/>
      </c>
      <c r="D48" s="13">
        <f>bkrcast_all!D48</f>
        <v/>
      </c>
      <c r="E48" s="13">
        <f>SUM(B48:D48)</f>
        <v/>
      </c>
      <c r="G48" t="n">
        <v>37</v>
      </c>
      <c r="H48" s="15" t="n">
        <v>5540.93533073154</v>
      </c>
      <c r="I48" s="15" t="n">
        <v>565.9594164730063</v>
      </c>
      <c r="J48" s="15" t="n">
        <v>68.0166813194967</v>
      </c>
      <c r="K48" s="28">
        <f>bkrcast_all!K48</f>
        <v/>
      </c>
      <c r="L48" s="28">
        <f>bkrcast_inbkr!K48</f>
        <v/>
      </c>
      <c r="M48" s="28">
        <f>bkrcast_outbkr!K48</f>
        <v/>
      </c>
      <c r="N48" s="28">
        <f>soundcast!K48</f>
        <v/>
      </c>
      <c r="O48" s="18">
        <f>K48/K$102</f>
        <v/>
      </c>
      <c r="P48" s="18">
        <f>L48/L$102</f>
        <v/>
      </c>
      <c r="Q48" s="18">
        <f>M48/M$102</f>
        <v/>
      </c>
      <c r="R48" s="18">
        <f>N48/N$102</f>
        <v/>
      </c>
      <c r="S48" s="18">
        <f>E48/E$102</f>
        <v/>
      </c>
      <c r="AE48" s="6" t="n"/>
    </row>
    <row r="49" spans="1:31">
      <c r="A49" t="n">
        <v>38</v>
      </c>
      <c r="B49" s="13">
        <f>bkrcast_all!B49</f>
        <v/>
      </c>
      <c r="C49" s="13">
        <f>bkrcast_all!C49</f>
        <v/>
      </c>
      <c r="D49" s="13">
        <f>bkrcast_all!D49</f>
        <v/>
      </c>
      <c r="E49" s="13">
        <f>SUM(B49:D49)</f>
        <v/>
      </c>
      <c r="G49" t="n">
        <v>38</v>
      </c>
      <c r="H49" s="15" t="n">
        <v>5994.92442619148</v>
      </c>
      <c r="I49" s="15" t="n">
        <v>613.5912025319983</v>
      </c>
      <c r="J49" s="15" t="n">
        <v>88.73587613494934</v>
      </c>
      <c r="K49" s="28">
        <f>bkrcast_all!K49</f>
        <v/>
      </c>
      <c r="L49" s="28">
        <f>bkrcast_inbkr!K49</f>
        <v/>
      </c>
      <c r="M49" s="28">
        <f>bkrcast_outbkr!K49</f>
        <v/>
      </c>
      <c r="N49" s="28">
        <f>soundcast!K49</f>
        <v/>
      </c>
      <c r="O49" s="18">
        <f>K49/K$102</f>
        <v/>
      </c>
      <c r="P49" s="18">
        <f>L49/L$102</f>
        <v/>
      </c>
      <c r="Q49" s="18">
        <f>M49/M$102</f>
        <v/>
      </c>
      <c r="R49" s="18">
        <f>N49/N$102</f>
        <v/>
      </c>
      <c r="S49" s="18">
        <f>E49/E$102</f>
        <v/>
      </c>
      <c r="AE49" s="6" t="n"/>
    </row>
    <row r="50" spans="1:31">
      <c r="A50" t="n">
        <v>39</v>
      </c>
      <c r="B50" s="13">
        <f>bkrcast_all!B50</f>
        <v/>
      </c>
      <c r="C50" s="13">
        <f>bkrcast_all!C50</f>
        <v/>
      </c>
      <c r="D50" s="13">
        <f>bkrcast_all!D50</f>
        <v/>
      </c>
      <c r="E50" s="13">
        <f>SUM(B50:D50)</f>
        <v/>
      </c>
      <c r="G50" t="n">
        <v>39</v>
      </c>
      <c r="H50" s="15" t="n">
        <v>6259.968774496515</v>
      </c>
      <c r="I50" s="15" t="n">
        <v>763.966525726291</v>
      </c>
      <c r="J50" s="15" t="n">
        <v>111.59944750408</v>
      </c>
      <c r="K50" s="28">
        <f>bkrcast_all!K50</f>
        <v/>
      </c>
      <c r="L50" s="28">
        <f>bkrcast_inbkr!K50</f>
        <v/>
      </c>
      <c r="M50" s="28">
        <f>bkrcast_outbkr!K50</f>
        <v/>
      </c>
      <c r="N50" s="28">
        <f>soundcast!K50</f>
        <v/>
      </c>
      <c r="O50" s="18">
        <f>K50/K$102</f>
        <v/>
      </c>
      <c r="P50" s="18">
        <f>L50/L$102</f>
        <v/>
      </c>
      <c r="Q50" s="18">
        <f>M50/M$102</f>
        <v/>
      </c>
      <c r="R50" s="18">
        <f>N50/N$102</f>
        <v/>
      </c>
      <c r="S50" s="18">
        <f>E50/E$102</f>
        <v/>
      </c>
      <c r="AE50" s="6" t="n"/>
    </row>
    <row r="51" spans="1:31">
      <c r="A51" t="n">
        <v>40</v>
      </c>
      <c r="B51" s="13">
        <f>bkrcast_all!B51</f>
        <v/>
      </c>
      <c r="C51" s="13">
        <f>bkrcast_all!C51</f>
        <v/>
      </c>
      <c r="D51" s="13">
        <f>bkrcast_all!D51</f>
        <v/>
      </c>
      <c r="E51" s="13">
        <f>SUM(B51:D51)</f>
        <v/>
      </c>
      <c r="G51" t="n">
        <v>40</v>
      </c>
      <c r="H51" s="15" t="n">
        <v>3558.968055510048</v>
      </c>
      <c r="I51" s="15" t="n">
        <v>381.2319747044435</v>
      </c>
      <c r="J51" s="15" t="n">
        <v>58.24873845286434</v>
      </c>
      <c r="K51" s="28">
        <f>bkrcast_all!K51</f>
        <v/>
      </c>
      <c r="L51" s="28">
        <f>bkrcast_inbkr!K51</f>
        <v/>
      </c>
      <c r="M51" s="28">
        <f>bkrcast_outbkr!K51</f>
        <v/>
      </c>
      <c r="N51" s="28">
        <f>soundcast!K51</f>
        <v/>
      </c>
      <c r="O51" s="18">
        <f>K51/K$102</f>
        <v/>
      </c>
      <c r="P51" s="18">
        <f>L51/L$102</f>
        <v/>
      </c>
      <c r="Q51" s="18">
        <f>M51/M$102</f>
        <v/>
      </c>
      <c r="R51" s="18">
        <f>N51/N$102</f>
        <v/>
      </c>
      <c r="S51" s="18">
        <f>E51/E$102</f>
        <v/>
      </c>
      <c r="AE51" s="6" t="n"/>
    </row>
    <row r="52" spans="1:31">
      <c r="A52" t="n">
        <v>41</v>
      </c>
      <c r="B52" s="13">
        <f>bkrcast_all!B52</f>
        <v/>
      </c>
      <c r="C52" s="13">
        <f>bkrcast_all!C52</f>
        <v/>
      </c>
      <c r="D52" s="13">
        <f>bkrcast_all!D52</f>
        <v/>
      </c>
      <c r="E52" s="13">
        <f>SUM(B52:D52)</f>
        <v/>
      </c>
      <c r="G52" t="n">
        <v>41</v>
      </c>
      <c r="H52" s="15" t="n">
        <v>4683.976488903802</v>
      </c>
      <c r="I52" s="15" t="n">
        <v>377.3764658975783</v>
      </c>
      <c r="J52" s="15" t="n">
        <v>58.48548807792586</v>
      </c>
      <c r="K52" s="28">
        <f>bkrcast_all!K52</f>
        <v/>
      </c>
      <c r="L52" s="28">
        <f>bkrcast_inbkr!K52</f>
        <v/>
      </c>
      <c r="M52" s="28">
        <f>bkrcast_outbkr!K52</f>
        <v/>
      </c>
      <c r="N52" s="28">
        <f>soundcast!K52</f>
        <v/>
      </c>
      <c r="O52" s="18">
        <f>K52/K$102</f>
        <v/>
      </c>
      <c r="P52" s="18">
        <f>L52/L$102</f>
        <v/>
      </c>
      <c r="Q52" s="18">
        <f>M52/M$102</f>
        <v/>
      </c>
      <c r="R52" s="18">
        <f>N52/N$102</f>
        <v/>
      </c>
      <c r="S52" s="18">
        <f>E52/E$102</f>
        <v/>
      </c>
      <c r="AE52" s="6" t="n"/>
    </row>
    <row r="53" spans="1:31">
      <c r="A53" t="n">
        <v>42</v>
      </c>
      <c r="B53" s="13">
        <f>bkrcast_all!B53</f>
        <v/>
      </c>
      <c r="C53" s="13">
        <f>bkrcast_all!C53</f>
        <v/>
      </c>
      <c r="D53" s="13">
        <f>bkrcast_all!D53</f>
        <v/>
      </c>
      <c r="E53" s="13">
        <f>SUM(B53:D53)</f>
        <v/>
      </c>
      <c r="G53" t="n">
        <v>42</v>
      </c>
      <c r="H53" s="15" t="n">
        <v>3123.342066115672</v>
      </c>
      <c r="I53" s="15" t="n">
        <v>317.9097153955378</v>
      </c>
      <c r="J53" s="15" t="n">
        <v>47.97845751272554</v>
      </c>
      <c r="K53" s="28">
        <f>bkrcast_all!K53</f>
        <v/>
      </c>
      <c r="L53" s="28">
        <f>bkrcast_inbkr!K53</f>
        <v/>
      </c>
      <c r="M53" s="28">
        <f>bkrcast_outbkr!K53</f>
        <v/>
      </c>
      <c r="N53" s="28">
        <f>soundcast!K53</f>
        <v/>
      </c>
      <c r="O53" s="18">
        <f>K53/K$102</f>
        <v/>
      </c>
      <c r="P53" s="18">
        <f>L53/L$102</f>
        <v/>
      </c>
      <c r="Q53" s="18">
        <f>M53/M$102</f>
        <v/>
      </c>
      <c r="R53" s="18">
        <f>N53/N$102</f>
        <v/>
      </c>
      <c r="S53" s="18">
        <f>E53/E$102</f>
        <v/>
      </c>
      <c r="AE53" s="6" t="n"/>
    </row>
    <row r="54" spans="1:31">
      <c r="A54" t="n">
        <v>43</v>
      </c>
      <c r="B54" s="13">
        <f>bkrcast_all!B54</f>
        <v/>
      </c>
      <c r="C54" s="13">
        <f>bkrcast_all!C54</f>
        <v/>
      </c>
      <c r="D54" s="13">
        <f>bkrcast_all!D54</f>
        <v/>
      </c>
      <c r="E54" s="13">
        <f>SUM(B54:D54)</f>
        <v/>
      </c>
      <c r="G54" t="n">
        <v>43</v>
      </c>
      <c r="H54" s="15" t="n">
        <v>2852.530495991549</v>
      </c>
      <c r="I54" s="15" t="n">
        <v>378.590614020281</v>
      </c>
      <c r="J54" s="15" t="n">
        <v>75.50423290161086</v>
      </c>
      <c r="K54" s="28">
        <f>bkrcast_all!K54</f>
        <v/>
      </c>
      <c r="L54" s="28">
        <f>bkrcast_inbkr!K54</f>
        <v/>
      </c>
      <c r="M54" s="28">
        <f>bkrcast_outbkr!K54</f>
        <v/>
      </c>
      <c r="N54" s="28">
        <f>soundcast!K54</f>
        <v/>
      </c>
      <c r="O54" s="18">
        <f>K54/K$102</f>
        <v/>
      </c>
      <c r="P54" s="18">
        <f>L54/L$102</f>
        <v/>
      </c>
      <c r="Q54" s="18">
        <f>M54/M$102</f>
        <v/>
      </c>
      <c r="R54" s="18">
        <f>N54/N$102</f>
        <v/>
      </c>
      <c r="S54" s="18">
        <f>E54/E$102</f>
        <v/>
      </c>
      <c r="AE54" s="6" t="n"/>
    </row>
    <row r="55" spans="1:31">
      <c r="A55" t="n">
        <v>44</v>
      </c>
      <c r="B55" s="13">
        <f>bkrcast_all!B55</f>
        <v/>
      </c>
      <c r="C55" s="13">
        <f>bkrcast_all!C55</f>
        <v/>
      </c>
      <c r="D55" s="13">
        <f>bkrcast_all!D55</f>
        <v/>
      </c>
      <c r="E55" s="13">
        <f>SUM(B55:D55)</f>
        <v/>
      </c>
      <c r="G55" t="n">
        <v>44</v>
      </c>
      <c r="H55" s="15" t="n">
        <v>2585.007831583651</v>
      </c>
      <c r="I55" s="15" t="n">
        <v>258.9852882674348</v>
      </c>
      <c r="J55" s="15" t="n">
        <v>39.96431352271289</v>
      </c>
      <c r="K55" s="28">
        <f>bkrcast_all!K55</f>
        <v/>
      </c>
      <c r="L55" s="28">
        <f>bkrcast_inbkr!K55</f>
        <v/>
      </c>
      <c r="M55" s="28">
        <f>bkrcast_outbkr!K55</f>
        <v/>
      </c>
      <c r="N55" s="28">
        <f>soundcast!K55</f>
        <v/>
      </c>
      <c r="O55" s="18">
        <f>K55/K$102</f>
        <v/>
      </c>
      <c r="P55" s="18">
        <f>L55/L$102</f>
        <v/>
      </c>
      <c r="Q55" s="18">
        <f>M55/M$102</f>
        <v/>
      </c>
      <c r="R55" s="18">
        <f>N55/N$102</f>
        <v/>
      </c>
      <c r="S55" s="18">
        <f>E55/E$102</f>
        <v/>
      </c>
      <c r="AE55" s="6" t="n"/>
    </row>
    <row r="56" spans="1:31">
      <c r="A56" t="n">
        <v>45</v>
      </c>
      <c r="B56" s="13">
        <f>bkrcast_all!B56</f>
        <v/>
      </c>
      <c r="C56" s="13">
        <f>bkrcast_all!C56</f>
        <v/>
      </c>
      <c r="D56" s="13">
        <f>bkrcast_all!D56</f>
        <v/>
      </c>
      <c r="E56" s="13">
        <f>SUM(B56:D56)</f>
        <v/>
      </c>
      <c r="G56" t="n">
        <v>45</v>
      </c>
      <c r="H56" s="15" t="n">
        <v>3815.617665371787</v>
      </c>
      <c r="I56" s="15" t="n">
        <v>403.2946331424949</v>
      </c>
      <c r="J56" s="15" t="n">
        <v>63.52221915855235</v>
      </c>
      <c r="K56" s="28">
        <f>bkrcast_all!K56</f>
        <v/>
      </c>
      <c r="L56" s="28">
        <f>bkrcast_inbkr!K56</f>
        <v/>
      </c>
      <c r="M56" s="28">
        <f>bkrcast_outbkr!K56</f>
        <v/>
      </c>
      <c r="N56" s="28">
        <f>soundcast!K56</f>
        <v/>
      </c>
      <c r="O56" s="18">
        <f>K56/K$102</f>
        <v/>
      </c>
      <c r="P56" s="18">
        <f>L56/L$102</f>
        <v/>
      </c>
      <c r="Q56" s="18">
        <f>M56/M$102</f>
        <v/>
      </c>
      <c r="R56" s="18">
        <f>N56/N$102</f>
        <v/>
      </c>
      <c r="S56" s="18">
        <f>E56/E$102</f>
        <v/>
      </c>
      <c r="AE56" s="6" t="n"/>
    </row>
    <row r="57" spans="1:31">
      <c r="A57" t="n">
        <v>46</v>
      </c>
      <c r="B57" s="13">
        <f>bkrcast_all!B57</f>
        <v/>
      </c>
      <c r="C57" s="13">
        <f>bkrcast_all!C57</f>
        <v/>
      </c>
      <c r="D57" s="13">
        <f>bkrcast_all!D57</f>
        <v/>
      </c>
      <c r="E57" s="13">
        <f>SUM(B57:D57)</f>
        <v/>
      </c>
      <c r="G57" t="n">
        <v>46</v>
      </c>
      <c r="H57" s="15" t="n">
        <v>3330.841333932502</v>
      </c>
      <c r="I57" s="15" t="n">
        <v>432.6318355580103</v>
      </c>
      <c r="J57" s="15" t="n">
        <v>98.0733666649099</v>
      </c>
      <c r="K57" s="28">
        <f>bkrcast_all!K57</f>
        <v/>
      </c>
      <c r="L57" s="28">
        <f>bkrcast_inbkr!K57</f>
        <v/>
      </c>
      <c r="M57" s="28">
        <f>bkrcast_outbkr!K57</f>
        <v/>
      </c>
      <c r="N57" s="28">
        <f>soundcast!K57</f>
        <v/>
      </c>
      <c r="O57" s="18">
        <f>K57/K$102</f>
        <v/>
      </c>
      <c r="P57" s="18">
        <f>L57/L$102</f>
        <v/>
      </c>
      <c r="Q57" s="18">
        <f>M57/M$102</f>
        <v/>
      </c>
      <c r="R57" s="18">
        <f>N57/N$102</f>
        <v/>
      </c>
      <c r="S57" s="18">
        <f>E57/E$102</f>
        <v/>
      </c>
      <c r="AE57" s="6" t="n"/>
    </row>
    <row r="58" spans="1:31">
      <c r="A58" t="n">
        <v>47</v>
      </c>
      <c r="B58" s="13">
        <f>bkrcast_all!B58</f>
        <v/>
      </c>
      <c r="C58" s="13">
        <f>bkrcast_all!C58</f>
        <v/>
      </c>
      <c r="D58" s="13">
        <f>bkrcast_all!D58</f>
        <v/>
      </c>
      <c r="E58" s="13">
        <f>SUM(B58:D58)</f>
        <v/>
      </c>
      <c r="G58" t="n">
        <v>47</v>
      </c>
      <c r="H58" s="15" t="n">
        <v>3039.988691518913</v>
      </c>
      <c r="I58" s="15" t="n">
        <v>280.0361008103745</v>
      </c>
      <c r="J58" s="15" t="n">
        <v>54.01461610550752</v>
      </c>
      <c r="K58" s="28">
        <f>bkrcast_all!K58</f>
        <v/>
      </c>
      <c r="L58" s="28">
        <f>bkrcast_inbkr!K58</f>
        <v/>
      </c>
      <c r="M58" s="28">
        <f>bkrcast_outbkr!K58</f>
        <v/>
      </c>
      <c r="N58" s="28">
        <f>soundcast!K58</f>
        <v/>
      </c>
      <c r="O58" s="18">
        <f>K58/K$102</f>
        <v/>
      </c>
      <c r="P58" s="18">
        <f>L58/L$102</f>
        <v/>
      </c>
      <c r="Q58" s="18">
        <f>M58/M$102</f>
        <v/>
      </c>
      <c r="R58" s="18">
        <f>N58/N$102</f>
        <v/>
      </c>
      <c r="S58" s="18">
        <f>E58/E$102</f>
        <v/>
      </c>
      <c r="AE58" s="6" t="n"/>
    </row>
    <row r="59" spans="1:31">
      <c r="A59" t="n">
        <v>48</v>
      </c>
      <c r="B59" s="13">
        <f>bkrcast_all!B59</f>
        <v/>
      </c>
      <c r="C59" s="13">
        <f>bkrcast_all!C59</f>
        <v/>
      </c>
      <c r="D59" s="13">
        <f>bkrcast_all!D59</f>
        <v/>
      </c>
      <c r="E59" s="13">
        <f>SUM(B59:D59)</f>
        <v/>
      </c>
      <c r="G59" t="n">
        <v>48</v>
      </c>
      <c r="H59" s="15" t="n">
        <v>1830.174021099007</v>
      </c>
      <c r="I59" s="15" t="n">
        <v>138.1152423045243</v>
      </c>
      <c r="J59" s="15" t="n">
        <v>23.04607069076535</v>
      </c>
      <c r="K59" s="28">
        <f>bkrcast_all!K59</f>
        <v/>
      </c>
      <c r="L59" s="28">
        <f>bkrcast_inbkr!K59</f>
        <v/>
      </c>
      <c r="M59" s="28">
        <f>bkrcast_outbkr!K59</f>
        <v/>
      </c>
      <c r="N59" s="28">
        <f>soundcast!K59</f>
        <v/>
      </c>
      <c r="O59" s="18">
        <f>K59/K$102</f>
        <v/>
      </c>
      <c r="P59" s="18">
        <f>L59/L$102</f>
        <v/>
      </c>
      <c r="Q59" s="18">
        <f>M59/M$102</f>
        <v/>
      </c>
      <c r="R59" s="18">
        <f>N59/N$102</f>
        <v/>
      </c>
      <c r="S59" s="18">
        <f>E59/E$102</f>
        <v/>
      </c>
      <c r="AE59" s="6" t="n"/>
    </row>
    <row r="60" spans="1:31">
      <c r="A60" t="n">
        <v>49</v>
      </c>
      <c r="B60" s="13">
        <f>bkrcast_all!B60</f>
        <v/>
      </c>
      <c r="C60" s="13">
        <f>bkrcast_all!C60</f>
        <v/>
      </c>
      <c r="D60" s="13">
        <f>bkrcast_all!D60</f>
        <v/>
      </c>
      <c r="E60" s="13">
        <f>SUM(B60:D60)</f>
        <v/>
      </c>
      <c r="G60" t="n">
        <v>49</v>
      </c>
      <c r="H60" s="15" t="n">
        <v>1597.004639247918</v>
      </c>
      <c r="I60" s="15" t="n">
        <v>121.9042872828116</v>
      </c>
      <c r="J60" s="15" t="n">
        <v>25.00182456140348</v>
      </c>
      <c r="K60" s="28">
        <f>bkrcast_all!K60</f>
        <v/>
      </c>
      <c r="L60" s="28">
        <f>bkrcast_inbkr!K60</f>
        <v/>
      </c>
      <c r="M60" s="28">
        <f>bkrcast_outbkr!K60</f>
        <v/>
      </c>
      <c r="N60" s="28">
        <f>soundcast!K60</f>
        <v/>
      </c>
      <c r="O60" s="18">
        <f>K60/K$102</f>
        <v/>
      </c>
      <c r="P60" s="18">
        <f>L60/L$102</f>
        <v/>
      </c>
      <c r="Q60" s="18">
        <f>M60/M$102</f>
        <v/>
      </c>
      <c r="R60" s="18">
        <f>N60/N$102</f>
        <v/>
      </c>
      <c r="S60" s="18">
        <f>E60/E$102</f>
        <v/>
      </c>
      <c r="AE60" s="6" t="n"/>
    </row>
    <row r="61" spans="1:31">
      <c r="A61" t="n">
        <v>50</v>
      </c>
      <c r="B61" s="13">
        <f>bkrcast_all!B61</f>
        <v/>
      </c>
      <c r="C61" s="13">
        <f>bkrcast_all!C61</f>
        <v/>
      </c>
      <c r="D61" s="13">
        <f>bkrcast_all!D61</f>
        <v/>
      </c>
      <c r="E61" s="13">
        <f>SUM(B61:D61)</f>
        <v/>
      </c>
      <c r="G61" t="n">
        <v>50</v>
      </c>
      <c r="H61" s="15" t="n">
        <v>2073.405109729307</v>
      </c>
      <c r="I61" s="15" t="n">
        <v>232.6795332908324</v>
      </c>
      <c r="J61" s="15" t="n">
        <v>2.75</v>
      </c>
      <c r="K61" s="28">
        <f>bkrcast_all!K61</f>
        <v/>
      </c>
      <c r="L61" s="28">
        <f>bkrcast_inbkr!K61</f>
        <v/>
      </c>
      <c r="M61" s="28">
        <f>bkrcast_outbkr!K61</f>
        <v/>
      </c>
      <c r="N61" s="28">
        <f>soundcast!K61</f>
        <v/>
      </c>
      <c r="O61" s="18">
        <f>K61/K$102</f>
        <v/>
      </c>
      <c r="P61" s="18">
        <f>L61/L$102</f>
        <v/>
      </c>
      <c r="Q61" s="18">
        <f>M61/M$102</f>
        <v/>
      </c>
      <c r="R61" s="18">
        <f>N61/N$102</f>
        <v/>
      </c>
      <c r="S61" s="18">
        <f>E61/E$102</f>
        <v/>
      </c>
      <c r="AE61" s="6" t="n"/>
    </row>
    <row r="62" spans="1:31">
      <c r="A62" t="n">
        <v>51</v>
      </c>
      <c r="B62" s="13">
        <f>bkrcast_all!B62</f>
        <v/>
      </c>
      <c r="C62" s="13">
        <f>bkrcast_all!C62</f>
        <v/>
      </c>
      <c r="D62" s="13">
        <f>bkrcast_all!D62</f>
        <v/>
      </c>
      <c r="E62" s="13">
        <f>SUM(B62:D62)</f>
        <v/>
      </c>
      <c r="G62" t="n">
        <v>51</v>
      </c>
      <c r="H62" s="15" t="n">
        <v>1876.959998079056</v>
      </c>
      <c r="I62" s="15" t="n">
        <v>158.2148609450503</v>
      </c>
      <c r="J62" s="15" t="n">
        <v>20.74155593479945</v>
      </c>
      <c r="K62" s="28">
        <f>bkrcast_all!K62</f>
        <v/>
      </c>
      <c r="L62" s="28">
        <f>bkrcast_inbkr!K62</f>
        <v/>
      </c>
      <c r="M62" s="28">
        <f>bkrcast_outbkr!K62</f>
        <v/>
      </c>
      <c r="N62" s="28">
        <f>soundcast!K62</f>
        <v/>
      </c>
      <c r="O62" s="18">
        <f>K62/K$102</f>
        <v/>
      </c>
      <c r="P62" s="18">
        <f>L62/L$102</f>
        <v/>
      </c>
      <c r="Q62" s="18">
        <f>M62/M$102</f>
        <v/>
      </c>
      <c r="R62" s="18">
        <f>N62/N$102</f>
        <v/>
      </c>
      <c r="S62" s="18">
        <f>E62/E$102</f>
        <v/>
      </c>
      <c r="AE62" s="6" t="n"/>
    </row>
    <row r="63" spans="1:31">
      <c r="A63" t="n">
        <v>52</v>
      </c>
      <c r="B63" s="13">
        <f>bkrcast_all!B63</f>
        <v/>
      </c>
      <c r="C63" s="13">
        <f>bkrcast_all!C63</f>
        <v/>
      </c>
      <c r="D63" s="13">
        <f>bkrcast_all!D63</f>
        <v/>
      </c>
      <c r="E63" s="13">
        <f>SUM(B63:D63)</f>
        <v/>
      </c>
      <c r="G63" t="n">
        <v>52</v>
      </c>
      <c r="H63" s="15" t="n">
        <v>970.6101458938297</v>
      </c>
      <c r="I63" s="15" t="n">
        <v>108.5799406370363</v>
      </c>
      <c r="J63" s="15" t="n">
        <v>6.98936170212766</v>
      </c>
      <c r="K63" s="28">
        <f>bkrcast_all!K63</f>
        <v/>
      </c>
      <c r="L63" s="28">
        <f>bkrcast_inbkr!K63</f>
        <v/>
      </c>
      <c r="M63" s="28">
        <f>bkrcast_outbkr!K63</f>
        <v/>
      </c>
      <c r="N63" s="28">
        <f>soundcast!K63</f>
        <v/>
      </c>
      <c r="O63" s="18">
        <f>K63/K$102</f>
        <v/>
      </c>
      <c r="P63" s="18">
        <f>L63/L$102</f>
        <v/>
      </c>
      <c r="Q63" s="18">
        <f>M63/M$102</f>
        <v/>
      </c>
      <c r="R63" s="18">
        <f>N63/N$102</f>
        <v/>
      </c>
      <c r="S63" s="18">
        <f>E63/E$102</f>
        <v/>
      </c>
      <c r="AE63" s="6" t="n"/>
    </row>
    <row r="64" spans="1:31">
      <c r="A64" t="n">
        <v>53</v>
      </c>
      <c r="B64" s="13">
        <f>bkrcast_all!B64</f>
        <v/>
      </c>
      <c r="C64" s="13">
        <f>bkrcast_all!C64</f>
        <v/>
      </c>
      <c r="D64" s="13">
        <f>bkrcast_all!D64</f>
        <v/>
      </c>
      <c r="E64" s="13">
        <f>SUM(B64:D64)</f>
        <v/>
      </c>
      <c r="G64" t="n">
        <v>53</v>
      </c>
      <c r="H64" s="15" t="n">
        <v>1313.350366873858</v>
      </c>
      <c r="I64" s="15" t="n">
        <v>72.1487330251036</v>
      </c>
      <c r="J64" s="15" t="n">
        <v>65.11481897882197</v>
      </c>
      <c r="K64" s="28">
        <f>bkrcast_all!K64</f>
        <v/>
      </c>
      <c r="L64" s="28">
        <f>bkrcast_inbkr!K64</f>
        <v/>
      </c>
      <c r="M64" s="28">
        <f>bkrcast_outbkr!K64</f>
        <v/>
      </c>
      <c r="N64" s="28">
        <f>soundcast!K64</f>
        <v/>
      </c>
      <c r="O64" s="18">
        <f>K64/K$102</f>
        <v/>
      </c>
      <c r="P64" s="18">
        <f>L64/L$102</f>
        <v/>
      </c>
      <c r="Q64" s="18">
        <f>M64/M$102</f>
        <v/>
      </c>
      <c r="R64" s="18">
        <f>N64/N$102</f>
        <v/>
      </c>
      <c r="S64" s="18">
        <f>E64/E$102</f>
        <v/>
      </c>
      <c r="AE64" s="6" t="n"/>
    </row>
    <row r="65" spans="1:31">
      <c r="A65" t="n">
        <v>54</v>
      </c>
      <c r="B65" s="13">
        <f>bkrcast_all!B65</f>
        <v/>
      </c>
      <c r="C65" s="13">
        <f>bkrcast_all!C65</f>
        <v/>
      </c>
      <c r="D65" s="13">
        <f>bkrcast_all!D65</f>
        <v/>
      </c>
      <c r="E65" s="13">
        <f>SUM(B65:D65)</f>
        <v/>
      </c>
      <c r="G65" t="n">
        <v>54</v>
      </c>
      <c r="H65" s="15" t="n">
        <v>851.8877496369579</v>
      </c>
      <c r="I65" s="15" t="n">
        <v>63.75937086950264</v>
      </c>
      <c r="J65" s="15" t="n">
        <v>10.0107913669065</v>
      </c>
      <c r="K65" s="28">
        <f>bkrcast_all!K65</f>
        <v/>
      </c>
      <c r="L65" s="28">
        <f>bkrcast_inbkr!K65</f>
        <v/>
      </c>
      <c r="M65" s="28">
        <f>bkrcast_outbkr!K65</f>
        <v/>
      </c>
      <c r="N65" s="28">
        <f>soundcast!K65</f>
        <v/>
      </c>
      <c r="O65" s="18">
        <f>K65/K$102</f>
        <v/>
      </c>
      <c r="P65" s="18">
        <f>L65/L$102</f>
        <v/>
      </c>
      <c r="Q65" s="18">
        <f>M65/M$102</f>
        <v/>
      </c>
      <c r="R65" s="18">
        <f>N65/N$102</f>
        <v/>
      </c>
      <c r="S65" s="18">
        <f>E65/E$102</f>
        <v/>
      </c>
      <c r="AE65" s="6" t="n"/>
    </row>
    <row r="66" spans="1:31">
      <c r="A66" t="n">
        <v>55</v>
      </c>
      <c r="B66" s="13">
        <f>bkrcast_all!B66</f>
        <v/>
      </c>
      <c r="C66" s="13">
        <f>bkrcast_all!C66</f>
        <v/>
      </c>
      <c r="D66" s="13">
        <f>bkrcast_all!D66</f>
        <v/>
      </c>
      <c r="E66" s="13">
        <f>SUM(B66:D66)</f>
        <v/>
      </c>
      <c r="G66" t="n">
        <v>55</v>
      </c>
      <c r="H66" s="15" t="n">
        <v>1420.056949359914</v>
      </c>
      <c r="I66" s="15" t="n">
        <v>134.034749387494</v>
      </c>
      <c r="J66" s="15" t="n">
        <v>10.24649122807018</v>
      </c>
      <c r="K66" s="28">
        <f>bkrcast_all!K66</f>
        <v/>
      </c>
      <c r="L66" s="28">
        <f>bkrcast_inbkr!K66</f>
        <v/>
      </c>
      <c r="M66" s="28">
        <f>bkrcast_outbkr!K66</f>
        <v/>
      </c>
      <c r="N66" s="28">
        <f>soundcast!K66</f>
        <v/>
      </c>
      <c r="O66" s="18">
        <f>K66/K$102</f>
        <v/>
      </c>
      <c r="P66" s="18">
        <f>L66/L$102</f>
        <v/>
      </c>
      <c r="Q66" s="18">
        <f>M66/M$102</f>
        <v/>
      </c>
      <c r="R66" s="18">
        <f>N66/N$102</f>
        <v/>
      </c>
      <c r="S66" s="18">
        <f>E66/E$102</f>
        <v/>
      </c>
      <c r="AE66" s="6" t="n"/>
    </row>
    <row r="67" spans="1:31">
      <c r="A67" t="n">
        <v>56</v>
      </c>
      <c r="B67" s="13">
        <f>bkrcast_all!B67</f>
        <v/>
      </c>
      <c r="C67" s="13">
        <f>bkrcast_all!C67</f>
        <v/>
      </c>
      <c r="D67" s="13">
        <f>bkrcast_all!D67</f>
        <v/>
      </c>
      <c r="E67" s="13">
        <f>SUM(B67:D67)</f>
        <v/>
      </c>
      <c r="G67" t="n">
        <v>56</v>
      </c>
      <c r="H67" s="15" t="n">
        <v>542.7347868770037</v>
      </c>
      <c r="I67" s="15" t="n">
        <v>87.79395653212858</v>
      </c>
      <c r="J67" s="15" t="n">
        <v>9.96551724137931</v>
      </c>
      <c r="K67" s="28">
        <f>bkrcast_all!K67</f>
        <v/>
      </c>
      <c r="L67" s="28">
        <f>bkrcast_inbkr!K67</f>
        <v/>
      </c>
      <c r="M67" s="28">
        <f>bkrcast_outbkr!K67</f>
        <v/>
      </c>
      <c r="N67" s="28">
        <f>soundcast!K67</f>
        <v/>
      </c>
      <c r="O67" s="18">
        <f>K67/K$102</f>
        <v/>
      </c>
      <c r="P67" s="18">
        <f>L67/L$102</f>
        <v/>
      </c>
      <c r="Q67" s="18">
        <f>M67/M$102</f>
        <v/>
      </c>
      <c r="R67" s="18">
        <f>N67/N$102</f>
        <v/>
      </c>
      <c r="S67" s="18">
        <f>E67/E$102</f>
        <v/>
      </c>
      <c r="AE67" s="6" t="n"/>
    </row>
    <row r="68" spans="1:31">
      <c r="A68" t="n">
        <v>57</v>
      </c>
      <c r="B68" s="13">
        <f>bkrcast_all!B68</f>
        <v/>
      </c>
      <c r="C68" s="13">
        <f>bkrcast_all!C68</f>
        <v/>
      </c>
      <c r="D68" s="13">
        <f>bkrcast_all!D68</f>
        <v/>
      </c>
      <c r="E68" s="13">
        <f>SUM(B68:D68)</f>
        <v/>
      </c>
      <c r="G68" t="n">
        <v>57</v>
      </c>
      <c r="H68" s="15" t="n">
        <v>1134.739508484924</v>
      </c>
      <c r="I68" s="15" t="n">
        <v>129.4137450043505</v>
      </c>
      <c r="J68" s="15" t="n">
        <v>10</v>
      </c>
      <c r="K68" s="28">
        <f>bkrcast_all!K68</f>
        <v/>
      </c>
      <c r="L68" s="28">
        <f>bkrcast_inbkr!K68</f>
        <v/>
      </c>
      <c r="M68" s="28">
        <f>bkrcast_outbkr!K68</f>
        <v/>
      </c>
      <c r="N68" s="28">
        <f>soundcast!K68</f>
        <v/>
      </c>
      <c r="O68" s="18">
        <f>K68/K$102</f>
        <v/>
      </c>
      <c r="P68" s="18">
        <f>L68/L$102</f>
        <v/>
      </c>
      <c r="Q68" s="18">
        <f>M68/M$102</f>
        <v/>
      </c>
      <c r="R68" s="18">
        <f>N68/N$102</f>
        <v/>
      </c>
      <c r="S68" s="18">
        <f>E68/E$102</f>
        <v/>
      </c>
      <c r="AE68" s="6" t="n"/>
    </row>
    <row r="69" spans="1:31">
      <c r="A69" t="n">
        <v>58</v>
      </c>
      <c r="B69" s="13">
        <f>bkrcast_all!B69</f>
        <v/>
      </c>
      <c r="C69" s="13">
        <f>bkrcast_all!C69</f>
        <v/>
      </c>
      <c r="D69" s="13">
        <f>bkrcast_all!D69</f>
        <v/>
      </c>
      <c r="E69" s="13">
        <f>SUM(B69:D69)</f>
        <v/>
      </c>
      <c r="G69" t="n">
        <v>58</v>
      </c>
      <c r="H69" s="15" t="n">
        <v>384.7867738050757</v>
      </c>
      <c r="I69" s="15" t="n">
        <v>52.85748436522837</v>
      </c>
      <c r="J69" s="15" t="n">
        <v>9.928755641521601</v>
      </c>
      <c r="K69" s="28">
        <f>bkrcast_all!K69</f>
        <v/>
      </c>
      <c r="L69" s="28">
        <f>bkrcast_inbkr!K69</f>
        <v/>
      </c>
      <c r="M69" s="28">
        <f>bkrcast_outbkr!K69</f>
        <v/>
      </c>
      <c r="N69" s="28">
        <f>soundcast!K69</f>
        <v/>
      </c>
      <c r="O69" s="18">
        <f>K69/K$102</f>
        <v/>
      </c>
      <c r="P69" s="18">
        <f>L69/L$102</f>
        <v/>
      </c>
      <c r="Q69" s="18">
        <f>M69/M$102</f>
        <v/>
      </c>
      <c r="R69" s="18">
        <f>N69/N$102</f>
        <v/>
      </c>
      <c r="S69" s="18">
        <f>E69/E$102</f>
        <v/>
      </c>
      <c r="AE69" s="6" t="n"/>
    </row>
    <row r="70" spans="1:31">
      <c r="A70" t="n">
        <v>59</v>
      </c>
      <c r="B70" s="13">
        <f>bkrcast_all!B70</f>
        <v/>
      </c>
      <c r="C70" s="13">
        <f>bkrcast_all!C70</f>
        <v/>
      </c>
      <c r="D70" s="13">
        <f>bkrcast_all!D70</f>
        <v/>
      </c>
      <c r="E70" s="13">
        <f>SUM(B70:D70)</f>
        <v/>
      </c>
      <c r="G70" t="n">
        <v>59</v>
      </c>
      <c r="H70" s="15" t="n">
        <v>786.440026131736</v>
      </c>
      <c r="I70" s="15" t="n">
        <v>46.98486235282618</v>
      </c>
      <c r="J70" s="15" t="n">
        <v>25.2833333333334</v>
      </c>
      <c r="K70" s="28">
        <f>bkrcast_all!K70</f>
        <v/>
      </c>
      <c r="L70" s="28">
        <f>bkrcast_inbkr!K70</f>
        <v/>
      </c>
      <c r="M70" s="28">
        <f>bkrcast_outbkr!K70</f>
        <v/>
      </c>
      <c r="N70" s="28">
        <f>soundcast!K70</f>
        <v/>
      </c>
      <c r="O70" s="18">
        <f>K70/K$102</f>
        <v/>
      </c>
      <c r="P70" s="18">
        <f>L70/L$102</f>
        <v/>
      </c>
      <c r="Q70" s="18">
        <f>M70/M$102</f>
        <v/>
      </c>
      <c r="R70" s="18">
        <f>N70/N$102</f>
        <v/>
      </c>
      <c r="S70" s="18">
        <f>E70/E$102</f>
        <v/>
      </c>
      <c r="AE70" s="6" t="n"/>
    </row>
    <row r="71" spans="1:31">
      <c r="A71" t="n">
        <v>60</v>
      </c>
      <c r="B71" s="13">
        <f>bkrcast_all!B71</f>
        <v/>
      </c>
      <c r="C71" s="13">
        <f>bkrcast_all!C71</f>
        <v/>
      </c>
      <c r="D71" s="13">
        <f>bkrcast_all!D71</f>
        <v/>
      </c>
      <c r="E71" s="13">
        <f>SUM(B71:D71)</f>
        <v/>
      </c>
      <c r="G71" t="n">
        <v>60</v>
      </c>
      <c r="H71" s="15" t="n">
        <v>375.7543167533186</v>
      </c>
      <c r="I71" s="15" t="n">
        <v>15.42307692307692</v>
      </c>
      <c r="J71" s="15" t="n">
        <v>10.5526315789474</v>
      </c>
      <c r="K71" s="28">
        <f>bkrcast_all!K71</f>
        <v/>
      </c>
      <c r="L71" s="28">
        <f>bkrcast_inbkr!K71</f>
        <v/>
      </c>
      <c r="M71" s="28">
        <f>bkrcast_outbkr!K71</f>
        <v/>
      </c>
      <c r="N71" s="28">
        <f>soundcast!K71</f>
        <v/>
      </c>
      <c r="O71" s="18">
        <f>K71/K$102</f>
        <v/>
      </c>
      <c r="P71" s="18">
        <f>L71/L$102</f>
        <v/>
      </c>
      <c r="Q71" s="18">
        <f>M71/M$102</f>
        <v/>
      </c>
      <c r="R71" s="18">
        <f>N71/N$102</f>
        <v/>
      </c>
      <c r="S71" s="18">
        <f>E71/E$102</f>
        <v/>
      </c>
      <c r="AE71" s="6" t="n"/>
    </row>
    <row r="72" spans="1:31">
      <c r="A72" t="n">
        <v>61</v>
      </c>
      <c r="B72" s="13">
        <f>bkrcast_all!B72</f>
        <v/>
      </c>
      <c r="C72" s="13">
        <f>bkrcast_all!C72</f>
        <v/>
      </c>
      <c r="D72" s="13">
        <f>bkrcast_all!D72</f>
        <v/>
      </c>
      <c r="E72" s="13">
        <f>SUM(B72:D72)</f>
        <v/>
      </c>
      <c r="G72" t="n">
        <v>61</v>
      </c>
      <c r="H72" s="15" t="n">
        <v>554.7499724919645</v>
      </c>
      <c r="I72" s="15" t="n">
        <v>63.10791156059731</v>
      </c>
      <c r="J72" s="15" t="n">
        <v>29.98726311681536</v>
      </c>
      <c r="K72" s="28">
        <f>bkrcast_all!K72</f>
        <v/>
      </c>
      <c r="L72" s="28">
        <f>bkrcast_inbkr!K72</f>
        <v/>
      </c>
      <c r="M72" s="28">
        <f>bkrcast_outbkr!K72</f>
        <v/>
      </c>
      <c r="N72" s="28">
        <f>soundcast!K72</f>
        <v/>
      </c>
      <c r="O72" s="18">
        <f>K72/K$102</f>
        <v/>
      </c>
      <c r="P72" s="18">
        <f>L72/L$102</f>
        <v/>
      </c>
      <c r="Q72" s="18">
        <f>M72/M$102</f>
        <v/>
      </c>
      <c r="R72" s="18">
        <f>N72/N$102</f>
        <v/>
      </c>
      <c r="S72" s="18">
        <f>E72/E$102</f>
        <v/>
      </c>
      <c r="AE72" s="6" t="n"/>
    </row>
    <row r="73" spans="1:31">
      <c r="A73" t="n">
        <v>62</v>
      </c>
      <c r="B73" s="13">
        <f>bkrcast_all!B73</f>
        <v/>
      </c>
      <c r="C73" s="13">
        <f>bkrcast_all!C73</f>
        <v/>
      </c>
      <c r="D73" s="13">
        <f>bkrcast_all!D73</f>
        <v/>
      </c>
      <c r="E73" s="13">
        <f>SUM(B73:D73)</f>
        <v/>
      </c>
      <c r="G73" t="n">
        <v>62</v>
      </c>
      <c r="H73" s="15" t="n">
        <v>346.5142096697606</v>
      </c>
      <c r="I73" s="15" t="n">
        <v>50.50240760881155</v>
      </c>
      <c r="J73" s="15" t="n">
        <v>0</v>
      </c>
      <c r="K73" s="28">
        <f>bkrcast_all!K73</f>
        <v/>
      </c>
      <c r="L73" s="28">
        <f>bkrcast_inbkr!K73</f>
        <v/>
      </c>
      <c r="M73" s="28">
        <f>bkrcast_outbkr!K73</f>
        <v/>
      </c>
      <c r="N73" s="28">
        <f>soundcast!K73</f>
        <v/>
      </c>
      <c r="O73" s="18">
        <f>K73/K$102</f>
        <v/>
      </c>
      <c r="P73" s="18">
        <f>L73/L$102</f>
        <v/>
      </c>
      <c r="Q73" s="18">
        <f>M73/M$102</f>
        <v/>
      </c>
      <c r="R73" s="18">
        <f>N73/N$102</f>
        <v/>
      </c>
      <c r="S73" s="18">
        <f>E73/E$102</f>
        <v/>
      </c>
      <c r="AE73" s="6" t="n"/>
    </row>
    <row r="74" spans="1:31">
      <c r="A74" t="n">
        <v>63</v>
      </c>
      <c r="B74" s="13">
        <f>bkrcast_all!B74</f>
        <v/>
      </c>
      <c r="C74" s="13">
        <f>bkrcast_all!C74</f>
        <v/>
      </c>
      <c r="D74" s="13">
        <f>bkrcast_all!D74</f>
        <v/>
      </c>
      <c r="E74" s="13">
        <f>SUM(B74:D74)</f>
        <v/>
      </c>
      <c r="G74" t="n">
        <v>63</v>
      </c>
      <c r="H74" s="15" t="n">
        <v>395.6861324876245</v>
      </c>
      <c r="I74" s="15" t="n">
        <v>10.99212598425197</v>
      </c>
      <c r="J74" s="15" t="n">
        <v>0</v>
      </c>
      <c r="K74" s="28">
        <f>bkrcast_all!K74</f>
        <v/>
      </c>
      <c r="L74" s="28">
        <f>bkrcast_inbkr!K74</f>
        <v/>
      </c>
      <c r="M74" s="28">
        <f>bkrcast_outbkr!K74</f>
        <v/>
      </c>
      <c r="N74" s="28">
        <f>soundcast!K74</f>
        <v/>
      </c>
      <c r="O74" s="18">
        <f>K74/K$102</f>
        <v/>
      </c>
      <c r="P74" s="18">
        <f>L74/L$102</f>
        <v/>
      </c>
      <c r="Q74" s="18">
        <f>M74/M$102</f>
        <v/>
      </c>
      <c r="R74" s="18">
        <f>N74/N$102</f>
        <v/>
      </c>
      <c r="S74" s="18">
        <f>E74/E$102</f>
        <v/>
      </c>
      <c r="AE74" s="6" t="n"/>
    </row>
    <row r="75" spans="1:31">
      <c r="A75" t="n">
        <v>64</v>
      </c>
      <c r="B75" s="13">
        <f>bkrcast_all!B75</f>
        <v/>
      </c>
      <c r="C75" s="13">
        <f>bkrcast_all!C75</f>
        <v/>
      </c>
      <c r="D75" s="13">
        <f>bkrcast_all!D75</f>
        <v/>
      </c>
      <c r="E75" s="13">
        <f>SUM(B75:D75)</f>
        <v/>
      </c>
      <c r="G75" t="n">
        <v>64</v>
      </c>
      <c r="H75" s="15" t="n">
        <v>178.2581377732766</v>
      </c>
      <c r="I75" s="15" t="n">
        <v>11</v>
      </c>
      <c r="J75" s="15" t="n">
        <v>0</v>
      </c>
      <c r="K75" s="28">
        <f>bkrcast_all!K75</f>
        <v/>
      </c>
      <c r="L75" s="28">
        <f>bkrcast_inbkr!K75</f>
        <v/>
      </c>
      <c r="M75" s="28">
        <f>bkrcast_outbkr!K75</f>
        <v/>
      </c>
      <c r="N75" s="28">
        <f>soundcast!K75</f>
        <v/>
      </c>
      <c r="O75" s="18">
        <f>K75/K$102</f>
        <v/>
      </c>
      <c r="P75" s="18">
        <f>L75/L$102</f>
        <v/>
      </c>
      <c r="Q75" s="18">
        <f>M75/M$102</f>
        <v/>
      </c>
      <c r="R75" s="18">
        <f>N75/N$102</f>
        <v/>
      </c>
      <c r="S75" s="18">
        <f>E75/E$102</f>
        <v/>
      </c>
      <c r="AE75" s="6" t="n"/>
    </row>
    <row r="76" spans="1:31">
      <c r="A76" t="n">
        <v>65</v>
      </c>
      <c r="B76" s="13">
        <f>bkrcast_all!B76</f>
        <v/>
      </c>
      <c r="C76" s="13">
        <f>bkrcast_all!C76</f>
        <v/>
      </c>
      <c r="D76" s="13">
        <f>bkrcast_all!D76</f>
        <v/>
      </c>
      <c r="E76" s="13">
        <f>SUM(B76:D76)</f>
        <v/>
      </c>
      <c r="G76" t="n">
        <v>65</v>
      </c>
      <c r="H76" s="15" t="n">
        <v>314.9286004347603</v>
      </c>
      <c r="I76" s="15" t="n">
        <v>34.92189647766324</v>
      </c>
      <c r="J76" s="15" t="n">
        <v>19.94137967687078</v>
      </c>
      <c r="K76" s="28">
        <f>bkrcast_all!K76</f>
        <v/>
      </c>
      <c r="L76" s="28">
        <f>bkrcast_inbkr!K76</f>
        <v/>
      </c>
      <c r="M76" s="28">
        <f>bkrcast_outbkr!K76</f>
        <v/>
      </c>
      <c r="N76" s="28">
        <f>soundcast!K76</f>
        <v/>
      </c>
      <c r="O76" s="18">
        <f>K76/K$102</f>
        <v/>
      </c>
      <c r="P76" s="18">
        <f>L76/L$102</f>
        <v/>
      </c>
      <c r="Q76" s="18">
        <f>M76/M$102</f>
        <v/>
      </c>
      <c r="R76" s="18">
        <f>N76/N$102</f>
        <v/>
      </c>
      <c r="S76" s="18">
        <f>E76/E$102</f>
        <v/>
      </c>
      <c r="AE76" s="6" t="n"/>
    </row>
    <row r="77" spans="1:31">
      <c r="A77" t="n">
        <v>66</v>
      </c>
      <c r="B77" s="13">
        <f>bkrcast_all!B77</f>
        <v/>
      </c>
      <c r="C77" s="13">
        <f>bkrcast_all!C77</f>
        <v/>
      </c>
      <c r="D77" s="13">
        <f>bkrcast_all!D77</f>
        <v/>
      </c>
      <c r="E77" s="13">
        <f>SUM(B77:D77)</f>
        <v/>
      </c>
      <c r="G77" t="n">
        <v>66</v>
      </c>
      <c r="H77" s="15" t="n">
        <v>257.195352502453</v>
      </c>
      <c r="I77" s="15" t="n">
        <v>0</v>
      </c>
      <c r="J77" s="15" t="n">
        <v>0</v>
      </c>
      <c r="K77" s="28">
        <f>bkrcast_all!K77</f>
        <v/>
      </c>
      <c r="L77" s="28">
        <f>bkrcast_inbkr!K77</f>
        <v/>
      </c>
      <c r="M77" s="28">
        <f>bkrcast_outbkr!K77</f>
        <v/>
      </c>
      <c r="N77" s="28">
        <f>soundcast!K77</f>
        <v/>
      </c>
      <c r="O77" s="18">
        <f>K77/K$102</f>
        <v/>
      </c>
      <c r="P77" s="18">
        <f>L77/L$102</f>
        <v/>
      </c>
      <c r="Q77" s="18">
        <f>M77/M$102</f>
        <v/>
      </c>
      <c r="R77" s="18">
        <f>N77/N$102</f>
        <v/>
      </c>
      <c r="S77" s="18">
        <f>E77/E$102</f>
        <v/>
      </c>
      <c r="AE77" s="6" t="n"/>
    </row>
    <row r="78" spans="1:31">
      <c r="A78" t="n">
        <v>67</v>
      </c>
      <c r="B78" s="13">
        <f>bkrcast_all!B78</f>
        <v/>
      </c>
      <c r="C78" s="13">
        <f>bkrcast_all!C78</f>
        <v/>
      </c>
      <c r="D78" s="13">
        <f>bkrcast_all!D78</f>
        <v/>
      </c>
      <c r="E78" s="13">
        <f>SUM(B78:D78)</f>
        <v/>
      </c>
      <c r="G78" t="n">
        <v>67</v>
      </c>
      <c r="H78" s="15" t="n">
        <v>319.9931915260211</v>
      </c>
      <c r="I78" s="15" t="n">
        <v>9.939393939393939</v>
      </c>
      <c r="J78" s="15" t="n">
        <v>0</v>
      </c>
      <c r="K78" s="28">
        <f>bkrcast_all!K78</f>
        <v/>
      </c>
      <c r="L78" s="28">
        <f>bkrcast_inbkr!K78</f>
        <v/>
      </c>
      <c r="M78" s="28">
        <f>bkrcast_outbkr!K78</f>
        <v/>
      </c>
      <c r="N78" s="28">
        <f>soundcast!K78</f>
        <v/>
      </c>
      <c r="O78" s="18">
        <f>K78/K$102</f>
        <v/>
      </c>
      <c r="P78" s="18">
        <f>L78/L$102</f>
        <v/>
      </c>
      <c r="Q78" s="18">
        <f>M78/M$102</f>
        <v/>
      </c>
      <c r="R78" s="18">
        <f>N78/N$102</f>
        <v/>
      </c>
      <c r="S78" s="18">
        <f>E78/E$102</f>
        <v/>
      </c>
      <c r="AE78" s="6" t="n"/>
    </row>
    <row r="79" spans="1:31">
      <c r="A79" t="n">
        <v>68</v>
      </c>
      <c r="B79" s="13">
        <f>bkrcast_all!B79</f>
        <v/>
      </c>
      <c r="C79" s="13">
        <f>bkrcast_all!C79</f>
        <v/>
      </c>
      <c r="D79" s="13">
        <f>bkrcast_all!D79</f>
        <v/>
      </c>
      <c r="E79" s="13">
        <f>SUM(B79:D79)</f>
        <v/>
      </c>
      <c r="G79" t="n">
        <v>68</v>
      </c>
      <c r="H79" s="15" t="n">
        <v>210.8697701527346</v>
      </c>
      <c r="I79" s="15" t="n">
        <v>29.97500360887872</v>
      </c>
      <c r="J79" s="15" t="n">
        <v>0</v>
      </c>
      <c r="K79" s="28">
        <f>bkrcast_all!K79</f>
        <v/>
      </c>
      <c r="L79" s="28">
        <f>bkrcast_inbkr!K79</f>
        <v/>
      </c>
      <c r="M79" s="28">
        <f>bkrcast_outbkr!K79</f>
        <v/>
      </c>
      <c r="N79" s="28">
        <f>soundcast!K79</f>
        <v/>
      </c>
      <c r="O79" s="18">
        <f>K79/K$102</f>
        <v/>
      </c>
      <c r="P79" s="18">
        <f>L79/L$102</f>
        <v/>
      </c>
      <c r="Q79" s="18">
        <f>M79/M$102</f>
        <v/>
      </c>
      <c r="R79" s="18">
        <f>N79/N$102</f>
        <v/>
      </c>
      <c r="S79" s="18">
        <f>E79/E$102</f>
        <v/>
      </c>
      <c r="AE79" s="6" t="n"/>
    </row>
    <row r="80" spans="1:31">
      <c r="A80" t="n">
        <v>69</v>
      </c>
      <c r="B80" s="13">
        <f>bkrcast_all!B80</f>
        <v/>
      </c>
      <c r="C80" s="13">
        <f>bkrcast_all!C80</f>
        <v/>
      </c>
      <c r="D80" s="13">
        <f>bkrcast_all!D80</f>
        <v/>
      </c>
      <c r="E80" s="13">
        <f>SUM(B80:D80)</f>
        <v/>
      </c>
      <c r="G80" t="n">
        <v>69</v>
      </c>
      <c r="H80" s="15" t="n">
        <v>125.1230819955389</v>
      </c>
      <c r="I80" s="15" t="n">
        <v>0</v>
      </c>
      <c r="J80" s="15" t="n">
        <v>0</v>
      </c>
      <c r="K80" s="28">
        <f>bkrcast_all!K80</f>
        <v/>
      </c>
      <c r="L80" s="28">
        <f>bkrcast_inbkr!K80</f>
        <v/>
      </c>
      <c r="M80" s="28">
        <f>bkrcast_outbkr!K80</f>
        <v/>
      </c>
      <c r="N80" s="28">
        <f>soundcast!K80</f>
        <v/>
      </c>
      <c r="O80" s="18">
        <f>K80/K$102</f>
        <v/>
      </c>
      <c r="P80" s="18">
        <f>L80/L$102</f>
        <v/>
      </c>
      <c r="Q80" s="18">
        <f>M80/M$102</f>
        <v/>
      </c>
      <c r="R80" s="18">
        <f>N80/N$102</f>
        <v/>
      </c>
      <c r="S80" s="18">
        <f>E80/E$102</f>
        <v/>
      </c>
      <c r="AE80" s="6" t="n"/>
    </row>
    <row r="81" spans="1:31">
      <c r="A81" t="n">
        <v>70</v>
      </c>
      <c r="B81" s="13">
        <f>bkrcast_all!B81</f>
        <v/>
      </c>
      <c r="C81" s="13">
        <f>bkrcast_all!C81</f>
        <v/>
      </c>
      <c r="D81" s="13">
        <f>bkrcast_all!D81</f>
        <v/>
      </c>
      <c r="E81" s="13">
        <f>SUM(B81:D81)</f>
        <v/>
      </c>
      <c r="G81" t="n">
        <v>70</v>
      </c>
      <c r="H81" s="15" t="n">
        <v>245.1511981101086</v>
      </c>
      <c r="I81" s="15" t="n">
        <v>9.977678571428569</v>
      </c>
      <c r="J81" s="15" t="n">
        <v>0</v>
      </c>
      <c r="K81" s="28">
        <f>bkrcast_all!K81</f>
        <v/>
      </c>
      <c r="L81" s="28">
        <f>bkrcast_inbkr!K81</f>
        <v/>
      </c>
      <c r="M81" s="28">
        <f>bkrcast_outbkr!K81</f>
        <v/>
      </c>
      <c r="N81" s="28">
        <f>soundcast!K81</f>
        <v/>
      </c>
      <c r="O81" s="18">
        <f>K81/K$102</f>
        <v/>
      </c>
      <c r="P81" s="18">
        <f>L81/L$102</f>
        <v/>
      </c>
      <c r="Q81" s="18">
        <f>M81/M$102</f>
        <v/>
      </c>
      <c r="R81" s="18">
        <f>N81/N$102</f>
        <v/>
      </c>
      <c r="S81" s="18">
        <f>E81/E$102</f>
        <v/>
      </c>
      <c r="AE81" s="6" t="n"/>
    </row>
    <row r="82" spans="1:31">
      <c r="A82" t="n">
        <v>71</v>
      </c>
      <c r="B82" s="13">
        <f>bkrcast_all!B82</f>
        <v/>
      </c>
      <c r="C82" s="13">
        <f>bkrcast_all!C82</f>
        <v/>
      </c>
      <c r="D82" s="13">
        <f>bkrcast_all!D82</f>
        <v/>
      </c>
      <c r="E82" s="13">
        <f>SUM(B82:D82)</f>
        <v/>
      </c>
      <c r="G82" t="n">
        <v>71</v>
      </c>
      <c r="H82" s="15" t="n">
        <v>16.08468720821663</v>
      </c>
      <c r="I82" s="15" t="n">
        <v>9.93333333333333</v>
      </c>
      <c r="J82" s="15" t="n">
        <v>0</v>
      </c>
      <c r="K82" s="28">
        <f>bkrcast_all!K82</f>
        <v/>
      </c>
      <c r="L82" s="28">
        <f>bkrcast_inbkr!K82</f>
        <v/>
      </c>
      <c r="M82" s="28">
        <f>bkrcast_outbkr!K82</f>
        <v/>
      </c>
      <c r="N82" s="28">
        <f>soundcast!K82</f>
        <v/>
      </c>
      <c r="O82" s="18">
        <f>K82/K$102</f>
        <v/>
      </c>
      <c r="P82" s="18">
        <f>L82/L$102</f>
        <v/>
      </c>
      <c r="Q82" s="18">
        <f>M82/M$102</f>
        <v/>
      </c>
      <c r="R82" s="18">
        <f>N82/N$102</f>
        <v/>
      </c>
      <c r="S82" s="18">
        <f>E82/E$102</f>
        <v/>
      </c>
      <c r="AE82" s="6" t="n"/>
    </row>
    <row r="83" spans="1:31">
      <c r="A83" t="n">
        <v>72</v>
      </c>
      <c r="B83" s="13">
        <f>bkrcast_all!B83</f>
        <v/>
      </c>
      <c r="C83" s="13">
        <f>bkrcast_all!C83</f>
        <v/>
      </c>
      <c r="D83" s="13">
        <f>bkrcast_all!D83</f>
        <v/>
      </c>
      <c r="E83" s="13">
        <f>SUM(B83:D83)</f>
        <v/>
      </c>
      <c r="G83" t="n">
        <v>72</v>
      </c>
      <c r="H83" s="15" t="n">
        <v>110.4856346856219</v>
      </c>
      <c r="I83" s="15" t="n">
        <v>19.95</v>
      </c>
      <c r="J83" s="15" t="n">
        <v>0</v>
      </c>
      <c r="K83" s="28">
        <f>bkrcast_all!K83</f>
        <v/>
      </c>
      <c r="L83" s="28">
        <f>bkrcast_inbkr!K83</f>
        <v/>
      </c>
      <c r="M83" s="28">
        <f>bkrcast_outbkr!K83</f>
        <v/>
      </c>
      <c r="N83" s="28">
        <f>soundcast!K83</f>
        <v/>
      </c>
      <c r="O83" s="18">
        <f>K83/K$102</f>
        <v/>
      </c>
      <c r="P83" s="18">
        <f>L83/L$102</f>
        <v/>
      </c>
      <c r="Q83" s="18">
        <f>M83/M$102</f>
        <v/>
      </c>
      <c r="R83" s="18">
        <f>N83/N$102</f>
        <v/>
      </c>
      <c r="S83" s="18">
        <f>E83/E$102</f>
        <v/>
      </c>
      <c r="AE83" s="6" t="n"/>
    </row>
    <row r="84" spans="1:31">
      <c r="A84" t="n">
        <v>73</v>
      </c>
      <c r="B84" s="13">
        <f>bkrcast_all!B84</f>
        <v/>
      </c>
      <c r="C84" s="13">
        <f>bkrcast_all!C84</f>
        <v/>
      </c>
      <c r="D84" s="13">
        <f>bkrcast_all!D84</f>
        <v/>
      </c>
      <c r="E84" s="13">
        <f>SUM(B84:D84)</f>
        <v/>
      </c>
      <c r="G84" t="n">
        <v>73</v>
      </c>
      <c r="H84" s="15" t="n">
        <v>19.97823046159302</v>
      </c>
      <c r="I84" s="13" t="n">
        <v>19.97768959435631</v>
      </c>
      <c r="J84" s="15" t="n">
        <v>0</v>
      </c>
      <c r="K84" s="28">
        <f>bkrcast_all!K84</f>
        <v/>
      </c>
      <c r="L84" s="28">
        <f>bkrcast_inbkr!K84</f>
        <v/>
      </c>
      <c r="M84" s="28">
        <f>bkrcast_outbkr!K84</f>
        <v/>
      </c>
      <c r="N84" s="28">
        <f>soundcast!K84</f>
        <v/>
      </c>
      <c r="O84" s="18">
        <f>K84/K$102</f>
        <v/>
      </c>
      <c r="P84" s="18">
        <f>L84/L$102</f>
        <v/>
      </c>
      <c r="Q84" s="18">
        <f>M84/M$102</f>
        <v/>
      </c>
      <c r="R84" s="18">
        <f>N84/N$102</f>
        <v/>
      </c>
      <c r="S84" s="18">
        <f>E84/E$102</f>
        <v/>
      </c>
      <c r="AE84" s="6" t="n"/>
    </row>
    <row r="85" spans="1:31">
      <c r="A85" t="n">
        <v>74</v>
      </c>
      <c r="B85" s="13">
        <f>bkrcast_all!B85</f>
        <v/>
      </c>
      <c r="C85" s="13">
        <f>bkrcast_all!C85</f>
        <v/>
      </c>
      <c r="D85" s="13">
        <f>bkrcast_all!D85</f>
        <v/>
      </c>
      <c r="E85" s="13">
        <f>SUM(B85:D85)</f>
        <v/>
      </c>
      <c r="G85" t="n">
        <v>74</v>
      </c>
      <c r="H85" s="15" t="n">
        <v>90.17183092488318</v>
      </c>
      <c r="I85" s="15" t="n">
        <v>9.90909090909091</v>
      </c>
      <c r="J85" s="15" t="n">
        <v>0</v>
      </c>
      <c r="K85" s="28">
        <f>bkrcast_all!K85</f>
        <v/>
      </c>
      <c r="L85" s="28">
        <f>bkrcast_inbkr!K85</f>
        <v/>
      </c>
      <c r="M85" s="28">
        <f>bkrcast_outbkr!K85</f>
        <v/>
      </c>
      <c r="N85" s="28">
        <f>soundcast!K85</f>
        <v/>
      </c>
      <c r="O85" s="18">
        <f>K85/K$102</f>
        <v/>
      </c>
      <c r="P85" s="18">
        <f>L85/L$102</f>
        <v/>
      </c>
      <c r="Q85" s="18">
        <f>M85/M$102</f>
        <v/>
      </c>
      <c r="R85" s="18">
        <f>N85/N$102</f>
        <v/>
      </c>
      <c r="S85" s="18">
        <f>E85/E$102</f>
        <v/>
      </c>
      <c r="AE85" s="6" t="n"/>
    </row>
    <row r="86" spans="1:31">
      <c r="A86" t="n">
        <v>75</v>
      </c>
      <c r="B86" s="13">
        <f>bkrcast_all!B86</f>
        <v/>
      </c>
      <c r="C86" s="13">
        <f>bkrcast_all!C86</f>
        <v/>
      </c>
      <c r="D86" s="13">
        <f>bkrcast_all!D86</f>
        <v/>
      </c>
      <c r="E86" s="13">
        <f>SUM(B86:D86)</f>
        <v/>
      </c>
      <c r="G86" t="n">
        <v>75</v>
      </c>
      <c r="H86" s="15" t="n">
        <v>135.0591879811313</v>
      </c>
      <c r="I86" s="13" t="n">
        <v>10.027027027027</v>
      </c>
      <c r="J86" s="15" t="n">
        <v>0</v>
      </c>
      <c r="K86" s="28">
        <f>bkrcast_all!K86</f>
        <v/>
      </c>
      <c r="L86" s="28">
        <f>bkrcast_inbkr!K86</f>
        <v/>
      </c>
      <c r="M86" s="28">
        <f>bkrcast_outbkr!K86</f>
        <v/>
      </c>
      <c r="N86" s="28">
        <f>soundcast!K86</f>
        <v/>
      </c>
      <c r="O86" s="18">
        <f>K86/K$102</f>
        <v/>
      </c>
      <c r="P86" s="18">
        <f>L86/L$102</f>
        <v/>
      </c>
      <c r="Q86" s="18">
        <f>M86/M$102</f>
        <v/>
      </c>
      <c r="R86" s="18">
        <f>N86/N$102</f>
        <v/>
      </c>
      <c r="S86" s="18">
        <f>E86/E$102</f>
        <v/>
      </c>
      <c r="AE86" s="6" t="n"/>
    </row>
    <row r="87" spans="1:31">
      <c r="A87" t="n">
        <v>76</v>
      </c>
      <c r="B87" s="13">
        <f>bkrcast_all!B87</f>
        <v/>
      </c>
      <c r="C87" s="13">
        <f>bkrcast_all!C87</f>
        <v/>
      </c>
      <c r="D87" s="13">
        <f>bkrcast_all!D87</f>
        <v/>
      </c>
      <c r="E87" s="13">
        <f>SUM(B87:D87)</f>
        <v/>
      </c>
      <c r="G87" t="n">
        <v>76</v>
      </c>
      <c r="H87" s="15" t="n">
        <v>180.0100277881347</v>
      </c>
      <c r="I87" s="13" t="n">
        <v>20.0381202185792</v>
      </c>
      <c r="J87" s="15" t="n">
        <v>0</v>
      </c>
      <c r="K87" s="28">
        <f>bkrcast_all!K87</f>
        <v/>
      </c>
      <c r="L87" s="28">
        <f>bkrcast_inbkr!K87</f>
        <v/>
      </c>
      <c r="M87" s="28">
        <f>bkrcast_outbkr!K87</f>
        <v/>
      </c>
      <c r="N87" s="28">
        <f>soundcast!K87</f>
        <v/>
      </c>
      <c r="O87" s="18">
        <f>K87/K$102</f>
        <v/>
      </c>
      <c r="P87" s="18">
        <f>L87/L$102</f>
        <v/>
      </c>
      <c r="Q87" s="18">
        <f>M87/M$102</f>
        <v/>
      </c>
      <c r="R87" s="18">
        <f>N87/N$102</f>
        <v/>
      </c>
      <c r="S87" s="18">
        <f>E87/E$102</f>
        <v/>
      </c>
      <c r="AE87" s="6" t="n"/>
    </row>
    <row r="88" spans="1:31">
      <c r="A88" t="n">
        <v>77</v>
      </c>
      <c r="B88" s="13">
        <f>bkrcast_all!B88</f>
        <v/>
      </c>
      <c r="C88" s="13">
        <f>bkrcast_all!C88</f>
        <v/>
      </c>
      <c r="D88" s="13">
        <f>bkrcast_all!D88</f>
        <v/>
      </c>
      <c r="E88" s="13">
        <f>SUM(B88:D88)</f>
        <v/>
      </c>
      <c r="G88" t="n">
        <v>77</v>
      </c>
      <c r="H88" s="15" t="n">
        <v>35.09839771602983</v>
      </c>
      <c r="I88" s="13" t="n">
        <v>9.96296296296296</v>
      </c>
      <c r="J88" s="13" t="n">
        <v>0</v>
      </c>
      <c r="K88" s="28">
        <f>bkrcast_all!K88</f>
        <v/>
      </c>
      <c r="L88" s="28">
        <f>bkrcast_inbkr!K88</f>
        <v/>
      </c>
      <c r="M88" s="28">
        <f>bkrcast_outbkr!K88</f>
        <v/>
      </c>
      <c r="N88" s="28">
        <f>soundcast!K88</f>
        <v/>
      </c>
      <c r="O88" s="18">
        <f>K88/K$102</f>
        <v/>
      </c>
      <c r="P88" s="18">
        <f>L88/L$102</f>
        <v/>
      </c>
      <c r="Q88" s="18">
        <f>M88/M$102</f>
        <v/>
      </c>
      <c r="R88" s="18">
        <f>N88/N$102</f>
        <v/>
      </c>
      <c r="S88" s="18">
        <f>E88/E$102</f>
        <v/>
      </c>
      <c r="AE88" s="6" t="n"/>
    </row>
    <row r="89" spans="1:31">
      <c r="A89" t="n">
        <v>78</v>
      </c>
      <c r="B89" s="13">
        <f>bkrcast_all!B89</f>
        <v/>
      </c>
      <c r="C89" s="13">
        <f>bkrcast_all!C89</f>
        <v/>
      </c>
      <c r="D89" s="13">
        <f>bkrcast_all!D89</f>
        <v/>
      </c>
      <c r="E89" s="13">
        <f>SUM(B89:D89)</f>
        <v/>
      </c>
      <c r="G89" t="n">
        <v>78</v>
      </c>
      <c r="H89" s="15" t="n">
        <v>44.92036589350688</v>
      </c>
      <c r="I89" s="13" t="n">
        <v>0</v>
      </c>
      <c r="J89" s="13" t="n">
        <v>5.04081632653061</v>
      </c>
      <c r="K89" s="28">
        <f>bkrcast_all!K89</f>
        <v/>
      </c>
      <c r="L89" s="28">
        <f>bkrcast_inbkr!K89</f>
        <v/>
      </c>
      <c r="M89" s="28">
        <f>bkrcast_outbkr!K89</f>
        <v/>
      </c>
      <c r="N89" s="28">
        <f>soundcast!K89</f>
        <v/>
      </c>
      <c r="O89" s="18">
        <f>K89/K$102</f>
        <v/>
      </c>
      <c r="P89" s="18">
        <f>L89/L$102</f>
        <v/>
      </c>
      <c r="Q89" s="18">
        <f>M89/M$102</f>
        <v/>
      </c>
      <c r="R89" s="18">
        <f>N89/N$102</f>
        <v/>
      </c>
      <c r="S89" s="18">
        <f>E89/E$102</f>
        <v/>
      </c>
      <c r="AE89" s="6" t="n"/>
    </row>
    <row r="90" spans="1:31">
      <c r="A90" t="n">
        <v>79</v>
      </c>
      <c r="B90" s="13">
        <f>bkrcast_all!B90</f>
        <v/>
      </c>
      <c r="C90" s="13">
        <f>bkrcast_all!C90</f>
        <v/>
      </c>
      <c r="D90" s="13">
        <f>bkrcast_all!D90</f>
        <v/>
      </c>
      <c r="E90" s="13">
        <f>SUM(B90:D90)</f>
        <v/>
      </c>
      <c r="G90" t="n">
        <v>79</v>
      </c>
      <c r="H90" s="15" t="n">
        <v>20.47069184162324</v>
      </c>
      <c r="I90" s="13" t="n">
        <v>0</v>
      </c>
      <c r="J90" s="13" t="n">
        <v>0</v>
      </c>
      <c r="K90" s="28">
        <f>bkrcast_all!K90</f>
        <v/>
      </c>
      <c r="L90" s="28">
        <f>bkrcast_inbkr!K90</f>
        <v/>
      </c>
      <c r="M90" s="28">
        <f>bkrcast_outbkr!K90</f>
        <v/>
      </c>
      <c r="N90" s="28">
        <f>soundcast!K90</f>
        <v/>
      </c>
      <c r="O90" s="18">
        <f>K90/K$102</f>
        <v/>
      </c>
      <c r="P90" s="18">
        <f>L90/L$102</f>
        <v/>
      </c>
      <c r="Q90" s="18">
        <f>M90/M$102</f>
        <v/>
      </c>
      <c r="R90" s="18">
        <f>N90/N$102</f>
        <v/>
      </c>
      <c r="S90" s="18">
        <f>E90/E$102</f>
        <v/>
      </c>
      <c r="AE90" s="6" t="n"/>
    </row>
    <row r="91" spans="1:31">
      <c r="A91" t="n">
        <v>80</v>
      </c>
      <c r="B91" s="13">
        <f>bkrcast_all!B91</f>
        <v/>
      </c>
      <c r="C91" s="13">
        <f>bkrcast_all!C91</f>
        <v/>
      </c>
      <c r="D91" s="13">
        <f>bkrcast_all!D91</f>
        <v/>
      </c>
      <c r="E91" s="13">
        <f>SUM(B91:D91)</f>
        <v/>
      </c>
      <c r="G91" t="n">
        <v>80</v>
      </c>
      <c r="H91" s="15" t="n">
        <v>9.99145299145299</v>
      </c>
      <c r="I91" s="13" t="n">
        <v>9.97560975609756</v>
      </c>
      <c r="J91" s="13" t="n">
        <v>0</v>
      </c>
      <c r="K91" s="28">
        <f>bkrcast_all!K91</f>
        <v/>
      </c>
      <c r="L91" s="28">
        <f>bkrcast_inbkr!K91</f>
        <v/>
      </c>
      <c r="M91" s="28">
        <f>bkrcast_outbkr!K91</f>
        <v/>
      </c>
      <c r="N91" s="28">
        <f>soundcast!K91</f>
        <v/>
      </c>
      <c r="O91" s="18">
        <f>K91/K$102</f>
        <v/>
      </c>
      <c r="P91" s="18">
        <f>L91/L$102</f>
        <v/>
      </c>
      <c r="Q91" s="18">
        <f>M91/M$102</f>
        <v/>
      </c>
      <c r="R91" s="18">
        <f>N91/N$102</f>
        <v/>
      </c>
      <c r="S91" s="18">
        <f>E91/E$102</f>
        <v/>
      </c>
      <c r="AE91" s="6" t="n"/>
    </row>
    <row r="92" spans="1:31">
      <c r="A92" t="n">
        <v>81</v>
      </c>
      <c r="B92" s="13">
        <f>bkrcast_all!B92</f>
        <v/>
      </c>
      <c r="C92" s="13">
        <f>bkrcast_all!C92</f>
        <v/>
      </c>
      <c r="D92" s="13">
        <f>bkrcast_all!D92</f>
        <v/>
      </c>
      <c r="E92" s="13">
        <f>SUM(B92:D92)</f>
        <v/>
      </c>
      <c r="G92" t="n">
        <v>81</v>
      </c>
      <c r="H92" s="15" t="n">
        <v>29.83568715879421</v>
      </c>
      <c r="I92" s="13" t="n">
        <v>0</v>
      </c>
      <c r="J92" s="13" t="n">
        <v>0</v>
      </c>
      <c r="K92" s="28">
        <f>bkrcast_all!K92</f>
        <v/>
      </c>
      <c r="L92" s="28">
        <f>bkrcast_inbkr!K92</f>
        <v/>
      </c>
      <c r="M92" s="28">
        <f>bkrcast_outbkr!K92</f>
        <v/>
      </c>
      <c r="N92" s="28">
        <f>soundcast!K92</f>
        <v/>
      </c>
      <c r="O92" s="18">
        <f>K92/K$102</f>
        <v/>
      </c>
      <c r="P92" s="18">
        <f>L92/L$102</f>
        <v/>
      </c>
      <c r="Q92" s="18">
        <f>M92/M$102</f>
        <v/>
      </c>
      <c r="R92" s="18">
        <f>N92/N$102</f>
        <v/>
      </c>
      <c r="S92" s="18">
        <f>E92/E$102</f>
        <v/>
      </c>
      <c r="AE92" s="6" t="n"/>
    </row>
    <row r="93" spans="1:31">
      <c r="A93" t="n">
        <v>82</v>
      </c>
      <c r="B93" s="13">
        <f>bkrcast_all!B93</f>
        <v/>
      </c>
      <c r="C93" s="13">
        <f>bkrcast_all!C93</f>
        <v/>
      </c>
      <c r="D93" s="13">
        <f>bkrcast_all!D93</f>
        <v/>
      </c>
      <c r="E93" s="13">
        <f>SUM(B93:D93)</f>
        <v/>
      </c>
      <c r="G93" t="n">
        <v>82</v>
      </c>
      <c r="H93" s="15" t="n">
        <v>9.99411764705882</v>
      </c>
      <c r="I93" s="13" t="n">
        <v>0</v>
      </c>
      <c r="J93" s="13" t="n">
        <v>0</v>
      </c>
      <c r="K93" s="28">
        <f>bkrcast_all!K93</f>
        <v/>
      </c>
      <c r="L93" s="28">
        <f>bkrcast_inbkr!K93</f>
        <v/>
      </c>
      <c r="M93" s="28">
        <f>bkrcast_outbkr!K93</f>
        <v/>
      </c>
      <c r="N93" s="28">
        <f>soundcast!K93</f>
        <v/>
      </c>
      <c r="O93" s="18">
        <f>K93/K$102</f>
        <v/>
      </c>
      <c r="P93" s="18">
        <f>L93/L$102</f>
        <v/>
      </c>
      <c r="Q93" s="18">
        <f>M93/M$102</f>
        <v/>
      </c>
      <c r="R93" s="18">
        <f>N93/N$102</f>
        <v/>
      </c>
      <c r="S93" s="18">
        <f>E93/E$102</f>
        <v/>
      </c>
      <c r="AE93" s="6" t="n"/>
    </row>
    <row r="94" spans="1:31">
      <c r="A94" t="n">
        <v>83</v>
      </c>
      <c r="B94" s="13">
        <f>bkrcast_all!B94</f>
        <v/>
      </c>
      <c r="C94" s="13">
        <f>bkrcast_all!C94</f>
        <v/>
      </c>
      <c r="D94" s="13">
        <f>bkrcast_all!D94</f>
        <v/>
      </c>
      <c r="E94" s="13">
        <f>SUM(B94:D94)</f>
        <v/>
      </c>
      <c r="G94" t="n">
        <v>83</v>
      </c>
      <c r="H94" s="15" t="n">
        <v>90.02828622285284</v>
      </c>
      <c r="I94" s="13" t="n">
        <v>10.0327868852459</v>
      </c>
      <c r="J94" s="13" t="n">
        <v>0</v>
      </c>
      <c r="K94" s="28">
        <f>bkrcast_all!K94</f>
        <v/>
      </c>
      <c r="L94" s="28">
        <f>bkrcast_inbkr!K94</f>
        <v/>
      </c>
      <c r="M94" s="28">
        <f>bkrcast_outbkr!K94</f>
        <v/>
      </c>
      <c r="N94" s="28">
        <f>soundcast!K94</f>
        <v/>
      </c>
      <c r="O94" s="18">
        <f>K94/K$102</f>
        <v/>
      </c>
      <c r="P94" s="18">
        <f>L94/L$102</f>
        <v/>
      </c>
      <c r="Q94" s="18">
        <f>M94/M$102</f>
        <v/>
      </c>
      <c r="R94" s="18">
        <f>N94/N$102</f>
        <v/>
      </c>
      <c r="S94" s="18">
        <f>E94/E$102</f>
        <v/>
      </c>
      <c r="AE94" s="6" t="n"/>
    </row>
    <row r="95" spans="1:31">
      <c r="A95" t="n">
        <v>84</v>
      </c>
      <c r="B95" s="13">
        <f>bkrcast_all!B95</f>
        <v/>
      </c>
      <c r="C95" s="13">
        <f>bkrcast_all!C95</f>
        <v/>
      </c>
      <c r="D95" s="13">
        <f>bkrcast_all!D95</f>
        <v/>
      </c>
      <c r="E95" s="13">
        <f>SUM(B95:D95)</f>
        <v/>
      </c>
      <c r="G95" t="n">
        <v>84</v>
      </c>
      <c r="H95" s="15" t="n">
        <v>19.94875189718087</v>
      </c>
      <c r="I95" s="13" t="n">
        <v>0</v>
      </c>
      <c r="J95" s="13" t="n">
        <v>0</v>
      </c>
      <c r="K95" s="28">
        <f>bkrcast_all!K95</f>
        <v/>
      </c>
      <c r="L95" s="28">
        <f>bkrcast_inbkr!K95</f>
        <v/>
      </c>
      <c r="M95" s="28">
        <f>bkrcast_outbkr!K95</f>
        <v/>
      </c>
      <c r="N95" s="28">
        <f>soundcast!K95</f>
        <v/>
      </c>
      <c r="O95" s="18">
        <f>K95/K$102</f>
        <v/>
      </c>
      <c r="P95" s="18">
        <f>L95/L$102</f>
        <v/>
      </c>
      <c r="Q95" s="18">
        <f>M95/M$102</f>
        <v/>
      </c>
      <c r="R95" s="18">
        <f>N95/N$102</f>
        <v/>
      </c>
      <c r="S95" s="18">
        <f>E95/E$102</f>
        <v/>
      </c>
      <c r="AE95" s="6" t="n"/>
    </row>
    <row r="96" spans="1:31">
      <c r="A96" t="n">
        <v>85</v>
      </c>
      <c r="B96" s="13">
        <f>bkrcast_all!B96</f>
        <v/>
      </c>
      <c r="C96" s="13">
        <f>bkrcast_all!C96</f>
        <v/>
      </c>
      <c r="D96" s="13">
        <f>bkrcast_all!D96</f>
        <v/>
      </c>
      <c r="E96" s="13">
        <f>SUM(B96:D96)</f>
        <v/>
      </c>
      <c r="G96" t="n">
        <v>85</v>
      </c>
      <c r="H96" s="15" t="n">
        <v>50.65540867929223</v>
      </c>
      <c r="I96" s="13" t="n">
        <v>0</v>
      </c>
      <c r="J96" s="13" t="n">
        <v>0.5</v>
      </c>
      <c r="K96" s="28">
        <f>bkrcast_all!K96</f>
        <v/>
      </c>
      <c r="L96" s="28">
        <f>bkrcast_inbkr!K96</f>
        <v/>
      </c>
      <c r="M96" s="28">
        <f>bkrcast_outbkr!K96</f>
        <v/>
      </c>
      <c r="N96" s="28">
        <f>soundcast!K96</f>
        <v/>
      </c>
      <c r="O96" s="18">
        <f>K96/K$102</f>
        <v/>
      </c>
      <c r="P96" s="18">
        <f>L96/L$102</f>
        <v/>
      </c>
      <c r="Q96" s="18">
        <f>M96/M$102</f>
        <v/>
      </c>
      <c r="R96" s="18">
        <f>N96/N$102</f>
        <v/>
      </c>
      <c r="S96" s="18">
        <f>E96/E$102</f>
        <v/>
      </c>
      <c r="AE96" s="6" t="n"/>
    </row>
    <row r="97" spans="1:31">
      <c r="A97" t="n">
        <v>86</v>
      </c>
      <c r="B97" s="13">
        <f>bkrcast_all!B97</f>
        <v/>
      </c>
      <c r="C97" s="13">
        <f>bkrcast_all!C97</f>
        <v/>
      </c>
      <c r="D97" s="13">
        <f>bkrcast_all!D97</f>
        <v/>
      </c>
      <c r="E97" s="13">
        <f>SUM(B97:D97)</f>
        <v/>
      </c>
      <c r="G97" t="n">
        <v>86</v>
      </c>
      <c r="H97" s="15" t="n">
        <v>19.89534180278282</v>
      </c>
      <c r="I97" s="13" t="n">
        <v>0</v>
      </c>
      <c r="J97" s="13" t="n">
        <v>0</v>
      </c>
      <c r="K97" s="28">
        <f>bkrcast_all!K97</f>
        <v/>
      </c>
      <c r="L97" s="28">
        <f>bkrcast_inbkr!K97</f>
        <v/>
      </c>
      <c r="M97" s="28">
        <f>bkrcast_outbkr!K97</f>
        <v/>
      </c>
      <c r="N97" s="28">
        <f>soundcast!K97</f>
        <v/>
      </c>
      <c r="O97" s="18">
        <f>K97/K$102</f>
        <v/>
      </c>
      <c r="P97" s="18">
        <f>L97/L$102</f>
        <v/>
      </c>
      <c r="Q97" s="18">
        <f>M97/M$102</f>
        <v/>
      </c>
      <c r="R97" s="18">
        <f>N97/N$102</f>
        <v/>
      </c>
      <c r="S97" s="18">
        <f>E97/E$102</f>
        <v/>
      </c>
      <c r="AE97" s="6" t="n"/>
    </row>
    <row r="98" spans="1:31">
      <c r="A98" t="n">
        <v>87</v>
      </c>
      <c r="B98" s="13">
        <f>bkrcast_all!B98</f>
        <v/>
      </c>
      <c r="C98" s="13">
        <f>bkrcast_all!C98</f>
        <v/>
      </c>
      <c r="D98" s="13">
        <f>bkrcast_all!D98</f>
        <v/>
      </c>
      <c r="E98" s="13">
        <f>SUM(B98:D98)</f>
        <v/>
      </c>
      <c r="G98" t="n">
        <v>87</v>
      </c>
      <c r="H98" s="15" t="n">
        <v>0.25</v>
      </c>
      <c r="I98" s="13" t="n">
        <v>0</v>
      </c>
      <c r="J98" s="13" t="n">
        <v>0</v>
      </c>
      <c r="K98" s="28">
        <f>bkrcast_all!K98</f>
        <v/>
      </c>
      <c r="L98" s="28">
        <f>bkrcast_inbkr!K98</f>
        <v/>
      </c>
      <c r="M98" s="28">
        <f>bkrcast_outbkr!K98</f>
        <v/>
      </c>
      <c r="N98" s="28">
        <f>soundcast!K98</f>
        <v/>
      </c>
      <c r="O98" s="18">
        <f>K98/K$102</f>
        <v/>
      </c>
      <c r="P98" s="18">
        <f>L98/L$102</f>
        <v/>
      </c>
      <c r="Q98" s="18">
        <f>M98/M$102</f>
        <v/>
      </c>
      <c r="R98" s="18">
        <f>N98/N$102</f>
        <v/>
      </c>
      <c r="S98" s="18">
        <f>E98/E$102</f>
        <v/>
      </c>
      <c r="AE98" s="6" t="n"/>
    </row>
    <row r="99" spans="1:31">
      <c r="A99" t="n">
        <v>88</v>
      </c>
      <c r="B99" s="13">
        <f>bkrcast_all!B99</f>
        <v/>
      </c>
      <c r="C99" s="13">
        <f>bkrcast_all!C99</f>
        <v/>
      </c>
      <c r="D99" s="13">
        <f>bkrcast_all!D99</f>
        <v/>
      </c>
      <c r="E99" s="13">
        <f>SUM(B99:D99)</f>
        <v/>
      </c>
      <c r="G99" t="n">
        <v>88</v>
      </c>
      <c r="H99" s="15" t="n">
        <v>10.0048780487805</v>
      </c>
      <c r="I99" s="13" t="n">
        <v>0</v>
      </c>
      <c r="J99" s="13" t="n">
        <v>0</v>
      </c>
      <c r="K99" s="28">
        <f>bkrcast_all!K99</f>
        <v/>
      </c>
      <c r="L99" s="28">
        <f>bkrcast_inbkr!K99</f>
        <v/>
      </c>
      <c r="M99" s="28">
        <f>bkrcast_outbkr!K99</f>
        <v/>
      </c>
      <c r="N99" s="28">
        <f>soundcast!K99</f>
        <v/>
      </c>
      <c r="O99" s="18">
        <f>K99/K$102</f>
        <v/>
      </c>
      <c r="P99" s="18">
        <f>L99/L$102</f>
        <v/>
      </c>
      <c r="Q99" s="18">
        <f>M99/M$102</f>
        <v/>
      </c>
      <c r="R99" s="18">
        <f>N99/N$102</f>
        <v/>
      </c>
      <c r="S99" s="18">
        <f>E99/E$102</f>
        <v/>
      </c>
      <c r="AE99" s="6" t="n"/>
    </row>
    <row r="100" spans="1:31">
      <c r="A100" t="n">
        <v>89</v>
      </c>
      <c r="B100" s="13">
        <f>bkrcast_all!B100</f>
        <v/>
      </c>
      <c r="C100" s="13">
        <f>bkrcast_all!C100</f>
        <v/>
      </c>
      <c r="D100" s="13">
        <f>bkrcast_all!D100</f>
        <v/>
      </c>
      <c r="E100" s="13">
        <f>SUM(B100:D100)</f>
        <v/>
      </c>
      <c r="G100" t="n">
        <v>89</v>
      </c>
      <c r="H100" s="15" t="n">
        <v>70.14816511732394</v>
      </c>
      <c r="I100" s="13" t="n">
        <v>9.957446808510641</v>
      </c>
      <c r="J100" s="13" t="n">
        <v>0</v>
      </c>
      <c r="K100" s="28">
        <f>bkrcast_all!K100</f>
        <v/>
      </c>
      <c r="L100" s="28">
        <f>bkrcast_inbkr!K100</f>
        <v/>
      </c>
      <c r="M100" s="28">
        <f>bkrcast_outbkr!K100</f>
        <v/>
      </c>
      <c r="N100" s="28">
        <f>soundcast!K100</f>
        <v/>
      </c>
      <c r="O100" s="18">
        <f>K100/K$102</f>
        <v/>
      </c>
      <c r="P100" s="18">
        <f>L100/L$102</f>
        <v/>
      </c>
      <c r="Q100" s="18">
        <f>M100/M$102</f>
        <v/>
      </c>
      <c r="R100" s="18">
        <f>N100/N$102</f>
        <v/>
      </c>
      <c r="S100" s="18">
        <f>E100/E$102</f>
        <v/>
      </c>
      <c r="AE100" s="6" t="n"/>
    </row>
    <row customHeight="1" ht="15.75" r="101" spans="1:31">
      <c r="A101" s="1" t="s">
        <v>20</v>
      </c>
      <c r="B101" s="13">
        <f>bkrcast_all!B101</f>
        <v/>
      </c>
      <c r="C101" s="13">
        <f>bkrcast_all!C101</f>
        <v/>
      </c>
      <c r="D101" s="13">
        <f>bkrcast_all!D101</f>
        <v/>
      </c>
      <c r="E101" s="7">
        <f>SUM(B101:D101)</f>
        <v/>
      </c>
      <c r="G101" s="1" t="s">
        <v>20</v>
      </c>
      <c r="H101" s="16" t="n">
        <v>0</v>
      </c>
      <c r="I101" s="14" t="n">
        <v>0</v>
      </c>
      <c r="J101" s="14" t="n">
        <v>0</v>
      </c>
      <c r="K101" s="28">
        <f>bkrcast_all!K101</f>
        <v/>
      </c>
      <c r="L101" s="28">
        <f>bkrcast_inbkr!K101</f>
        <v/>
      </c>
      <c r="M101" s="28">
        <f>bkrcast_outbkr!K101</f>
        <v/>
      </c>
      <c r="N101" s="28">
        <f>soundcast!K101</f>
        <v/>
      </c>
      <c r="O101" s="18">
        <f>K101/K$102</f>
        <v/>
      </c>
      <c r="P101" s="18">
        <f>L101/L$102</f>
        <v/>
      </c>
      <c r="Q101" s="18">
        <f>M101/M$102</f>
        <v/>
      </c>
      <c r="R101" s="18">
        <f>N101/N$102</f>
        <v/>
      </c>
      <c r="S101" s="18">
        <f>E101/E$102</f>
        <v/>
      </c>
      <c r="AE101" s="7" t="n"/>
    </row>
    <row r="102" spans="1:31">
      <c r="E102" s="17">
        <f>SUM(E11:E101)</f>
        <v/>
      </c>
      <c r="K102" s="39">
        <f>SUM(K11:K101)</f>
        <v/>
      </c>
      <c r="L102" s="39">
        <f>SUM(L11:L101)</f>
        <v/>
      </c>
      <c r="M102" s="39">
        <f>SUM(M11:M101)</f>
        <v/>
      </c>
      <c r="N102" s="39">
        <f>SUM(N11:N101)</f>
        <v/>
      </c>
      <c r="O102" s="18">
        <f>K102/K$102</f>
        <v/>
      </c>
      <c r="P102" s="18">
        <f>L102/L$102</f>
        <v/>
      </c>
      <c r="Q102" s="18">
        <f>M102/M$102</f>
        <v/>
      </c>
      <c r="R102" s="18">
        <f>N102/N$102</f>
        <v/>
      </c>
      <c r="S102" s="18" t="n"/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N21" sqref="N21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58998.2166</v>
      </c>
      <c r="C11" s="28" t="n">
        <v>23376.9027</v>
      </c>
      <c r="D11" s="28" t="n">
        <v>2664.5972</v>
      </c>
      <c r="E11" s="28" t="n">
        <v>85039.71649999999</v>
      </c>
      <c r="G11" t="n">
        <v>0</v>
      </c>
      <c r="H11" s="29" t="n">
        <v>60646</v>
      </c>
      <c r="I11" s="29" t="n">
        <v>25171</v>
      </c>
      <c r="J11" s="29" t="n">
        <v>7213</v>
      </c>
      <c r="K11" s="28" t="n">
        <v>93030</v>
      </c>
      <c r="M11" s="23" t="s">
        <v>10</v>
      </c>
      <c r="N11" s="30" t="n">
        <v>12.83799788467272</v>
      </c>
      <c r="O11" s="30" t="n">
        <v>12.09491117832996</v>
      </c>
    </row>
    <row r="12" spans="1:23">
      <c r="A12" t="n">
        <v>1</v>
      </c>
      <c r="B12" s="28" t="n">
        <v>58371.9661</v>
      </c>
      <c r="C12" s="28" t="n">
        <v>22824.3115</v>
      </c>
      <c r="D12" s="28" t="n">
        <v>4646.5492</v>
      </c>
      <c r="E12" s="28" t="n">
        <v>85842.8268</v>
      </c>
      <c r="G12" t="n">
        <v>1</v>
      </c>
      <c r="H12" s="29" t="n">
        <v>78300</v>
      </c>
      <c r="I12" s="29" t="n">
        <v>39619</v>
      </c>
      <c r="J12" s="29" t="n">
        <v>12990</v>
      </c>
      <c r="K12" s="28" t="n">
        <v>130909</v>
      </c>
      <c r="M12" s="23" t="s">
        <v>11</v>
      </c>
      <c r="N12" s="30" t="n">
        <v>8.916695002021942</v>
      </c>
      <c r="O12" s="30" t="n">
        <v>8.536647010438418</v>
      </c>
    </row>
    <row r="13" spans="1:23">
      <c r="A13" t="n">
        <v>2</v>
      </c>
      <c r="B13" s="28" t="n">
        <v>84270.3695</v>
      </c>
      <c r="C13" s="28" t="n">
        <v>20187.856</v>
      </c>
      <c r="D13" s="28" t="n">
        <v>1160.2978</v>
      </c>
      <c r="E13" s="28" t="n">
        <v>105618.5233</v>
      </c>
      <c r="G13" t="n">
        <v>2</v>
      </c>
      <c r="H13" s="29" t="n">
        <v>68593</v>
      </c>
      <c r="I13" s="29" t="n">
        <v>26275</v>
      </c>
      <c r="J13" s="29" t="n">
        <v>7854</v>
      </c>
      <c r="K13" s="28" t="n">
        <v>102722</v>
      </c>
      <c r="M13" s="31" t="s">
        <v>12</v>
      </c>
      <c r="N13" s="32" t="n">
        <v>9.899742159610314</v>
      </c>
      <c r="O13" s="32" t="n">
        <v>7.340439543779432</v>
      </c>
    </row>
    <row customHeight="1" ht="15.75" r="14" spans="1:23">
      <c r="A14" t="n">
        <v>3</v>
      </c>
      <c r="B14" s="28" t="n">
        <v>67592.56140000001</v>
      </c>
      <c r="C14" s="28" t="n">
        <v>21324.1436</v>
      </c>
      <c r="D14" s="28" t="n">
        <v>3274.2145</v>
      </c>
      <c r="E14" s="28" t="n">
        <v>92190.9195</v>
      </c>
      <c r="G14" t="n">
        <v>3</v>
      </c>
      <c r="H14" s="29" t="n">
        <v>76507</v>
      </c>
      <c r="I14" s="29" t="n">
        <v>24432</v>
      </c>
      <c r="J14" s="29" t="n">
        <v>7290</v>
      </c>
      <c r="K14" s="28" t="n">
        <v>108229</v>
      </c>
      <c r="M14" s="33" t="s">
        <v>19</v>
      </c>
      <c r="N14" s="34" t="n">
        <v>12.1067831945929</v>
      </c>
      <c r="O14" s="34" t="n">
        <v>11.21446312892453</v>
      </c>
      <c r="S14" s="35" t="n"/>
    </row>
    <row r="15" spans="1:23">
      <c r="A15" t="n">
        <v>4</v>
      </c>
      <c r="B15" s="28" t="n">
        <v>76193.045</v>
      </c>
      <c r="C15" s="28" t="n">
        <v>21665.1402</v>
      </c>
      <c r="D15" s="28" t="n">
        <v>5268.178</v>
      </c>
      <c r="E15" s="28" t="n">
        <v>103126.3632</v>
      </c>
      <c r="G15" t="n">
        <v>4</v>
      </c>
      <c r="H15" s="29" t="n">
        <v>77417</v>
      </c>
      <c r="I15" s="29" t="n">
        <v>22232</v>
      </c>
      <c r="J15" s="29" t="n">
        <v>6820</v>
      </c>
      <c r="K15" s="28" t="n">
        <v>106469</v>
      </c>
      <c r="W15" s="35" t="n"/>
    </row>
    <row r="16" spans="1:23">
      <c r="A16" t="n">
        <v>5</v>
      </c>
      <c r="B16" s="28" t="n">
        <v>67956.6989</v>
      </c>
      <c r="C16" s="28" t="n">
        <v>17781.5399</v>
      </c>
      <c r="D16" s="28" t="n">
        <v>3119.4508</v>
      </c>
      <c r="E16" s="28" t="n">
        <v>88857.68960000001</v>
      </c>
      <c r="G16" t="n">
        <v>5</v>
      </c>
      <c r="H16" s="29" t="n">
        <v>75639</v>
      </c>
      <c r="I16" s="29" t="n">
        <v>20610</v>
      </c>
      <c r="J16" s="29" t="n">
        <v>5811</v>
      </c>
      <c r="K16" s="28" t="n">
        <v>102060</v>
      </c>
      <c r="W16" s="35" t="n"/>
    </row>
    <row r="17" spans="1:23">
      <c r="A17" t="n">
        <v>6</v>
      </c>
      <c r="B17" s="28" t="n">
        <v>58799.381</v>
      </c>
      <c r="C17" s="28" t="n">
        <v>10361.3815</v>
      </c>
      <c r="D17" s="28" t="n">
        <v>3775.3968</v>
      </c>
      <c r="E17" s="28" t="n">
        <v>72936.1593</v>
      </c>
      <c r="G17" t="n">
        <v>6</v>
      </c>
      <c r="H17" s="29" t="n">
        <v>71095</v>
      </c>
      <c r="I17" s="29" t="n">
        <v>17973</v>
      </c>
      <c r="J17" s="29" t="n">
        <v>5068</v>
      </c>
      <c r="K17" s="28" t="n">
        <v>94136</v>
      </c>
      <c r="W17" s="35" t="n"/>
    </row>
    <row r="18" spans="1:23">
      <c r="A18" t="n">
        <v>7</v>
      </c>
      <c r="B18" s="28" t="n">
        <v>68081.04029999999</v>
      </c>
      <c r="C18" s="28" t="n">
        <v>11136.3627</v>
      </c>
      <c r="D18" s="28" t="n">
        <v>1617.566</v>
      </c>
      <c r="E18" s="28" t="n">
        <v>80834.969</v>
      </c>
      <c r="G18" t="n">
        <v>7</v>
      </c>
      <c r="H18" s="29" t="n">
        <v>65484</v>
      </c>
      <c r="I18" s="29" t="n">
        <v>16029</v>
      </c>
      <c r="J18" s="29" t="n">
        <v>4570</v>
      </c>
      <c r="K18" s="28" t="n">
        <v>86083</v>
      </c>
      <c r="W18" s="35" t="n"/>
    </row>
    <row r="19" spans="1:23">
      <c r="A19" t="n">
        <v>8</v>
      </c>
      <c r="B19" s="28" t="n">
        <v>48441.7818</v>
      </c>
      <c r="C19" s="28" t="n">
        <v>10951.5066</v>
      </c>
      <c r="D19" s="28" t="n">
        <v>4283.6253</v>
      </c>
      <c r="E19" s="28" t="n">
        <v>63676.9137</v>
      </c>
      <c r="G19" t="n">
        <v>8</v>
      </c>
      <c r="H19" s="29" t="n">
        <v>60303</v>
      </c>
      <c r="I19" s="29" t="n">
        <v>14075</v>
      </c>
      <c r="J19" s="29" t="n">
        <v>3858</v>
      </c>
      <c r="K19" s="28" t="n">
        <v>78236</v>
      </c>
      <c r="W19" s="35" t="n"/>
    </row>
    <row r="20" spans="1:23">
      <c r="A20" t="n">
        <v>9</v>
      </c>
      <c r="B20" s="28" t="n">
        <v>58986.7451</v>
      </c>
      <c r="C20" s="28" t="n">
        <v>9103.668</v>
      </c>
      <c r="D20" s="28" t="n">
        <v>3854.6907</v>
      </c>
      <c r="E20" s="28" t="n">
        <v>71945.10380000001</v>
      </c>
      <c r="G20" t="n">
        <v>9</v>
      </c>
      <c r="H20" s="29" t="n">
        <v>57120</v>
      </c>
      <c r="I20" s="29" t="n">
        <v>12687</v>
      </c>
      <c r="J20" s="29" t="n">
        <v>3488</v>
      </c>
      <c r="K20" s="28" t="n">
        <v>73295</v>
      </c>
      <c r="W20" s="35" t="n"/>
    </row>
    <row r="21" spans="1:23">
      <c r="A21" t="n">
        <v>10</v>
      </c>
      <c r="B21" s="28" t="n">
        <v>49905.6741</v>
      </c>
      <c r="C21" s="28" t="n">
        <v>14233.76</v>
      </c>
      <c r="D21" s="28" t="n">
        <v>2075.6534</v>
      </c>
      <c r="E21" s="28" t="n">
        <v>66215.08750000001</v>
      </c>
      <c r="G21" t="n">
        <v>10</v>
      </c>
      <c r="H21" s="29" t="n">
        <v>54555</v>
      </c>
      <c r="I21" s="29" t="n">
        <v>11437</v>
      </c>
      <c r="J21" s="29" t="n">
        <v>3006</v>
      </c>
      <c r="K21" s="28" t="n">
        <v>68998</v>
      </c>
      <c r="W21" s="35" t="n"/>
    </row>
    <row r="22" spans="1:23">
      <c r="A22" t="n">
        <v>11</v>
      </c>
      <c r="B22" s="28" t="n">
        <v>47184.4018</v>
      </c>
      <c r="C22" s="28" t="n">
        <v>8639.49</v>
      </c>
      <c r="D22" s="28" t="n">
        <v>3552.8969</v>
      </c>
      <c r="E22" s="28" t="n">
        <v>59376.7887</v>
      </c>
      <c r="G22" t="n">
        <v>11</v>
      </c>
      <c r="H22" s="29" t="n">
        <v>51675</v>
      </c>
      <c r="I22" s="29" t="n">
        <v>10037</v>
      </c>
      <c r="J22" s="29" t="n">
        <v>2689</v>
      </c>
      <c r="K22" s="28" t="n">
        <v>64401</v>
      </c>
      <c r="W22" s="35" t="n"/>
    </row>
    <row r="23" spans="1:23">
      <c r="A23" t="n">
        <v>12</v>
      </c>
      <c r="B23" s="28" t="n">
        <v>44097.3262</v>
      </c>
      <c r="C23" s="28" t="n">
        <v>12351.7456</v>
      </c>
      <c r="D23" s="28" t="n">
        <v>3546.238</v>
      </c>
      <c r="E23" s="28" t="n">
        <v>59995.3098</v>
      </c>
      <c r="G23" t="n">
        <v>12</v>
      </c>
      <c r="H23" s="29" t="n">
        <v>49221</v>
      </c>
      <c r="I23" s="29" t="n">
        <v>8870</v>
      </c>
      <c r="J23" s="29" t="n">
        <v>2224</v>
      </c>
      <c r="K23" s="28" t="n">
        <v>60315</v>
      </c>
      <c r="W23" s="35" t="n"/>
    </row>
    <row r="24" spans="1:23">
      <c r="A24" t="n">
        <v>13</v>
      </c>
      <c r="B24" s="28" t="n">
        <v>37474.7293</v>
      </c>
      <c r="C24" s="28" t="n">
        <v>3932.5895</v>
      </c>
      <c r="D24" s="28" t="n">
        <v>2694.2655</v>
      </c>
      <c r="E24" s="28" t="n">
        <v>44101.5843</v>
      </c>
      <c r="G24" t="n">
        <v>13</v>
      </c>
      <c r="H24" s="29" t="n">
        <v>47209</v>
      </c>
      <c r="I24" s="29" t="n">
        <v>8145</v>
      </c>
      <c r="J24" s="29" t="n">
        <v>2166</v>
      </c>
      <c r="K24" s="28" t="n">
        <v>57520</v>
      </c>
      <c r="W24" s="35" t="n"/>
    </row>
    <row r="25" spans="1:23">
      <c r="A25" t="n">
        <v>14</v>
      </c>
      <c r="B25" s="28" t="n">
        <v>36980.6485</v>
      </c>
      <c r="C25" s="28" t="n">
        <v>7168.4449</v>
      </c>
      <c r="D25" s="28" t="n">
        <v>1212.2448</v>
      </c>
      <c r="E25" s="28" t="n">
        <v>45361.33820000001</v>
      </c>
      <c r="G25" t="n">
        <v>14</v>
      </c>
      <c r="H25" s="29" t="n">
        <v>44118</v>
      </c>
      <c r="I25" s="29" t="n">
        <v>7462</v>
      </c>
      <c r="J25" s="29" t="n">
        <v>1802</v>
      </c>
      <c r="K25" s="28" t="n">
        <v>53382</v>
      </c>
      <c r="W25" s="35" t="n"/>
    </row>
    <row r="26" spans="1:23">
      <c r="A26" t="n">
        <v>15</v>
      </c>
      <c r="B26" s="28" t="n">
        <v>47334.2431</v>
      </c>
      <c r="C26" s="28" t="n">
        <v>6097.9681</v>
      </c>
      <c r="D26" s="28" t="n">
        <v>1916.9122</v>
      </c>
      <c r="E26" s="28" t="n">
        <v>55349.1234</v>
      </c>
      <c r="G26" t="n">
        <v>15</v>
      </c>
      <c r="H26" s="29" t="n">
        <v>41419</v>
      </c>
      <c r="I26" s="29" t="n">
        <v>6622</v>
      </c>
      <c r="J26" s="29" t="n">
        <v>1553</v>
      </c>
      <c r="K26" s="28" t="n">
        <v>49594</v>
      </c>
      <c r="W26" s="35" t="n"/>
    </row>
    <row r="27" spans="1:23">
      <c r="A27" t="n">
        <v>16</v>
      </c>
      <c r="B27" s="28" t="n">
        <v>39952.9076</v>
      </c>
      <c r="C27" s="28" t="n">
        <v>7390.7619</v>
      </c>
      <c r="D27" s="28" t="n">
        <v>387.1396</v>
      </c>
      <c r="E27" s="28" t="n">
        <v>47730.8091</v>
      </c>
      <c r="G27" t="n">
        <v>16</v>
      </c>
      <c r="H27" s="29" t="n">
        <v>38057</v>
      </c>
      <c r="I27" s="29" t="n">
        <v>5888</v>
      </c>
      <c r="J27" s="29" t="n">
        <v>1349</v>
      </c>
      <c r="K27" s="28" t="n">
        <v>45294</v>
      </c>
      <c r="W27" s="35" t="n"/>
    </row>
    <row r="28" spans="1:23">
      <c r="A28" t="n">
        <v>17</v>
      </c>
      <c r="B28" s="28" t="n">
        <v>27396.1427</v>
      </c>
      <c r="C28" s="28" t="n">
        <v>7939.9491</v>
      </c>
      <c r="D28" s="28" t="n">
        <v>76.6883</v>
      </c>
      <c r="E28" s="28" t="n">
        <v>35412.7801</v>
      </c>
      <c r="G28" t="n">
        <v>17</v>
      </c>
      <c r="H28" s="29" t="n">
        <v>34881</v>
      </c>
      <c r="I28" s="29" t="n">
        <v>5087</v>
      </c>
      <c r="J28" s="29" t="n">
        <v>1129</v>
      </c>
      <c r="K28" s="28" t="n">
        <v>41097</v>
      </c>
      <c r="W28" s="35" t="n"/>
    </row>
    <row r="29" spans="1:23">
      <c r="A29" t="n">
        <v>18</v>
      </c>
      <c r="B29" s="28" t="n">
        <v>30478.0509</v>
      </c>
      <c r="C29" s="28" t="n">
        <v>2439.087</v>
      </c>
      <c r="D29" s="28" t="n">
        <v>288.2677</v>
      </c>
      <c r="E29" s="28" t="n">
        <v>33205.4056</v>
      </c>
      <c r="G29" t="n">
        <v>18</v>
      </c>
      <c r="H29" s="29" t="n">
        <v>31937</v>
      </c>
      <c r="I29" s="29" t="n">
        <v>4398</v>
      </c>
      <c r="J29" s="29" t="n">
        <v>938</v>
      </c>
      <c r="K29" s="28" t="n">
        <v>37273</v>
      </c>
      <c r="W29" s="35" t="n"/>
    </row>
    <row r="30" spans="1:23">
      <c r="A30" t="n">
        <v>19</v>
      </c>
      <c r="B30" s="28" t="n">
        <v>38006.1699</v>
      </c>
      <c r="C30" s="28" t="n">
        <v>4820.3725</v>
      </c>
      <c r="D30" s="28" t="n">
        <v>661.0427999999999</v>
      </c>
      <c r="E30" s="28" t="n">
        <v>43487.5852</v>
      </c>
      <c r="G30" t="n">
        <v>19</v>
      </c>
      <c r="H30" s="29" t="n">
        <v>29312</v>
      </c>
      <c r="I30" s="29" t="n">
        <v>3992</v>
      </c>
      <c r="J30" s="29" t="n">
        <v>838</v>
      </c>
      <c r="K30" s="28" t="n">
        <v>34142</v>
      </c>
      <c r="W30" s="35" t="n"/>
    </row>
    <row r="31" spans="1:23">
      <c r="A31" t="n">
        <v>20</v>
      </c>
      <c r="B31" s="28" t="n">
        <v>31572.4268</v>
      </c>
      <c r="C31" s="28" t="n">
        <v>1902.6272</v>
      </c>
      <c r="D31" s="28" t="n">
        <v>678.8433</v>
      </c>
      <c r="E31" s="28" t="n">
        <v>34153.8973</v>
      </c>
      <c r="G31" t="n">
        <v>20</v>
      </c>
      <c r="H31" s="29" t="n">
        <v>26660</v>
      </c>
      <c r="I31" s="29" t="n">
        <v>3603</v>
      </c>
      <c r="J31" s="29" t="n">
        <v>714</v>
      </c>
      <c r="K31" s="28" t="n">
        <v>30977</v>
      </c>
      <c r="W31" s="35" t="n"/>
    </row>
    <row r="32" spans="1:23">
      <c r="A32" t="n">
        <v>21</v>
      </c>
      <c r="B32" s="28" t="n">
        <v>25949.667</v>
      </c>
      <c r="C32" s="28" t="n">
        <v>1316.4322</v>
      </c>
      <c r="D32" s="28" t="n">
        <v>149.5759</v>
      </c>
      <c r="E32" s="28" t="n">
        <v>27415.6751</v>
      </c>
      <c r="G32" t="n">
        <v>21</v>
      </c>
      <c r="H32" s="29" t="n">
        <v>24486</v>
      </c>
      <c r="I32" s="29" t="n">
        <v>3015</v>
      </c>
      <c r="J32" s="29" t="n">
        <v>650</v>
      </c>
      <c r="K32" s="28" t="n">
        <v>28151</v>
      </c>
      <c r="W32" s="35" t="n"/>
    </row>
    <row r="33" spans="1:23">
      <c r="A33" t="n">
        <v>22</v>
      </c>
      <c r="B33" s="28" t="n">
        <v>18693.5089</v>
      </c>
      <c r="C33" s="28" t="n">
        <v>629.7024</v>
      </c>
      <c r="D33" s="28" t="n">
        <v>142.9049</v>
      </c>
      <c r="E33" s="28" t="n">
        <v>19466.1162</v>
      </c>
      <c r="G33" t="n">
        <v>22</v>
      </c>
      <c r="H33" s="29" t="n">
        <v>21543</v>
      </c>
      <c r="I33" s="29" t="n">
        <v>2729</v>
      </c>
      <c r="J33" s="29" t="n">
        <v>521</v>
      </c>
      <c r="K33" s="28" t="n">
        <v>24793</v>
      </c>
      <c r="W33" s="35" t="n"/>
    </row>
    <row r="34" spans="1:23">
      <c r="A34" t="n">
        <v>23</v>
      </c>
      <c r="B34" s="28" t="n">
        <v>17674.8631</v>
      </c>
      <c r="C34" s="28" t="n">
        <v>1443.5875</v>
      </c>
      <c r="D34" s="28" t="n">
        <v>0</v>
      </c>
      <c r="E34" s="28" t="n">
        <v>19118.4506</v>
      </c>
      <c r="G34" t="n">
        <v>23</v>
      </c>
      <c r="H34" s="29" t="n">
        <v>19136</v>
      </c>
      <c r="I34" s="29" t="n">
        <v>2477</v>
      </c>
      <c r="J34" s="29" t="n">
        <v>481</v>
      </c>
      <c r="K34" s="28" t="n">
        <v>22094</v>
      </c>
      <c r="W34" s="35" t="n"/>
    </row>
    <row r="35" spans="1:23">
      <c r="A35" t="n">
        <v>24</v>
      </c>
      <c r="B35" s="28" t="n">
        <v>15164.2969</v>
      </c>
      <c r="C35" s="28" t="n">
        <v>955.5241</v>
      </c>
      <c r="D35" s="28" t="n">
        <v>164.9238</v>
      </c>
      <c r="E35" s="28" t="n">
        <v>16284.7448</v>
      </c>
      <c r="G35" t="n">
        <v>24</v>
      </c>
      <c r="H35" s="29" t="n">
        <v>17186</v>
      </c>
      <c r="I35" s="29" t="n">
        <v>2082</v>
      </c>
      <c r="J35" s="29" t="n">
        <v>393</v>
      </c>
      <c r="K35" s="28" t="n">
        <v>19661</v>
      </c>
      <c r="W35" s="35" t="n"/>
    </row>
    <row r="36" spans="1:23">
      <c r="A36" t="n">
        <v>25</v>
      </c>
      <c r="B36" s="28" t="n">
        <v>11132.2038</v>
      </c>
      <c r="C36" s="28" t="n">
        <v>2786.1114</v>
      </c>
      <c r="D36" s="28" t="n">
        <v>258.1781</v>
      </c>
      <c r="E36" s="28" t="n">
        <v>14176.4933</v>
      </c>
      <c r="G36" t="n">
        <v>25</v>
      </c>
      <c r="H36" s="29" t="n">
        <v>14964</v>
      </c>
      <c r="I36" s="29" t="n">
        <v>1842</v>
      </c>
      <c r="J36" s="29" t="n">
        <v>298</v>
      </c>
      <c r="K36" s="28" t="n">
        <v>17104</v>
      </c>
      <c r="W36" s="35" t="n"/>
    </row>
    <row r="37" spans="1:23">
      <c r="A37" t="n">
        <v>26</v>
      </c>
      <c r="B37" s="28" t="n">
        <v>14916.5351</v>
      </c>
      <c r="C37" s="28" t="n">
        <v>0</v>
      </c>
      <c r="D37" s="28" t="n">
        <v>0</v>
      </c>
      <c r="E37" s="28" t="n">
        <v>14916.5351</v>
      </c>
      <c r="G37" t="n">
        <v>26</v>
      </c>
      <c r="H37" s="29" t="n">
        <v>13560</v>
      </c>
      <c r="I37" s="29" t="n">
        <v>1550</v>
      </c>
      <c r="J37" s="29" t="n">
        <v>292</v>
      </c>
      <c r="K37" s="28" t="n">
        <v>15402</v>
      </c>
      <c r="W37" s="35" t="n"/>
    </row>
    <row r="38" spans="1:23">
      <c r="A38" t="n">
        <v>27</v>
      </c>
      <c r="B38" s="28" t="n">
        <v>10846.57</v>
      </c>
      <c r="C38" s="28" t="n">
        <v>781.2678</v>
      </c>
      <c r="D38" s="28" t="n">
        <v>210.8431</v>
      </c>
      <c r="E38" s="28" t="n">
        <v>11838.6809</v>
      </c>
      <c r="G38" t="n">
        <v>27</v>
      </c>
      <c r="H38" s="29" t="n">
        <v>12148</v>
      </c>
      <c r="I38" s="29" t="n">
        <v>1434</v>
      </c>
      <c r="J38" s="29" t="n">
        <v>229</v>
      </c>
      <c r="K38" s="28" t="n">
        <v>13811</v>
      </c>
      <c r="W38" s="35" t="n"/>
    </row>
    <row r="39" spans="1:23">
      <c r="A39" t="n">
        <v>28</v>
      </c>
      <c r="B39" s="28" t="n">
        <v>10341.7716</v>
      </c>
      <c r="C39" s="28" t="n">
        <v>1442.5253</v>
      </c>
      <c r="D39" s="28" t="n">
        <v>109.3501</v>
      </c>
      <c r="E39" s="28" t="n">
        <v>11893.647</v>
      </c>
      <c r="G39" t="n">
        <v>28</v>
      </c>
      <c r="H39" s="29" t="n">
        <v>10826</v>
      </c>
      <c r="I39" s="29" t="n">
        <v>1248</v>
      </c>
      <c r="J39" s="29" t="n">
        <v>201</v>
      </c>
      <c r="K39" s="28" t="n">
        <v>12275</v>
      </c>
      <c r="W39" s="35" t="n"/>
    </row>
    <row r="40" spans="1:23">
      <c r="A40" t="n">
        <v>29</v>
      </c>
      <c r="B40" s="28" t="n">
        <v>9767.032300000001</v>
      </c>
      <c r="C40" s="28" t="n">
        <v>585.7487</v>
      </c>
      <c r="D40" s="28" t="n">
        <v>233.0831</v>
      </c>
      <c r="E40" s="28" t="n">
        <v>10585.8641</v>
      </c>
      <c r="G40" t="n">
        <v>29</v>
      </c>
      <c r="H40" s="29" t="n">
        <v>9422</v>
      </c>
      <c r="I40" s="29" t="n">
        <v>1078</v>
      </c>
      <c r="J40" s="29" t="n">
        <v>171</v>
      </c>
      <c r="K40" s="28" t="n">
        <v>10671</v>
      </c>
      <c r="W40" s="35" t="n"/>
    </row>
    <row r="41" spans="1:23">
      <c r="A41" t="n">
        <v>30</v>
      </c>
      <c r="B41" s="28" t="n">
        <v>9387.665000000001</v>
      </c>
      <c r="C41" s="28" t="n">
        <v>0</v>
      </c>
      <c r="D41" s="28" t="n">
        <v>0</v>
      </c>
      <c r="E41" s="28" t="n">
        <v>9387.665000000001</v>
      </c>
      <c r="G41" t="n">
        <v>30</v>
      </c>
      <c r="H41" s="29" t="n">
        <v>8498</v>
      </c>
      <c r="I41" s="29" t="n">
        <v>951</v>
      </c>
      <c r="J41" s="29" t="n">
        <v>159</v>
      </c>
      <c r="K41" s="28" t="n">
        <v>9608</v>
      </c>
      <c r="W41" s="35" t="n"/>
    </row>
    <row r="42" spans="1:23">
      <c r="A42" t="n">
        <v>31</v>
      </c>
      <c r="B42" s="28" t="n">
        <v>3068.7134</v>
      </c>
      <c r="C42" s="28" t="n">
        <v>0</v>
      </c>
      <c r="D42" s="28" t="n">
        <v>0</v>
      </c>
      <c r="E42" s="28" t="n">
        <v>3068.7134</v>
      </c>
      <c r="G42" t="n">
        <v>31</v>
      </c>
      <c r="H42" s="29" t="n">
        <v>7323</v>
      </c>
      <c r="I42" s="29" t="n">
        <v>892</v>
      </c>
      <c r="J42" s="29" t="n">
        <v>145</v>
      </c>
      <c r="K42" s="28" t="n">
        <v>8360</v>
      </c>
      <c r="W42" s="35" t="n"/>
    </row>
    <row r="43" spans="1:23">
      <c r="A43" t="n">
        <v>32</v>
      </c>
      <c r="B43" s="28" t="n">
        <v>6988.1571</v>
      </c>
      <c r="C43" s="28" t="n">
        <v>0</v>
      </c>
      <c r="D43" s="28" t="n">
        <v>0</v>
      </c>
      <c r="E43" s="28" t="n">
        <v>6988.1571</v>
      </c>
      <c r="G43" t="n">
        <v>32</v>
      </c>
      <c r="H43" s="29" t="n">
        <v>6685</v>
      </c>
      <c r="I43" s="29" t="n">
        <v>681</v>
      </c>
      <c r="J43" s="29" t="n">
        <v>103</v>
      </c>
      <c r="K43" s="28" t="n">
        <v>7469</v>
      </c>
      <c r="W43" s="35" t="n"/>
    </row>
    <row r="44" spans="1:23">
      <c r="A44" t="n">
        <v>33</v>
      </c>
      <c r="B44" s="28" t="n">
        <v>5310.817</v>
      </c>
      <c r="C44" s="28" t="n">
        <v>221.9759</v>
      </c>
      <c r="D44" s="28" t="n">
        <v>149.5759</v>
      </c>
      <c r="E44" s="28" t="n">
        <v>5682.3688</v>
      </c>
      <c r="G44" t="n">
        <v>33</v>
      </c>
      <c r="H44" s="29" t="n">
        <v>5927</v>
      </c>
      <c r="I44" s="29" t="n">
        <v>633</v>
      </c>
      <c r="J44" s="29" t="n">
        <v>113</v>
      </c>
      <c r="K44" s="28" t="n">
        <v>6673</v>
      </c>
      <c r="W44" s="35" t="n"/>
    </row>
    <row r="45" spans="1:23">
      <c r="A45" t="n">
        <v>34</v>
      </c>
      <c r="B45" s="28" t="n">
        <v>8363.000700000001</v>
      </c>
      <c r="C45" s="28" t="n">
        <v>511.8021</v>
      </c>
      <c r="D45" s="28" t="n">
        <v>0</v>
      </c>
      <c r="E45" s="28" t="n">
        <v>8874.802800000001</v>
      </c>
      <c r="G45" t="n">
        <v>34</v>
      </c>
      <c r="H45" s="29" t="n">
        <v>5562</v>
      </c>
      <c r="I45" s="29" t="n">
        <v>583</v>
      </c>
      <c r="J45" s="29" t="n">
        <v>85</v>
      </c>
      <c r="K45" s="28" t="n">
        <v>6230</v>
      </c>
      <c r="W45" s="35" t="n"/>
    </row>
    <row r="46" spans="1:23">
      <c r="A46" t="n">
        <v>35</v>
      </c>
      <c r="B46" s="28" t="n">
        <v>4107.8891</v>
      </c>
      <c r="C46" s="28" t="n">
        <v>355.0009</v>
      </c>
      <c r="D46" s="28" t="n">
        <v>238.0368</v>
      </c>
      <c r="E46" s="28" t="n">
        <v>4700.9268</v>
      </c>
      <c r="G46" t="n">
        <v>35</v>
      </c>
      <c r="H46" s="29" t="n">
        <v>4798</v>
      </c>
      <c r="I46" s="29" t="n">
        <v>529</v>
      </c>
      <c r="J46" s="29" t="n">
        <v>65</v>
      </c>
      <c r="K46" s="28" t="n">
        <v>5392</v>
      </c>
      <c r="W46" s="35" t="n"/>
    </row>
    <row r="47" spans="1:23">
      <c r="A47" t="n">
        <v>36</v>
      </c>
      <c r="B47" s="28" t="n">
        <v>2188.5616</v>
      </c>
      <c r="C47" s="28" t="n">
        <v>726.287</v>
      </c>
      <c r="D47" s="28" t="n">
        <v>238.0368</v>
      </c>
      <c r="E47" s="28" t="n">
        <v>3152.8854</v>
      </c>
      <c r="G47" t="n">
        <v>36</v>
      </c>
      <c r="H47" s="29" t="n">
        <v>4346</v>
      </c>
      <c r="I47" s="29" t="n">
        <v>445</v>
      </c>
      <c r="J47" s="29" t="n">
        <v>78</v>
      </c>
      <c r="K47" s="28" t="n">
        <v>4869</v>
      </c>
      <c r="W47" s="35" t="n"/>
    </row>
    <row r="48" spans="1:23">
      <c r="A48" t="n">
        <v>37</v>
      </c>
      <c r="B48" s="28" t="n">
        <v>8063.3669</v>
      </c>
      <c r="C48" s="28" t="n">
        <v>0</v>
      </c>
      <c r="D48" s="28" t="n">
        <v>218.6278</v>
      </c>
      <c r="E48" s="28" t="n">
        <v>8281.994699999999</v>
      </c>
      <c r="G48" t="n">
        <v>37</v>
      </c>
      <c r="H48" s="29" t="n">
        <v>3874</v>
      </c>
      <c r="I48" s="29" t="n">
        <v>381</v>
      </c>
      <c r="J48" s="29" t="n">
        <v>67</v>
      </c>
      <c r="K48" s="28" t="n">
        <v>4322</v>
      </c>
      <c r="W48" s="35" t="n"/>
    </row>
    <row r="49" spans="1:23">
      <c r="A49" t="n">
        <v>38</v>
      </c>
      <c r="B49" s="28" t="n">
        <v>3432.1527</v>
      </c>
      <c r="C49" s="28" t="n">
        <v>717.7246</v>
      </c>
      <c r="D49" s="28" t="n">
        <v>505.636</v>
      </c>
      <c r="E49" s="28" t="n">
        <v>4655.513300000001</v>
      </c>
      <c r="G49" t="n">
        <v>38</v>
      </c>
      <c r="H49" s="29" t="n">
        <v>3638</v>
      </c>
      <c r="I49" s="29" t="n">
        <v>374</v>
      </c>
      <c r="J49" s="29" t="n">
        <v>41</v>
      </c>
      <c r="K49" s="28" t="n">
        <v>4053</v>
      </c>
      <c r="W49" s="35" t="n"/>
    </row>
    <row r="50" spans="1:23">
      <c r="A50" t="n">
        <v>39</v>
      </c>
      <c r="B50" s="28" t="n">
        <v>6392.9868</v>
      </c>
      <c r="C50" s="28" t="n">
        <v>56.9735</v>
      </c>
      <c r="D50" s="28" t="n">
        <v>258.1531</v>
      </c>
      <c r="E50" s="28" t="n">
        <v>6708.1134</v>
      </c>
      <c r="G50" t="n">
        <v>39</v>
      </c>
      <c r="H50" s="29" t="n">
        <v>3216</v>
      </c>
      <c r="I50" s="29" t="n">
        <v>310</v>
      </c>
      <c r="J50" s="29" t="n">
        <v>32</v>
      </c>
      <c r="K50" s="28" t="n">
        <v>3558</v>
      </c>
      <c r="W50" s="35" t="n"/>
    </row>
    <row r="51" spans="1:23">
      <c r="A51" t="n">
        <v>40</v>
      </c>
      <c r="B51" s="28" t="n">
        <v>3627.6377</v>
      </c>
      <c r="C51" s="28" t="n">
        <v>0</v>
      </c>
      <c r="D51" s="28" t="n">
        <v>0</v>
      </c>
      <c r="E51" s="28" t="n">
        <v>3627.6377</v>
      </c>
      <c r="G51" t="n">
        <v>40</v>
      </c>
      <c r="H51" s="29" t="n">
        <v>2852</v>
      </c>
      <c r="I51" s="29" t="n">
        <v>300</v>
      </c>
      <c r="J51" s="29" t="n">
        <v>35</v>
      </c>
      <c r="K51" s="28" t="n">
        <v>3187</v>
      </c>
      <c r="W51" s="35" t="n"/>
    </row>
    <row r="52" spans="1:23">
      <c r="A52" t="n">
        <v>41</v>
      </c>
      <c r="B52" s="28" t="n">
        <v>1776.905</v>
      </c>
      <c r="C52" s="28" t="n">
        <v>585.6282</v>
      </c>
      <c r="D52" s="28" t="n">
        <v>0</v>
      </c>
      <c r="E52" s="28" t="n">
        <v>2362.5332</v>
      </c>
      <c r="G52" t="n">
        <v>41</v>
      </c>
      <c r="H52" s="29" t="n">
        <v>2594</v>
      </c>
      <c r="I52" s="29" t="n">
        <v>251</v>
      </c>
      <c r="J52" s="29" t="n">
        <v>26</v>
      </c>
      <c r="K52" s="28" t="n">
        <v>2871</v>
      </c>
      <c r="W52" s="35" t="n"/>
    </row>
    <row r="53" spans="1:23">
      <c r="A53" t="n">
        <v>42</v>
      </c>
      <c r="B53" s="28" t="n">
        <v>4517.5738</v>
      </c>
      <c r="C53" s="28" t="n">
        <v>87.5526</v>
      </c>
      <c r="D53" s="28" t="n">
        <v>0</v>
      </c>
      <c r="E53" s="28" t="n">
        <v>4605.1264</v>
      </c>
      <c r="G53" t="n">
        <v>42</v>
      </c>
      <c r="H53" s="29" t="n">
        <v>2404</v>
      </c>
      <c r="I53" s="29" t="n">
        <v>243</v>
      </c>
      <c r="J53" s="29" t="n">
        <v>26</v>
      </c>
      <c r="K53" s="28" t="n">
        <v>2673</v>
      </c>
      <c r="W53" s="35" t="n"/>
    </row>
    <row r="54" spans="1:23">
      <c r="A54" t="n">
        <v>43</v>
      </c>
      <c r="B54" s="28" t="n">
        <v>2574.2504</v>
      </c>
      <c r="C54" s="28" t="n">
        <v>0</v>
      </c>
      <c r="D54" s="28" t="n">
        <v>0</v>
      </c>
      <c r="E54" s="28" t="n">
        <v>2574.2504</v>
      </c>
      <c r="G54" t="n">
        <v>43</v>
      </c>
      <c r="H54" s="29" t="n">
        <v>1903</v>
      </c>
      <c r="I54" s="29" t="n">
        <v>204</v>
      </c>
      <c r="J54" s="29" t="n">
        <v>27</v>
      </c>
      <c r="K54" s="28" t="n">
        <v>2134</v>
      </c>
      <c r="W54" s="35" t="n"/>
    </row>
    <row r="55" spans="1:23">
      <c r="A55" t="n">
        <v>44</v>
      </c>
      <c r="B55" s="28" t="n">
        <v>2273.8327</v>
      </c>
      <c r="C55" s="28" t="n">
        <v>648.1959000000001</v>
      </c>
      <c r="D55" s="28" t="n">
        <v>0</v>
      </c>
      <c r="E55" s="28" t="n">
        <v>2922.0286</v>
      </c>
      <c r="G55" t="n">
        <v>44</v>
      </c>
      <c r="H55" s="29" t="n">
        <v>1676</v>
      </c>
      <c r="I55" s="29" t="n">
        <v>141</v>
      </c>
      <c r="J55" s="29" t="n">
        <v>18</v>
      </c>
      <c r="K55" s="28" t="n">
        <v>1835</v>
      </c>
      <c r="W55" s="35" t="n"/>
    </row>
    <row r="56" spans="1:23">
      <c r="A56" t="n">
        <v>45</v>
      </c>
      <c r="B56" s="28" t="n">
        <v>548.2259</v>
      </c>
      <c r="C56" s="28" t="n">
        <v>286.2433</v>
      </c>
      <c r="D56" s="28" t="n">
        <v>0</v>
      </c>
      <c r="E56" s="28" t="n">
        <v>834.4692</v>
      </c>
      <c r="G56" t="n">
        <v>45</v>
      </c>
      <c r="H56" s="29" t="n">
        <v>1491</v>
      </c>
      <c r="I56" s="29" t="n">
        <v>156</v>
      </c>
      <c r="J56" s="29" t="n">
        <v>14</v>
      </c>
      <c r="K56" s="28" t="n">
        <v>1661</v>
      </c>
      <c r="W56" s="35" t="n"/>
    </row>
    <row r="57" spans="1:23">
      <c r="A57" t="n">
        <v>46</v>
      </c>
      <c r="B57" s="28" t="n">
        <v>1691.2034</v>
      </c>
      <c r="C57" s="28" t="n">
        <v>0</v>
      </c>
      <c r="D57" s="28" t="n">
        <v>321.4955</v>
      </c>
      <c r="E57" s="28" t="n">
        <v>2012.6989</v>
      </c>
      <c r="G57" t="n">
        <v>46</v>
      </c>
      <c r="H57" s="29" t="n">
        <v>1347</v>
      </c>
      <c r="I57" s="29" t="n">
        <v>119</v>
      </c>
      <c r="J57" s="29" t="n">
        <v>17</v>
      </c>
      <c r="K57" s="28" t="n">
        <v>1483</v>
      </c>
      <c r="W57" s="35" t="n"/>
    </row>
    <row r="58" spans="1:23">
      <c r="A58" t="n">
        <v>47</v>
      </c>
      <c r="B58" s="28" t="n">
        <v>3453.3629</v>
      </c>
      <c r="C58" s="28" t="n">
        <v>0</v>
      </c>
      <c r="D58" s="28" t="n">
        <v>0</v>
      </c>
      <c r="E58" s="28" t="n">
        <v>3453.3629</v>
      </c>
      <c r="G58" t="n">
        <v>47</v>
      </c>
      <c r="H58" s="29" t="n">
        <v>1205</v>
      </c>
      <c r="I58" s="29" t="n">
        <v>129</v>
      </c>
      <c r="J58" s="29" t="n">
        <v>13</v>
      </c>
      <c r="K58" s="28" t="n">
        <v>1347</v>
      </c>
      <c r="W58" s="35" t="n"/>
    </row>
    <row r="59" spans="1:23">
      <c r="A59" t="n">
        <v>48</v>
      </c>
      <c r="B59" s="28" t="n">
        <v>4284.2076</v>
      </c>
      <c r="C59" s="28" t="n">
        <v>0</v>
      </c>
      <c r="D59" s="28" t="n">
        <v>0</v>
      </c>
      <c r="E59" s="28" t="n">
        <v>4284.2076</v>
      </c>
      <c r="G59" t="n">
        <v>48</v>
      </c>
      <c r="H59" s="29" t="n">
        <v>973</v>
      </c>
      <c r="I59" s="29" t="n">
        <v>107</v>
      </c>
      <c r="J59" s="29" t="n">
        <v>12</v>
      </c>
      <c r="K59" s="28" t="n">
        <v>1092</v>
      </c>
      <c r="W59" s="35" t="n"/>
    </row>
    <row r="60" spans="1:23">
      <c r="A60" t="n">
        <v>49</v>
      </c>
      <c r="B60" s="28" t="n">
        <v>852.6476</v>
      </c>
      <c r="C60" s="28" t="n">
        <v>0</v>
      </c>
      <c r="D60" s="28" t="n">
        <v>0</v>
      </c>
      <c r="E60" s="28" t="n">
        <v>852.6476</v>
      </c>
      <c r="G60" t="n">
        <v>49</v>
      </c>
      <c r="H60" s="29" t="n">
        <v>848</v>
      </c>
      <c r="I60" s="29" t="n">
        <v>86</v>
      </c>
      <c r="J60" s="29" t="n">
        <v>12</v>
      </c>
      <c r="K60" s="28" t="n">
        <v>946</v>
      </c>
      <c r="W60" s="35" t="n"/>
    </row>
    <row r="61" spans="1:23">
      <c r="A61" t="n">
        <v>50</v>
      </c>
      <c r="B61" s="28" t="n">
        <v>327.8311</v>
      </c>
      <c r="C61" s="28" t="n">
        <v>105.4442</v>
      </c>
      <c r="D61" s="28" t="n">
        <v>0</v>
      </c>
      <c r="E61" s="28" t="n">
        <v>433.2753</v>
      </c>
      <c r="G61" t="n">
        <v>50</v>
      </c>
      <c r="H61" s="29" t="n">
        <v>756</v>
      </c>
      <c r="I61" s="29" t="n">
        <v>67</v>
      </c>
      <c r="J61" s="29" t="n">
        <v>8</v>
      </c>
      <c r="K61" s="28" t="n">
        <v>831</v>
      </c>
      <c r="W61" s="35" t="n"/>
    </row>
    <row r="62" spans="1:23">
      <c r="A62" t="n">
        <v>51</v>
      </c>
      <c r="B62" s="28" t="n">
        <v>650.3255</v>
      </c>
      <c r="C62" s="28" t="n">
        <v>0</v>
      </c>
      <c r="D62" s="28" t="n">
        <v>0</v>
      </c>
      <c r="E62" s="28" t="n">
        <v>650.3255</v>
      </c>
      <c r="G62" t="n">
        <v>51</v>
      </c>
      <c r="H62" s="29" t="n">
        <v>679</v>
      </c>
      <c r="I62" s="29" t="n">
        <v>49</v>
      </c>
      <c r="J62" s="29" t="n">
        <v>5</v>
      </c>
      <c r="K62" s="28" t="n">
        <v>733</v>
      </c>
      <c r="W62" s="35" t="n"/>
    </row>
    <row r="63" spans="1:23">
      <c r="A63" t="n">
        <v>52</v>
      </c>
      <c r="B63" s="28" t="n">
        <v>1111.4619</v>
      </c>
      <c r="C63" s="28" t="n">
        <v>268.3759</v>
      </c>
      <c r="D63" s="28" t="n">
        <v>0</v>
      </c>
      <c r="E63" s="28" t="n">
        <v>1379.8378</v>
      </c>
      <c r="G63" t="n">
        <v>52</v>
      </c>
      <c r="H63" s="29" t="n">
        <v>519</v>
      </c>
      <c r="I63" s="29" t="n">
        <v>58</v>
      </c>
      <c r="J63" s="29" t="n">
        <v>9</v>
      </c>
      <c r="K63" s="28" t="n">
        <v>586</v>
      </c>
      <c r="W63" s="35" t="n"/>
    </row>
    <row r="64" spans="1:23">
      <c r="A64" t="n">
        <v>53</v>
      </c>
      <c r="B64" s="28" t="n">
        <v>798.6107000000001</v>
      </c>
      <c r="C64" s="28" t="n">
        <v>0</v>
      </c>
      <c r="D64" s="28" t="n">
        <v>165.1856</v>
      </c>
      <c r="E64" s="28" t="n">
        <v>963.7963000000001</v>
      </c>
      <c r="G64" t="n">
        <v>53</v>
      </c>
      <c r="H64" s="29" t="n">
        <v>445</v>
      </c>
      <c r="I64" s="29" t="n">
        <v>44</v>
      </c>
      <c r="J64" s="29" t="n">
        <v>2</v>
      </c>
      <c r="K64" s="28" t="n">
        <v>491</v>
      </c>
      <c r="W64" s="35" t="n"/>
    </row>
    <row r="65" spans="1:23">
      <c r="A65" t="n">
        <v>54</v>
      </c>
      <c r="B65" s="28" t="n">
        <v>2329.39</v>
      </c>
      <c r="C65" s="28" t="n">
        <v>1521.7979</v>
      </c>
      <c r="D65" s="28" t="n">
        <v>0</v>
      </c>
      <c r="E65" s="28" t="n">
        <v>3851.1879</v>
      </c>
      <c r="G65" t="n">
        <v>54</v>
      </c>
      <c r="H65" s="29" t="n">
        <v>384</v>
      </c>
      <c r="I65" s="29" t="n">
        <v>40</v>
      </c>
      <c r="J65" s="29" t="n">
        <v>5</v>
      </c>
      <c r="K65" s="28" t="n">
        <v>429</v>
      </c>
      <c r="W65" s="35" t="n"/>
    </row>
    <row r="66" spans="1:23">
      <c r="A66" t="n">
        <v>55</v>
      </c>
      <c r="B66" s="28" t="n">
        <v>1788.5024</v>
      </c>
      <c r="C66" s="28" t="n">
        <v>71.85420000000001</v>
      </c>
      <c r="D66" s="28" t="n">
        <v>0</v>
      </c>
      <c r="E66" s="28" t="n">
        <v>1860.3566</v>
      </c>
      <c r="G66" t="n">
        <v>55</v>
      </c>
      <c r="H66" s="29" t="n">
        <v>344</v>
      </c>
      <c r="I66" s="29" t="n">
        <v>43</v>
      </c>
      <c r="J66" s="29" t="n">
        <v>2</v>
      </c>
      <c r="K66" s="28" t="n">
        <v>389</v>
      </c>
      <c r="W66" s="35" t="n"/>
    </row>
    <row r="67" spans="1:23">
      <c r="A67" t="n">
        <v>56</v>
      </c>
      <c r="B67" s="28" t="n">
        <v>602.6278</v>
      </c>
      <c r="C67" s="28" t="n">
        <v>0</v>
      </c>
      <c r="D67" s="28" t="n">
        <v>0</v>
      </c>
      <c r="E67" s="28" t="n">
        <v>602.6278</v>
      </c>
      <c r="G67" t="n">
        <v>56</v>
      </c>
      <c r="H67" s="29" t="n">
        <v>281</v>
      </c>
      <c r="I67" s="29" t="n">
        <v>22</v>
      </c>
      <c r="J67" s="29" t="n">
        <v>3</v>
      </c>
      <c r="K67" s="28" t="n">
        <v>306</v>
      </c>
      <c r="W67" s="35" t="n"/>
    </row>
    <row r="68" spans="1:23">
      <c r="A68" t="n">
        <v>57</v>
      </c>
      <c r="B68" s="28" t="n">
        <v>821.6305</v>
      </c>
      <c r="C68" s="28" t="n">
        <v>0</v>
      </c>
      <c r="D68" s="28" t="n">
        <v>0</v>
      </c>
      <c r="E68" s="28" t="n">
        <v>821.6305</v>
      </c>
      <c r="G68" t="n">
        <v>57</v>
      </c>
      <c r="H68" s="29" t="n">
        <v>239</v>
      </c>
      <c r="I68" s="29" t="n">
        <v>27</v>
      </c>
      <c r="J68" s="29" t="n">
        <v>8</v>
      </c>
      <c r="K68" s="28" t="n">
        <v>274</v>
      </c>
      <c r="W68" s="35" t="n"/>
    </row>
    <row r="69" spans="1:23">
      <c r="A69" t="n">
        <v>58</v>
      </c>
      <c r="B69" s="28" t="n">
        <v>1419.4823</v>
      </c>
      <c r="C69" s="28" t="n">
        <v>0</v>
      </c>
      <c r="D69" s="28" t="n">
        <v>0</v>
      </c>
      <c r="E69" s="28" t="n">
        <v>1419.4823</v>
      </c>
      <c r="G69" t="n">
        <v>58</v>
      </c>
      <c r="H69" s="29" t="n">
        <v>236</v>
      </c>
      <c r="I69" s="29" t="n">
        <v>23</v>
      </c>
      <c r="J69" s="29" t="n">
        <v>3</v>
      </c>
      <c r="K69" s="28" t="n">
        <v>262</v>
      </c>
      <c r="W69" s="35" t="n"/>
    </row>
    <row r="70" spans="1:23">
      <c r="A70" t="n">
        <v>59</v>
      </c>
      <c r="B70" s="28" t="n">
        <v>322.3185</v>
      </c>
      <c r="C70" s="28" t="n">
        <v>203.3384</v>
      </c>
      <c r="D70" s="28" t="n">
        <v>0</v>
      </c>
      <c r="E70" s="28" t="n">
        <v>525.6569</v>
      </c>
      <c r="G70" t="n">
        <v>59</v>
      </c>
      <c r="H70" s="29" t="n">
        <v>187</v>
      </c>
      <c r="I70" s="29" t="n">
        <v>25</v>
      </c>
      <c r="J70" s="29" t="n">
        <v>0</v>
      </c>
      <c r="K70" s="28" t="n">
        <v>212</v>
      </c>
      <c r="W70" s="35" t="n"/>
    </row>
    <row r="71" spans="1:23">
      <c r="A71" t="n">
        <v>60</v>
      </c>
      <c r="B71" s="28" t="n">
        <v>0</v>
      </c>
      <c r="C71" s="28" t="n">
        <v>0</v>
      </c>
      <c r="D71" s="28" t="n">
        <v>0</v>
      </c>
      <c r="E71" s="28" t="n">
        <v>0</v>
      </c>
      <c r="G71" t="n">
        <v>60</v>
      </c>
      <c r="H71" s="29" t="n">
        <v>144</v>
      </c>
      <c r="I71" s="29" t="n">
        <v>20</v>
      </c>
      <c r="J71" s="29" t="n">
        <v>7</v>
      </c>
      <c r="K71" s="28" t="n">
        <v>171</v>
      </c>
      <c r="W71" s="35" t="n"/>
    </row>
    <row r="72" spans="1:23">
      <c r="A72" t="n">
        <v>61</v>
      </c>
      <c r="B72" s="28" t="n">
        <v>86.0936</v>
      </c>
      <c r="C72" s="28" t="n">
        <v>0</v>
      </c>
      <c r="D72" s="28" t="n">
        <v>0</v>
      </c>
      <c r="E72" s="28" t="n">
        <v>86.0936</v>
      </c>
      <c r="G72" t="n">
        <v>61</v>
      </c>
      <c r="H72" s="29" t="n">
        <v>145</v>
      </c>
      <c r="I72" s="29" t="n">
        <v>18</v>
      </c>
      <c r="J72" s="29" t="n">
        <v>1</v>
      </c>
      <c r="K72" s="28" t="n">
        <v>164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118</v>
      </c>
      <c r="I73" s="29" t="n">
        <v>10</v>
      </c>
      <c r="J73" s="29" t="n">
        <v>0</v>
      </c>
      <c r="K73" s="28" t="n">
        <v>128</v>
      </c>
      <c r="W73" s="35" t="n"/>
    </row>
    <row r="74" spans="1:23">
      <c r="A74" t="n">
        <v>63</v>
      </c>
      <c r="B74" s="28" t="n">
        <v>368.6672</v>
      </c>
      <c r="C74" s="28" t="n">
        <v>167.0675</v>
      </c>
      <c r="D74" s="28" t="n">
        <v>0</v>
      </c>
      <c r="E74" s="28" t="n">
        <v>535.7347</v>
      </c>
      <c r="G74" t="n">
        <v>63</v>
      </c>
      <c r="H74" s="29" t="n">
        <v>112</v>
      </c>
      <c r="I74" s="29" t="n">
        <v>13</v>
      </c>
      <c r="J74" s="29" t="n">
        <v>0</v>
      </c>
      <c r="K74" s="28" t="n">
        <v>125</v>
      </c>
      <c r="W74" s="35" t="n"/>
    </row>
    <row r="75" spans="1:23">
      <c r="A75" t="n">
        <v>64</v>
      </c>
      <c r="B75" s="28" t="n">
        <v>471.4812</v>
      </c>
      <c r="C75" s="28" t="n">
        <v>0</v>
      </c>
      <c r="D75" s="28" t="n">
        <v>0</v>
      </c>
      <c r="E75" s="28" t="n">
        <v>471.4812</v>
      </c>
      <c r="G75" t="n">
        <v>64</v>
      </c>
      <c r="H75" s="29" t="n">
        <v>86</v>
      </c>
      <c r="I75" s="29" t="n">
        <v>16</v>
      </c>
      <c r="J75" s="29" t="n">
        <v>0</v>
      </c>
      <c r="K75" s="28" t="n">
        <v>102</v>
      </c>
      <c r="W75" s="35" t="n"/>
    </row>
    <row r="76" spans="1:23">
      <c r="A76" t="n">
        <v>65</v>
      </c>
      <c r="B76" s="28" t="n">
        <v>315.6103</v>
      </c>
      <c r="C76" s="28" t="n">
        <v>0</v>
      </c>
      <c r="D76" s="28" t="n">
        <v>0</v>
      </c>
      <c r="E76" s="28" t="n">
        <v>315.6103</v>
      </c>
      <c r="G76" t="n">
        <v>65</v>
      </c>
      <c r="H76" s="29" t="n">
        <v>84</v>
      </c>
      <c r="I76" s="29" t="n">
        <v>14</v>
      </c>
      <c r="J76" s="29" t="n">
        <v>0</v>
      </c>
      <c r="K76" s="28" t="n">
        <v>98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71</v>
      </c>
      <c r="I77" s="29" t="n">
        <v>12</v>
      </c>
      <c r="J77" s="29" t="n">
        <v>0</v>
      </c>
      <c r="K77" s="28" t="n">
        <v>83</v>
      </c>
      <c r="W77" s="35" t="n"/>
    </row>
    <row r="78" spans="1:23">
      <c r="A78" t="n">
        <v>67</v>
      </c>
      <c r="B78" s="28" t="n">
        <v>0</v>
      </c>
      <c r="C78" s="28" t="n">
        <v>0</v>
      </c>
      <c r="D78" s="28" t="n">
        <v>0</v>
      </c>
      <c r="E78" s="28" t="n">
        <v>0</v>
      </c>
      <c r="G78" t="n">
        <v>67</v>
      </c>
      <c r="H78" s="29" t="n">
        <v>63</v>
      </c>
      <c r="I78" s="29" t="n">
        <v>5</v>
      </c>
      <c r="J78" s="29" t="n">
        <v>0</v>
      </c>
      <c r="K78" s="28" t="n">
        <v>68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53</v>
      </c>
      <c r="I79" s="29" t="n">
        <v>2</v>
      </c>
      <c r="J79" s="29" t="n">
        <v>1</v>
      </c>
      <c r="K79" s="28" t="n">
        <v>56</v>
      </c>
      <c r="W79" s="35" t="n"/>
    </row>
    <row r="80" spans="1:23">
      <c r="A80" t="n">
        <v>69</v>
      </c>
      <c r="B80" s="28" t="n">
        <v>147.1373</v>
      </c>
      <c r="C80" s="28" t="n">
        <v>0</v>
      </c>
      <c r="D80" s="28" t="n">
        <v>0</v>
      </c>
      <c r="E80" s="28" t="n">
        <v>147.1373</v>
      </c>
      <c r="G80" t="n">
        <v>69</v>
      </c>
      <c r="H80" s="29" t="n">
        <v>41</v>
      </c>
      <c r="I80" s="29" t="n">
        <v>8</v>
      </c>
      <c r="J80" s="29" t="n">
        <v>0</v>
      </c>
      <c r="K80" s="28" t="n">
        <v>49</v>
      </c>
      <c r="W80" s="35" t="n"/>
    </row>
    <row r="81" spans="1:23">
      <c r="A81" t="n">
        <v>70</v>
      </c>
      <c r="B81" s="28" t="n">
        <v>315.6895</v>
      </c>
      <c r="C81" s="28" t="n">
        <v>0</v>
      </c>
      <c r="D81" s="28" t="n">
        <v>0</v>
      </c>
      <c r="E81" s="28" t="n">
        <v>315.6895</v>
      </c>
      <c r="G81" t="n">
        <v>70</v>
      </c>
      <c r="H81" s="29" t="n">
        <v>47</v>
      </c>
      <c r="I81" s="29" t="n">
        <v>6</v>
      </c>
      <c r="J81" s="29" t="n">
        <v>0</v>
      </c>
      <c r="K81" s="28" t="n">
        <v>53</v>
      </c>
      <c r="W81" s="35" t="n"/>
    </row>
    <row r="82" spans="1:23">
      <c r="A82" t="n">
        <v>71</v>
      </c>
      <c r="B82" s="28" t="n">
        <v>138.9538</v>
      </c>
      <c r="C82" s="28" t="n">
        <v>0</v>
      </c>
      <c r="D82" s="28" t="n">
        <v>0</v>
      </c>
      <c r="E82" s="28" t="n">
        <v>138.9538</v>
      </c>
      <c r="G82" t="n">
        <v>71</v>
      </c>
      <c r="H82" s="29" t="n">
        <v>42</v>
      </c>
      <c r="I82" s="29" t="n">
        <v>5</v>
      </c>
      <c r="J82" s="29" t="n">
        <v>0</v>
      </c>
      <c r="K82" s="28" t="n">
        <v>47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45</v>
      </c>
      <c r="I83" s="29" t="n">
        <v>3</v>
      </c>
      <c r="J83" s="29" t="n">
        <v>0</v>
      </c>
      <c r="K83" s="28" t="n">
        <v>48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28</v>
      </c>
      <c r="I84" s="28" t="n">
        <v>4</v>
      </c>
      <c r="J84" s="29" t="n">
        <v>1</v>
      </c>
      <c r="K84" s="28" t="n">
        <v>33</v>
      </c>
      <c r="W84" s="35" t="n"/>
    </row>
    <row r="85" spans="1:23">
      <c r="A85" t="n">
        <v>74</v>
      </c>
      <c r="B85" s="28" t="n">
        <v>0</v>
      </c>
      <c r="C85" s="28" t="n">
        <v>0</v>
      </c>
      <c r="D85" s="28" t="n">
        <v>0</v>
      </c>
      <c r="E85" s="28" t="n">
        <v>0</v>
      </c>
      <c r="G85" t="n">
        <v>74</v>
      </c>
      <c r="H85" s="29" t="n">
        <v>26</v>
      </c>
      <c r="I85" s="29" t="n">
        <v>3</v>
      </c>
      <c r="J85" s="29" t="n">
        <v>1</v>
      </c>
      <c r="K85" s="28" t="n">
        <v>30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16</v>
      </c>
      <c r="I86" s="28" t="n">
        <v>3</v>
      </c>
      <c r="J86" s="29" t="n">
        <v>2</v>
      </c>
      <c r="K86" s="28" t="n">
        <v>21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23</v>
      </c>
      <c r="I87" s="28" t="n">
        <v>3</v>
      </c>
      <c r="J87" s="29" t="n">
        <v>1</v>
      </c>
      <c r="K87" s="28" t="n">
        <v>27</v>
      </c>
      <c r="W87" s="35" t="n"/>
    </row>
    <row r="88" spans="1:23">
      <c r="A88" t="n">
        <v>77</v>
      </c>
      <c r="B88" s="28" t="n">
        <v>409.1384</v>
      </c>
      <c r="C88" s="28" t="n">
        <v>0</v>
      </c>
      <c r="D88" s="28" t="n">
        <v>0</v>
      </c>
      <c r="E88" s="28" t="n">
        <v>409.1384</v>
      </c>
      <c r="G88" t="n">
        <v>77</v>
      </c>
      <c r="H88" s="29" t="n">
        <v>15</v>
      </c>
      <c r="I88" s="28" t="n">
        <v>1</v>
      </c>
      <c r="J88" s="28" t="n">
        <v>0</v>
      </c>
      <c r="K88" s="28" t="n">
        <v>16</v>
      </c>
      <c r="W88" s="35" t="n"/>
    </row>
    <row r="89" spans="1:23">
      <c r="A89" t="n">
        <v>78</v>
      </c>
      <c r="B89" s="28" t="n">
        <v>0</v>
      </c>
      <c r="C89" s="28" t="n">
        <v>0</v>
      </c>
      <c r="D89" s="28" t="n">
        <v>0</v>
      </c>
      <c r="E89" s="28" t="n">
        <v>0</v>
      </c>
      <c r="G89" t="n">
        <v>78</v>
      </c>
      <c r="H89" s="29" t="n">
        <v>17</v>
      </c>
      <c r="I89" s="28" t="n">
        <v>4</v>
      </c>
      <c r="J89" s="28" t="n">
        <v>0</v>
      </c>
      <c r="K89" s="28" t="n">
        <v>21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12</v>
      </c>
      <c r="I90" s="28" t="n">
        <v>2</v>
      </c>
      <c r="J90" s="28" t="n">
        <v>1</v>
      </c>
      <c r="K90" s="28" t="n">
        <v>15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10</v>
      </c>
      <c r="I91" s="28" t="n">
        <v>2</v>
      </c>
      <c r="J91" s="28" t="n">
        <v>0</v>
      </c>
      <c r="K91" s="28" t="n">
        <v>12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232.5541</v>
      </c>
      <c r="E92" s="28" t="n">
        <v>232.5541</v>
      </c>
      <c r="G92" t="n">
        <v>81</v>
      </c>
      <c r="H92" s="29" t="n">
        <v>12</v>
      </c>
      <c r="I92" s="28" t="n">
        <v>2</v>
      </c>
      <c r="J92" s="28" t="n">
        <v>0</v>
      </c>
      <c r="K92" s="28" t="n">
        <v>14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7</v>
      </c>
      <c r="I93" s="28" t="n">
        <v>5</v>
      </c>
      <c r="J93" s="28" t="n">
        <v>0</v>
      </c>
      <c r="K93" s="28" t="n">
        <v>12</v>
      </c>
      <c r="W93" s="35" t="n"/>
    </row>
    <row r="94" spans="1:23">
      <c r="A94" t="n">
        <v>83</v>
      </c>
      <c r="B94" s="28" t="n">
        <v>0</v>
      </c>
      <c r="C94" s="28" t="n">
        <v>79.1452</v>
      </c>
      <c r="D94" s="28" t="n">
        <v>0</v>
      </c>
      <c r="E94" s="28" t="n">
        <v>79.1452</v>
      </c>
      <c r="G94" t="n">
        <v>83</v>
      </c>
      <c r="H94" s="29" t="n">
        <v>19</v>
      </c>
      <c r="I94" s="28" t="n">
        <v>1</v>
      </c>
      <c r="J94" s="28" t="n">
        <v>0</v>
      </c>
      <c r="K94" s="28" t="n">
        <v>20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5</v>
      </c>
      <c r="I95" s="28" t="n">
        <v>1</v>
      </c>
      <c r="J95" s="28" t="n">
        <v>0</v>
      </c>
      <c r="K95" s="28" t="n">
        <v>6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5</v>
      </c>
      <c r="I96" s="28" t="n">
        <v>2</v>
      </c>
      <c r="J96" s="28" t="n">
        <v>0</v>
      </c>
      <c r="K96" s="28" t="n">
        <v>7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6</v>
      </c>
      <c r="I97" s="28" t="n">
        <v>0</v>
      </c>
      <c r="J97" s="28" t="n">
        <v>0</v>
      </c>
      <c r="K97" s="28" t="n">
        <v>6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6</v>
      </c>
      <c r="I98" s="28" t="n">
        <v>0</v>
      </c>
      <c r="J98" s="28" t="n">
        <v>0</v>
      </c>
      <c r="K98" s="28" t="n">
        <v>6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5</v>
      </c>
      <c r="I99" s="28" t="n">
        <v>0</v>
      </c>
      <c r="J99" s="28" t="n">
        <v>0</v>
      </c>
      <c r="K99" s="28" t="n">
        <v>5</v>
      </c>
      <c r="W99" s="35" t="n"/>
    </row>
    <row r="100" spans="1:23">
      <c r="A100" t="n">
        <v>89</v>
      </c>
      <c r="B100" s="28" t="n">
        <v>0</v>
      </c>
      <c r="C100" s="28" t="n">
        <v>0</v>
      </c>
      <c r="D100" s="28" t="n">
        <v>0</v>
      </c>
      <c r="E100" s="28" t="n">
        <v>0</v>
      </c>
      <c r="G100" t="n">
        <v>89</v>
      </c>
      <c r="H100" s="29" t="n">
        <v>11</v>
      </c>
      <c r="I100" s="28" t="n">
        <v>2</v>
      </c>
      <c r="J100" s="28" t="n">
        <v>0</v>
      </c>
      <c r="K100" s="28" t="n">
        <v>13</v>
      </c>
      <c r="W100" s="35" t="n"/>
    </row>
    <row customHeight="1" ht="15.75" r="101" spans="1:23">
      <c r="A101" s="21" t="s">
        <v>20</v>
      </c>
      <c r="B101" s="36" t="n">
        <v>104700.6578</v>
      </c>
      <c r="C101" s="36" t="n">
        <v>78770.7669</v>
      </c>
      <c r="D101" s="36" t="n">
        <v>9339.8181</v>
      </c>
      <c r="E101" s="37" t="n">
        <v>192811.2428</v>
      </c>
      <c r="G101" s="21" t="s">
        <v>20</v>
      </c>
      <c r="H101" s="38" t="n">
        <v>51837</v>
      </c>
      <c r="I101" s="36" t="n">
        <v>12630</v>
      </c>
      <c r="J101" s="36" t="n">
        <v>3034</v>
      </c>
      <c r="K101" s="36" t="n">
        <v>67501</v>
      </c>
      <c r="W101" s="37" t="n"/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E11" sqref="E11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23</v>
      </c>
      <c r="M10" s="27" t="n"/>
      <c r="N10" s="26" t="s">
        <v>13</v>
      </c>
      <c r="O10" s="26" t="s">
        <v>23</v>
      </c>
    </row>
    <row r="11" spans="1:23">
      <c r="A11" t="n">
        <v>0</v>
      </c>
      <c r="B11" s="28" t="n">
        <v>13577.9659</v>
      </c>
      <c r="C11" s="28" t="n">
        <v>6018.6153</v>
      </c>
      <c r="D11" s="28" t="n">
        <v>667.7487</v>
      </c>
      <c r="E11" s="28" t="n">
        <v>20264.3299</v>
      </c>
      <c r="G11" t="n">
        <v>0</v>
      </c>
      <c r="H11" s="29" t="n">
        <v>88715</v>
      </c>
      <c r="I11" s="29" t="n">
        <v>40898</v>
      </c>
      <c r="J11" s="29" t="n">
        <v>21306</v>
      </c>
      <c r="K11" s="28" t="n">
        <v>150919</v>
      </c>
      <c r="M11" s="23" t="s">
        <v>10</v>
      </c>
      <c r="N11" s="30" t="n">
        <v>12.70256075594116</v>
      </c>
      <c r="O11" s="30" t="n">
        <v>12.67541786180995</v>
      </c>
    </row>
    <row r="12" spans="1:23">
      <c r="A12" t="n">
        <v>1</v>
      </c>
      <c r="B12" s="28" t="n">
        <v>16417.4791</v>
      </c>
      <c r="C12" s="28" t="n">
        <v>4526.9611</v>
      </c>
      <c r="D12" s="28" t="n">
        <v>553.6359</v>
      </c>
      <c r="E12" s="28" t="n">
        <v>21498.0761</v>
      </c>
      <c r="G12" t="n">
        <v>1</v>
      </c>
      <c r="H12" s="29" t="n">
        <v>45319</v>
      </c>
      <c r="I12" s="29" t="n">
        <v>25143</v>
      </c>
      <c r="J12" s="29" t="n">
        <v>10972</v>
      </c>
      <c r="K12" s="28" t="n">
        <v>81434</v>
      </c>
      <c r="M12" s="23" t="s">
        <v>11</v>
      </c>
      <c r="N12" s="30" t="n">
        <v>9.282596143354432</v>
      </c>
      <c r="O12" s="30" t="n">
        <v>8.701301177290285</v>
      </c>
    </row>
    <row r="13" spans="1:23">
      <c r="A13" t="n">
        <v>2</v>
      </c>
      <c r="B13" s="28" t="n">
        <v>30547.1067</v>
      </c>
      <c r="C13" s="28" t="n">
        <v>8433.3843</v>
      </c>
      <c r="D13" s="28" t="n">
        <v>423.4331</v>
      </c>
      <c r="E13" s="28" t="n">
        <v>39403.9241</v>
      </c>
      <c r="G13" t="n">
        <v>2</v>
      </c>
      <c r="H13" s="29" t="n">
        <v>36110</v>
      </c>
      <c r="I13" s="29" t="n">
        <v>15588</v>
      </c>
      <c r="J13" s="29" t="n">
        <v>6573</v>
      </c>
      <c r="K13" s="28" t="n">
        <v>58271</v>
      </c>
      <c r="M13" s="31" t="s">
        <v>12</v>
      </c>
      <c r="N13" s="32" t="n">
        <v>10.44492604429904</v>
      </c>
      <c r="O13" s="32" t="n">
        <v>10.05645901473793</v>
      </c>
    </row>
    <row customHeight="1" ht="15.75" r="14" spans="1:23">
      <c r="A14" t="n">
        <v>3</v>
      </c>
      <c r="B14" s="28" t="n">
        <v>48136.7747</v>
      </c>
      <c r="C14" s="28" t="n">
        <v>17205.886</v>
      </c>
      <c r="D14" s="28" t="n">
        <v>2181.5761</v>
      </c>
      <c r="E14" s="28" t="n">
        <v>67524.2368</v>
      </c>
      <c r="G14" t="n">
        <v>3</v>
      </c>
      <c r="H14" s="29" t="n">
        <v>31109</v>
      </c>
      <c r="I14" s="29" t="n">
        <v>12300</v>
      </c>
      <c r="J14" s="29" t="n">
        <v>5274</v>
      </c>
      <c r="K14" s="28" t="n">
        <v>48683</v>
      </c>
      <c r="M14" s="33" t="s">
        <v>19</v>
      </c>
      <c r="N14" s="34" t="n">
        <v>12.07290509524561</v>
      </c>
      <c r="O14" s="34" t="n">
        <v>11.73845561624023</v>
      </c>
      <c r="S14" s="35" t="n"/>
    </row>
    <row r="15" spans="1:23">
      <c r="A15" t="n">
        <v>4</v>
      </c>
      <c r="B15" s="28" t="n">
        <v>110467.3749</v>
      </c>
      <c r="C15" s="28" t="n">
        <v>32819.7429</v>
      </c>
      <c r="D15" s="28" t="n">
        <v>3029.9595</v>
      </c>
      <c r="E15" s="28" t="n">
        <v>146317.0773</v>
      </c>
      <c r="G15" t="n">
        <v>4</v>
      </c>
      <c r="H15" s="29" t="n">
        <v>109273</v>
      </c>
      <c r="I15" s="29" t="n">
        <v>43199</v>
      </c>
      <c r="J15" s="29" t="n">
        <v>18035</v>
      </c>
      <c r="K15" s="28" t="n">
        <v>170507</v>
      </c>
      <c r="W15" s="35" t="n"/>
    </row>
    <row r="16" spans="1:23">
      <c r="A16" t="n">
        <v>5</v>
      </c>
      <c r="B16" s="28" t="n">
        <v>96104.91899999999</v>
      </c>
      <c r="C16" s="28" t="n">
        <v>27881.9996</v>
      </c>
      <c r="D16" s="28" t="n">
        <v>3715.9527</v>
      </c>
      <c r="E16" s="28" t="n">
        <v>127702.8713</v>
      </c>
      <c r="G16" t="n">
        <v>5</v>
      </c>
      <c r="H16" s="29" t="n">
        <v>109604</v>
      </c>
      <c r="I16" s="29" t="n">
        <v>32181</v>
      </c>
      <c r="J16" s="29" t="n">
        <v>16155</v>
      </c>
      <c r="K16" s="28" t="n">
        <v>157940</v>
      </c>
      <c r="W16" s="35" t="n"/>
    </row>
    <row r="17" spans="1:23">
      <c r="A17" t="n">
        <v>6</v>
      </c>
      <c r="B17" s="28" t="n">
        <v>94775.943</v>
      </c>
      <c r="C17" s="28" t="n">
        <v>24184.6784</v>
      </c>
      <c r="D17" s="28" t="n">
        <v>8947.4013</v>
      </c>
      <c r="E17" s="28" t="n">
        <v>127908.0227</v>
      </c>
      <c r="G17" t="n">
        <v>6</v>
      </c>
      <c r="H17" s="29" t="n">
        <v>115021</v>
      </c>
      <c r="I17" s="29" t="n">
        <v>33191</v>
      </c>
      <c r="J17" s="29" t="n">
        <v>15694</v>
      </c>
      <c r="K17" s="28" t="n">
        <v>163906</v>
      </c>
      <c r="W17" s="35" t="n"/>
    </row>
    <row r="18" spans="1:23">
      <c r="A18" t="n">
        <v>7</v>
      </c>
      <c r="B18" s="28" t="n">
        <v>69450.041</v>
      </c>
      <c r="C18" s="28" t="n">
        <v>13457.1823</v>
      </c>
      <c r="D18" s="28" t="n">
        <v>2928.9754</v>
      </c>
      <c r="E18" s="28" t="n">
        <v>85836.19869999999</v>
      </c>
      <c r="G18" t="n">
        <v>7</v>
      </c>
      <c r="H18" s="29" t="n">
        <v>75249</v>
      </c>
      <c r="I18" s="29" t="n">
        <v>19117</v>
      </c>
      <c r="J18" s="29" t="n">
        <v>9897</v>
      </c>
      <c r="K18" s="28" t="n">
        <v>104263</v>
      </c>
      <c r="W18" s="35" t="n"/>
    </row>
    <row r="19" spans="1:23">
      <c r="A19" t="n">
        <v>8</v>
      </c>
      <c r="B19" s="28" t="n">
        <v>75065.7629</v>
      </c>
      <c r="C19" s="28" t="n">
        <v>18367.1854</v>
      </c>
      <c r="D19" s="28" t="n">
        <v>3314.6285</v>
      </c>
      <c r="E19" s="28" t="n">
        <v>96747.57680000001</v>
      </c>
      <c r="G19" t="n">
        <v>8</v>
      </c>
      <c r="H19" s="29" t="n">
        <v>98557</v>
      </c>
      <c r="I19" s="29" t="n">
        <v>24906</v>
      </c>
      <c r="J19" s="29" t="n">
        <v>13072</v>
      </c>
      <c r="K19" s="28" t="n">
        <v>136535</v>
      </c>
      <c r="W19" s="35" t="n"/>
    </row>
    <row r="20" spans="1:23">
      <c r="A20" t="n">
        <v>9</v>
      </c>
      <c r="B20" s="28" t="n">
        <v>53774.4664</v>
      </c>
      <c r="C20" s="28" t="n">
        <v>10951.333</v>
      </c>
      <c r="D20" s="28" t="n">
        <v>1429.4754</v>
      </c>
      <c r="E20" s="28" t="n">
        <v>66155.2748</v>
      </c>
      <c r="G20" t="n">
        <v>9</v>
      </c>
      <c r="H20" s="29" t="n">
        <v>88565</v>
      </c>
      <c r="I20" s="29" t="n">
        <v>18704</v>
      </c>
      <c r="J20" s="29" t="n">
        <v>11417</v>
      </c>
      <c r="K20" s="28" t="n">
        <v>118686</v>
      </c>
      <c r="W20" s="35" t="n"/>
    </row>
    <row r="21" spans="1:23">
      <c r="A21" t="n">
        <v>10</v>
      </c>
      <c r="B21" s="28" t="n">
        <v>74298.2931</v>
      </c>
      <c r="C21" s="28" t="n">
        <v>20573.4458</v>
      </c>
      <c r="D21" s="28" t="n">
        <v>7526.9539</v>
      </c>
      <c r="E21" s="28" t="n">
        <v>102398.6928</v>
      </c>
      <c r="G21" t="n">
        <v>10</v>
      </c>
      <c r="H21" s="29" t="n">
        <v>48182</v>
      </c>
      <c r="I21" s="29" t="n">
        <v>10375</v>
      </c>
      <c r="J21" s="29" t="n">
        <v>5869</v>
      </c>
      <c r="K21" s="28" t="n">
        <v>64426</v>
      </c>
      <c r="W21" s="35" t="n"/>
    </row>
    <row r="22" spans="1:23">
      <c r="A22" t="n">
        <v>11</v>
      </c>
      <c r="B22" s="28" t="n">
        <v>44184.7673</v>
      </c>
      <c r="C22" s="28" t="n">
        <v>6478.6017</v>
      </c>
      <c r="D22" s="28" t="n">
        <v>1326.4511</v>
      </c>
      <c r="E22" s="28" t="n">
        <v>51989.8201</v>
      </c>
      <c r="G22" t="n">
        <v>11</v>
      </c>
      <c r="H22" s="29" t="n">
        <v>58514</v>
      </c>
      <c r="I22" s="29" t="n">
        <v>11459</v>
      </c>
      <c r="J22" s="29" t="n">
        <v>6804</v>
      </c>
      <c r="K22" s="28" t="n">
        <v>76777</v>
      </c>
      <c r="W22" s="35" t="n"/>
    </row>
    <row r="23" spans="1:23">
      <c r="A23" t="n">
        <v>12</v>
      </c>
      <c r="B23" s="28" t="n">
        <v>36714.7494</v>
      </c>
      <c r="C23" s="28" t="n">
        <v>6172.3182</v>
      </c>
      <c r="D23" s="28" t="n">
        <v>1556.764</v>
      </c>
      <c r="E23" s="28" t="n">
        <v>44443.8316</v>
      </c>
      <c r="G23" t="n">
        <v>12</v>
      </c>
      <c r="H23" s="29" t="n">
        <v>63421</v>
      </c>
      <c r="I23" s="29" t="n">
        <v>10708</v>
      </c>
      <c r="J23" s="29" t="n">
        <v>6700</v>
      </c>
      <c r="K23" s="28" t="n">
        <v>80829</v>
      </c>
      <c r="W23" s="35" t="n"/>
    </row>
    <row r="24" spans="1:23">
      <c r="A24" t="n">
        <v>13</v>
      </c>
      <c r="B24" s="28" t="n">
        <v>42048.2069</v>
      </c>
      <c r="C24" s="28" t="n">
        <v>4861.9568</v>
      </c>
      <c r="D24" s="28" t="n">
        <v>2091.6053</v>
      </c>
      <c r="E24" s="28" t="n">
        <v>49001.769</v>
      </c>
      <c r="G24" t="n">
        <v>13</v>
      </c>
      <c r="H24" s="29" t="n">
        <v>72017</v>
      </c>
      <c r="I24" s="29" t="n">
        <v>12365</v>
      </c>
      <c r="J24" s="29" t="n">
        <v>7337</v>
      </c>
      <c r="K24" s="28" t="n">
        <v>91719</v>
      </c>
      <c r="W24" s="35" t="n"/>
    </row>
    <row r="25" spans="1:23">
      <c r="A25" t="n">
        <v>14</v>
      </c>
      <c r="B25" s="28" t="n">
        <v>27911.8554</v>
      </c>
      <c r="C25" s="28" t="n">
        <v>4189.3711</v>
      </c>
      <c r="D25" s="28" t="n">
        <v>824.3308</v>
      </c>
      <c r="E25" s="28" t="n">
        <v>32925.5573</v>
      </c>
      <c r="G25" t="n">
        <v>14</v>
      </c>
      <c r="H25" s="29" t="n">
        <v>41899</v>
      </c>
      <c r="I25" s="29" t="n">
        <v>7146</v>
      </c>
      <c r="J25" s="29" t="n">
        <v>4655</v>
      </c>
      <c r="K25" s="28" t="n">
        <v>53700</v>
      </c>
      <c r="W25" s="35" t="n"/>
    </row>
    <row r="26" spans="1:23">
      <c r="A26" t="n">
        <v>15</v>
      </c>
      <c r="B26" s="28" t="n">
        <v>43795.48</v>
      </c>
      <c r="C26" s="28" t="n">
        <v>9687.034299999999</v>
      </c>
      <c r="D26" s="28" t="n">
        <v>3734.678</v>
      </c>
      <c r="E26" s="28" t="n">
        <v>57217.1923</v>
      </c>
      <c r="G26" t="n">
        <v>15</v>
      </c>
      <c r="H26" s="29" t="n">
        <v>51343</v>
      </c>
      <c r="I26" s="29" t="n">
        <v>8268</v>
      </c>
      <c r="J26" s="29" t="n">
        <v>5047</v>
      </c>
      <c r="K26" s="28" t="n">
        <v>64658</v>
      </c>
      <c r="W26" s="35" t="n"/>
    </row>
    <row r="27" spans="1:23">
      <c r="A27" t="n">
        <v>16</v>
      </c>
      <c r="B27" s="28" t="n">
        <v>47275.2221</v>
      </c>
      <c r="C27" s="28" t="n">
        <v>8527.834800000001</v>
      </c>
      <c r="D27" s="28" t="n">
        <v>1588.3517</v>
      </c>
      <c r="E27" s="28" t="n">
        <v>57391.4086</v>
      </c>
      <c r="G27" t="n">
        <v>16</v>
      </c>
      <c r="H27" s="29" t="n">
        <v>51001</v>
      </c>
      <c r="I27" s="29" t="n">
        <v>7423</v>
      </c>
      <c r="J27" s="29" t="n">
        <v>5205</v>
      </c>
      <c r="K27" s="28" t="n">
        <v>63629</v>
      </c>
      <c r="W27" s="35" t="n"/>
    </row>
    <row r="28" spans="1:23">
      <c r="A28" t="n">
        <v>17</v>
      </c>
      <c r="B28" s="28" t="n">
        <v>41405.6304</v>
      </c>
      <c r="C28" s="28" t="n">
        <v>7084.5149</v>
      </c>
      <c r="D28" s="28" t="n">
        <v>281.2962</v>
      </c>
      <c r="E28" s="28" t="n">
        <v>48771.4415</v>
      </c>
      <c r="G28" t="n">
        <v>17</v>
      </c>
      <c r="H28" s="29" t="n">
        <v>42379</v>
      </c>
      <c r="I28" s="29" t="n">
        <v>6321</v>
      </c>
      <c r="J28" s="29" t="n">
        <v>3988</v>
      </c>
      <c r="K28" s="28" t="n">
        <v>52688</v>
      </c>
      <c r="W28" s="35" t="n"/>
    </row>
    <row r="29" spans="1:23">
      <c r="A29" t="n">
        <v>18</v>
      </c>
      <c r="B29" s="28" t="n">
        <v>43232.2226</v>
      </c>
      <c r="C29" s="28" t="n">
        <v>6231.875700000001</v>
      </c>
      <c r="D29" s="28" t="n">
        <v>1496.6291</v>
      </c>
      <c r="E29" s="28" t="n">
        <v>50960.7274</v>
      </c>
      <c r="G29" t="n">
        <v>18</v>
      </c>
      <c r="H29" s="29" t="n">
        <v>40020</v>
      </c>
      <c r="I29" s="29" t="n">
        <v>5317</v>
      </c>
      <c r="J29" s="29" t="n">
        <v>3795</v>
      </c>
      <c r="K29" s="28" t="n">
        <v>49132</v>
      </c>
      <c r="W29" s="35" t="n"/>
    </row>
    <row r="30" spans="1:23">
      <c r="A30" t="n">
        <v>19</v>
      </c>
      <c r="B30" s="28" t="n">
        <v>26729.1799</v>
      </c>
      <c r="C30" s="28" t="n">
        <v>2294.7582</v>
      </c>
      <c r="D30" s="28" t="n">
        <v>158.2176</v>
      </c>
      <c r="E30" s="28" t="n">
        <v>29182.1557</v>
      </c>
      <c r="G30" t="n">
        <v>19</v>
      </c>
      <c r="H30" s="29" t="n">
        <v>31292</v>
      </c>
      <c r="I30" s="29" t="n">
        <v>4009</v>
      </c>
      <c r="J30" s="29" t="n">
        <v>2976</v>
      </c>
      <c r="K30" s="28" t="n">
        <v>38277</v>
      </c>
      <c r="W30" s="35" t="n"/>
    </row>
    <row r="31" spans="1:23">
      <c r="A31" t="n">
        <v>20</v>
      </c>
      <c r="B31" s="28" t="n">
        <v>21173.2638</v>
      </c>
      <c r="C31" s="28" t="n">
        <v>1642.6358</v>
      </c>
      <c r="D31" s="28" t="n">
        <v>431.8045</v>
      </c>
      <c r="E31" s="28" t="n">
        <v>23247.7041</v>
      </c>
      <c r="G31" t="n">
        <v>20</v>
      </c>
      <c r="H31" s="29" t="n">
        <v>28938</v>
      </c>
      <c r="I31" s="29" t="n">
        <v>3431</v>
      </c>
      <c r="J31" s="29" t="n">
        <v>2670</v>
      </c>
      <c r="K31" s="28" t="n">
        <v>35039</v>
      </c>
      <c r="W31" s="35" t="n"/>
    </row>
    <row r="32" spans="1:23">
      <c r="A32" t="n">
        <v>21</v>
      </c>
      <c r="B32" s="28" t="n">
        <v>26602.5822</v>
      </c>
      <c r="C32" s="28" t="n">
        <v>916.4123</v>
      </c>
      <c r="D32" s="28" t="n">
        <v>125.0853</v>
      </c>
      <c r="E32" s="28" t="n">
        <v>27644.0798</v>
      </c>
      <c r="G32" t="n">
        <v>21</v>
      </c>
      <c r="H32" s="29" t="n">
        <v>31932</v>
      </c>
      <c r="I32" s="29" t="n">
        <v>3894</v>
      </c>
      <c r="J32" s="29" t="n">
        <v>2843</v>
      </c>
      <c r="K32" s="28" t="n">
        <v>38669</v>
      </c>
      <c r="W32" s="35" t="n"/>
    </row>
    <row r="33" spans="1:23">
      <c r="A33" t="n">
        <v>22</v>
      </c>
      <c r="B33" s="28" t="n">
        <v>17899.6012</v>
      </c>
      <c r="C33" s="28" t="n">
        <v>1210.3886</v>
      </c>
      <c r="D33" s="28" t="n">
        <v>291.3284</v>
      </c>
      <c r="E33" s="28" t="n">
        <v>19401.3182</v>
      </c>
      <c r="G33" t="n">
        <v>22</v>
      </c>
      <c r="H33" s="29" t="n">
        <v>24592</v>
      </c>
      <c r="I33" s="29" t="n">
        <v>2813</v>
      </c>
      <c r="J33" s="29" t="n">
        <v>2118</v>
      </c>
      <c r="K33" s="28" t="n">
        <v>29523</v>
      </c>
      <c r="W33" s="35" t="n"/>
    </row>
    <row r="34" spans="1:23">
      <c r="A34" t="n">
        <v>23</v>
      </c>
      <c r="B34" s="28" t="n">
        <v>22191.3902</v>
      </c>
      <c r="C34" s="28" t="n">
        <v>3158.1215</v>
      </c>
      <c r="D34" s="28" t="n">
        <v>258.1781</v>
      </c>
      <c r="E34" s="28" t="n">
        <v>25607.6898</v>
      </c>
      <c r="G34" t="n">
        <v>23</v>
      </c>
      <c r="H34" s="29" t="n">
        <v>25147</v>
      </c>
      <c r="I34" s="29" t="n">
        <v>2383</v>
      </c>
      <c r="J34" s="29" t="n">
        <v>1965</v>
      </c>
      <c r="K34" s="28" t="n">
        <v>29495</v>
      </c>
      <c r="W34" s="35" t="n"/>
    </row>
    <row r="35" spans="1:23">
      <c r="A35" t="n">
        <v>24</v>
      </c>
      <c r="B35" s="28" t="n">
        <v>15331.7325</v>
      </c>
      <c r="C35" s="28" t="n">
        <v>1332.7325</v>
      </c>
      <c r="D35" s="28" t="n">
        <v>0</v>
      </c>
      <c r="E35" s="28" t="n">
        <v>16664.465</v>
      </c>
      <c r="G35" t="n">
        <v>24</v>
      </c>
      <c r="H35" s="29" t="n">
        <v>22130</v>
      </c>
      <c r="I35" s="29" t="n">
        <v>2179</v>
      </c>
      <c r="J35" s="29" t="n">
        <v>1808</v>
      </c>
      <c r="K35" s="28" t="n">
        <v>26117</v>
      </c>
      <c r="W35" s="35" t="n"/>
    </row>
    <row r="36" spans="1:23">
      <c r="A36" t="n">
        <v>25</v>
      </c>
      <c r="B36" s="28" t="n">
        <v>18954.2325</v>
      </c>
      <c r="C36" s="28" t="n">
        <v>1291.4909</v>
      </c>
      <c r="D36" s="28" t="n">
        <v>0</v>
      </c>
      <c r="E36" s="28" t="n">
        <v>20245.7234</v>
      </c>
      <c r="G36" t="n">
        <v>25</v>
      </c>
      <c r="H36" s="29" t="n">
        <v>18564</v>
      </c>
      <c r="I36" s="29" t="n">
        <v>1850</v>
      </c>
      <c r="J36" s="29" t="n">
        <v>1491</v>
      </c>
      <c r="K36" s="28" t="n">
        <v>21905</v>
      </c>
      <c r="W36" s="35" t="n"/>
    </row>
    <row r="37" spans="1:23">
      <c r="A37" t="n">
        <v>26</v>
      </c>
      <c r="B37" s="28" t="n">
        <v>15467.329</v>
      </c>
      <c r="C37" s="28" t="n">
        <v>394.4873</v>
      </c>
      <c r="D37" s="28" t="n">
        <v>1369.4693</v>
      </c>
      <c r="E37" s="28" t="n">
        <v>17231.2856</v>
      </c>
      <c r="G37" t="n">
        <v>26</v>
      </c>
      <c r="H37" s="29" t="n">
        <v>16174</v>
      </c>
      <c r="I37" s="29" t="n">
        <v>1696</v>
      </c>
      <c r="J37" s="29" t="n">
        <v>1364</v>
      </c>
      <c r="K37" s="28" t="n">
        <v>19234</v>
      </c>
      <c r="W37" s="35" t="n"/>
    </row>
    <row r="38" spans="1:23">
      <c r="A38" t="n">
        <v>27</v>
      </c>
      <c r="B38" s="28" t="n">
        <v>11571.3982</v>
      </c>
      <c r="C38" s="28" t="n">
        <v>473.8255</v>
      </c>
      <c r="D38" s="28" t="n">
        <v>164.9238</v>
      </c>
      <c r="E38" s="28" t="n">
        <v>12210.1475</v>
      </c>
      <c r="G38" t="n">
        <v>27</v>
      </c>
      <c r="H38" s="29" t="n">
        <v>19136</v>
      </c>
      <c r="I38" s="29" t="n">
        <v>2513</v>
      </c>
      <c r="J38" s="29" t="n">
        <v>1755</v>
      </c>
      <c r="K38" s="28" t="n">
        <v>23404</v>
      </c>
      <c r="W38" s="35" t="n"/>
    </row>
    <row r="39" spans="1:23">
      <c r="A39" t="n">
        <v>28</v>
      </c>
      <c r="B39" s="28" t="n">
        <v>9574.3783</v>
      </c>
      <c r="C39" s="28" t="n">
        <v>1182.9858</v>
      </c>
      <c r="D39" s="28" t="n">
        <v>0</v>
      </c>
      <c r="E39" s="28" t="n">
        <v>10757.3641</v>
      </c>
      <c r="G39" t="n">
        <v>28</v>
      </c>
      <c r="H39" s="29" t="n">
        <v>11803</v>
      </c>
      <c r="I39" s="29" t="n">
        <v>1213</v>
      </c>
      <c r="J39" s="29" t="n">
        <v>1026</v>
      </c>
      <c r="K39" s="28" t="n">
        <v>14042</v>
      </c>
      <c r="W39" s="35" t="n"/>
    </row>
    <row r="40" spans="1:23">
      <c r="A40" t="n">
        <v>29</v>
      </c>
      <c r="B40" s="28" t="n">
        <v>4207.8454</v>
      </c>
      <c r="C40" s="28" t="n">
        <v>342.003</v>
      </c>
      <c r="D40" s="28" t="n">
        <v>310.7895</v>
      </c>
      <c r="E40" s="28" t="n">
        <v>4860.6379</v>
      </c>
      <c r="G40" t="n">
        <v>29</v>
      </c>
      <c r="H40" s="29" t="n">
        <v>13588</v>
      </c>
      <c r="I40" s="29" t="n">
        <v>1219</v>
      </c>
      <c r="J40" s="29" t="n">
        <v>884</v>
      </c>
      <c r="K40" s="28" t="n">
        <v>15691</v>
      </c>
      <c r="W40" s="35" t="n"/>
    </row>
    <row r="41" spans="1:23">
      <c r="A41" t="n">
        <v>30</v>
      </c>
      <c r="B41" s="28" t="n">
        <v>4956.5909</v>
      </c>
      <c r="C41" s="28" t="n">
        <v>1057.8468</v>
      </c>
      <c r="D41" s="28" t="n">
        <v>149.5759</v>
      </c>
      <c r="E41" s="28" t="n">
        <v>6164.0136</v>
      </c>
      <c r="G41" t="n">
        <v>30</v>
      </c>
      <c r="H41" s="29" t="n">
        <v>10005</v>
      </c>
      <c r="I41" s="29" t="n">
        <v>1237</v>
      </c>
      <c r="J41" s="29" t="n">
        <v>818</v>
      </c>
      <c r="K41" s="28" t="n">
        <v>12060</v>
      </c>
      <c r="W41" s="35" t="n"/>
    </row>
    <row r="42" spans="1:23">
      <c r="A42" t="n">
        <v>31</v>
      </c>
      <c r="B42" s="28" t="n">
        <v>7420.6662</v>
      </c>
      <c r="C42" s="28" t="n">
        <v>896.4806</v>
      </c>
      <c r="D42" s="28" t="n">
        <v>0</v>
      </c>
      <c r="E42" s="28" t="n">
        <v>8317.1468</v>
      </c>
      <c r="G42" t="n">
        <v>31</v>
      </c>
      <c r="H42" s="29" t="n">
        <v>8865</v>
      </c>
      <c r="I42" s="29" t="n">
        <v>890</v>
      </c>
      <c r="J42" s="29" t="n">
        <v>685</v>
      </c>
      <c r="K42" s="28" t="n">
        <v>10440</v>
      </c>
      <c r="W42" s="35" t="n"/>
    </row>
    <row r="43" spans="1:23">
      <c r="A43" t="n">
        <v>32</v>
      </c>
      <c r="B43" s="28" t="n">
        <v>2142.3544</v>
      </c>
      <c r="C43" s="28" t="n">
        <v>364.3905</v>
      </c>
      <c r="D43" s="28" t="n">
        <v>0</v>
      </c>
      <c r="E43" s="28" t="n">
        <v>2506.7449</v>
      </c>
      <c r="G43" t="n">
        <v>32</v>
      </c>
      <c r="H43" s="29" t="n">
        <v>7824</v>
      </c>
      <c r="I43" s="29" t="n">
        <v>690</v>
      </c>
      <c r="J43" s="29" t="n">
        <v>554</v>
      </c>
      <c r="K43" s="28" t="n">
        <v>9068</v>
      </c>
      <c r="W43" s="35" t="n"/>
    </row>
    <row r="44" spans="1:23">
      <c r="A44" t="n">
        <v>33</v>
      </c>
      <c r="B44" s="28" t="n">
        <v>4324.428</v>
      </c>
      <c r="C44" s="28" t="n">
        <v>163.7615</v>
      </c>
      <c r="D44" s="28" t="n">
        <v>0</v>
      </c>
      <c r="E44" s="28" t="n">
        <v>4488.189499999999</v>
      </c>
      <c r="G44" t="n">
        <v>33</v>
      </c>
      <c r="H44" s="29" t="n">
        <v>7140</v>
      </c>
      <c r="I44" s="29" t="n">
        <v>739</v>
      </c>
      <c r="J44" s="29" t="n">
        <v>523</v>
      </c>
      <c r="K44" s="28" t="n">
        <v>8402</v>
      </c>
      <c r="W44" s="35" t="n"/>
    </row>
    <row r="45" spans="1:23">
      <c r="A45" t="n">
        <v>34</v>
      </c>
      <c r="B45" s="28" t="n">
        <v>8539.183999999999</v>
      </c>
      <c r="C45" s="28" t="n">
        <v>0</v>
      </c>
      <c r="D45" s="28" t="n">
        <v>599.2903</v>
      </c>
      <c r="E45" s="28" t="n">
        <v>9138.4743</v>
      </c>
      <c r="G45" t="n">
        <v>34</v>
      </c>
      <c r="H45" s="29" t="n">
        <v>5545</v>
      </c>
      <c r="I45" s="29" t="n">
        <v>544</v>
      </c>
      <c r="J45" s="29" t="n">
        <v>458</v>
      </c>
      <c r="K45" s="28" t="n">
        <v>6547</v>
      </c>
      <c r="W45" s="35" t="n"/>
    </row>
    <row r="46" spans="1:23">
      <c r="A46" t="n">
        <v>35</v>
      </c>
      <c r="B46" s="28" t="n">
        <v>3114.0109</v>
      </c>
      <c r="C46" s="28" t="n">
        <v>0</v>
      </c>
      <c r="D46" s="28" t="n">
        <v>0</v>
      </c>
      <c r="E46" s="28" t="n">
        <v>3114.0109</v>
      </c>
      <c r="G46" t="n">
        <v>35</v>
      </c>
      <c r="H46" s="29" t="n">
        <v>4789</v>
      </c>
      <c r="I46" s="29" t="n">
        <v>460</v>
      </c>
      <c r="J46" s="29" t="n">
        <v>356</v>
      </c>
      <c r="K46" s="28" t="n">
        <v>5605</v>
      </c>
      <c r="W46" s="35" t="n"/>
    </row>
    <row r="47" spans="1:23">
      <c r="A47" t="n">
        <v>36</v>
      </c>
      <c r="B47" s="28" t="n">
        <v>10686.0638</v>
      </c>
      <c r="C47" s="28" t="n">
        <v>0</v>
      </c>
      <c r="D47" s="28" t="n">
        <v>0</v>
      </c>
      <c r="E47" s="28" t="n">
        <v>10686.0638</v>
      </c>
      <c r="G47" t="n">
        <v>36</v>
      </c>
      <c r="H47" s="29" t="n">
        <v>6594</v>
      </c>
      <c r="I47" s="29" t="n">
        <v>571</v>
      </c>
      <c r="J47" s="29" t="n">
        <v>454</v>
      </c>
      <c r="K47" s="28" t="n">
        <v>7619</v>
      </c>
      <c r="W47" s="35" t="n"/>
    </row>
    <row r="48" spans="1:23">
      <c r="A48" t="n">
        <v>37</v>
      </c>
      <c r="B48" s="28" t="n">
        <v>4518.6203</v>
      </c>
      <c r="C48" s="28" t="n">
        <v>0</v>
      </c>
      <c r="D48" s="28" t="n">
        <v>0</v>
      </c>
      <c r="E48" s="28" t="n">
        <v>4518.6203</v>
      </c>
      <c r="G48" t="n">
        <v>37</v>
      </c>
      <c r="H48" s="29" t="n">
        <v>5678</v>
      </c>
      <c r="I48" s="29" t="n">
        <v>492</v>
      </c>
      <c r="J48" s="29" t="n">
        <v>393</v>
      </c>
      <c r="K48" s="28" t="n">
        <v>6563</v>
      </c>
      <c r="W48" s="35" t="n"/>
    </row>
    <row r="49" spans="1:23">
      <c r="A49" t="n">
        <v>38</v>
      </c>
      <c r="B49" s="28" t="n">
        <v>5133.441</v>
      </c>
      <c r="C49" s="28" t="n">
        <v>1226.5317</v>
      </c>
      <c r="D49" s="28" t="n">
        <v>258.1531</v>
      </c>
      <c r="E49" s="28" t="n">
        <v>6618.1258</v>
      </c>
      <c r="G49" t="n">
        <v>38</v>
      </c>
      <c r="H49" s="29" t="n">
        <v>5451</v>
      </c>
      <c r="I49" s="29" t="n">
        <v>490</v>
      </c>
      <c r="J49" s="29" t="n">
        <v>388</v>
      </c>
      <c r="K49" s="28" t="n">
        <v>6329</v>
      </c>
      <c r="W49" s="35" t="n"/>
    </row>
    <row r="50" spans="1:23">
      <c r="A50" t="n">
        <v>39</v>
      </c>
      <c r="B50" s="28" t="n">
        <v>4463.5301</v>
      </c>
      <c r="C50" s="28" t="n">
        <v>426.0483</v>
      </c>
      <c r="D50" s="28" t="n">
        <v>382.4193</v>
      </c>
      <c r="E50" s="28" t="n">
        <v>5271.9977</v>
      </c>
      <c r="G50" t="n">
        <v>39</v>
      </c>
      <c r="H50" s="29" t="n">
        <v>4681</v>
      </c>
      <c r="I50" s="29" t="n">
        <v>359</v>
      </c>
      <c r="J50" s="29" t="n">
        <v>307</v>
      </c>
      <c r="K50" s="28" t="n">
        <v>5347</v>
      </c>
      <c r="W50" s="35" t="n"/>
    </row>
    <row r="51" spans="1:23">
      <c r="A51" t="n">
        <v>40</v>
      </c>
      <c r="B51" s="28" t="n">
        <v>4850.2659</v>
      </c>
      <c r="C51" s="28" t="n">
        <v>0</v>
      </c>
      <c r="D51" s="28" t="n">
        <v>218.6278</v>
      </c>
      <c r="E51" s="28" t="n">
        <v>5068.893700000001</v>
      </c>
      <c r="G51" t="n">
        <v>40</v>
      </c>
      <c r="H51" s="29" t="n">
        <v>3413</v>
      </c>
      <c r="I51" s="29" t="n">
        <v>282</v>
      </c>
      <c r="J51" s="29" t="n">
        <v>223</v>
      </c>
      <c r="K51" s="28" t="n">
        <v>3918</v>
      </c>
      <c r="W51" s="35" t="n"/>
    </row>
    <row r="52" spans="1:23">
      <c r="A52" t="n">
        <v>41</v>
      </c>
      <c r="B52" s="28" t="n">
        <v>2198.2316</v>
      </c>
      <c r="C52" s="28" t="n">
        <v>87.5526</v>
      </c>
      <c r="D52" s="28" t="n">
        <v>0</v>
      </c>
      <c r="E52" s="28" t="n">
        <v>2285.7842</v>
      </c>
      <c r="G52" t="n">
        <v>41</v>
      </c>
      <c r="H52" s="29" t="n">
        <v>3194</v>
      </c>
      <c r="I52" s="29" t="n">
        <v>263</v>
      </c>
      <c r="J52" s="29" t="n">
        <v>205</v>
      </c>
      <c r="K52" s="28" t="n">
        <v>3662</v>
      </c>
      <c r="W52" s="35" t="n"/>
    </row>
    <row r="53" spans="1:23">
      <c r="A53" t="n">
        <v>42</v>
      </c>
      <c r="B53" s="28" t="n">
        <v>763.2845</v>
      </c>
      <c r="C53" s="28" t="n">
        <v>56.9735</v>
      </c>
      <c r="D53" s="28" t="n">
        <v>0</v>
      </c>
      <c r="E53" s="28" t="n">
        <v>820.258</v>
      </c>
      <c r="G53" t="n">
        <v>42</v>
      </c>
      <c r="H53" s="29" t="n">
        <v>2405</v>
      </c>
      <c r="I53" s="29" t="n">
        <v>190</v>
      </c>
      <c r="J53" s="29" t="n">
        <v>192</v>
      </c>
      <c r="K53" s="28" t="n">
        <v>2787</v>
      </c>
      <c r="W53" s="35" t="n"/>
    </row>
    <row r="54" spans="1:23">
      <c r="A54" t="n">
        <v>43</v>
      </c>
      <c r="B54" s="28" t="n">
        <v>778.7807</v>
      </c>
      <c r="C54" s="28" t="n">
        <v>0</v>
      </c>
      <c r="D54" s="28" t="n">
        <v>0</v>
      </c>
      <c r="E54" s="28" t="n">
        <v>778.7807</v>
      </c>
      <c r="G54" t="n">
        <v>43</v>
      </c>
      <c r="H54" s="29" t="n">
        <v>1519</v>
      </c>
      <c r="I54" s="29" t="n">
        <v>115</v>
      </c>
      <c r="J54" s="29" t="n">
        <v>98</v>
      </c>
      <c r="K54" s="28" t="n">
        <v>1732</v>
      </c>
      <c r="W54" s="35" t="n"/>
    </row>
    <row r="55" spans="1:23">
      <c r="A55" t="n">
        <v>44</v>
      </c>
      <c r="B55" s="28" t="n">
        <v>1850.674</v>
      </c>
      <c r="C55" s="28" t="n">
        <v>0</v>
      </c>
      <c r="D55" s="28" t="n">
        <v>0</v>
      </c>
      <c r="E55" s="28" t="n">
        <v>1850.674</v>
      </c>
      <c r="G55" t="n">
        <v>44</v>
      </c>
      <c r="H55" s="29" t="n">
        <v>2022</v>
      </c>
      <c r="I55" s="29" t="n">
        <v>165</v>
      </c>
      <c r="J55" s="29" t="n">
        <v>160</v>
      </c>
      <c r="K55" s="28" t="n">
        <v>2347</v>
      </c>
      <c r="W55" s="35" t="n"/>
    </row>
    <row r="56" spans="1:23">
      <c r="A56" t="n">
        <v>45</v>
      </c>
      <c r="B56" s="28" t="n">
        <v>1873.7079</v>
      </c>
      <c r="C56" s="28" t="n">
        <v>0</v>
      </c>
      <c r="D56" s="28" t="n">
        <v>0</v>
      </c>
      <c r="E56" s="28" t="n">
        <v>1873.7079</v>
      </c>
      <c r="G56" t="n">
        <v>45</v>
      </c>
      <c r="H56" s="29" t="n">
        <v>2553</v>
      </c>
      <c r="I56" s="29" t="n">
        <v>210</v>
      </c>
      <c r="J56" s="29" t="n">
        <v>226</v>
      </c>
      <c r="K56" s="28" t="n">
        <v>2989</v>
      </c>
      <c r="W56" s="35" t="n"/>
    </row>
    <row r="57" spans="1:23">
      <c r="A57" t="n">
        <v>46</v>
      </c>
      <c r="B57" s="28" t="n">
        <v>661.6214</v>
      </c>
      <c r="C57" s="28" t="n">
        <v>863.9641</v>
      </c>
      <c r="D57" s="28" t="n">
        <v>0</v>
      </c>
      <c r="E57" s="28" t="n">
        <v>1525.5855</v>
      </c>
      <c r="G57" t="n">
        <v>46</v>
      </c>
      <c r="H57" s="29" t="n">
        <v>1780</v>
      </c>
      <c r="I57" s="29" t="n">
        <v>148</v>
      </c>
      <c r="J57" s="29" t="n">
        <v>161</v>
      </c>
      <c r="K57" s="28" t="n">
        <v>2089</v>
      </c>
      <c r="W57" s="35" t="n"/>
    </row>
    <row r="58" spans="1:23">
      <c r="A58" t="n">
        <v>47</v>
      </c>
      <c r="B58" s="28" t="n">
        <v>3229.8224</v>
      </c>
      <c r="C58" s="28" t="n">
        <v>105.4442</v>
      </c>
      <c r="D58" s="28" t="n">
        <v>0</v>
      </c>
      <c r="E58" s="28" t="n">
        <v>3335.2666</v>
      </c>
      <c r="G58" t="n">
        <v>47</v>
      </c>
      <c r="H58" s="29" t="n">
        <v>1469</v>
      </c>
      <c r="I58" s="29" t="n">
        <v>138</v>
      </c>
      <c r="J58" s="29" t="n">
        <v>122</v>
      </c>
      <c r="K58" s="28" t="n">
        <v>1729</v>
      </c>
      <c r="W58" s="35" t="n"/>
    </row>
    <row r="59" spans="1:23">
      <c r="A59" t="n">
        <v>48</v>
      </c>
      <c r="B59" s="28" t="n">
        <v>2448.1536</v>
      </c>
      <c r="C59" s="28" t="n">
        <v>0</v>
      </c>
      <c r="D59" s="28" t="n">
        <v>0</v>
      </c>
      <c r="E59" s="28" t="n">
        <v>2448.1536</v>
      </c>
      <c r="G59" t="n">
        <v>48</v>
      </c>
      <c r="H59" s="29" t="n">
        <v>965</v>
      </c>
      <c r="I59" s="29" t="n">
        <v>73</v>
      </c>
      <c r="J59" s="29" t="n">
        <v>68</v>
      </c>
      <c r="K59" s="28" t="n">
        <v>1106</v>
      </c>
      <c r="W59" s="35" t="n"/>
    </row>
    <row r="60" spans="1:23">
      <c r="A60" t="n">
        <v>49</v>
      </c>
      <c r="B60" s="28" t="n">
        <v>1198.4345</v>
      </c>
      <c r="C60" s="28" t="n">
        <v>0</v>
      </c>
      <c r="D60" s="28" t="n">
        <v>0</v>
      </c>
      <c r="E60" s="28" t="n">
        <v>1198.4345</v>
      </c>
      <c r="G60" t="n">
        <v>49</v>
      </c>
      <c r="H60" s="29" t="n">
        <v>1007</v>
      </c>
      <c r="I60" s="29" t="n">
        <v>89</v>
      </c>
      <c r="J60" s="29" t="n">
        <v>83</v>
      </c>
      <c r="K60" s="28" t="n">
        <v>1179</v>
      </c>
      <c r="W60" s="35" t="n"/>
    </row>
    <row r="61" spans="1:23">
      <c r="A61" t="n">
        <v>50</v>
      </c>
      <c r="B61" s="28" t="n">
        <v>909.7793</v>
      </c>
      <c r="C61" s="28" t="n">
        <v>0</v>
      </c>
      <c r="D61" s="28" t="n">
        <v>0</v>
      </c>
      <c r="E61" s="28" t="n">
        <v>909.7793</v>
      </c>
      <c r="G61" t="n">
        <v>50</v>
      </c>
      <c r="H61" s="29" t="n">
        <v>926</v>
      </c>
      <c r="I61" s="29" t="n">
        <v>84</v>
      </c>
      <c r="J61" s="29" t="n">
        <v>84</v>
      </c>
      <c r="K61" s="28" t="n">
        <v>1094</v>
      </c>
      <c r="W61" s="35" t="n"/>
    </row>
    <row r="62" spans="1:23">
      <c r="A62" t="n">
        <v>51</v>
      </c>
      <c r="B62" s="28" t="n">
        <v>438.9317</v>
      </c>
      <c r="C62" s="28" t="n">
        <v>0</v>
      </c>
      <c r="D62" s="28" t="n">
        <v>0</v>
      </c>
      <c r="E62" s="28" t="n">
        <v>438.9317</v>
      </c>
      <c r="G62" t="n">
        <v>51</v>
      </c>
      <c r="H62" s="29" t="n">
        <v>787</v>
      </c>
      <c r="I62" s="29" t="n">
        <v>71</v>
      </c>
      <c r="J62" s="29" t="n">
        <v>78</v>
      </c>
      <c r="K62" s="28" t="n">
        <v>936</v>
      </c>
      <c r="W62" s="35" t="n"/>
    </row>
    <row r="63" spans="1:23">
      <c r="A63" t="n">
        <v>52</v>
      </c>
      <c r="B63" s="28" t="n">
        <v>1607.8973</v>
      </c>
      <c r="C63" s="28" t="n">
        <v>0</v>
      </c>
      <c r="D63" s="28" t="n">
        <v>0</v>
      </c>
      <c r="E63" s="28" t="n">
        <v>1607.8973</v>
      </c>
      <c r="G63" t="n">
        <v>52</v>
      </c>
      <c r="H63" s="29" t="n">
        <v>833</v>
      </c>
      <c r="I63" s="29" t="n">
        <v>63</v>
      </c>
      <c r="J63" s="29" t="n">
        <v>54</v>
      </c>
      <c r="K63" s="28" t="n">
        <v>950</v>
      </c>
      <c r="W63" s="35" t="n"/>
    </row>
    <row r="64" spans="1:23">
      <c r="A64" t="n">
        <v>53</v>
      </c>
      <c r="B64" s="28" t="n">
        <v>309.5767</v>
      </c>
      <c r="C64" s="28" t="n">
        <v>0</v>
      </c>
      <c r="D64" s="28" t="n">
        <v>0</v>
      </c>
      <c r="E64" s="28" t="n">
        <v>309.5767</v>
      </c>
      <c r="G64" t="n">
        <v>53</v>
      </c>
      <c r="H64" s="29" t="n">
        <v>385</v>
      </c>
      <c r="I64" s="29" t="n">
        <v>40</v>
      </c>
      <c r="J64" s="29" t="n">
        <v>31</v>
      </c>
      <c r="K64" s="28" t="n">
        <v>456</v>
      </c>
      <c r="W64" s="35" t="n"/>
    </row>
    <row r="65" spans="1:23">
      <c r="A65" t="n">
        <v>54</v>
      </c>
      <c r="B65" s="28" t="n">
        <v>783.2329</v>
      </c>
      <c r="C65" s="28" t="n">
        <v>0</v>
      </c>
      <c r="D65" s="28" t="n">
        <v>0</v>
      </c>
      <c r="E65" s="28" t="n">
        <v>783.2329</v>
      </c>
      <c r="G65" t="n">
        <v>54</v>
      </c>
      <c r="H65" s="29" t="n">
        <v>516</v>
      </c>
      <c r="I65" s="29" t="n">
        <v>48</v>
      </c>
      <c r="J65" s="29" t="n">
        <v>26</v>
      </c>
      <c r="K65" s="28" t="n">
        <v>590</v>
      </c>
      <c r="W65" s="35" t="n"/>
    </row>
    <row r="66" spans="1:23">
      <c r="A66" t="n">
        <v>55</v>
      </c>
      <c r="B66" s="28" t="n">
        <v>139.8938</v>
      </c>
      <c r="C66" s="28" t="n">
        <v>268.3759</v>
      </c>
      <c r="D66" s="28" t="n">
        <v>0</v>
      </c>
      <c r="E66" s="28" t="n">
        <v>408.2697</v>
      </c>
      <c r="G66" t="n">
        <v>55</v>
      </c>
      <c r="H66" s="29" t="n">
        <v>401</v>
      </c>
      <c r="I66" s="29" t="n">
        <v>31</v>
      </c>
      <c r="J66" s="29" t="n">
        <v>38</v>
      </c>
      <c r="K66" s="28" t="n">
        <v>470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512</v>
      </c>
      <c r="I67" s="29" t="n">
        <v>88</v>
      </c>
      <c r="J67" s="29" t="n">
        <v>61</v>
      </c>
      <c r="K67" s="28" t="n">
        <v>661</v>
      </c>
      <c r="W67" s="35" t="n"/>
    </row>
    <row r="68" spans="1:23">
      <c r="A68" t="n">
        <v>57</v>
      </c>
      <c r="B68" s="28" t="n">
        <v>0</v>
      </c>
      <c r="C68" s="28" t="n">
        <v>203.3384</v>
      </c>
      <c r="D68" s="28" t="n">
        <v>0</v>
      </c>
      <c r="E68" s="28" t="n">
        <v>203.3384</v>
      </c>
      <c r="G68" t="n">
        <v>57</v>
      </c>
      <c r="H68" s="29" t="n">
        <v>193</v>
      </c>
      <c r="I68" s="29" t="n">
        <v>27</v>
      </c>
      <c r="J68" s="29" t="n">
        <v>19</v>
      </c>
      <c r="K68" s="28" t="n">
        <v>239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447</v>
      </c>
      <c r="I69" s="29" t="n">
        <v>32</v>
      </c>
      <c r="J69" s="29" t="n">
        <v>26</v>
      </c>
      <c r="K69" s="28" t="n">
        <v>505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279</v>
      </c>
      <c r="I70" s="29" t="n">
        <v>26</v>
      </c>
      <c r="J70" s="29" t="n">
        <v>24</v>
      </c>
      <c r="K70" s="28" t="n">
        <v>329</v>
      </c>
      <c r="W70" s="35" t="n"/>
    </row>
    <row r="71" spans="1:23">
      <c r="A71" t="n">
        <v>60</v>
      </c>
      <c r="B71" s="28" t="n">
        <v>0</v>
      </c>
      <c r="C71" s="28" t="n">
        <v>657.8338</v>
      </c>
      <c r="D71" s="28" t="n">
        <v>0</v>
      </c>
      <c r="E71" s="28" t="n">
        <v>657.8338</v>
      </c>
      <c r="G71" t="n">
        <v>60</v>
      </c>
      <c r="H71" s="29" t="n">
        <v>155</v>
      </c>
      <c r="I71" s="29" t="n">
        <v>12</v>
      </c>
      <c r="J71" s="29" t="n">
        <v>7</v>
      </c>
      <c r="K71" s="28" t="n">
        <v>174</v>
      </c>
      <c r="W71" s="35" t="n"/>
    </row>
    <row r="72" spans="1:23">
      <c r="A72" t="n">
        <v>61</v>
      </c>
      <c r="B72" s="28" t="n">
        <v>99.5089</v>
      </c>
      <c r="C72" s="28" t="n">
        <v>0</v>
      </c>
      <c r="D72" s="28" t="n">
        <v>0</v>
      </c>
      <c r="E72" s="28" t="n">
        <v>99.5089</v>
      </c>
      <c r="G72" t="n">
        <v>61</v>
      </c>
      <c r="H72" s="29" t="n">
        <v>177</v>
      </c>
      <c r="I72" s="29" t="n">
        <v>24</v>
      </c>
      <c r="J72" s="29" t="n">
        <v>26</v>
      </c>
      <c r="K72" s="28" t="n">
        <v>227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177</v>
      </c>
      <c r="I73" s="29" t="n">
        <v>36</v>
      </c>
      <c r="J73" s="29" t="n">
        <v>17</v>
      </c>
      <c r="K73" s="28" t="n">
        <v>230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98</v>
      </c>
      <c r="I74" s="29" t="n">
        <v>17</v>
      </c>
      <c r="J74" s="29" t="n">
        <v>17</v>
      </c>
      <c r="K74" s="28" t="n">
        <v>132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85</v>
      </c>
      <c r="I75" s="29" t="n">
        <v>18</v>
      </c>
      <c r="J75" s="29" t="n">
        <v>11</v>
      </c>
      <c r="K75" s="28" t="n">
        <v>114</v>
      </c>
      <c r="W75" s="35" t="n"/>
    </row>
    <row r="76" spans="1:23">
      <c r="A76" t="n">
        <v>65</v>
      </c>
      <c r="B76" s="28" t="n">
        <v>249.5401</v>
      </c>
      <c r="C76" s="28" t="n">
        <v>0</v>
      </c>
      <c r="D76" s="28" t="n">
        <v>0</v>
      </c>
      <c r="E76" s="28" t="n">
        <v>249.5401</v>
      </c>
      <c r="G76" t="n">
        <v>65</v>
      </c>
      <c r="H76" s="29" t="n">
        <v>98</v>
      </c>
      <c r="I76" s="29" t="n">
        <v>5</v>
      </c>
      <c r="J76" s="29" t="n">
        <v>12</v>
      </c>
      <c r="K76" s="28" t="n">
        <v>115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49</v>
      </c>
      <c r="I77" s="29" t="n">
        <v>2</v>
      </c>
      <c r="J77" s="29" t="n">
        <v>2</v>
      </c>
      <c r="K77" s="28" t="n">
        <v>53</v>
      </c>
      <c r="W77" s="35" t="n"/>
    </row>
    <row r="78" spans="1:23">
      <c r="A78" t="n">
        <v>67</v>
      </c>
      <c r="B78" s="28" t="n">
        <v>86.0936</v>
      </c>
      <c r="C78" s="28" t="n">
        <v>0</v>
      </c>
      <c r="D78" s="28" t="n">
        <v>0</v>
      </c>
      <c r="E78" s="28" t="n">
        <v>86.0936</v>
      </c>
      <c r="G78" t="n">
        <v>67</v>
      </c>
      <c r="H78" s="29" t="n">
        <v>27</v>
      </c>
      <c r="I78" s="29" t="n">
        <v>3</v>
      </c>
      <c r="J78" s="29" t="n">
        <v>5</v>
      </c>
      <c r="K78" s="28" t="n">
        <v>35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77</v>
      </c>
      <c r="I79" s="29" t="n">
        <v>16</v>
      </c>
      <c r="J79" s="29" t="n">
        <v>7</v>
      </c>
      <c r="K79" s="28" t="n">
        <v>100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72</v>
      </c>
      <c r="I80" s="29" t="n">
        <v>2</v>
      </c>
      <c r="J80" s="29" t="n">
        <v>7</v>
      </c>
      <c r="K80" s="28" t="n">
        <v>81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87</v>
      </c>
      <c r="I81" s="29" t="n">
        <v>6</v>
      </c>
      <c r="J81" s="29" t="n">
        <v>4</v>
      </c>
      <c r="K81" s="28" t="n">
        <v>97</v>
      </c>
      <c r="W81" s="35" t="n"/>
    </row>
    <row r="82" spans="1:23">
      <c r="A82" t="n">
        <v>71</v>
      </c>
      <c r="B82" s="28" t="n">
        <v>173.2297</v>
      </c>
      <c r="C82" s="28" t="n">
        <v>0</v>
      </c>
      <c r="D82" s="28" t="n">
        <v>0</v>
      </c>
      <c r="E82" s="28" t="n">
        <v>173.2297</v>
      </c>
      <c r="G82" t="n">
        <v>71</v>
      </c>
      <c r="H82" s="29" t="n">
        <v>93</v>
      </c>
      <c r="I82" s="29" t="n">
        <v>18</v>
      </c>
      <c r="J82" s="29" t="n">
        <v>11</v>
      </c>
      <c r="K82" s="28" t="n">
        <v>122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47</v>
      </c>
      <c r="I83" s="29" t="n">
        <v>5</v>
      </c>
      <c r="J83" s="29" t="n">
        <v>2</v>
      </c>
      <c r="K83" s="28" t="n">
        <v>54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37</v>
      </c>
      <c r="I84" s="28" t="n">
        <v>1</v>
      </c>
      <c r="J84" s="29" t="n">
        <v>1</v>
      </c>
      <c r="K84" s="28" t="n">
        <v>39</v>
      </c>
      <c r="W84" s="35" t="n"/>
    </row>
    <row r="85" spans="1:23">
      <c r="A85" t="n">
        <v>74</v>
      </c>
      <c r="B85" s="28" t="n">
        <v>409.1384</v>
      </c>
      <c r="C85" s="28" t="n">
        <v>0</v>
      </c>
      <c r="D85" s="28" t="n">
        <v>0</v>
      </c>
      <c r="E85" s="28" t="n">
        <v>409.1384</v>
      </c>
      <c r="G85" t="n">
        <v>74</v>
      </c>
      <c r="H85" s="29" t="n">
        <v>28</v>
      </c>
      <c r="I85" s="29" t="n">
        <v>3</v>
      </c>
      <c r="J85" s="29" t="n">
        <v>1</v>
      </c>
      <c r="K85" s="28" t="n">
        <v>32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14</v>
      </c>
      <c r="I86" s="28" t="n">
        <v>3</v>
      </c>
      <c r="J86" s="29" t="n">
        <v>0</v>
      </c>
      <c r="K86" s="28" t="n">
        <v>17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71</v>
      </c>
      <c r="I87" s="28" t="n">
        <v>10</v>
      </c>
      <c r="J87" s="29" t="n">
        <v>6</v>
      </c>
      <c r="K87" s="28" t="n">
        <v>87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10</v>
      </c>
      <c r="I88" s="28" t="n">
        <v>1</v>
      </c>
      <c r="J88" s="28" t="n">
        <v>0</v>
      </c>
      <c r="K88" s="28" t="n">
        <v>11</v>
      </c>
      <c r="W88" s="35" t="n"/>
    </row>
    <row r="89" spans="1:23">
      <c r="A89" t="n">
        <v>78</v>
      </c>
      <c r="B89" s="28" t="n">
        <v>212.667</v>
      </c>
      <c r="C89" s="28" t="n">
        <v>0</v>
      </c>
      <c r="D89" s="28" t="n">
        <v>0</v>
      </c>
      <c r="E89" s="28" t="n">
        <v>212.667</v>
      </c>
      <c r="G89" t="n">
        <v>78</v>
      </c>
      <c r="H89" s="29" t="n">
        <v>10</v>
      </c>
      <c r="I89" s="28" t="n">
        <v>3</v>
      </c>
      <c r="J89" s="28" t="n">
        <v>1</v>
      </c>
      <c r="K89" s="28" t="n">
        <v>14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6</v>
      </c>
      <c r="I90" s="28" t="n">
        <v>1</v>
      </c>
      <c r="J90" s="28" t="n">
        <v>2</v>
      </c>
      <c r="K90" s="28" t="n">
        <v>9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22</v>
      </c>
      <c r="I91" s="28" t="n">
        <v>0</v>
      </c>
      <c r="J91" s="28" t="n">
        <v>1</v>
      </c>
      <c r="K91" s="28" t="n">
        <v>23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11</v>
      </c>
      <c r="I92" s="28" t="n">
        <v>4</v>
      </c>
      <c r="J92" s="28" t="n">
        <v>1</v>
      </c>
      <c r="K92" s="28" t="n">
        <v>16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8</v>
      </c>
      <c r="I93" s="28" t="n">
        <v>1</v>
      </c>
      <c r="J93" s="28" t="n">
        <v>3</v>
      </c>
      <c r="K93" s="28" t="n">
        <v>12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5</v>
      </c>
      <c r="I94" s="28" t="n">
        <v>0</v>
      </c>
      <c r="J94" s="28" t="n">
        <v>0</v>
      </c>
      <c r="K94" s="28" t="n">
        <v>5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4</v>
      </c>
      <c r="I95" s="28" t="n">
        <v>1</v>
      </c>
      <c r="J95" s="28" t="n">
        <v>2</v>
      </c>
      <c r="K95" s="28" t="n">
        <v>7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18</v>
      </c>
      <c r="I96" s="28" t="n">
        <v>0</v>
      </c>
      <c r="J96" s="28" t="n">
        <v>0</v>
      </c>
      <c r="K96" s="28" t="n">
        <v>18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4</v>
      </c>
      <c r="I97" s="28" t="n">
        <v>1</v>
      </c>
      <c r="J97" s="28" t="n">
        <v>0</v>
      </c>
      <c r="K97" s="28" t="n">
        <v>5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10</v>
      </c>
      <c r="I98" s="28" t="n">
        <v>4</v>
      </c>
      <c r="J98" s="28" t="n">
        <v>1</v>
      </c>
      <c r="K98" s="28" t="n">
        <v>15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1</v>
      </c>
      <c r="I99" s="28" t="n">
        <v>0</v>
      </c>
      <c r="J99" s="28" t="n">
        <v>0</v>
      </c>
      <c r="K99" s="28" t="n">
        <v>1</v>
      </c>
      <c r="W99" s="35" t="n"/>
    </row>
    <row r="100" spans="1:23">
      <c r="A100" t="n">
        <v>89</v>
      </c>
      <c r="B100" s="28" t="n">
        <v>390.5323</v>
      </c>
      <c r="C100" s="28" t="n">
        <v>0</v>
      </c>
      <c r="D100" s="28" t="n">
        <v>0</v>
      </c>
      <c r="E100" s="28" t="n">
        <v>390.5323</v>
      </c>
      <c r="G100" t="n">
        <v>89</v>
      </c>
      <c r="H100" s="29" t="n">
        <v>11</v>
      </c>
      <c r="I100" s="28" t="n">
        <v>2</v>
      </c>
      <c r="J100" s="28" t="n">
        <v>1</v>
      </c>
      <c r="K100" s="28" t="n">
        <v>14</v>
      </c>
      <c r="W100" s="35" t="n"/>
    </row>
    <row customHeight="1" ht="15.75" r="101" spans="1:23">
      <c r="A101" s="21" t="s">
        <v>20</v>
      </c>
      <c r="B101" s="36" t="n">
        <v>104700.6578</v>
      </c>
      <c r="C101" s="36" t="n">
        <v>78770.7669</v>
      </c>
      <c r="D101" s="36" t="n">
        <v>9339.8181</v>
      </c>
      <c r="E101" s="37" t="n">
        <v>192811.2428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101"/>
  <sheetViews>
    <sheetView topLeftCell="H1" workbookViewId="0">
      <selection activeCell="F32" sqref="F32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7" spans="1:23">
      <c r="A7" t="s">
        <v>5</v>
      </c>
    </row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7664.5803</v>
      </c>
      <c r="C11" s="28" t="n">
        <v>2073.5628</v>
      </c>
      <c r="D11" s="28" t="n">
        <v>346.7271</v>
      </c>
      <c r="E11" s="28" t="n">
        <v>10084.8702</v>
      </c>
      <c r="G11" t="n">
        <v>0</v>
      </c>
      <c r="H11" s="29" t="n">
        <v>12861</v>
      </c>
      <c r="I11" s="29" t="n">
        <v>7558</v>
      </c>
      <c r="J11" s="29" t="n">
        <v>4237</v>
      </c>
      <c r="K11" s="28" t="n">
        <v>24656</v>
      </c>
      <c r="M11" s="23" t="s">
        <v>10</v>
      </c>
      <c r="N11" s="30" t="n">
        <v>9.526970697161763</v>
      </c>
      <c r="O11" s="30" t="n">
        <v>14.63231075371399</v>
      </c>
    </row>
    <row r="12" spans="1:23">
      <c r="A12" t="n">
        <v>1</v>
      </c>
      <c r="B12" s="28" t="n">
        <v>8361.4722</v>
      </c>
      <c r="C12" s="28" t="n">
        <v>1557.8172</v>
      </c>
      <c r="D12" s="28" t="n">
        <v>423.099</v>
      </c>
      <c r="E12" s="28" t="n">
        <v>10342.3884</v>
      </c>
      <c r="G12" t="n">
        <v>1</v>
      </c>
      <c r="H12" s="29" t="n">
        <v>12507</v>
      </c>
      <c r="I12" s="29" t="n">
        <v>7522</v>
      </c>
      <c r="J12" s="29" t="n">
        <v>3638</v>
      </c>
      <c r="K12" s="28" t="n">
        <v>23667</v>
      </c>
      <c r="M12" s="23" t="s">
        <v>11</v>
      </c>
      <c r="N12" s="30" t="n">
        <v>8.778356612745236</v>
      </c>
      <c r="O12" s="30" t="n">
        <v>9.745699438847481</v>
      </c>
    </row>
    <row r="13" spans="1:23">
      <c r="A13" t="n">
        <v>2</v>
      </c>
      <c r="B13" s="28" t="n">
        <v>11188.7888</v>
      </c>
      <c r="C13" s="28" t="n">
        <v>318.6042</v>
      </c>
      <c r="D13" s="28" t="n">
        <v>315.9825</v>
      </c>
      <c r="E13" s="28" t="n">
        <v>11823.3755</v>
      </c>
      <c r="G13" t="n">
        <v>2</v>
      </c>
      <c r="H13" s="29" t="n">
        <v>10609</v>
      </c>
      <c r="I13" s="29" t="n">
        <v>4968</v>
      </c>
      <c r="J13" s="29" t="n">
        <v>2225</v>
      </c>
      <c r="K13" s="28" t="n">
        <v>17802</v>
      </c>
      <c r="M13" s="31" t="s">
        <v>12</v>
      </c>
      <c r="N13" s="32" t="n">
        <v>7.660375399843155</v>
      </c>
      <c r="O13" s="32" t="n">
        <v>11.70948531179555</v>
      </c>
    </row>
    <row customHeight="1" ht="15.75" r="14" spans="1:23">
      <c r="A14" t="n">
        <v>3</v>
      </c>
      <c r="B14" s="28" t="n">
        <v>13262.3537</v>
      </c>
      <c r="C14" s="28" t="n">
        <v>1453.6518</v>
      </c>
      <c r="D14" s="28" t="n">
        <v>0</v>
      </c>
      <c r="E14" s="28" t="n">
        <v>14716.0055</v>
      </c>
      <c r="G14" t="n">
        <v>3</v>
      </c>
      <c r="H14" s="29" t="n">
        <v>12206</v>
      </c>
      <c r="I14" s="29" t="n">
        <v>5057</v>
      </c>
      <c r="J14" s="29" t="n">
        <v>2249</v>
      </c>
      <c r="K14" s="28" t="n">
        <v>19512</v>
      </c>
      <c r="M14" s="33" t="s">
        <v>19</v>
      </c>
      <c r="N14" s="34" t="n">
        <v>9.386579359686509</v>
      </c>
      <c r="O14" s="34" t="n">
        <v>13.5648977938884</v>
      </c>
      <c r="S14" s="35" t="n"/>
    </row>
    <row r="15" spans="1:23">
      <c r="A15" t="n">
        <v>4</v>
      </c>
      <c r="B15" s="28" t="n">
        <v>10360.8633</v>
      </c>
      <c r="C15" s="28" t="n">
        <v>4028.6227</v>
      </c>
      <c r="D15" s="28" t="n">
        <v>0</v>
      </c>
      <c r="E15" s="28" t="n">
        <v>14389.486</v>
      </c>
      <c r="G15" t="n">
        <v>4</v>
      </c>
      <c r="H15" s="29" t="n">
        <v>23547</v>
      </c>
      <c r="I15" s="29" t="n">
        <v>9667</v>
      </c>
      <c r="J15" s="29" t="n">
        <v>4622</v>
      </c>
      <c r="K15" s="28" t="n">
        <v>37836</v>
      </c>
      <c r="W15" s="35" t="n"/>
    </row>
    <row r="16" spans="1:23">
      <c r="A16" t="n">
        <v>5</v>
      </c>
      <c r="B16" s="28" t="n">
        <v>7497.1581</v>
      </c>
      <c r="C16" s="28" t="n">
        <v>1632.2693</v>
      </c>
      <c r="D16" s="28" t="n">
        <v>199.9952</v>
      </c>
      <c r="E16" s="28" t="n">
        <v>9329.4226</v>
      </c>
      <c r="G16" t="n">
        <v>5</v>
      </c>
      <c r="H16" s="29" t="n">
        <v>23123</v>
      </c>
      <c r="I16" s="29" t="n">
        <v>7768</v>
      </c>
      <c r="J16" s="29" t="n">
        <v>3802</v>
      </c>
      <c r="K16" s="28" t="n">
        <v>34693</v>
      </c>
      <c r="W16" s="35" t="n"/>
    </row>
    <row r="17" spans="1:23">
      <c r="A17" t="n">
        <v>6</v>
      </c>
      <c r="B17" s="28" t="n">
        <v>8767.368399999999</v>
      </c>
      <c r="C17" s="28" t="n">
        <v>756.7786</v>
      </c>
      <c r="D17" s="28" t="n">
        <v>83.9342</v>
      </c>
      <c r="E17" s="28" t="n">
        <v>9608.081199999999</v>
      </c>
      <c r="G17" t="n">
        <v>6</v>
      </c>
      <c r="H17" s="29" t="n">
        <v>27494</v>
      </c>
      <c r="I17" s="29" t="n">
        <v>8437</v>
      </c>
      <c r="J17" s="29" t="n">
        <v>4793</v>
      </c>
      <c r="K17" s="28" t="n">
        <v>40724</v>
      </c>
      <c r="W17" s="35" t="n"/>
    </row>
    <row r="18" spans="1:23">
      <c r="A18" t="n">
        <v>7</v>
      </c>
      <c r="B18" s="28" t="n">
        <v>10634.9976</v>
      </c>
      <c r="C18" s="28" t="n">
        <v>126.6505</v>
      </c>
      <c r="D18" s="28" t="n">
        <v>0</v>
      </c>
      <c r="E18" s="28" t="n">
        <v>10761.6481</v>
      </c>
      <c r="G18" t="n">
        <v>7</v>
      </c>
      <c r="H18" s="29" t="n">
        <v>19173</v>
      </c>
      <c r="I18" s="29" t="n">
        <v>5479</v>
      </c>
      <c r="J18" s="29" t="n">
        <v>3093</v>
      </c>
      <c r="K18" s="28" t="n">
        <v>27745</v>
      </c>
      <c r="W18" s="35" t="n"/>
    </row>
    <row r="19" spans="1:23">
      <c r="A19" t="n">
        <v>8</v>
      </c>
      <c r="B19" s="28" t="n">
        <v>7270.4132</v>
      </c>
      <c r="C19" s="28" t="n">
        <v>3734.7201</v>
      </c>
      <c r="D19" s="28" t="n">
        <v>236.0467</v>
      </c>
      <c r="E19" s="28" t="n">
        <v>11241.18</v>
      </c>
      <c r="G19" t="n">
        <v>8</v>
      </c>
      <c r="H19" s="29" t="n">
        <v>25247</v>
      </c>
      <c r="I19" s="29" t="n">
        <v>6316</v>
      </c>
      <c r="J19" s="29" t="n">
        <v>3654</v>
      </c>
      <c r="K19" s="28" t="n">
        <v>35217</v>
      </c>
      <c r="W19" s="35" t="n"/>
    </row>
    <row r="20" spans="1:23">
      <c r="A20" t="n">
        <v>9</v>
      </c>
      <c r="B20" s="28" t="n">
        <v>6539.223199999999</v>
      </c>
      <c r="C20" s="28" t="n">
        <v>1947.2551</v>
      </c>
      <c r="D20" s="28" t="n">
        <v>0</v>
      </c>
      <c r="E20" s="28" t="n">
        <v>8486.478299999999</v>
      </c>
      <c r="G20" t="n">
        <v>9</v>
      </c>
      <c r="H20" s="29" t="n">
        <v>20343</v>
      </c>
      <c r="I20" s="29" t="n">
        <v>4627</v>
      </c>
      <c r="J20" s="29" t="n">
        <v>2906</v>
      </c>
      <c r="K20" s="28" t="n">
        <v>27876</v>
      </c>
      <c r="W20" s="35" t="n"/>
    </row>
    <row r="21" spans="1:23">
      <c r="A21" t="n">
        <v>10</v>
      </c>
      <c r="B21" s="28" t="n">
        <v>8008.4787</v>
      </c>
      <c r="C21" s="28" t="n">
        <v>1847.9024</v>
      </c>
      <c r="D21" s="28" t="n">
        <v>1112.3691</v>
      </c>
      <c r="E21" s="28" t="n">
        <v>10968.7502</v>
      </c>
      <c r="G21" t="n">
        <v>10</v>
      </c>
      <c r="H21" s="29" t="n">
        <v>18717</v>
      </c>
      <c r="I21" s="29" t="n">
        <v>4194</v>
      </c>
      <c r="J21" s="29" t="n">
        <v>2613</v>
      </c>
      <c r="K21" s="28" t="n">
        <v>25524</v>
      </c>
      <c r="W21" s="35" t="n"/>
    </row>
    <row r="22" spans="1:23">
      <c r="A22" t="n">
        <v>11</v>
      </c>
      <c r="B22" s="28" t="n">
        <v>5528.1326</v>
      </c>
      <c r="C22" s="28" t="n">
        <v>1900.5928</v>
      </c>
      <c r="D22" s="28" t="n">
        <v>0</v>
      </c>
      <c r="E22" s="28" t="n">
        <v>7428.7254</v>
      </c>
      <c r="G22" t="n">
        <v>11</v>
      </c>
      <c r="H22" s="29" t="n">
        <v>20013</v>
      </c>
      <c r="I22" s="29" t="n">
        <v>3846</v>
      </c>
      <c r="J22" s="29" t="n">
        <v>2664</v>
      </c>
      <c r="K22" s="28" t="n">
        <v>26523</v>
      </c>
      <c r="W22" s="35" t="n"/>
    </row>
    <row r="23" spans="1:23">
      <c r="A23" t="n">
        <v>12</v>
      </c>
      <c r="B23" s="28" t="n">
        <v>4201.4169</v>
      </c>
      <c r="C23" s="28" t="n">
        <v>405.0826</v>
      </c>
      <c r="D23" s="28" t="n">
        <v>192.7896</v>
      </c>
      <c r="E23" s="28" t="n">
        <v>4799.2891</v>
      </c>
      <c r="G23" t="n">
        <v>12</v>
      </c>
      <c r="H23" s="29" t="n">
        <v>21814</v>
      </c>
      <c r="I23" s="29" t="n">
        <v>3757</v>
      </c>
      <c r="J23" s="29" t="n">
        <v>2719</v>
      </c>
      <c r="K23" s="28" t="n">
        <v>28290</v>
      </c>
      <c r="W23" s="35" t="n"/>
    </row>
    <row r="24" spans="1:23">
      <c r="A24" t="n">
        <v>13</v>
      </c>
      <c r="B24" s="28" t="n">
        <v>4836.5982</v>
      </c>
      <c r="C24" s="28" t="n">
        <v>0</v>
      </c>
      <c r="D24" s="28" t="n">
        <v>0</v>
      </c>
      <c r="E24" s="28" t="n">
        <v>4836.5982</v>
      </c>
      <c r="G24" t="n">
        <v>13</v>
      </c>
      <c r="H24" s="29" t="n">
        <v>22304</v>
      </c>
      <c r="I24" s="29" t="n">
        <v>3487</v>
      </c>
      <c r="J24" s="29" t="n">
        <v>2516</v>
      </c>
      <c r="K24" s="28" t="n">
        <v>28307</v>
      </c>
      <c r="W24" s="35" t="n"/>
    </row>
    <row r="25" spans="1:23">
      <c r="A25" t="n">
        <v>14</v>
      </c>
      <c r="B25" s="28" t="n">
        <v>7155.0511</v>
      </c>
      <c r="C25" s="28" t="n">
        <v>869.2103</v>
      </c>
      <c r="D25" s="28" t="n">
        <v>0</v>
      </c>
      <c r="E25" s="28" t="n">
        <v>8024.261399999999</v>
      </c>
      <c r="G25" t="n">
        <v>14</v>
      </c>
      <c r="H25" s="29" t="n">
        <v>19743</v>
      </c>
      <c r="I25" s="29" t="n">
        <v>2991</v>
      </c>
      <c r="J25" s="29" t="n">
        <v>2288</v>
      </c>
      <c r="K25" s="28" t="n">
        <v>25022</v>
      </c>
      <c r="W25" s="35" t="n"/>
    </row>
    <row r="26" spans="1:23">
      <c r="A26" t="n">
        <v>15</v>
      </c>
      <c r="B26" s="28" t="n">
        <v>7430.897</v>
      </c>
      <c r="C26" s="28" t="n">
        <v>0</v>
      </c>
      <c r="D26" s="28" t="n">
        <v>0</v>
      </c>
      <c r="E26" s="28" t="n">
        <v>7430.897</v>
      </c>
      <c r="G26" t="n">
        <v>15</v>
      </c>
      <c r="H26" s="29" t="n">
        <v>21777</v>
      </c>
      <c r="I26" s="29" t="n">
        <v>2981</v>
      </c>
      <c r="J26" s="29" t="n">
        <v>2321</v>
      </c>
      <c r="K26" s="28" t="n">
        <v>27079</v>
      </c>
      <c r="W26" s="35" t="n"/>
    </row>
    <row r="27" spans="1:23">
      <c r="A27" t="n">
        <v>16</v>
      </c>
      <c r="B27" s="28" t="n">
        <v>2448.5464</v>
      </c>
      <c r="C27" s="28" t="n">
        <v>1260.709</v>
      </c>
      <c r="D27" s="28" t="n">
        <v>0</v>
      </c>
      <c r="E27" s="28" t="n">
        <v>3709.2554</v>
      </c>
      <c r="G27" t="n">
        <v>16</v>
      </c>
      <c r="H27" s="29" t="n">
        <v>20476</v>
      </c>
      <c r="I27" s="29" t="n">
        <v>2631</v>
      </c>
      <c r="J27" s="29" t="n">
        <v>2305</v>
      </c>
      <c r="K27" s="28" t="n">
        <v>25412</v>
      </c>
      <c r="W27" s="35" t="n"/>
    </row>
    <row r="28" spans="1:23">
      <c r="A28" t="n">
        <v>17</v>
      </c>
      <c r="B28" s="28" t="n">
        <v>5849.0984</v>
      </c>
      <c r="C28" s="28" t="n">
        <v>446.5381</v>
      </c>
      <c r="D28" s="28" t="n">
        <v>0</v>
      </c>
      <c r="E28" s="28" t="n">
        <v>6295.6365</v>
      </c>
      <c r="G28" t="n">
        <v>17</v>
      </c>
      <c r="H28" s="29" t="n">
        <v>18864</v>
      </c>
      <c r="I28" s="29" t="n">
        <v>2501</v>
      </c>
      <c r="J28" s="29" t="n">
        <v>1947</v>
      </c>
      <c r="K28" s="28" t="n">
        <v>23312</v>
      </c>
      <c r="W28" s="35" t="n"/>
    </row>
    <row r="29" spans="1:23">
      <c r="A29" t="n">
        <v>18</v>
      </c>
      <c r="B29" s="28" t="n">
        <v>7596.6656</v>
      </c>
      <c r="C29" s="28" t="n">
        <v>1569.102</v>
      </c>
      <c r="D29" s="28" t="n">
        <v>0</v>
      </c>
      <c r="E29" s="28" t="n">
        <v>9165.767600000001</v>
      </c>
      <c r="G29" t="n">
        <v>18</v>
      </c>
      <c r="H29" s="29" t="n">
        <v>18276</v>
      </c>
      <c r="I29" s="29" t="n">
        <v>2126</v>
      </c>
      <c r="J29" s="29" t="n">
        <v>1900</v>
      </c>
      <c r="K29" s="28" t="n">
        <v>22302</v>
      </c>
      <c r="W29" s="35" t="n"/>
    </row>
    <row r="30" spans="1:23">
      <c r="A30" t="n">
        <v>19</v>
      </c>
      <c r="B30" s="28" t="n">
        <v>4128.3389</v>
      </c>
      <c r="C30" s="28" t="n">
        <v>156.7628</v>
      </c>
      <c r="D30" s="28" t="n">
        <v>0</v>
      </c>
      <c r="E30" s="28" t="n">
        <v>4285.1017</v>
      </c>
      <c r="G30" t="n">
        <v>19</v>
      </c>
      <c r="H30" s="29" t="n">
        <v>16111</v>
      </c>
      <c r="I30" s="29" t="n">
        <v>1673</v>
      </c>
      <c r="J30" s="29" t="n">
        <v>1597</v>
      </c>
      <c r="K30" s="28" t="n">
        <v>19381</v>
      </c>
      <c r="W30" s="35" t="n"/>
    </row>
    <row r="31" spans="1:23">
      <c r="A31" t="n">
        <v>20</v>
      </c>
      <c r="B31" s="28" t="n">
        <v>1265.7013</v>
      </c>
      <c r="C31" s="28" t="n">
        <v>910.0523000000001</v>
      </c>
      <c r="D31" s="28" t="n">
        <v>195.2486</v>
      </c>
      <c r="E31" s="28" t="n">
        <v>2371.0022</v>
      </c>
      <c r="G31" t="n">
        <v>20</v>
      </c>
      <c r="H31" s="29" t="n">
        <v>14141</v>
      </c>
      <c r="I31" s="29" t="n">
        <v>1376</v>
      </c>
      <c r="J31" s="29" t="n">
        <v>1352</v>
      </c>
      <c r="K31" s="28" t="n">
        <v>16869</v>
      </c>
      <c r="W31" s="35" t="n"/>
    </row>
    <row r="32" spans="1:23">
      <c r="A32" t="n">
        <v>21</v>
      </c>
      <c r="B32" s="28" t="n">
        <v>3502.1714</v>
      </c>
      <c r="C32" s="28" t="n">
        <v>0</v>
      </c>
      <c r="D32" s="28" t="n">
        <v>0</v>
      </c>
      <c r="E32" s="28" t="n">
        <v>3502.1714</v>
      </c>
      <c r="G32" t="n">
        <v>21</v>
      </c>
      <c r="H32" s="29" t="n">
        <v>12556</v>
      </c>
      <c r="I32" s="29" t="n">
        <v>1247</v>
      </c>
      <c r="J32" s="29" t="n">
        <v>1238</v>
      </c>
      <c r="K32" s="28" t="n">
        <v>15041</v>
      </c>
      <c r="W32" s="35" t="n"/>
    </row>
    <row r="33" spans="1:23">
      <c r="A33" t="n">
        <v>22</v>
      </c>
      <c r="B33" s="28" t="n">
        <v>1410.8605</v>
      </c>
      <c r="C33" s="28" t="n">
        <v>575.6079999999999</v>
      </c>
      <c r="D33" s="28" t="n">
        <v>0</v>
      </c>
      <c r="E33" s="28" t="n">
        <v>1986.4685</v>
      </c>
      <c r="G33" t="n">
        <v>22</v>
      </c>
      <c r="H33" s="29" t="n">
        <v>11953</v>
      </c>
      <c r="I33" s="29" t="n">
        <v>1171</v>
      </c>
      <c r="J33" s="29" t="n">
        <v>1121</v>
      </c>
      <c r="K33" s="28" t="n">
        <v>14245</v>
      </c>
      <c r="W33" s="35" t="n"/>
    </row>
    <row r="34" spans="1:23">
      <c r="A34" t="n">
        <v>23</v>
      </c>
      <c r="B34" s="28" t="n">
        <v>1540.5993</v>
      </c>
      <c r="C34" s="28" t="n">
        <v>0</v>
      </c>
      <c r="D34" s="28" t="n">
        <v>0</v>
      </c>
      <c r="E34" s="28" t="n">
        <v>1540.5993</v>
      </c>
      <c r="G34" t="n">
        <v>23</v>
      </c>
      <c r="H34" s="29" t="n">
        <v>11744</v>
      </c>
      <c r="I34" s="29" t="n">
        <v>1049</v>
      </c>
      <c r="J34" s="29" t="n">
        <v>1052</v>
      </c>
      <c r="K34" s="28" t="n">
        <v>13845</v>
      </c>
      <c r="W34" s="35" t="n"/>
    </row>
    <row r="35" spans="1:23">
      <c r="A35" t="n">
        <v>24</v>
      </c>
      <c r="B35" s="28" t="n">
        <v>903.6698</v>
      </c>
      <c r="C35" s="28" t="n">
        <v>0</v>
      </c>
      <c r="D35" s="28" t="n">
        <v>0</v>
      </c>
      <c r="E35" s="28" t="n">
        <v>903.6698</v>
      </c>
      <c r="G35" t="n">
        <v>24</v>
      </c>
      <c r="H35" s="29" t="n">
        <v>9428</v>
      </c>
      <c r="I35" s="29" t="n">
        <v>854</v>
      </c>
      <c r="J35" s="29" t="n">
        <v>892</v>
      </c>
      <c r="K35" s="28" t="n">
        <v>11174</v>
      </c>
      <c r="W35" s="35" t="n"/>
    </row>
    <row r="36" spans="1:23">
      <c r="A36" t="n">
        <v>25</v>
      </c>
      <c r="B36" s="28" t="n">
        <v>618.4189</v>
      </c>
      <c r="C36" s="28" t="n">
        <v>542.3908</v>
      </c>
      <c r="D36" s="28" t="n">
        <v>0</v>
      </c>
      <c r="E36" s="28" t="n">
        <v>1160.8097</v>
      </c>
      <c r="G36" t="n">
        <v>25</v>
      </c>
      <c r="H36" s="29" t="n">
        <v>7756</v>
      </c>
      <c r="I36" s="29" t="n">
        <v>699</v>
      </c>
      <c r="J36" s="29" t="n">
        <v>676</v>
      </c>
      <c r="K36" s="28" t="n">
        <v>9131</v>
      </c>
      <c r="W36" s="35" t="n"/>
    </row>
    <row r="37" spans="1:23">
      <c r="A37" t="n">
        <v>26</v>
      </c>
      <c r="B37" s="28" t="n">
        <v>344.256</v>
      </c>
      <c r="C37" s="28" t="n">
        <v>0</v>
      </c>
      <c r="D37" s="28" t="n">
        <v>109.3501</v>
      </c>
      <c r="E37" s="28" t="n">
        <v>453.6061</v>
      </c>
      <c r="G37" t="n">
        <v>26</v>
      </c>
      <c r="H37" s="29" t="n">
        <v>6087</v>
      </c>
      <c r="I37" s="29" t="n">
        <v>583</v>
      </c>
      <c r="J37" s="29" t="n">
        <v>593</v>
      </c>
      <c r="K37" s="28" t="n">
        <v>7263</v>
      </c>
      <c r="W37" s="35" t="n"/>
    </row>
    <row r="38" spans="1:23">
      <c r="A38" t="n">
        <v>27</v>
      </c>
      <c r="B38" s="28" t="n">
        <v>239.2617</v>
      </c>
      <c r="C38" s="28" t="n">
        <v>0</v>
      </c>
      <c r="D38" s="28" t="n">
        <v>0</v>
      </c>
      <c r="E38" s="28" t="n">
        <v>239.2617</v>
      </c>
      <c r="G38" t="n">
        <v>27</v>
      </c>
      <c r="H38" s="29" t="n">
        <v>5565</v>
      </c>
      <c r="I38" s="29" t="n">
        <v>533</v>
      </c>
      <c r="J38" s="29" t="n">
        <v>563</v>
      </c>
      <c r="K38" s="28" t="n">
        <v>6661</v>
      </c>
      <c r="W38" s="35" t="n"/>
    </row>
    <row r="39" spans="1:23">
      <c r="A39" t="n">
        <v>28</v>
      </c>
      <c r="B39" s="28" t="n">
        <v>1493.1775</v>
      </c>
      <c r="C39" s="28" t="n">
        <v>0</v>
      </c>
      <c r="D39" s="28" t="n">
        <v>0</v>
      </c>
      <c r="E39" s="28" t="n">
        <v>1493.1775</v>
      </c>
      <c r="G39" t="n">
        <v>28</v>
      </c>
      <c r="H39" s="29" t="n">
        <v>4747</v>
      </c>
      <c r="I39" s="29" t="n">
        <v>435</v>
      </c>
      <c r="J39" s="29" t="n">
        <v>452</v>
      </c>
      <c r="K39" s="28" t="n">
        <v>5634</v>
      </c>
      <c r="W39" s="35" t="n"/>
    </row>
    <row r="40" spans="1:23">
      <c r="A40" t="n">
        <v>29</v>
      </c>
      <c r="B40" s="28" t="n">
        <v>0</v>
      </c>
      <c r="C40" s="28" t="n">
        <v>0</v>
      </c>
      <c r="D40" s="28" t="n">
        <v>0</v>
      </c>
      <c r="E40" s="28" t="n">
        <v>0</v>
      </c>
      <c r="G40" t="n">
        <v>29</v>
      </c>
      <c r="H40" s="29" t="n">
        <v>5519</v>
      </c>
      <c r="I40" s="29" t="n">
        <v>437</v>
      </c>
      <c r="J40" s="29" t="n">
        <v>420</v>
      </c>
      <c r="K40" s="28" t="n">
        <v>6376</v>
      </c>
      <c r="W40" s="35" t="n"/>
    </row>
    <row r="41" spans="1:23">
      <c r="A41" t="n">
        <v>30</v>
      </c>
      <c r="B41" s="28" t="n">
        <v>343.1413</v>
      </c>
      <c r="C41" s="28" t="n">
        <v>0</v>
      </c>
      <c r="D41" s="28" t="n">
        <v>0</v>
      </c>
      <c r="E41" s="28" t="n">
        <v>343.1413</v>
      </c>
      <c r="G41" t="n">
        <v>30</v>
      </c>
      <c r="H41" s="29" t="n">
        <v>4057</v>
      </c>
      <c r="I41" s="29" t="n">
        <v>411</v>
      </c>
      <c r="J41" s="29" t="n">
        <v>364</v>
      </c>
      <c r="K41" s="28" t="n">
        <v>4832</v>
      </c>
      <c r="W41" s="35" t="n"/>
    </row>
    <row r="42" spans="1:23">
      <c r="A42" t="n">
        <v>31</v>
      </c>
      <c r="B42" s="28" t="n">
        <v>0</v>
      </c>
      <c r="C42" s="28" t="n">
        <v>0</v>
      </c>
      <c r="D42" s="28" t="n">
        <v>0</v>
      </c>
      <c r="E42" s="28" t="n">
        <v>0</v>
      </c>
      <c r="G42" t="n">
        <v>31</v>
      </c>
      <c r="H42" s="29" t="n">
        <v>3499</v>
      </c>
      <c r="I42" s="29" t="n">
        <v>350</v>
      </c>
      <c r="J42" s="29" t="n">
        <v>285</v>
      </c>
      <c r="K42" s="28" t="n">
        <v>4134</v>
      </c>
      <c r="W42" s="35" t="n"/>
    </row>
    <row r="43" spans="1:23">
      <c r="A43" t="n">
        <v>32</v>
      </c>
      <c r="B43" s="28" t="n">
        <v>0</v>
      </c>
      <c r="C43" s="28" t="n">
        <v>142.4146</v>
      </c>
      <c r="D43" s="28" t="n">
        <v>0</v>
      </c>
      <c r="E43" s="28" t="n">
        <v>142.4146</v>
      </c>
      <c r="G43" t="n">
        <v>32</v>
      </c>
      <c r="H43" s="29" t="n">
        <v>3150</v>
      </c>
      <c r="I43" s="29" t="n">
        <v>228</v>
      </c>
      <c r="J43" s="29" t="n">
        <v>228</v>
      </c>
      <c r="K43" s="28" t="n">
        <v>3606</v>
      </c>
      <c r="W43" s="35" t="n"/>
    </row>
    <row r="44" spans="1:23">
      <c r="A44" t="n">
        <v>33</v>
      </c>
      <c r="B44" s="28" t="n">
        <v>0</v>
      </c>
      <c r="C44" s="28" t="n">
        <v>0</v>
      </c>
      <c r="D44" s="28" t="n">
        <v>0</v>
      </c>
      <c r="E44" s="28" t="n">
        <v>0</v>
      </c>
      <c r="G44" t="n">
        <v>33</v>
      </c>
      <c r="H44" s="29" t="n">
        <v>2939</v>
      </c>
      <c r="I44" s="29" t="n">
        <v>257</v>
      </c>
      <c r="J44" s="29" t="n">
        <v>246</v>
      </c>
      <c r="K44" s="28" t="n">
        <v>3442</v>
      </c>
      <c r="W44" s="35" t="n"/>
    </row>
    <row r="45" spans="1:23">
      <c r="A45" t="n">
        <v>34</v>
      </c>
      <c r="B45" s="28" t="n">
        <v>0</v>
      </c>
      <c r="C45" s="28" t="n">
        <v>0</v>
      </c>
      <c r="D45" s="28" t="n">
        <v>0</v>
      </c>
      <c r="E45" s="28" t="n">
        <v>0</v>
      </c>
      <c r="G45" t="n">
        <v>34</v>
      </c>
      <c r="H45" s="29" t="n">
        <v>2258</v>
      </c>
      <c r="I45" s="29" t="n">
        <v>202</v>
      </c>
      <c r="J45" s="29" t="n">
        <v>180</v>
      </c>
      <c r="K45" s="28" t="n">
        <v>2640</v>
      </c>
      <c r="W45" s="35" t="n"/>
    </row>
    <row r="46" spans="1:23">
      <c r="A46" t="n">
        <v>35</v>
      </c>
      <c r="B46" s="28" t="n">
        <v>213.5855</v>
      </c>
      <c r="C46" s="28" t="n">
        <v>0</v>
      </c>
      <c r="D46" s="28" t="n">
        <v>0</v>
      </c>
      <c r="E46" s="28" t="n">
        <v>213.5855</v>
      </c>
      <c r="G46" t="n">
        <v>35</v>
      </c>
      <c r="H46" s="29" t="n">
        <v>2028</v>
      </c>
      <c r="I46" s="29" t="n">
        <v>160</v>
      </c>
      <c r="J46" s="29" t="n">
        <v>177</v>
      </c>
      <c r="K46" s="28" t="n">
        <v>2365</v>
      </c>
      <c r="W46" s="35" t="n"/>
    </row>
    <row r="47" spans="1:23">
      <c r="A47" t="n">
        <v>36</v>
      </c>
      <c r="B47" s="28" t="n">
        <v>205.5457</v>
      </c>
      <c r="C47" s="28" t="n">
        <v>0</v>
      </c>
      <c r="D47" s="28" t="n">
        <v>0</v>
      </c>
      <c r="E47" s="28" t="n">
        <v>205.5457</v>
      </c>
      <c r="G47" t="n">
        <v>36</v>
      </c>
      <c r="H47" s="29" t="n">
        <v>2233</v>
      </c>
      <c r="I47" s="29" t="n">
        <v>184</v>
      </c>
      <c r="J47" s="29" t="n">
        <v>172</v>
      </c>
      <c r="K47" s="28" t="n">
        <v>2589</v>
      </c>
      <c r="W47" s="35" t="n"/>
    </row>
    <row r="48" spans="1:23">
      <c r="A48" t="n">
        <v>37</v>
      </c>
      <c r="B48" s="28" t="n">
        <v>334.1928</v>
      </c>
      <c r="C48" s="28" t="n">
        <v>0</v>
      </c>
      <c r="D48" s="28" t="n">
        <v>0</v>
      </c>
      <c r="E48" s="28" t="n">
        <v>334.1928</v>
      </c>
      <c r="G48" t="n">
        <v>37</v>
      </c>
      <c r="H48" s="29" t="n">
        <v>2253</v>
      </c>
      <c r="I48" s="29" t="n">
        <v>132</v>
      </c>
      <c r="J48" s="29" t="n">
        <v>168</v>
      </c>
      <c r="K48" s="28" t="n">
        <v>2553</v>
      </c>
      <c r="W48" s="35" t="n"/>
    </row>
    <row r="49" spans="1:23">
      <c r="A49" t="n">
        <v>38</v>
      </c>
      <c r="B49" s="28" t="n">
        <v>0</v>
      </c>
      <c r="C49" s="28" t="n">
        <v>0</v>
      </c>
      <c r="D49" s="28" t="n">
        <v>0</v>
      </c>
      <c r="E49" s="28" t="n">
        <v>0</v>
      </c>
      <c r="G49" t="n">
        <v>38</v>
      </c>
      <c r="H49" s="29" t="n">
        <v>1811</v>
      </c>
      <c r="I49" s="29" t="n">
        <v>127</v>
      </c>
      <c r="J49" s="29" t="n">
        <v>132</v>
      </c>
      <c r="K49" s="28" t="n">
        <v>2070</v>
      </c>
      <c r="W49" s="35" t="n"/>
    </row>
    <row r="50" spans="1:23">
      <c r="A50" t="n">
        <v>39</v>
      </c>
      <c r="B50" s="28" t="n">
        <v>60.0602</v>
      </c>
      <c r="C50" s="28" t="n">
        <v>0</v>
      </c>
      <c r="D50" s="28" t="n">
        <v>0</v>
      </c>
      <c r="E50" s="28" t="n">
        <v>60.0602</v>
      </c>
      <c r="G50" t="n">
        <v>39</v>
      </c>
      <c r="H50" s="29" t="n">
        <v>1600</v>
      </c>
      <c r="I50" s="29" t="n">
        <v>112</v>
      </c>
      <c r="J50" s="29" t="n">
        <v>124</v>
      </c>
      <c r="K50" s="28" t="n">
        <v>1836</v>
      </c>
      <c r="W50" s="35" t="n"/>
    </row>
    <row r="51" spans="1:23">
      <c r="A51" t="n">
        <v>40</v>
      </c>
      <c r="B51" s="28" t="n">
        <v>453.8196</v>
      </c>
      <c r="C51" s="28" t="n">
        <v>0</v>
      </c>
      <c r="D51" s="28" t="n">
        <v>0</v>
      </c>
      <c r="E51" s="28" t="n">
        <v>453.8196</v>
      </c>
      <c r="G51" t="n">
        <v>40</v>
      </c>
      <c r="H51" s="29" t="n">
        <v>1386</v>
      </c>
      <c r="I51" s="29" t="n">
        <v>109</v>
      </c>
      <c r="J51" s="29" t="n">
        <v>101</v>
      </c>
      <c r="K51" s="28" t="n">
        <v>1596</v>
      </c>
      <c r="W51" s="35" t="n"/>
    </row>
    <row r="52" spans="1:23">
      <c r="A52" t="n">
        <v>41</v>
      </c>
      <c r="B52" s="28" t="n">
        <v>294.1416</v>
      </c>
      <c r="C52" s="28" t="n">
        <v>0</v>
      </c>
      <c r="D52" s="28" t="n">
        <v>0</v>
      </c>
      <c r="E52" s="28" t="n">
        <v>294.1416</v>
      </c>
      <c r="G52" t="n">
        <v>41</v>
      </c>
      <c r="H52" s="29" t="n">
        <v>1018</v>
      </c>
      <c r="I52" s="29" t="n">
        <v>69</v>
      </c>
      <c r="J52" s="29" t="n">
        <v>80</v>
      </c>
      <c r="K52" s="28" t="n">
        <v>1167</v>
      </c>
      <c r="W52" s="35" t="n"/>
    </row>
    <row r="53" spans="1:23">
      <c r="A53" t="n">
        <v>42</v>
      </c>
      <c r="B53" s="28" t="n">
        <v>0</v>
      </c>
      <c r="C53" s="28" t="n">
        <v>0</v>
      </c>
      <c r="D53" s="28" t="n">
        <v>0</v>
      </c>
      <c r="E53" s="28" t="n">
        <v>0</v>
      </c>
      <c r="G53" t="n">
        <v>42</v>
      </c>
      <c r="H53" s="29" t="n">
        <v>873</v>
      </c>
      <c r="I53" s="29" t="n">
        <v>60</v>
      </c>
      <c r="J53" s="29" t="n">
        <v>76</v>
      </c>
      <c r="K53" s="28" t="n">
        <v>1009</v>
      </c>
      <c r="W53" s="35" t="n"/>
    </row>
    <row r="54" spans="1:23">
      <c r="A54" t="n">
        <v>43</v>
      </c>
      <c r="B54" s="28" t="n">
        <v>0</v>
      </c>
      <c r="C54" s="28" t="n">
        <v>0</v>
      </c>
      <c r="D54" s="28" t="n">
        <v>0</v>
      </c>
      <c r="E54" s="28" t="n">
        <v>0</v>
      </c>
      <c r="G54" t="n">
        <v>43</v>
      </c>
      <c r="H54" s="29" t="n">
        <v>625</v>
      </c>
      <c r="I54" s="29" t="n">
        <v>31</v>
      </c>
      <c r="J54" s="29" t="n">
        <v>39</v>
      </c>
      <c r="K54" s="28" t="n">
        <v>695</v>
      </c>
      <c r="W54" s="35" t="n"/>
    </row>
    <row r="55" spans="1:23">
      <c r="A55" t="n">
        <v>44</v>
      </c>
      <c r="B55" s="28" t="n">
        <v>0</v>
      </c>
      <c r="C55" s="28" t="n">
        <v>0</v>
      </c>
      <c r="D55" s="28" t="n">
        <v>0</v>
      </c>
      <c r="E55" s="28" t="n">
        <v>0</v>
      </c>
      <c r="G55" t="n">
        <v>44</v>
      </c>
      <c r="H55" s="29" t="n">
        <v>710</v>
      </c>
      <c r="I55" s="29" t="n">
        <v>48</v>
      </c>
      <c r="J55" s="29" t="n">
        <v>57</v>
      </c>
      <c r="K55" s="28" t="n">
        <v>815</v>
      </c>
      <c r="W55" s="35" t="n"/>
    </row>
    <row r="56" spans="1:23">
      <c r="A56" t="n">
        <v>45</v>
      </c>
      <c r="B56" s="28" t="n">
        <v>0</v>
      </c>
      <c r="C56" s="28" t="n">
        <v>0</v>
      </c>
      <c r="D56" s="28" t="n">
        <v>0</v>
      </c>
      <c r="E56" s="28" t="n">
        <v>0</v>
      </c>
      <c r="G56" t="n">
        <v>45</v>
      </c>
      <c r="H56" s="29" t="n">
        <v>866</v>
      </c>
      <c r="I56" s="29" t="n">
        <v>61</v>
      </c>
      <c r="J56" s="29" t="n">
        <v>66</v>
      </c>
      <c r="K56" s="28" t="n">
        <v>993</v>
      </c>
      <c r="W56" s="35" t="n"/>
    </row>
    <row r="57" spans="1:23">
      <c r="A57" t="n">
        <v>46</v>
      </c>
      <c r="B57" s="28" t="n">
        <v>0</v>
      </c>
      <c r="C57" s="28" t="n">
        <v>0</v>
      </c>
      <c r="D57" s="28" t="n">
        <v>0</v>
      </c>
      <c r="E57" s="28" t="n">
        <v>0</v>
      </c>
      <c r="G57" t="n">
        <v>46</v>
      </c>
      <c r="H57" s="29" t="n">
        <v>485</v>
      </c>
      <c r="I57" s="29" t="n">
        <v>39</v>
      </c>
      <c r="J57" s="29" t="n">
        <v>30</v>
      </c>
      <c r="K57" s="28" t="n">
        <v>554</v>
      </c>
      <c r="W57" s="35" t="n"/>
    </row>
    <row r="58" spans="1:23">
      <c r="A58" t="n">
        <v>47</v>
      </c>
      <c r="B58" s="28" t="n">
        <v>0</v>
      </c>
      <c r="C58" s="28" t="n">
        <v>0</v>
      </c>
      <c r="D58" s="28" t="n">
        <v>0</v>
      </c>
      <c r="E58" s="28" t="n">
        <v>0</v>
      </c>
      <c r="G58" t="n">
        <v>47</v>
      </c>
      <c r="H58" s="29" t="n">
        <v>566</v>
      </c>
      <c r="I58" s="29" t="n">
        <v>52</v>
      </c>
      <c r="J58" s="29" t="n">
        <v>39</v>
      </c>
      <c r="K58" s="28" t="n">
        <v>657</v>
      </c>
      <c r="W58" s="35" t="n"/>
    </row>
    <row r="59" spans="1:23">
      <c r="A59" t="n">
        <v>48</v>
      </c>
      <c r="B59" s="28" t="n">
        <v>0</v>
      </c>
      <c r="C59" s="28" t="n">
        <v>0</v>
      </c>
      <c r="D59" s="28" t="n">
        <v>0</v>
      </c>
      <c r="E59" s="28" t="n">
        <v>0</v>
      </c>
      <c r="G59" t="n">
        <v>48</v>
      </c>
      <c r="H59" s="29" t="n">
        <v>400</v>
      </c>
      <c r="I59" s="29" t="n">
        <v>26</v>
      </c>
      <c r="J59" s="29" t="n">
        <v>31</v>
      </c>
      <c r="K59" s="28" t="n">
        <v>457</v>
      </c>
      <c r="W59" s="35" t="n"/>
    </row>
    <row r="60" spans="1:23">
      <c r="A60" t="n">
        <v>49</v>
      </c>
      <c r="B60" s="28" t="n">
        <v>0</v>
      </c>
      <c r="C60" s="28" t="n">
        <v>0</v>
      </c>
      <c r="D60" s="28" t="n">
        <v>0</v>
      </c>
      <c r="E60" s="28" t="n">
        <v>0</v>
      </c>
      <c r="G60" t="n">
        <v>49</v>
      </c>
      <c r="H60" s="29" t="n">
        <v>302</v>
      </c>
      <c r="I60" s="29" t="n">
        <v>25</v>
      </c>
      <c r="J60" s="29" t="n">
        <v>25</v>
      </c>
      <c r="K60" s="28" t="n">
        <v>352</v>
      </c>
      <c r="W60" s="35" t="n"/>
    </row>
    <row r="61" spans="1:23">
      <c r="A61" t="n">
        <v>50</v>
      </c>
      <c r="B61" s="28" t="n">
        <v>0</v>
      </c>
      <c r="C61" s="28" t="n">
        <v>0</v>
      </c>
      <c r="D61" s="28" t="n">
        <v>0</v>
      </c>
      <c r="E61" s="28" t="n">
        <v>0</v>
      </c>
      <c r="G61" t="n">
        <v>50</v>
      </c>
      <c r="H61" s="29" t="n">
        <v>291</v>
      </c>
      <c r="I61" s="29" t="n">
        <v>33</v>
      </c>
      <c r="J61" s="29" t="n">
        <v>25</v>
      </c>
      <c r="K61" s="28" t="n">
        <v>349</v>
      </c>
      <c r="W61" s="35" t="n"/>
    </row>
    <row r="62" spans="1:23">
      <c r="A62" t="n">
        <v>51</v>
      </c>
      <c r="B62" s="28" t="n">
        <v>0</v>
      </c>
      <c r="C62" s="28" t="n">
        <v>0</v>
      </c>
      <c r="D62" s="28" t="n">
        <v>0</v>
      </c>
      <c r="E62" s="28" t="n">
        <v>0</v>
      </c>
      <c r="G62" t="n">
        <v>51</v>
      </c>
      <c r="H62" s="29" t="n">
        <v>283</v>
      </c>
      <c r="I62" s="29" t="n">
        <v>29</v>
      </c>
      <c r="J62" s="29" t="n">
        <v>19</v>
      </c>
      <c r="K62" s="28" t="n">
        <v>331</v>
      </c>
      <c r="W62" s="35" t="n"/>
    </row>
    <row r="63" spans="1:23">
      <c r="A63" t="n">
        <v>52</v>
      </c>
      <c r="B63" s="28" t="n">
        <v>0</v>
      </c>
      <c r="C63" s="28" t="n">
        <v>0</v>
      </c>
      <c r="D63" s="28" t="n">
        <v>0</v>
      </c>
      <c r="E63" s="28" t="n">
        <v>0</v>
      </c>
      <c r="G63" t="n">
        <v>52</v>
      </c>
      <c r="H63" s="29" t="n">
        <v>273</v>
      </c>
      <c r="I63" s="29" t="n">
        <v>16</v>
      </c>
      <c r="J63" s="29" t="n">
        <v>15</v>
      </c>
      <c r="K63" s="28" t="n">
        <v>304</v>
      </c>
      <c r="W63" s="35" t="n"/>
    </row>
    <row r="64" spans="1:23">
      <c r="A64" t="n">
        <v>53</v>
      </c>
      <c r="B64" s="28" t="n">
        <v>0</v>
      </c>
      <c r="C64" s="28" t="n">
        <v>0</v>
      </c>
      <c r="D64" s="28" t="n">
        <v>0</v>
      </c>
      <c r="E64" s="28" t="n">
        <v>0</v>
      </c>
      <c r="G64" t="n">
        <v>53</v>
      </c>
      <c r="H64" s="29" t="n">
        <v>109</v>
      </c>
      <c r="I64" s="29" t="n">
        <v>8</v>
      </c>
      <c r="J64" s="29" t="n">
        <v>8</v>
      </c>
      <c r="K64" s="28" t="n">
        <v>125</v>
      </c>
      <c r="W64" s="35" t="n"/>
    </row>
    <row r="65" spans="1:23">
      <c r="A65" t="n">
        <v>54</v>
      </c>
      <c r="B65" s="28" t="n">
        <v>0</v>
      </c>
      <c r="C65" s="28" t="n">
        <v>0</v>
      </c>
      <c r="D65" s="28" t="n">
        <v>0</v>
      </c>
      <c r="E65" s="28" t="n">
        <v>0</v>
      </c>
      <c r="G65" t="n">
        <v>54</v>
      </c>
      <c r="H65" s="29" t="n">
        <v>170</v>
      </c>
      <c r="I65" s="29" t="n">
        <v>14</v>
      </c>
      <c r="J65" s="29" t="n">
        <v>12</v>
      </c>
      <c r="K65" s="28" t="n">
        <v>196</v>
      </c>
      <c r="W65" s="35" t="n"/>
    </row>
    <row r="66" spans="1:23">
      <c r="A66" t="n">
        <v>55</v>
      </c>
      <c r="B66" s="28" t="n">
        <v>0</v>
      </c>
      <c r="C66" s="28" t="n">
        <v>0</v>
      </c>
      <c r="D66" s="28" t="n">
        <v>0</v>
      </c>
      <c r="E66" s="28" t="n">
        <v>0</v>
      </c>
      <c r="G66" t="n">
        <v>55</v>
      </c>
      <c r="H66" s="29" t="n">
        <v>127</v>
      </c>
      <c r="I66" s="29" t="n">
        <v>9</v>
      </c>
      <c r="J66" s="29" t="n">
        <v>11</v>
      </c>
      <c r="K66" s="28" t="n">
        <v>147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140</v>
      </c>
      <c r="I67" s="29" t="n">
        <v>26</v>
      </c>
      <c r="J67" s="29" t="n">
        <v>20</v>
      </c>
      <c r="K67" s="28" t="n">
        <v>186</v>
      </c>
      <c r="W67" s="35" t="n"/>
    </row>
    <row r="68" spans="1:23">
      <c r="A68" t="n">
        <v>57</v>
      </c>
      <c r="B68" s="28" t="n">
        <v>0</v>
      </c>
      <c r="C68" s="28" t="n">
        <v>0</v>
      </c>
      <c r="D68" s="28" t="n">
        <v>0</v>
      </c>
      <c r="E68" s="28" t="n">
        <v>0</v>
      </c>
      <c r="G68" t="n">
        <v>57</v>
      </c>
      <c r="H68" s="29" t="n">
        <v>68</v>
      </c>
      <c r="I68" s="29" t="n">
        <v>8</v>
      </c>
      <c r="J68" s="29" t="n">
        <v>5</v>
      </c>
      <c r="K68" s="28" t="n">
        <v>81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157</v>
      </c>
      <c r="I69" s="29" t="n">
        <v>10</v>
      </c>
      <c r="J69" s="29" t="n">
        <v>12</v>
      </c>
      <c r="K69" s="28" t="n">
        <v>179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74</v>
      </c>
      <c r="I70" s="29" t="n">
        <v>4</v>
      </c>
      <c r="J70" s="29" t="n">
        <v>7</v>
      </c>
      <c r="K70" s="28" t="n">
        <v>85</v>
      </c>
      <c r="W70" s="35" t="n"/>
    </row>
    <row r="71" spans="1:23">
      <c r="A71" t="n">
        <v>60</v>
      </c>
      <c r="B71" s="28" t="n">
        <v>0</v>
      </c>
      <c r="C71" s="28" t="n">
        <v>0</v>
      </c>
      <c r="D71" s="28" t="n">
        <v>0</v>
      </c>
      <c r="E71" s="28" t="n">
        <v>0</v>
      </c>
      <c r="G71" t="n">
        <v>60</v>
      </c>
      <c r="H71" s="29" t="n">
        <v>56</v>
      </c>
      <c r="I71" s="29" t="n">
        <v>4</v>
      </c>
      <c r="J71" s="29" t="n">
        <v>3</v>
      </c>
      <c r="K71" s="28" t="n">
        <v>63</v>
      </c>
      <c r="W71" s="35" t="n"/>
    </row>
    <row r="72" spans="1:23">
      <c r="A72" t="n">
        <v>61</v>
      </c>
      <c r="B72" s="28" t="n">
        <v>0</v>
      </c>
      <c r="C72" s="28" t="n">
        <v>0</v>
      </c>
      <c r="D72" s="28" t="n">
        <v>0</v>
      </c>
      <c r="E72" s="28" t="n">
        <v>0</v>
      </c>
      <c r="G72" t="n">
        <v>61</v>
      </c>
      <c r="H72" s="29" t="n">
        <v>56</v>
      </c>
      <c r="I72" s="29" t="n">
        <v>7</v>
      </c>
      <c r="J72" s="29" t="n">
        <v>6</v>
      </c>
      <c r="K72" s="28" t="n">
        <v>69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55</v>
      </c>
      <c r="I73" s="29" t="n">
        <v>15</v>
      </c>
      <c r="J73" s="29" t="n">
        <v>4</v>
      </c>
      <c r="K73" s="28" t="n">
        <v>74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19</v>
      </c>
      <c r="I74" s="29" t="n">
        <v>7</v>
      </c>
      <c r="J74" s="29" t="n">
        <v>0</v>
      </c>
      <c r="K74" s="28" t="n">
        <v>26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17</v>
      </c>
      <c r="I75" s="29" t="n">
        <v>5</v>
      </c>
      <c r="J75" s="29" t="n">
        <v>3</v>
      </c>
      <c r="K75" s="28" t="n">
        <v>25</v>
      </c>
      <c r="W75" s="35" t="n"/>
    </row>
    <row r="76" spans="1:23">
      <c r="A76" t="n">
        <v>65</v>
      </c>
      <c r="B76" s="28" t="n">
        <v>0</v>
      </c>
      <c r="C76" s="28" t="n">
        <v>0</v>
      </c>
      <c r="D76" s="28" t="n">
        <v>0</v>
      </c>
      <c r="E76" s="28" t="n">
        <v>0</v>
      </c>
      <c r="G76" t="n">
        <v>65</v>
      </c>
      <c r="H76" s="29" t="n">
        <v>29</v>
      </c>
      <c r="I76" s="29" t="n">
        <v>1</v>
      </c>
      <c r="J76" s="29" t="n">
        <v>1</v>
      </c>
      <c r="K76" s="28" t="n">
        <v>31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13</v>
      </c>
      <c r="I77" s="29" t="n">
        <v>0</v>
      </c>
      <c r="J77" s="29" t="n">
        <v>0</v>
      </c>
      <c r="K77" s="28" t="n">
        <v>13</v>
      </c>
      <c r="W77" s="35" t="n"/>
    </row>
    <row r="78" spans="1:23">
      <c r="A78" t="n">
        <v>67</v>
      </c>
      <c r="B78" s="28" t="n">
        <v>0</v>
      </c>
      <c r="C78" s="28" t="n">
        <v>0</v>
      </c>
      <c r="D78" s="28" t="n">
        <v>0</v>
      </c>
      <c r="E78" s="28" t="n">
        <v>0</v>
      </c>
      <c r="G78" t="n">
        <v>67</v>
      </c>
      <c r="H78" s="29" t="n">
        <v>7</v>
      </c>
      <c r="I78" s="29" t="n">
        <v>0</v>
      </c>
      <c r="J78" s="29" t="n">
        <v>1</v>
      </c>
      <c r="K78" s="28" t="n">
        <v>8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17</v>
      </c>
      <c r="I79" s="29" t="n">
        <v>2</v>
      </c>
      <c r="J79" s="29" t="n">
        <v>3</v>
      </c>
      <c r="K79" s="28" t="n">
        <v>22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17</v>
      </c>
      <c r="I80" s="29" t="n">
        <v>1</v>
      </c>
      <c r="J80" s="29" t="n">
        <v>1</v>
      </c>
      <c r="K80" s="28" t="n">
        <v>19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16</v>
      </c>
      <c r="I81" s="29" t="n">
        <v>2</v>
      </c>
      <c r="J81" s="29" t="n">
        <v>1</v>
      </c>
      <c r="K81" s="28" t="n">
        <v>19</v>
      </c>
      <c r="W81" s="35" t="n"/>
    </row>
    <row r="82" spans="1:23">
      <c r="A82" t="n">
        <v>71</v>
      </c>
      <c r="B82" s="28" t="n">
        <v>0</v>
      </c>
      <c r="C82" s="28" t="n">
        <v>0</v>
      </c>
      <c r="D82" s="28" t="n">
        <v>0</v>
      </c>
      <c r="E82" s="28" t="n">
        <v>0</v>
      </c>
      <c r="G82" t="n">
        <v>71</v>
      </c>
      <c r="H82" s="29" t="n">
        <v>17</v>
      </c>
      <c r="I82" s="29" t="n">
        <v>4</v>
      </c>
      <c r="J82" s="29" t="n">
        <v>1</v>
      </c>
      <c r="K82" s="28" t="n">
        <v>22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14</v>
      </c>
      <c r="I83" s="29" t="n">
        <v>1</v>
      </c>
      <c r="J83" s="29" t="n">
        <v>1</v>
      </c>
      <c r="K83" s="28" t="n">
        <v>16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11</v>
      </c>
      <c r="I84" s="28" t="n">
        <v>0</v>
      </c>
      <c r="J84" s="29" t="n">
        <v>0</v>
      </c>
      <c r="K84" s="28" t="n">
        <v>11</v>
      </c>
      <c r="W84" s="35" t="n"/>
    </row>
    <row r="85" spans="1:23">
      <c r="A85" t="n">
        <v>74</v>
      </c>
      <c r="B85" s="28" t="n">
        <v>0</v>
      </c>
      <c r="C85" s="28" t="n">
        <v>0</v>
      </c>
      <c r="D85" s="28" t="n">
        <v>0</v>
      </c>
      <c r="E85" s="28" t="n">
        <v>0</v>
      </c>
      <c r="G85" t="n">
        <v>74</v>
      </c>
      <c r="H85" s="29" t="n">
        <v>3</v>
      </c>
      <c r="I85" s="29" t="n">
        <v>0</v>
      </c>
      <c r="J85" s="29" t="n">
        <v>0</v>
      </c>
      <c r="K85" s="28" t="n">
        <v>3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8</v>
      </c>
      <c r="I86" s="28" t="n">
        <v>0</v>
      </c>
      <c r="J86" s="29" t="n">
        <v>0</v>
      </c>
      <c r="K86" s="28" t="n">
        <v>8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6</v>
      </c>
      <c r="I87" s="28" t="n">
        <v>0</v>
      </c>
      <c r="J87" s="29" t="n">
        <v>0</v>
      </c>
      <c r="K87" s="28" t="n">
        <v>6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1</v>
      </c>
      <c r="I88" s="28" t="n">
        <v>0</v>
      </c>
      <c r="J88" s="28" t="n">
        <v>0</v>
      </c>
      <c r="K88" s="28" t="n">
        <v>1</v>
      </c>
      <c r="W88" s="35" t="n"/>
    </row>
    <row r="89" spans="1:23">
      <c r="A89" t="n">
        <v>78</v>
      </c>
      <c r="B89" s="28" t="n">
        <v>0</v>
      </c>
      <c r="C89" s="28" t="n">
        <v>0</v>
      </c>
      <c r="D89" s="28" t="n">
        <v>0</v>
      </c>
      <c r="E89" s="28" t="n">
        <v>0</v>
      </c>
      <c r="G89" t="n">
        <v>78</v>
      </c>
      <c r="H89" s="29" t="n">
        <v>1</v>
      </c>
      <c r="I89" s="28" t="n">
        <v>0</v>
      </c>
      <c r="J89" s="28" t="n">
        <v>0</v>
      </c>
      <c r="K89" s="28" t="n">
        <v>1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1</v>
      </c>
      <c r="I90" s="28" t="n">
        <v>1</v>
      </c>
      <c r="J90" s="28" t="n">
        <v>0</v>
      </c>
      <c r="K90" s="28" t="n">
        <v>2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6</v>
      </c>
      <c r="I91" s="28" t="n">
        <v>0</v>
      </c>
      <c r="J91" s="28" t="n">
        <v>0</v>
      </c>
      <c r="K91" s="28" t="n">
        <v>6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2</v>
      </c>
      <c r="I92" s="28" t="n">
        <v>0</v>
      </c>
      <c r="J92" s="28" t="n">
        <v>0</v>
      </c>
      <c r="K92" s="28" t="n">
        <v>2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2</v>
      </c>
      <c r="I93" s="28" t="n">
        <v>0</v>
      </c>
      <c r="J93" s="28" t="n">
        <v>1</v>
      </c>
      <c r="K93" s="28" t="n">
        <v>3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2</v>
      </c>
      <c r="I94" s="28" t="n">
        <v>0</v>
      </c>
      <c r="J94" s="28" t="n">
        <v>0</v>
      </c>
      <c r="K94" s="28" t="n">
        <v>2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0</v>
      </c>
      <c r="I95" s="28" t="n">
        <v>0</v>
      </c>
      <c r="J95" s="28" t="n">
        <v>0</v>
      </c>
      <c r="K95" s="28" t="n">
        <v>0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5</v>
      </c>
      <c r="I96" s="28" t="n">
        <v>0</v>
      </c>
      <c r="J96" s="28" t="n">
        <v>0</v>
      </c>
      <c r="K96" s="28" t="n">
        <v>5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1</v>
      </c>
      <c r="I97" s="28" t="n">
        <v>0</v>
      </c>
      <c r="J97" s="28" t="n">
        <v>0</v>
      </c>
      <c r="K97" s="28" t="n">
        <v>1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3</v>
      </c>
      <c r="I98" s="28" t="n">
        <v>0</v>
      </c>
      <c r="J98" s="28" t="n">
        <v>1</v>
      </c>
      <c r="K98" s="28" t="n">
        <v>4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1</v>
      </c>
      <c r="I99" s="28" t="n">
        <v>0</v>
      </c>
      <c r="J99" s="28" t="n">
        <v>0</v>
      </c>
      <c r="K99" s="28" t="n">
        <v>1</v>
      </c>
      <c r="W99" s="35" t="n"/>
    </row>
    <row r="100" spans="1:23">
      <c r="A100" t="n">
        <v>89</v>
      </c>
      <c r="B100" s="28" t="n">
        <v>0</v>
      </c>
      <c r="C100" s="28" t="n">
        <v>0</v>
      </c>
      <c r="D100" s="28" t="n">
        <v>0</v>
      </c>
      <c r="E100" s="28" t="n">
        <v>0</v>
      </c>
      <c r="G100" t="n">
        <v>89</v>
      </c>
      <c r="H100" s="29" t="n">
        <v>4</v>
      </c>
      <c r="I100" s="28" t="n">
        <v>1</v>
      </c>
      <c r="J100" s="28" t="n">
        <v>1</v>
      </c>
      <c r="K100" s="28" t="n">
        <v>6</v>
      </c>
      <c r="W100" s="35" t="n"/>
    </row>
    <row customHeight="1" ht="15.75" r="101" spans="1:23">
      <c r="A101" s="21" t="s">
        <v>20</v>
      </c>
      <c r="B101" s="36" t="n">
        <v>12081.4439</v>
      </c>
      <c r="C101" s="36" t="n">
        <v>7466.5424</v>
      </c>
      <c r="D101" s="36" t="n">
        <v>792.3663</v>
      </c>
      <c r="E101" s="37" t="n">
        <v>20340.3526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F32" sqref="F32"/>
    </sheetView>
  </sheetViews>
  <sheetFormatPr baseColWidth="10" defaultRowHeight="15" outlineLevelCol="0"/>
  <cols>
    <col collapsed="1" customWidth="1" max="1" min="1" style="19" width="13.5703125"/>
    <col collapsed="1" customWidth="1" max="3" min="2" style="19" width="10.5703125"/>
    <col collapsed="1" customWidth="1" max="4" min="4" style="19" width="9.5703125"/>
    <col collapsed="1" customWidth="1" max="5" min="5" style="19" width="10.5703125"/>
    <col collapsed="1" customWidth="1" max="8" min="8" style="19" width="10.5703125"/>
    <col collapsed="1" customWidth="1" max="10" min="9" style="19" width="9.5703125"/>
    <col collapsed="1" customWidth="1" max="11" min="11" style="19" width="11.5703125"/>
    <col collapsed="1" customWidth="1" max="15" min="15" style="19" width="15.7109375"/>
  </cols>
  <sheetData>
    <row r="1" spans="1:23">
      <c r="A1" t="s">
        <v>0</v>
      </c>
    </row>
    <row r="2" spans="1:23">
      <c r="A2" t="s">
        <v>1</v>
      </c>
    </row>
    <row r="3" spans="1:23">
      <c r="A3" t="s">
        <v>2</v>
      </c>
    </row>
    <row r="4" spans="1:23">
      <c r="A4" t="s">
        <v>3</v>
      </c>
    </row>
    <row r="5" spans="1:23">
      <c r="A5" t="s">
        <v>4</v>
      </c>
    </row>
    <row r="6" spans="1:23"/>
    <row r="7" spans="1:23">
      <c r="A7" t="s">
        <v>5</v>
      </c>
    </row>
    <row r="8" spans="1:23"/>
    <row customHeight="1" ht="15.75" r="9" spans="1:23">
      <c r="A9" s="20" t="s">
        <v>6</v>
      </c>
      <c r="B9" s="21" t="n"/>
      <c r="C9" s="21" t="n"/>
      <c r="D9" s="21" t="n"/>
      <c r="E9" s="21" t="n"/>
      <c r="G9" s="20" t="s">
        <v>7</v>
      </c>
      <c r="H9" s="21" t="n"/>
      <c r="I9" s="21" t="n"/>
      <c r="J9" s="21" t="n"/>
      <c r="K9" s="21" t="n"/>
      <c r="M9" s="22" t="s">
        <v>21</v>
      </c>
      <c r="N9" s="23" t="n"/>
      <c r="O9" s="23" t="n"/>
    </row>
    <row r="10" spans="1:23">
      <c r="A10" s="24" t="s">
        <v>9</v>
      </c>
      <c r="B10" s="25" t="s">
        <v>10</v>
      </c>
      <c r="C10" s="25" t="s">
        <v>11</v>
      </c>
      <c r="D10" s="25" t="s">
        <v>12</v>
      </c>
      <c r="E10" s="25" t="s">
        <v>13</v>
      </c>
      <c r="G10" s="24" t="s">
        <v>9</v>
      </c>
      <c r="H10" s="25" t="s">
        <v>10</v>
      </c>
      <c r="I10" s="25" t="s">
        <v>11</v>
      </c>
      <c r="J10" s="25" t="s">
        <v>12</v>
      </c>
      <c r="K10" s="26" t="s">
        <v>22</v>
      </c>
      <c r="M10" s="27" t="n"/>
      <c r="N10" s="26" t="s">
        <v>13</v>
      </c>
      <c r="O10" s="26" t="s">
        <v>22</v>
      </c>
    </row>
    <row r="11" spans="1:23">
      <c r="A11" t="n">
        <v>0</v>
      </c>
      <c r="B11" s="28" t="n">
        <v>5913.3856</v>
      </c>
      <c r="C11" s="28" t="n">
        <v>3945.0525</v>
      </c>
      <c r="D11" s="28" t="n">
        <v>321.0216</v>
      </c>
      <c r="E11" s="28" t="n">
        <v>10179.4597</v>
      </c>
      <c r="G11" t="n">
        <v>0</v>
      </c>
      <c r="H11" s="29" t="n">
        <v>75854</v>
      </c>
      <c r="I11" s="29" t="n">
        <v>33340</v>
      </c>
      <c r="J11" s="29" t="n">
        <v>17069</v>
      </c>
      <c r="K11" s="28" t="n">
        <v>126263</v>
      </c>
      <c r="M11" s="23" t="s">
        <v>10</v>
      </c>
      <c r="N11" s="30" t="n">
        <v>13.16261827945487</v>
      </c>
      <c r="O11" s="30" t="n">
        <v>11.76297240444307</v>
      </c>
    </row>
    <row r="12" spans="1:23">
      <c r="A12" t="n">
        <v>1</v>
      </c>
      <c r="B12" s="28" t="n">
        <v>8056.0069</v>
      </c>
      <c r="C12" s="28" t="n">
        <v>2969.1439</v>
      </c>
      <c r="D12" s="28" t="n">
        <v>130.5369</v>
      </c>
      <c r="E12" s="28" t="n">
        <v>11155.6877</v>
      </c>
      <c r="G12" t="n">
        <v>1</v>
      </c>
      <c r="H12" s="29" t="n">
        <v>32812</v>
      </c>
      <c r="I12" s="29" t="n">
        <v>17621</v>
      </c>
      <c r="J12" s="29" t="n">
        <v>7334</v>
      </c>
      <c r="K12" s="28" t="n">
        <v>57767</v>
      </c>
      <c r="M12" s="23" t="s">
        <v>11</v>
      </c>
      <c r="N12" s="30" t="n">
        <v>9.344539408226723</v>
      </c>
      <c r="O12" s="30" t="n">
        <v>8.283003154643728</v>
      </c>
    </row>
    <row r="13" spans="1:23">
      <c r="A13" t="n">
        <v>2</v>
      </c>
      <c r="B13" s="28" t="n">
        <v>19358.3179</v>
      </c>
      <c r="C13" s="28" t="n">
        <v>8114.7801</v>
      </c>
      <c r="D13" s="28" t="n">
        <v>107.4506</v>
      </c>
      <c r="E13" s="28" t="n">
        <v>27580.5486</v>
      </c>
      <c r="G13" t="n">
        <v>2</v>
      </c>
      <c r="H13" s="29" t="n">
        <v>25501</v>
      </c>
      <c r="I13" s="29" t="n">
        <v>10620</v>
      </c>
      <c r="J13" s="29" t="n">
        <v>4348</v>
      </c>
      <c r="K13" s="28" t="n">
        <v>40469</v>
      </c>
      <c r="M13" s="31" t="s">
        <v>12</v>
      </c>
      <c r="N13" s="32" t="n">
        <v>10.62720301379209</v>
      </c>
      <c r="O13" s="32" t="n">
        <v>9.218249925428054</v>
      </c>
    </row>
    <row customHeight="1" ht="15.75" r="14" spans="1:23">
      <c r="A14" t="n">
        <v>3</v>
      </c>
      <c r="B14" s="28" t="n">
        <v>34874.421</v>
      </c>
      <c r="C14" s="28" t="n">
        <v>15752.2342</v>
      </c>
      <c r="D14" s="28" t="n">
        <v>2181.5761</v>
      </c>
      <c r="E14" s="28" t="n">
        <v>52808.2313</v>
      </c>
      <c r="G14" t="n">
        <v>3</v>
      </c>
      <c r="H14" s="29" t="n">
        <v>18903</v>
      </c>
      <c r="I14" s="29" t="n">
        <v>7243</v>
      </c>
      <c r="J14" s="29" t="n">
        <v>3025</v>
      </c>
      <c r="K14" s="28" t="n">
        <v>29171</v>
      </c>
      <c r="M14" s="33" t="s">
        <v>19</v>
      </c>
      <c r="N14" s="34" t="n">
        <v>12.44483746792255</v>
      </c>
      <c r="O14" s="34" t="n">
        <v>10.90179742405397</v>
      </c>
      <c r="S14" s="35" t="n"/>
    </row>
    <row r="15" spans="1:23">
      <c r="A15" t="n">
        <v>4</v>
      </c>
      <c r="B15" s="28" t="n">
        <v>100106.5116</v>
      </c>
      <c r="C15" s="28" t="n">
        <v>28791.1202</v>
      </c>
      <c r="D15" s="28" t="n">
        <v>3029.9595</v>
      </c>
      <c r="E15" s="28" t="n">
        <v>131927.5913</v>
      </c>
      <c r="G15" t="n">
        <v>4</v>
      </c>
      <c r="H15" s="29" t="n">
        <v>85726</v>
      </c>
      <c r="I15" s="29" t="n">
        <v>33532</v>
      </c>
      <c r="J15" s="29" t="n">
        <v>13413</v>
      </c>
      <c r="K15" s="28" t="n">
        <v>132671</v>
      </c>
      <c r="W15" s="35" t="n"/>
    </row>
    <row r="16" spans="1:23">
      <c r="A16" t="n">
        <v>5</v>
      </c>
      <c r="B16" s="28" t="n">
        <v>88607.76089999999</v>
      </c>
      <c r="C16" s="28" t="n">
        <v>26249.7303</v>
      </c>
      <c r="D16" s="28" t="n">
        <v>3515.9575</v>
      </c>
      <c r="E16" s="28" t="n">
        <v>118373.4487</v>
      </c>
      <c r="G16" t="n">
        <v>5</v>
      </c>
      <c r="H16" s="29" t="n">
        <v>86481</v>
      </c>
      <c r="I16" s="29" t="n">
        <v>24413</v>
      </c>
      <c r="J16" s="29" t="n">
        <v>12353</v>
      </c>
      <c r="K16" s="28" t="n">
        <v>123247</v>
      </c>
      <c r="W16" s="35" t="n"/>
    </row>
    <row r="17" spans="1:23">
      <c r="A17" t="n">
        <v>6</v>
      </c>
      <c r="B17" s="28" t="n">
        <v>86008.57460000001</v>
      </c>
      <c r="C17" s="28" t="n">
        <v>23427.8998</v>
      </c>
      <c r="D17" s="28" t="n">
        <v>8863.4671</v>
      </c>
      <c r="E17" s="28" t="n">
        <v>118299.9415</v>
      </c>
      <c r="G17" t="n">
        <v>6</v>
      </c>
      <c r="H17" s="29" t="n">
        <v>87527</v>
      </c>
      <c r="I17" s="29" t="n">
        <v>24754</v>
      </c>
      <c r="J17" s="29" t="n">
        <v>10901</v>
      </c>
      <c r="K17" s="28" t="n">
        <v>123182</v>
      </c>
      <c r="W17" s="35" t="n"/>
    </row>
    <row r="18" spans="1:23">
      <c r="A18" t="n">
        <v>7</v>
      </c>
      <c r="B18" s="28" t="n">
        <v>58815.0434</v>
      </c>
      <c r="C18" s="28" t="n">
        <v>13330.5318</v>
      </c>
      <c r="D18" s="28" t="n">
        <v>2928.9754</v>
      </c>
      <c r="E18" s="28" t="n">
        <v>75074.5506</v>
      </c>
      <c r="G18" t="n">
        <v>7</v>
      </c>
      <c r="H18" s="29" t="n">
        <v>56076</v>
      </c>
      <c r="I18" s="29" t="n">
        <v>13638</v>
      </c>
      <c r="J18" s="29" t="n">
        <v>6804</v>
      </c>
      <c r="K18" s="28" t="n">
        <v>76518</v>
      </c>
      <c r="W18" s="35" t="n"/>
    </row>
    <row r="19" spans="1:23">
      <c r="A19" t="n">
        <v>8</v>
      </c>
      <c r="B19" s="28" t="n">
        <v>67795.34970000001</v>
      </c>
      <c r="C19" s="28" t="n">
        <v>14632.4653</v>
      </c>
      <c r="D19" s="28" t="n">
        <v>3078.5818</v>
      </c>
      <c r="E19" s="28" t="n">
        <v>85506.3968</v>
      </c>
      <c r="G19" t="n">
        <v>8</v>
      </c>
      <c r="H19" s="29" t="n">
        <v>73310</v>
      </c>
      <c r="I19" s="29" t="n">
        <v>18590</v>
      </c>
      <c r="J19" s="29" t="n">
        <v>9418</v>
      </c>
      <c r="K19" s="28" t="n">
        <v>101318</v>
      </c>
      <c r="W19" s="35" t="n"/>
    </row>
    <row r="20" spans="1:23">
      <c r="A20" t="n">
        <v>9</v>
      </c>
      <c r="B20" s="28" t="n">
        <v>47235.2432</v>
      </c>
      <c r="C20" s="28" t="n">
        <v>9004.0779</v>
      </c>
      <c r="D20" s="28" t="n">
        <v>1429.4754</v>
      </c>
      <c r="E20" s="28" t="n">
        <v>57668.7965</v>
      </c>
      <c r="G20" t="n">
        <v>9</v>
      </c>
      <c r="H20" s="29" t="n">
        <v>68222</v>
      </c>
      <c r="I20" s="29" t="n">
        <v>14077</v>
      </c>
      <c r="J20" s="29" t="n">
        <v>8511</v>
      </c>
      <c r="K20" s="28" t="n">
        <v>90810</v>
      </c>
      <c r="W20" s="35" t="n"/>
    </row>
    <row r="21" spans="1:23">
      <c r="A21" t="n">
        <v>10</v>
      </c>
      <c r="B21" s="28" t="n">
        <v>66289.8144</v>
      </c>
      <c r="C21" s="28" t="n">
        <v>18725.5434</v>
      </c>
      <c r="D21" s="28" t="n">
        <v>6414.584800000001</v>
      </c>
      <c r="E21" s="28" t="n">
        <v>91429.94259999999</v>
      </c>
      <c r="G21" t="n">
        <v>10</v>
      </c>
      <c r="H21" s="29" t="n">
        <v>29465</v>
      </c>
      <c r="I21" s="29" t="n">
        <v>6181</v>
      </c>
      <c r="J21" s="29" t="n">
        <v>3256</v>
      </c>
      <c r="K21" s="28" t="n">
        <v>38902</v>
      </c>
      <c r="W21" s="35" t="n"/>
    </row>
    <row r="22" spans="1:23">
      <c r="A22" t="n">
        <v>11</v>
      </c>
      <c r="B22" s="28" t="n">
        <v>38656.6347</v>
      </c>
      <c r="C22" s="28" t="n">
        <v>4578.0089</v>
      </c>
      <c r="D22" s="28" t="n">
        <v>1326.4511</v>
      </c>
      <c r="E22" s="28" t="n">
        <v>44561.0947</v>
      </c>
      <c r="G22" t="n">
        <v>11</v>
      </c>
      <c r="H22" s="29" t="n">
        <v>38501</v>
      </c>
      <c r="I22" s="29" t="n">
        <v>7613</v>
      </c>
      <c r="J22" s="29" t="n">
        <v>4140</v>
      </c>
      <c r="K22" s="28" t="n">
        <v>50254</v>
      </c>
      <c r="W22" s="35" t="n"/>
    </row>
    <row r="23" spans="1:23">
      <c r="A23" t="n">
        <v>12</v>
      </c>
      <c r="B23" s="28" t="n">
        <v>32513.3325</v>
      </c>
      <c r="C23" s="28" t="n">
        <v>5767.2356</v>
      </c>
      <c r="D23" s="28" t="n">
        <v>1363.9744</v>
      </c>
      <c r="E23" s="28" t="n">
        <v>39644.5425</v>
      </c>
      <c r="G23" t="n">
        <v>12</v>
      </c>
      <c r="H23" s="29" t="n">
        <v>41607</v>
      </c>
      <c r="I23" s="29" t="n">
        <v>6951</v>
      </c>
      <c r="J23" s="29" t="n">
        <v>3981</v>
      </c>
      <c r="K23" s="28" t="n">
        <v>52539</v>
      </c>
      <c r="W23" s="35" t="n"/>
    </row>
    <row r="24" spans="1:23">
      <c r="A24" t="n">
        <v>13</v>
      </c>
      <c r="B24" s="28" t="n">
        <v>37211.6087</v>
      </c>
      <c r="C24" s="28" t="n">
        <v>4861.9568</v>
      </c>
      <c r="D24" s="28" t="n">
        <v>2091.6053</v>
      </c>
      <c r="E24" s="28" t="n">
        <v>44165.1708</v>
      </c>
      <c r="G24" t="n">
        <v>13</v>
      </c>
      <c r="H24" s="29" t="n">
        <v>49713</v>
      </c>
      <c r="I24" s="29" t="n">
        <v>8878</v>
      </c>
      <c r="J24" s="29" t="n">
        <v>4821</v>
      </c>
      <c r="K24" s="28" t="n">
        <v>63412</v>
      </c>
      <c r="W24" s="35" t="n"/>
    </row>
    <row r="25" spans="1:23">
      <c r="A25" t="n">
        <v>14</v>
      </c>
      <c r="B25" s="28" t="n">
        <v>20756.8043</v>
      </c>
      <c r="C25" s="28" t="n">
        <v>3320.1608</v>
      </c>
      <c r="D25" s="28" t="n">
        <v>824.3308</v>
      </c>
      <c r="E25" s="28" t="n">
        <v>24901.2959</v>
      </c>
      <c r="G25" t="n">
        <v>14</v>
      </c>
      <c r="H25" s="29" t="n">
        <v>22156</v>
      </c>
      <c r="I25" s="29" t="n">
        <v>4155</v>
      </c>
      <c r="J25" s="29" t="n">
        <v>2367</v>
      </c>
      <c r="K25" s="28" t="n">
        <v>28678</v>
      </c>
      <c r="W25" s="35" t="n"/>
    </row>
    <row r="26" spans="1:23">
      <c r="A26" t="n">
        <v>15</v>
      </c>
      <c r="B26" s="28" t="n">
        <v>36364.583</v>
      </c>
      <c r="C26" s="28" t="n">
        <v>9687.034299999999</v>
      </c>
      <c r="D26" s="28" t="n">
        <v>3734.678</v>
      </c>
      <c r="E26" s="28" t="n">
        <v>49786.2953</v>
      </c>
      <c r="G26" t="n">
        <v>15</v>
      </c>
      <c r="H26" s="29" t="n">
        <v>29566</v>
      </c>
      <c r="I26" s="29" t="n">
        <v>5287</v>
      </c>
      <c r="J26" s="29" t="n">
        <v>2726</v>
      </c>
      <c r="K26" s="28" t="n">
        <v>37579</v>
      </c>
      <c r="W26" s="35" t="n"/>
    </row>
    <row r="27" spans="1:23">
      <c r="A27" t="n">
        <v>16</v>
      </c>
      <c r="B27" s="28" t="n">
        <v>44826.6757</v>
      </c>
      <c r="C27" s="28" t="n">
        <v>7267.1258</v>
      </c>
      <c r="D27" s="28" t="n">
        <v>1588.3517</v>
      </c>
      <c r="E27" s="28" t="n">
        <v>53682.1532</v>
      </c>
      <c r="G27" t="n">
        <v>16</v>
      </c>
      <c r="H27" s="29" t="n">
        <v>30525</v>
      </c>
      <c r="I27" s="29" t="n">
        <v>4792</v>
      </c>
      <c r="J27" s="29" t="n">
        <v>2900</v>
      </c>
      <c r="K27" s="28" t="n">
        <v>38217</v>
      </c>
      <c r="W27" s="35" t="n"/>
    </row>
    <row r="28" spans="1:23">
      <c r="A28" t="n">
        <v>17</v>
      </c>
      <c r="B28" s="28" t="n">
        <v>35556.532</v>
      </c>
      <c r="C28" s="28" t="n">
        <v>6637.9768</v>
      </c>
      <c r="D28" s="28" t="n">
        <v>281.2962</v>
      </c>
      <c r="E28" s="28" t="n">
        <v>42475.80499999999</v>
      </c>
      <c r="G28" t="n">
        <v>17</v>
      </c>
      <c r="H28" s="29" t="n">
        <v>23515</v>
      </c>
      <c r="I28" s="29" t="n">
        <v>3820</v>
      </c>
      <c r="J28" s="29" t="n">
        <v>2041</v>
      </c>
      <c r="K28" s="28" t="n">
        <v>29376</v>
      </c>
      <c r="W28" s="35" t="n"/>
    </row>
    <row r="29" spans="1:23">
      <c r="A29" t="n">
        <v>18</v>
      </c>
      <c r="B29" s="28" t="n">
        <v>35635.557</v>
      </c>
      <c r="C29" s="28" t="n">
        <v>4662.7737</v>
      </c>
      <c r="D29" s="28" t="n">
        <v>1496.6291</v>
      </c>
      <c r="E29" s="28" t="n">
        <v>41794.9598</v>
      </c>
      <c r="G29" t="n">
        <v>18</v>
      </c>
      <c r="H29" s="29" t="n">
        <v>21744</v>
      </c>
      <c r="I29" s="29" t="n">
        <v>3191</v>
      </c>
      <c r="J29" s="29" t="n">
        <v>1895</v>
      </c>
      <c r="K29" s="28" t="n">
        <v>26830</v>
      </c>
      <c r="W29" s="35" t="n"/>
    </row>
    <row r="30" spans="1:23">
      <c r="A30" t="n">
        <v>19</v>
      </c>
      <c r="B30" s="28" t="n">
        <v>22600.841</v>
      </c>
      <c r="C30" s="28" t="n">
        <v>2137.9954</v>
      </c>
      <c r="D30" s="28" t="n">
        <v>158.2176</v>
      </c>
      <c r="E30" s="28" t="n">
        <v>24897.054</v>
      </c>
      <c r="G30" t="n">
        <v>19</v>
      </c>
      <c r="H30" s="29" t="n">
        <v>15181</v>
      </c>
      <c r="I30" s="29" t="n">
        <v>2336</v>
      </c>
      <c r="J30" s="29" t="n">
        <v>1379</v>
      </c>
      <c r="K30" s="28" t="n">
        <v>18896</v>
      </c>
      <c r="W30" s="35" t="n"/>
    </row>
    <row r="31" spans="1:23">
      <c r="A31" t="n">
        <v>20</v>
      </c>
      <c r="B31" s="28" t="n">
        <v>19907.5625</v>
      </c>
      <c r="C31" s="28" t="n">
        <v>732.5835</v>
      </c>
      <c r="D31" s="28" t="n">
        <v>236.5559</v>
      </c>
      <c r="E31" s="28" t="n">
        <v>20876.7019</v>
      </c>
      <c r="G31" t="n">
        <v>20</v>
      </c>
      <c r="H31" s="29" t="n">
        <v>14797</v>
      </c>
      <c r="I31" s="29" t="n">
        <v>2055</v>
      </c>
      <c r="J31" s="29" t="n">
        <v>1318</v>
      </c>
      <c r="K31" s="28" t="n">
        <v>18170</v>
      </c>
      <c r="W31" s="35" t="n"/>
    </row>
    <row r="32" spans="1:23">
      <c r="A32" t="n">
        <v>21</v>
      </c>
      <c r="B32" s="28" t="n">
        <v>23100.4108</v>
      </c>
      <c r="C32" s="28" t="n">
        <v>916.4123</v>
      </c>
      <c r="D32" s="28" t="n">
        <v>125.0853</v>
      </c>
      <c r="E32" s="28" t="n">
        <v>24141.9084</v>
      </c>
      <c r="G32" t="n">
        <v>21</v>
      </c>
      <c r="H32" s="29" t="n">
        <v>19376</v>
      </c>
      <c r="I32" s="29" t="n">
        <v>2647</v>
      </c>
      <c r="J32" s="29" t="n">
        <v>1605</v>
      </c>
      <c r="K32" s="28" t="n">
        <v>23628</v>
      </c>
      <c r="W32" s="35" t="n"/>
    </row>
    <row r="33" spans="1:23">
      <c r="A33" t="n">
        <v>22</v>
      </c>
      <c r="B33" s="28" t="n">
        <v>16488.7407</v>
      </c>
      <c r="C33" s="28" t="n">
        <v>634.7806</v>
      </c>
      <c r="D33" s="28" t="n">
        <v>291.3284</v>
      </c>
      <c r="E33" s="28" t="n">
        <v>17414.8497</v>
      </c>
      <c r="G33" t="n">
        <v>22</v>
      </c>
      <c r="H33" s="29" t="n">
        <v>12639</v>
      </c>
      <c r="I33" s="29" t="n">
        <v>1642</v>
      </c>
      <c r="J33" s="29" t="n">
        <v>997</v>
      </c>
      <c r="K33" s="28" t="n">
        <v>15278</v>
      </c>
      <c r="W33" s="35" t="n"/>
    </row>
    <row r="34" spans="1:23">
      <c r="A34" t="n">
        <v>23</v>
      </c>
      <c r="B34" s="28" t="n">
        <v>20650.7909</v>
      </c>
      <c r="C34" s="28" t="n">
        <v>3158.1215</v>
      </c>
      <c r="D34" s="28" t="n">
        <v>258.1781</v>
      </c>
      <c r="E34" s="28" t="n">
        <v>24067.0905</v>
      </c>
      <c r="G34" t="n">
        <v>23</v>
      </c>
      <c r="H34" s="29" t="n">
        <v>13403</v>
      </c>
      <c r="I34" s="29" t="n">
        <v>1334</v>
      </c>
      <c r="J34" s="29" t="n">
        <v>913</v>
      </c>
      <c r="K34" s="28" t="n">
        <v>15650</v>
      </c>
      <c r="W34" s="35" t="n"/>
    </row>
    <row r="35" spans="1:23">
      <c r="A35" t="n">
        <v>24</v>
      </c>
      <c r="B35" s="28" t="n">
        <v>14428.0627</v>
      </c>
      <c r="C35" s="28" t="n">
        <v>1332.7325</v>
      </c>
      <c r="D35" s="28" t="n">
        <v>0</v>
      </c>
      <c r="E35" s="28" t="n">
        <v>15760.7952</v>
      </c>
      <c r="G35" t="n">
        <v>24</v>
      </c>
      <c r="H35" s="29" t="n">
        <v>12702</v>
      </c>
      <c r="I35" s="29" t="n">
        <v>1325</v>
      </c>
      <c r="J35" s="29" t="n">
        <v>916</v>
      </c>
      <c r="K35" s="28" t="n">
        <v>14943</v>
      </c>
      <c r="W35" s="35" t="n"/>
    </row>
    <row r="36" spans="1:23">
      <c r="A36" t="n">
        <v>25</v>
      </c>
      <c r="B36" s="28" t="n">
        <v>18335.8136</v>
      </c>
      <c r="C36" s="28" t="n">
        <v>749.1001</v>
      </c>
      <c r="D36" s="28" t="n">
        <v>0</v>
      </c>
      <c r="E36" s="28" t="n">
        <v>19084.9137</v>
      </c>
      <c r="G36" t="n">
        <v>25</v>
      </c>
      <c r="H36" s="29" t="n">
        <v>10808</v>
      </c>
      <c r="I36" s="29" t="n">
        <v>1151</v>
      </c>
      <c r="J36" s="29" t="n">
        <v>815</v>
      </c>
      <c r="K36" s="28" t="n">
        <v>12774</v>
      </c>
      <c r="W36" s="35" t="n"/>
    </row>
    <row r="37" spans="1:23">
      <c r="A37" t="n">
        <v>26</v>
      </c>
      <c r="B37" s="28" t="n">
        <v>15123.073</v>
      </c>
      <c r="C37" s="28" t="n">
        <v>394.4873</v>
      </c>
      <c r="D37" s="28" t="n">
        <v>1260.1192</v>
      </c>
      <c r="E37" s="28" t="n">
        <v>16777.6795</v>
      </c>
      <c r="G37" t="n">
        <v>26</v>
      </c>
      <c r="H37" s="29" t="n">
        <v>10087</v>
      </c>
      <c r="I37" s="29" t="n">
        <v>1113</v>
      </c>
      <c r="J37" s="29" t="n">
        <v>771</v>
      </c>
      <c r="K37" s="28" t="n">
        <v>11971</v>
      </c>
      <c r="W37" s="35" t="n"/>
    </row>
    <row r="38" spans="1:23">
      <c r="A38" t="n">
        <v>27</v>
      </c>
      <c r="B38" s="28" t="n">
        <v>11332.1365</v>
      </c>
      <c r="C38" s="28" t="n">
        <v>473.8255</v>
      </c>
      <c r="D38" s="28" t="n">
        <v>164.9238</v>
      </c>
      <c r="E38" s="28" t="n">
        <v>11970.8858</v>
      </c>
      <c r="G38" t="n">
        <v>27</v>
      </c>
      <c r="H38" s="29" t="n">
        <v>13571</v>
      </c>
      <c r="I38" s="29" t="n">
        <v>1980</v>
      </c>
      <c r="J38" s="29" t="n">
        <v>1192</v>
      </c>
      <c r="K38" s="28" t="n">
        <v>16743</v>
      </c>
      <c r="W38" s="35" t="n"/>
    </row>
    <row r="39" spans="1:23">
      <c r="A39" t="n">
        <v>28</v>
      </c>
      <c r="B39" s="28" t="n">
        <v>8081.2008</v>
      </c>
      <c r="C39" s="28" t="n">
        <v>1182.9858</v>
      </c>
      <c r="D39" s="28" t="n">
        <v>0</v>
      </c>
      <c r="E39" s="28" t="n">
        <v>9264.186599999999</v>
      </c>
      <c r="G39" t="n">
        <v>28</v>
      </c>
      <c r="H39" s="29" t="n">
        <v>7056</v>
      </c>
      <c r="I39" s="29" t="n">
        <v>778</v>
      </c>
      <c r="J39" s="29" t="n">
        <v>574</v>
      </c>
      <c r="K39" s="28" t="n">
        <v>8408</v>
      </c>
      <c r="W39" s="35" t="n"/>
    </row>
    <row r="40" spans="1:23">
      <c r="A40" t="n">
        <v>29</v>
      </c>
      <c r="B40" s="28" t="n">
        <v>4207.8454</v>
      </c>
      <c r="C40" s="28" t="n">
        <v>342.003</v>
      </c>
      <c r="D40" s="28" t="n">
        <v>310.7895</v>
      </c>
      <c r="E40" s="28" t="n">
        <v>4860.6379</v>
      </c>
      <c r="G40" t="n">
        <v>29</v>
      </c>
      <c r="H40" s="29" t="n">
        <v>8069</v>
      </c>
      <c r="I40" s="29" t="n">
        <v>782</v>
      </c>
      <c r="J40" s="29" t="n">
        <v>464</v>
      </c>
      <c r="K40" s="28" t="n">
        <v>9315</v>
      </c>
      <c r="W40" s="35" t="n"/>
    </row>
    <row r="41" spans="1:23">
      <c r="A41" t="n">
        <v>30</v>
      </c>
      <c r="B41" s="28" t="n">
        <v>4613.4496</v>
      </c>
      <c r="C41" s="28" t="n">
        <v>1057.8468</v>
      </c>
      <c r="D41" s="28" t="n">
        <v>149.5759</v>
      </c>
      <c r="E41" s="28" t="n">
        <v>5820.8723</v>
      </c>
      <c r="G41" t="n">
        <v>30</v>
      </c>
      <c r="H41" s="29" t="n">
        <v>5948</v>
      </c>
      <c r="I41" s="29" t="n">
        <v>826</v>
      </c>
      <c r="J41" s="29" t="n">
        <v>454</v>
      </c>
      <c r="K41" s="28" t="n">
        <v>7228</v>
      </c>
      <c r="W41" s="35" t="n"/>
    </row>
    <row r="42" spans="1:23">
      <c r="A42" t="n">
        <v>31</v>
      </c>
      <c r="B42" s="28" t="n">
        <v>7420.6662</v>
      </c>
      <c r="C42" s="28" t="n">
        <v>896.4806</v>
      </c>
      <c r="D42" s="28" t="n">
        <v>0</v>
      </c>
      <c r="E42" s="28" t="n">
        <v>8317.1468</v>
      </c>
      <c r="G42" t="n">
        <v>31</v>
      </c>
      <c r="H42" s="29" t="n">
        <v>5366</v>
      </c>
      <c r="I42" s="29" t="n">
        <v>540</v>
      </c>
      <c r="J42" s="29" t="n">
        <v>400</v>
      </c>
      <c r="K42" s="28" t="n">
        <v>6306</v>
      </c>
      <c r="W42" s="35" t="n"/>
    </row>
    <row r="43" spans="1:23">
      <c r="A43" t="n">
        <v>32</v>
      </c>
      <c r="B43" s="28" t="n">
        <v>2142.3544</v>
      </c>
      <c r="C43" s="28" t="n">
        <v>221.9759</v>
      </c>
      <c r="D43" s="28" t="n">
        <v>0</v>
      </c>
      <c r="E43" s="28" t="n">
        <v>2364.3303</v>
      </c>
      <c r="G43" t="n">
        <v>32</v>
      </c>
      <c r="H43" s="29" t="n">
        <v>4674</v>
      </c>
      <c r="I43" s="29" t="n">
        <v>462</v>
      </c>
      <c r="J43" s="29" t="n">
        <v>326</v>
      </c>
      <c r="K43" s="28" t="n">
        <v>5462</v>
      </c>
      <c r="W43" s="35" t="n"/>
    </row>
    <row r="44" spans="1:23">
      <c r="A44" t="n">
        <v>33</v>
      </c>
      <c r="B44" s="28" t="n">
        <v>4324.428</v>
      </c>
      <c r="C44" s="28" t="n">
        <v>163.7615</v>
      </c>
      <c r="D44" s="28" t="n">
        <v>0</v>
      </c>
      <c r="E44" s="28" t="n">
        <v>4488.189499999999</v>
      </c>
      <c r="G44" t="n">
        <v>33</v>
      </c>
      <c r="H44" s="29" t="n">
        <v>4201</v>
      </c>
      <c r="I44" s="29" t="n">
        <v>482</v>
      </c>
      <c r="J44" s="29" t="n">
        <v>277</v>
      </c>
      <c r="K44" s="28" t="n">
        <v>4960</v>
      </c>
      <c r="W44" s="35" t="n"/>
    </row>
    <row r="45" spans="1:23">
      <c r="A45" t="n">
        <v>34</v>
      </c>
      <c r="B45" s="28" t="n">
        <v>8539.183999999999</v>
      </c>
      <c r="C45" s="28" t="n">
        <v>0</v>
      </c>
      <c r="D45" s="28" t="n">
        <v>599.2903</v>
      </c>
      <c r="E45" s="28" t="n">
        <v>9138.4743</v>
      </c>
      <c r="G45" t="n">
        <v>34</v>
      </c>
      <c r="H45" s="29" t="n">
        <v>3287</v>
      </c>
      <c r="I45" s="29" t="n">
        <v>342</v>
      </c>
      <c r="J45" s="29" t="n">
        <v>278</v>
      </c>
      <c r="K45" s="28" t="n">
        <v>3907</v>
      </c>
      <c r="W45" s="35" t="n"/>
    </row>
    <row r="46" spans="1:23">
      <c r="A46" t="n">
        <v>35</v>
      </c>
      <c r="B46" s="28" t="n">
        <v>2900.4254</v>
      </c>
      <c r="C46" s="28" t="n">
        <v>0</v>
      </c>
      <c r="D46" s="28" t="n">
        <v>0</v>
      </c>
      <c r="E46" s="28" t="n">
        <v>2900.4254</v>
      </c>
      <c r="G46" t="n">
        <v>35</v>
      </c>
      <c r="H46" s="29" t="n">
        <v>2761</v>
      </c>
      <c r="I46" s="29" t="n">
        <v>300</v>
      </c>
      <c r="J46" s="29" t="n">
        <v>179</v>
      </c>
      <c r="K46" s="28" t="n">
        <v>3240</v>
      </c>
      <c r="W46" s="35" t="n"/>
    </row>
    <row r="47" spans="1:23">
      <c r="A47" t="n">
        <v>36</v>
      </c>
      <c r="B47" s="28" t="n">
        <v>10480.5181</v>
      </c>
      <c r="C47" s="28" t="n">
        <v>0</v>
      </c>
      <c r="D47" s="28" t="n">
        <v>0</v>
      </c>
      <c r="E47" s="28" t="n">
        <v>10480.5181</v>
      </c>
      <c r="G47" t="n">
        <v>36</v>
      </c>
      <c r="H47" s="29" t="n">
        <v>4361</v>
      </c>
      <c r="I47" s="29" t="n">
        <v>387</v>
      </c>
      <c r="J47" s="29" t="n">
        <v>282</v>
      </c>
      <c r="K47" s="28" t="n">
        <v>5030</v>
      </c>
      <c r="W47" s="35" t="n"/>
    </row>
    <row r="48" spans="1:23">
      <c r="A48" t="n">
        <v>37</v>
      </c>
      <c r="B48" s="28" t="n">
        <v>4184.4275</v>
      </c>
      <c r="C48" s="28" t="n">
        <v>0</v>
      </c>
      <c r="D48" s="28" t="n">
        <v>0</v>
      </c>
      <c r="E48" s="28" t="n">
        <v>4184.4275</v>
      </c>
      <c r="G48" t="n">
        <v>37</v>
      </c>
      <c r="H48" s="29" t="n">
        <v>3425</v>
      </c>
      <c r="I48" s="29" t="n">
        <v>360</v>
      </c>
      <c r="J48" s="29" t="n">
        <v>225</v>
      </c>
      <c r="K48" s="28" t="n">
        <v>4010</v>
      </c>
      <c r="W48" s="35" t="n"/>
    </row>
    <row r="49" spans="1:23">
      <c r="A49" t="n">
        <v>38</v>
      </c>
      <c r="B49" s="28" t="n">
        <v>5133.441</v>
      </c>
      <c r="C49" s="28" t="n">
        <v>1226.5317</v>
      </c>
      <c r="D49" s="28" t="n">
        <v>258.1531</v>
      </c>
      <c r="E49" s="28" t="n">
        <v>6618.1258</v>
      </c>
      <c r="G49" t="n">
        <v>38</v>
      </c>
      <c r="H49" s="29" t="n">
        <v>3640</v>
      </c>
      <c r="I49" s="29" t="n">
        <v>363</v>
      </c>
      <c r="J49" s="29" t="n">
        <v>256</v>
      </c>
      <c r="K49" s="28" t="n">
        <v>4259</v>
      </c>
      <c r="W49" s="35" t="n"/>
    </row>
    <row r="50" spans="1:23">
      <c r="A50" t="n">
        <v>39</v>
      </c>
      <c r="B50" s="28" t="n">
        <v>4403.4699</v>
      </c>
      <c r="C50" s="28" t="n">
        <v>426.0483</v>
      </c>
      <c r="D50" s="28" t="n">
        <v>382.4193</v>
      </c>
      <c r="E50" s="28" t="n">
        <v>5211.9375</v>
      </c>
      <c r="G50" t="n">
        <v>39</v>
      </c>
      <c r="H50" s="29" t="n">
        <v>3081</v>
      </c>
      <c r="I50" s="29" t="n">
        <v>247</v>
      </c>
      <c r="J50" s="29" t="n">
        <v>183</v>
      </c>
      <c r="K50" s="28" t="n">
        <v>3511</v>
      </c>
      <c r="W50" s="35" t="n"/>
    </row>
    <row r="51" spans="1:23">
      <c r="A51" t="n">
        <v>40</v>
      </c>
      <c r="B51" s="28" t="n">
        <v>4396.4463</v>
      </c>
      <c r="C51" s="28" t="n">
        <v>0</v>
      </c>
      <c r="D51" s="28" t="n">
        <v>218.6278</v>
      </c>
      <c r="E51" s="28" t="n">
        <v>4615.0741</v>
      </c>
      <c r="G51" t="n">
        <v>40</v>
      </c>
      <c r="H51" s="29" t="n">
        <v>2027</v>
      </c>
      <c r="I51" s="29" t="n">
        <v>173</v>
      </c>
      <c r="J51" s="29" t="n">
        <v>122</v>
      </c>
      <c r="K51" s="28" t="n">
        <v>2322</v>
      </c>
      <c r="W51" s="35" t="n"/>
    </row>
    <row r="52" spans="1:23">
      <c r="A52" t="n">
        <v>41</v>
      </c>
      <c r="B52" s="28" t="n">
        <v>1904.09</v>
      </c>
      <c r="C52" s="28" t="n">
        <v>87.5526</v>
      </c>
      <c r="D52" s="28" t="n">
        <v>0</v>
      </c>
      <c r="E52" s="28" t="n">
        <v>1991.6426</v>
      </c>
      <c r="G52" t="n">
        <v>41</v>
      </c>
      <c r="H52" s="29" t="n">
        <v>2176</v>
      </c>
      <c r="I52" s="29" t="n">
        <v>194</v>
      </c>
      <c r="J52" s="29" t="n">
        <v>125</v>
      </c>
      <c r="K52" s="28" t="n">
        <v>2495</v>
      </c>
      <c r="W52" s="35" t="n"/>
    </row>
    <row r="53" spans="1:23">
      <c r="A53" t="n">
        <v>42</v>
      </c>
      <c r="B53" s="28" t="n">
        <v>763.2845</v>
      </c>
      <c r="C53" s="28" t="n">
        <v>56.9735</v>
      </c>
      <c r="D53" s="28" t="n">
        <v>0</v>
      </c>
      <c r="E53" s="28" t="n">
        <v>820.258</v>
      </c>
      <c r="G53" t="n">
        <v>42</v>
      </c>
      <c r="H53" s="29" t="n">
        <v>1532</v>
      </c>
      <c r="I53" s="29" t="n">
        <v>130</v>
      </c>
      <c r="J53" s="29" t="n">
        <v>116</v>
      </c>
      <c r="K53" s="28" t="n">
        <v>1778</v>
      </c>
      <c r="W53" s="35" t="n"/>
    </row>
    <row r="54" spans="1:23">
      <c r="A54" t="n">
        <v>43</v>
      </c>
      <c r="B54" s="28" t="n">
        <v>778.7807</v>
      </c>
      <c r="C54" s="28" t="n">
        <v>0</v>
      </c>
      <c r="D54" s="28" t="n">
        <v>0</v>
      </c>
      <c r="E54" s="28" t="n">
        <v>778.7807</v>
      </c>
      <c r="G54" t="n">
        <v>43</v>
      </c>
      <c r="H54" s="29" t="n">
        <v>894</v>
      </c>
      <c r="I54" s="29" t="n">
        <v>84</v>
      </c>
      <c r="J54" s="29" t="n">
        <v>59</v>
      </c>
      <c r="K54" s="28" t="n">
        <v>1037</v>
      </c>
      <c r="W54" s="35" t="n"/>
    </row>
    <row r="55" spans="1:23">
      <c r="A55" t="n">
        <v>44</v>
      </c>
      <c r="B55" s="28" t="n">
        <v>1850.674</v>
      </c>
      <c r="C55" s="28" t="n">
        <v>0</v>
      </c>
      <c r="D55" s="28" t="n">
        <v>0</v>
      </c>
      <c r="E55" s="28" t="n">
        <v>1850.674</v>
      </c>
      <c r="G55" t="n">
        <v>44</v>
      </c>
      <c r="H55" s="29" t="n">
        <v>1312</v>
      </c>
      <c r="I55" s="29" t="n">
        <v>117</v>
      </c>
      <c r="J55" s="29" t="n">
        <v>103</v>
      </c>
      <c r="K55" s="28" t="n">
        <v>1532</v>
      </c>
      <c r="W55" s="35" t="n"/>
    </row>
    <row r="56" spans="1:23">
      <c r="A56" t="n">
        <v>45</v>
      </c>
      <c r="B56" s="28" t="n">
        <v>1873.7079</v>
      </c>
      <c r="C56" s="28" t="n">
        <v>0</v>
      </c>
      <c r="D56" s="28" t="n">
        <v>0</v>
      </c>
      <c r="E56" s="28" t="n">
        <v>1873.7079</v>
      </c>
      <c r="G56" t="n">
        <v>45</v>
      </c>
      <c r="H56" s="29" t="n">
        <v>1687</v>
      </c>
      <c r="I56" s="29" t="n">
        <v>149</v>
      </c>
      <c r="J56" s="29" t="n">
        <v>160</v>
      </c>
      <c r="K56" s="28" t="n">
        <v>1996</v>
      </c>
      <c r="W56" s="35" t="n"/>
    </row>
    <row r="57" spans="1:23">
      <c r="A57" t="n">
        <v>46</v>
      </c>
      <c r="B57" s="28" t="n">
        <v>661.6214</v>
      </c>
      <c r="C57" s="28" t="n">
        <v>863.9641</v>
      </c>
      <c r="D57" s="28" t="n">
        <v>0</v>
      </c>
      <c r="E57" s="28" t="n">
        <v>1525.5855</v>
      </c>
      <c r="G57" t="n">
        <v>46</v>
      </c>
      <c r="H57" s="29" t="n">
        <v>1295</v>
      </c>
      <c r="I57" s="29" t="n">
        <v>109</v>
      </c>
      <c r="J57" s="29" t="n">
        <v>131</v>
      </c>
      <c r="K57" s="28" t="n">
        <v>1535</v>
      </c>
      <c r="W57" s="35" t="n"/>
    </row>
    <row r="58" spans="1:23">
      <c r="A58" t="n">
        <v>47</v>
      </c>
      <c r="B58" s="28" t="n">
        <v>3229.8224</v>
      </c>
      <c r="C58" s="28" t="n">
        <v>105.4442</v>
      </c>
      <c r="D58" s="28" t="n">
        <v>0</v>
      </c>
      <c r="E58" s="28" t="n">
        <v>3335.2666</v>
      </c>
      <c r="G58" t="n">
        <v>47</v>
      </c>
      <c r="H58" s="29" t="n">
        <v>903</v>
      </c>
      <c r="I58" s="29" t="n">
        <v>86</v>
      </c>
      <c r="J58" s="29" t="n">
        <v>83</v>
      </c>
      <c r="K58" s="28" t="n">
        <v>1072</v>
      </c>
      <c r="W58" s="35" t="n"/>
    </row>
    <row r="59" spans="1:23">
      <c r="A59" t="n">
        <v>48</v>
      </c>
      <c r="B59" s="28" t="n">
        <v>2448.1536</v>
      </c>
      <c r="C59" s="28" t="n">
        <v>0</v>
      </c>
      <c r="D59" s="28" t="n">
        <v>0</v>
      </c>
      <c r="E59" s="28" t="n">
        <v>2448.1536</v>
      </c>
      <c r="G59" t="n">
        <v>48</v>
      </c>
      <c r="H59" s="29" t="n">
        <v>565</v>
      </c>
      <c r="I59" s="29" t="n">
        <v>47</v>
      </c>
      <c r="J59" s="29" t="n">
        <v>37</v>
      </c>
      <c r="K59" s="28" t="n">
        <v>649</v>
      </c>
      <c r="W59" s="35" t="n"/>
    </row>
    <row r="60" spans="1:23">
      <c r="A60" t="n">
        <v>49</v>
      </c>
      <c r="B60" s="28" t="n">
        <v>1198.4345</v>
      </c>
      <c r="C60" s="28" t="n">
        <v>0</v>
      </c>
      <c r="D60" s="28" t="n">
        <v>0</v>
      </c>
      <c r="E60" s="28" t="n">
        <v>1198.4345</v>
      </c>
      <c r="G60" t="n">
        <v>49</v>
      </c>
      <c r="H60" s="29" t="n">
        <v>705</v>
      </c>
      <c r="I60" s="29" t="n">
        <v>64</v>
      </c>
      <c r="J60" s="29" t="n">
        <v>58</v>
      </c>
      <c r="K60" s="28" t="n">
        <v>827</v>
      </c>
      <c r="W60" s="35" t="n"/>
    </row>
    <row r="61" spans="1:23">
      <c r="A61" t="n">
        <v>50</v>
      </c>
      <c r="B61" s="28" t="n">
        <v>909.7793</v>
      </c>
      <c r="C61" s="28" t="n">
        <v>0</v>
      </c>
      <c r="D61" s="28" t="n">
        <v>0</v>
      </c>
      <c r="E61" s="28" t="n">
        <v>909.7793</v>
      </c>
      <c r="G61" t="n">
        <v>50</v>
      </c>
      <c r="H61" s="29" t="n">
        <v>635</v>
      </c>
      <c r="I61" s="29" t="n">
        <v>51</v>
      </c>
      <c r="J61" s="29" t="n">
        <v>59</v>
      </c>
      <c r="K61" s="28" t="n">
        <v>745</v>
      </c>
      <c r="W61" s="35" t="n"/>
    </row>
    <row r="62" spans="1:23">
      <c r="A62" t="n">
        <v>51</v>
      </c>
      <c r="B62" s="28" t="n">
        <v>438.9317</v>
      </c>
      <c r="C62" s="28" t="n">
        <v>0</v>
      </c>
      <c r="D62" s="28" t="n">
        <v>0</v>
      </c>
      <c r="E62" s="28" t="n">
        <v>438.9317</v>
      </c>
      <c r="G62" t="n">
        <v>51</v>
      </c>
      <c r="H62" s="29" t="n">
        <v>504</v>
      </c>
      <c r="I62" s="29" t="n">
        <v>42</v>
      </c>
      <c r="J62" s="29" t="n">
        <v>59</v>
      </c>
      <c r="K62" s="28" t="n">
        <v>605</v>
      </c>
      <c r="W62" s="35" t="n"/>
    </row>
    <row r="63" spans="1:23">
      <c r="A63" t="n">
        <v>52</v>
      </c>
      <c r="B63" s="28" t="n">
        <v>1607.8973</v>
      </c>
      <c r="C63" s="28" t="n">
        <v>0</v>
      </c>
      <c r="D63" s="28" t="n">
        <v>0</v>
      </c>
      <c r="E63" s="28" t="n">
        <v>1607.8973</v>
      </c>
      <c r="G63" t="n">
        <v>52</v>
      </c>
      <c r="H63" s="29" t="n">
        <v>560</v>
      </c>
      <c r="I63" s="29" t="n">
        <v>47</v>
      </c>
      <c r="J63" s="29" t="n">
        <v>39</v>
      </c>
      <c r="K63" s="28" t="n">
        <v>646</v>
      </c>
      <c r="W63" s="35" t="n"/>
    </row>
    <row r="64" spans="1:23">
      <c r="A64" t="n">
        <v>53</v>
      </c>
      <c r="B64" s="28" t="n">
        <v>309.5767</v>
      </c>
      <c r="C64" s="28" t="n">
        <v>0</v>
      </c>
      <c r="D64" s="28" t="n">
        <v>0</v>
      </c>
      <c r="E64" s="28" t="n">
        <v>309.5767</v>
      </c>
      <c r="G64" t="n">
        <v>53</v>
      </c>
      <c r="H64" s="29" t="n">
        <v>276</v>
      </c>
      <c r="I64" s="29" t="n">
        <v>32</v>
      </c>
      <c r="J64" s="29" t="n">
        <v>23</v>
      </c>
      <c r="K64" s="28" t="n">
        <v>331</v>
      </c>
      <c r="W64" s="35" t="n"/>
    </row>
    <row r="65" spans="1:23">
      <c r="A65" t="n">
        <v>54</v>
      </c>
      <c r="B65" s="28" t="n">
        <v>783.2329</v>
      </c>
      <c r="C65" s="28" t="n">
        <v>0</v>
      </c>
      <c r="D65" s="28" t="n">
        <v>0</v>
      </c>
      <c r="E65" s="28" t="n">
        <v>783.2329</v>
      </c>
      <c r="G65" t="n">
        <v>54</v>
      </c>
      <c r="H65" s="29" t="n">
        <v>346</v>
      </c>
      <c r="I65" s="29" t="n">
        <v>34</v>
      </c>
      <c r="J65" s="29" t="n">
        <v>14</v>
      </c>
      <c r="K65" s="28" t="n">
        <v>394</v>
      </c>
      <c r="W65" s="35" t="n"/>
    </row>
    <row r="66" spans="1:23">
      <c r="A66" t="n">
        <v>55</v>
      </c>
      <c r="B66" s="28" t="n">
        <v>139.8938</v>
      </c>
      <c r="C66" s="28" t="n">
        <v>268.3759</v>
      </c>
      <c r="D66" s="28" t="n">
        <v>0</v>
      </c>
      <c r="E66" s="28" t="n">
        <v>408.2697</v>
      </c>
      <c r="G66" t="n">
        <v>55</v>
      </c>
      <c r="H66" s="29" t="n">
        <v>274</v>
      </c>
      <c r="I66" s="29" t="n">
        <v>22</v>
      </c>
      <c r="J66" s="29" t="n">
        <v>27</v>
      </c>
      <c r="K66" s="28" t="n">
        <v>323</v>
      </c>
      <c r="W66" s="35" t="n"/>
    </row>
    <row r="67" spans="1:23">
      <c r="A67" t="n">
        <v>56</v>
      </c>
      <c r="B67" s="28" t="n">
        <v>0</v>
      </c>
      <c r="C67" s="28" t="n">
        <v>0</v>
      </c>
      <c r="D67" s="28" t="n">
        <v>0</v>
      </c>
      <c r="E67" s="28" t="n">
        <v>0</v>
      </c>
      <c r="G67" t="n">
        <v>56</v>
      </c>
      <c r="H67" s="29" t="n">
        <v>372</v>
      </c>
      <c r="I67" s="29" t="n">
        <v>62</v>
      </c>
      <c r="J67" s="29" t="n">
        <v>41</v>
      </c>
      <c r="K67" s="28" t="n">
        <v>475</v>
      </c>
      <c r="W67" s="35" t="n"/>
    </row>
    <row r="68" spans="1:23">
      <c r="A68" t="n">
        <v>57</v>
      </c>
      <c r="B68" s="28" t="n">
        <v>0</v>
      </c>
      <c r="C68" s="28" t="n">
        <v>203.3384</v>
      </c>
      <c r="D68" s="28" t="n">
        <v>0</v>
      </c>
      <c r="E68" s="28" t="n">
        <v>203.3384</v>
      </c>
      <c r="G68" t="n">
        <v>57</v>
      </c>
      <c r="H68" s="29" t="n">
        <v>125</v>
      </c>
      <c r="I68" s="29" t="n">
        <v>19</v>
      </c>
      <c r="J68" s="29" t="n">
        <v>14</v>
      </c>
      <c r="K68" s="28" t="n">
        <v>158</v>
      </c>
      <c r="W68" s="35" t="n"/>
    </row>
    <row r="69" spans="1:23">
      <c r="A69" t="n">
        <v>58</v>
      </c>
      <c r="B69" s="28" t="n">
        <v>0</v>
      </c>
      <c r="C69" s="28" t="n">
        <v>0</v>
      </c>
      <c r="D69" s="28" t="n">
        <v>0</v>
      </c>
      <c r="E69" s="28" t="n">
        <v>0</v>
      </c>
      <c r="G69" t="n">
        <v>58</v>
      </c>
      <c r="H69" s="29" t="n">
        <v>290</v>
      </c>
      <c r="I69" s="29" t="n">
        <v>22</v>
      </c>
      <c r="J69" s="29" t="n">
        <v>14</v>
      </c>
      <c r="K69" s="28" t="n">
        <v>326</v>
      </c>
      <c r="W69" s="35" t="n"/>
    </row>
    <row r="70" spans="1:23">
      <c r="A70" t="n">
        <v>59</v>
      </c>
      <c r="B70" s="28" t="n">
        <v>0</v>
      </c>
      <c r="C70" s="28" t="n">
        <v>0</v>
      </c>
      <c r="D70" s="28" t="n">
        <v>0</v>
      </c>
      <c r="E70" s="28" t="n">
        <v>0</v>
      </c>
      <c r="G70" t="n">
        <v>59</v>
      </c>
      <c r="H70" s="29" t="n">
        <v>205</v>
      </c>
      <c r="I70" s="29" t="n">
        <v>22</v>
      </c>
      <c r="J70" s="29" t="n">
        <v>17</v>
      </c>
      <c r="K70" s="28" t="n">
        <v>244</v>
      </c>
      <c r="W70" s="35" t="n"/>
    </row>
    <row r="71" spans="1:23">
      <c r="A71" t="n">
        <v>60</v>
      </c>
      <c r="B71" s="28" t="n">
        <v>0</v>
      </c>
      <c r="C71" s="28" t="n">
        <v>657.8338</v>
      </c>
      <c r="D71" s="28" t="n">
        <v>0</v>
      </c>
      <c r="E71" s="28" t="n">
        <v>657.8338</v>
      </c>
      <c r="G71" t="n">
        <v>60</v>
      </c>
      <c r="H71" s="29" t="n">
        <v>99</v>
      </c>
      <c r="I71" s="29" t="n">
        <v>8</v>
      </c>
      <c r="J71" s="29" t="n">
        <v>4</v>
      </c>
      <c r="K71" s="28" t="n">
        <v>111</v>
      </c>
      <c r="W71" s="35" t="n"/>
    </row>
    <row r="72" spans="1:23">
      <c r="A72" t="n">
        <v>61</v>
      </c>
      <c r="B72" s="28" t="n">
        <v>99.5089</v>
      </c>
      <c r="C72" s="28" t="n">
        <v>0</v>
      </c>
      <c r="D72" s="28" t="n">
        <v>0</v>
      </c>
      <c r="E72" s="28" t="n">
        <v>99.5089</v>
      </c>
      <c r="G72" t="n">
        <v>61</v>
      </c>
      <c r="H72" s="29" t="n">
        <v>121</v>
      </c>
      <c r="I72" s="29" t="n">
        <v>17</v>
      </c>
      <c r="J72" s="29" t="n">
        <v>20</v>
      </c>
      <c r="K72" s="28" t="n">
        <v>158</v>
      </c>
      <c r="W72" s="35" t="n"/>
    </row>
    <row r="73" spans="1:23">
      <c r="A73" t="n">
        <v>62</v>
      </c>
      <c r="B73" s="28" t="n">
        <v>0</v>
      </c>
      <c r="C73" s="28" t="n">
        <v>0</v>
      </c>
      <c r="D73" s="28" t="n">
        <v>0</v>
      </c>
      <c r="E73" s="28" t="n">
        <v>0</v>
      </c>
      <c r="G73" t="n">
        <v>62</v>
      </c>
      <c r="H73" s="29" t="n">
        <v>122</v>
      </c>
      <c r="I73" s="29" t="n">
        <v>21</v>
      </c>
      <c r="J73" s="29" t="n">
        <v>13</v>
      </c>
      <c r="K73" s="28" t="n">
        <v>156</v>
      </c>
      <c r="W73" s="35" t="n"/>
    </row>
    <row r="74" spans="1:23">
      <c r="A74" t="n">
        <v>63</v>
      </c>
      <c r="B74" s="28" t="n">
        <v>0</v>
      </c>
      <c r="C74" s="28" t="n">
        <v>0</v>
      </c>
      <c r="D74" s="28" t="n">
        <v>0</v>
      </c>
      <c r="E74" s="28" t="n">
        <v>0</v>
      </c>
      <c r="G74" t="n">
        <v>63</v>
      </c>
      <c r="H74" s="29" t="n">
        <v>79</v>
      </c>
      <c r="I74" s="29" t="n">
        <v>10</v>
      </c>
      <c r="J74" s="29" t="n">
        <v>17</v>
      </c>
      <c r="K74" s="28" t="n">
        <v>106</v>
      </c>
      <c r="W74" s="35" t="n"/>
    </row>
    <row r="75" spans="1:23">
      <c r="A75" t="n">
        <v>64</v>
      </c>
      <c r="B75" s="28" t="n">
        <v>0</v>
      </c>
      <c r="C75" s="28" t="n">
        <v>0</v>
      </c>
      <c r="D75" s="28" t="n">
        <v>0</v>
      </c>
      <c r="E75" s="28" t="n">
        <v>0</v>
      </c>
      <c r="G75" t="n">
        <v>64</v>
      </c>
      <c r="H75" s="29" t="n">
        <v>68</v>
      </c>
      <c r="I75" s="29" t="n">
        <v>13</v>
      </c>
      <c r="J75" s="29" t="n">
        <v>8</v>
      </c>
      <c r="K75" s="28" t="n">
        <v>89</v>
      </c>
      <c r="W75" s="35" t="n"/>
    </row>
    <row r="76" spans="1:23">
      <c r="A76" t="n">
        <v>65</v>
      </c>
      <c r="B76" s="28" t="n">
        <v>249.5401</v>
      </c>
      <c r="C76" s="28" t="n">
        <v>0</v>
      </c>
      <c r="D76" s="28" t="n">
        <v>0</v>
      </c>
      <c r="E76" s="28" t="n">
        <v>249.5401</v>
      </c>
      <c r="G76" t="n">
        <v>65</v>
      </c>
      <c r="H76" s="29" t="n">
        <v>69</v>
      </c>
      <c r="I76" s="29" t="n">
        <v>4</v>
      </c>
      <c r="J76" s="29" t="n">
        <v>11</v>
      </c>
      <c r="K76" s="28" t="n">
        <v>84</v>
      </c>
      <c r="W76" s="35" t="n"/>
    </row>
    <row r="77" spans="1:23">
      <c r="A77" t="n">
        <v>66</v>
      </c>
      <c r="B77" s="28" t="n">
        <v>0</v>
      </c>
      <c r="C77" s="28" t="n">
        <v>0</v>
      </c>
      <c r="D77" s="28" t="n">
        <v>0</v>
      </c>
      <c r="E77" s="28" t="n">
        <v>0</v>
      </c>
      <c r="G77" t="n">
        <v>66</v>
      </c>
      <c r="H77" s="29" t="n">
        <v>36</v>
      </c>
      <c r="I77" s="29" t="n">
        <v>2</v>
      </c>
      <c r="J77" s="29" t="n">
        <v>2</v>
      </c>
      <c r="K77" s="28" t="n">
        <v>40</v>
      </c>
      <c r="W77" s="35" t="n"/>
    </row>
    <row r="78" spans="1:23">
      <c r="A78" t="n">
        <v>67</v>
      </c>
      <c r="B78" s="28" t="n">
        <v>86.0936</v>
      </c>
      <c r="C78" s="28" t="n">
        <v>0</v>
      </c>
      <c r="D78" s="28" t="n">
        <v>0</v>
      </c>
      <c r="E78" s="28" t="n">
        <v>86.0936</v>
      </c>
      <c r="G78" t="n">
        <v>67</v>
      </c>
      <c r="H78" s="29" t="n">
        <v>20</v>
      </c>
      <c r="I78" s="29" t="n">
        <v>3</v>
      </c>
      <c r="J78" s="29" t="n">
        <v>4</v>
      </c>
      <c r="K78" s="28" t="n">
        <v>27</v>
      </c>
      <c r="W78" s="35" t="n"/>
    </row>
    <row r="79" spans="1:23">
      <c r="A79" t="n">
        <v>68</v>
      </c>
      <c r="B79" s="28" t="n">
        <v>0</v>
      </c>
      <c r="C79" s="28" t="n">
        <v>0</v>
      </c>
      <c r="D79" s="28" t="n">
        <v>0</v>
      </c>
      <c r="E79" s="28" t="n">
        <v>0</v>
      </c>
      <c r="G79" t="n">
        <v>68</v>
      </c>
      <c r="H79" s="29" t="n">
        <v>60</v>
      </c>
      <c r="I79" s="29" t="n">
        <v>14</v>
      </c>
      <c r="J79" s="29" t="n">
        <v>4</v>
      </c>
      <c r="K79" s="28" t="n">
        <v>78</v>
      </c>
      <c r="W79" s="35" t="n"/>
    </row>
    <row r="80" spans="1:23">
      <c r="A80" t="n">
        <v>69</v>
      </c>
      <c r="B80" s="28" t="n">
        <v>0</v>
      </c>
      <c r="C80" s="28" t="n">
        <v>0</v>
      </c>
      <c r="D80" s="28" t="n">
        <v>0</v>
      </c>
      <c r="E80" s="28" t="n">
        <v>0</v>
      </c>
      <c r="G80" t="n">
        <v>69</v>
      </c>
      <c r="H80" s="29" t="n">
        <v>55</v>
      </c>
      <c r="I80" s="29" t="n">
        <v>1</v>
      </c>
      <c r="J80" s="29" t="n">
        <v>6</v>
      </c>
      <c r="K80" s="28" t="n">
        <v>62</v>
      </c>
      <c r="W80" s="35" t="n"/>
    </row>
    <row r="81" spans="1:23">
      <c r="A81" t="n">
        <v>70</v>
      </c>
      <c r="B81" s="28" t="n">
        <v>0</v>
      </c>
      <c r="C81" s="28" t="n">
        <v>0</v>
      </c>
      <c r="D81" s="28" t="n">
        <v>0</v>
      </c>
      <c r="E81" s="28" t="n">
        <v>0</v>
      </c>
      <c r="G81" t="n">
        <v>70</v>
      </c>
      <c r="H81" s="29" t="n">
        <v>71</v>
      </c>
      <c r="I81" s="29" t="n">
        <v>4</v>
      </c>
      <c r="J81" s="29" t="n">
        <v>3</v>
      </c>
      <c r="K81" s="28" t="n">
        <v>78</v>
      </c>
      <c r="W81" s="35" t="n"/>
    </row>
    <row r="82" spans="1:23">
      <c r="A82" t="n">
        <v>71</v>
      </c>
      <c r="B82" s="28" t="n">
        <v>173.2297</v>
      </c>
      <c r="C82" s="28" t="n">
        <v>0</v>
      </c>
      <c r="D82" s="28" t="n">
        <v>0</v>
      </c>
      <c r="E82" s="28" t="n">
        <v>173.2297</v>
      </c>
      <c r="G82" t="n">
        <v>71</v>
      </c>
      <c r="H82" s="29" t="n">
        <v>76</v>
      </c>
      <c r="I82" s="29" t="n">
        <v>14</v>
      </c>
      <c r="J82" s="29" t="n">
        <v>10</v>
      </c>
      <c r="K82" s="28" t="n">
        <v>100</v>
      </c>
      <c r="W82" s="35" t="n"/>
    </row>
    <row r="83" spans="1:23">
      <c r="A83" t="n">
        <v>72</v>
      </c>
      <c r="B83" s="28" t="n">
        <v>0</v>
      </c>
      <c r="C83" s="28" t="n">
        <v>0</v>
      </c>
      <c r="D83" s="28" t="n">
        <v>0</v>
      </c>
      <c r="E83" s="28" t="n">
        <v>0</v>
      </c>
      <c r="G83" t="n">
        <v>72</v>
      </c>
      <c r="H83" s="29" t="n">
        <v>33</v>
      </c>
      <c r="I83" s="29" t="n">
        <v>4</v>
      </c>
      <c r="J83" s="29" t="n">
        <v>1</v>
      </c>
      <c r="K83" s="28" t="n">
        <v>38</v>
      </c>
      <c r="W83" s="35" t="n"/>
    </row>
    <row r="84" spans="1:23">
      <c r="A84" t="n">
        <v>73</v>
      </c>
      <c r="B84" s="28" t="n">
        <v>0</v>
      </c>
      <c r="C84" s="28" t="n">
        <v>0</v>
      </c>
      <c r="D84" s="28" t="n">
        <v>0</v>
      </c>
      <c r="E84" s="28" t="n">
        <v>0</v>
      </c>
      <c r="G84" t="n">
        <v>73</v>
      </c>
      <c r="H84" s="29" t="n">
        <v>26</v>
      </c>
      <c r="I84" s="28" t="n">
        <v>1</v>
      </c>
      <c r="J84" s="29" t="n">
        <v>1</v>
      </c>
      <c r="K84" s="28" t="n">
        <v>28</v>
      </c>
      <c r="W84" s="35" t="n"/>
    </row>
    <row r="85" spans="1:23">
      <c r="A85" t="n">
        <v>74</v>
      </c>
      <c r="B85" s="28" t="n">
        <v>409.1384</v>
      </c>
      <c r="C85" s="28" t="n">
        <v>0</v>
      </c>
      <c r="D85" s="28" t="n">
        <v>0</v>
      </c>
      <c r="E85" s="28" t="n">
        <v>409.1384</v>
      </c>
      <c r="G85" t="n">
        <v>74</v>
      </c>
      <c r="H85" s="29" t="n">
        <v>25</v>
      </c>
      <c r="I85" s="29" t="n">
        <v>3</v>
      </c>
      <c r="J85" s="29" t="n">
        <v>1</v>
      </c>
      <c r="K85" s="28" t="n">
        <v>29</v>
      </c>
      <c r="W85" s="35" t="n"/>
    </row>
    <row r="86" spans="1:23">
      <c r="A86" t="n">
        <v>75</v>
      </c>
      <c r="B86" s="28" t="n">
        <v>0</v>
      </c>
      <c r="C86" s="28" t="n">
        <v>0</v>
      </c>
      <c r="D86" s="28" t="n">
        <v>0</v>
      </c>
      <c r="E86" s="28" t="n">
        <v>0</v>
      </c>
      <c r="G86" t="n">
        <v>75</v>
      </c>
      <c r="H86" s="29" t="n">
        <v>6</v>
      </c>
      <c r="I86" s="28" t="n">
        <v>3</v>
      </c>
      <c r="J86" s="29" t="n">
        <v>0</v>
      </c>
      <c r="K86" s="28" t="n">
        <v>9</v>
      </c>
      <c r="W86" s="35" t="n"/>
    </row>
    <row r="87" spans="1:23">
      <c r="A87" t="n">
        <v>76</v>
      </c>
      <c r="B87" s="28" t="n">
        <v>0</v>
      </c>
      <c r="C87" s="28" t="n">
        <v>0</v>
      </c>
      <c r="D87" s="28" t="n">
        <v>0</v>
      </c>
      <c r="E87" s="28" t="n">
        <v>0</v>
      </c>
      <c r="G87" t="n">
        <v>76</v>
      </c>
      <c r="H87" s="29" t="n">
        <v>65</v>
      </c>
      <c r="I87" s="28" t="n">
        <v>10</v>
      </c>
      <c r="J87" s="29" t="n">
        <v>6</v>
      </c>
      <c r="K87" s="28" t="n">
        <v>81</v>
      </c>
      <c r="W87" s="35" t="n"/>
    </row>
    <row r="88" spans="1:23">
      <c r="A88" t="n">
        <v>77</v>
      </c>
      <c r="B88" s="28" t="n">
        <v>0</v>
      </c>
      <c r="C88" s="28" t="n">
        <v>0</v>
      </c>
      <c r="D88" s="28" t="n">
        <v>0</v>
      </c>
      <c r="E88" s="28" t="n">
        <v>0</v>
      </c>
      <c r="G88" t="n">
        <v>77</v>
      </c>
      <c r="H88" s="29" t="n">
        <v>9</v>
      </c>
      <c r="I88" s="28" t="n">
        <v>1</v>
      </c>
      <c r="J88" s="28" t="n">
        <v>0</v>
      </c>
      <c r="K88" s="28" t="n">
        <v>10</v>
      </c>
      <c r="W88" s="35" t="n"/>
    </row>
    <row r="89" spans="1:23">
      <c r="A89" t="n">
        <v>78</v>
      </c>
      <c r="B89" s="28" t="n">
        <v>212.667</v>
      </c>
      <c r="C89" s="28" t="n">
        <v>0</v>
      </c>
      <c r="D89" s="28" t="n">
        <v>0</v>
      </c>
      <c r="E89" s="28" t="n">
        <v>212.667</v>
      </c>
      <c r="G89" t="n">
        <v>78</v>
      </c>
      <c r="H89" s="29" t="n">
        <v>9</v>
      </c>
      <c r="I89" s="28" t="n">
        <v>3</v>
      </c>
      <c r="J89" s="28" t="n">
        <v>1</v>
      </c>
      <c r="K89" s="28" t="n">
        <v>13</v>
      </c>
      <c r="W89" s="35" t="n"/>
    </row>
    <row r="90" spans="1:23">
      <c r="A90" t="n">
        <v>79</v>
      </c>
      <c r="B90" s="28" t="n">
        <v>0</v>
      </c>
      <c r="C90" s="28" t="n">
        <v>0</v>
      </c>
      <c r="D90" s="28" t="n">
        <v>0</v>
      </c>
      <c r="E90" s="28" t="n">
        <v>0</v>
      </c>
      <c r="G90" t="n">
        <v>79</v>
      </c>
      <c r="H90" s="29" t="n">
        <v>5</v>
      </c>
      <c r="I90" s="28" t="n">
        <v>0</v>
      </c>
      <c r="J90" s="28" t="n">
        <v>2</v>
      </c>
      <c r="K90" s="28" t="n">
        <v>7</v>
      </c>
      <c r="W90" s="35" t="n"/>
    </row>
    <row r="91" spans="1:23">
      <c r="A91" t="n">
        <v>80</v>
      </c>
      <c r="B91" s="28" t="n">
        <v>0</v>
      </c>
      <c r="C91" s="28" t="n">
        <v>0</v>
      </c>
      <c r="D91" s="28" t="n">
        <v>0</v>
      </c>
      <c r="E91" s="28" t="n">
        <v>0</v>
      </c>
      <c r="G91" t="n">
        <v>80</v>
      </c>
      <c r="H91" s="29" t="n">
        <v>16</v>
      </c>
      <c r="I91" s="28" t="n">
        <v>0</v>
      </c>
      <c r="J91" s="28" t="n">
        <v>1</v>
      </c>
      <c r="K91" s="28" t="n">
        <v>17</v>
      </c>
      <c r="W91" s="35" t="n"/>
    </row>
    <row r="92" spans="1:23">
      <c r="A92" t="n">
        <v>81</v>
      </c>
      <c r="B92" s="28" t="n">
        <v>0</v>
      </c>
      <c r="C92" s="28" t="n">
        <v>0</v>
      </c>
      <c r="D92" s="28" t="n">
        <v>0</v>
      </c>
      <c r="E92" s="28" t="n">
        <v>0</v>
      </c>
      <c r="G92" t="n">
        <v>81</v>
      </c>
      <c r="H92" s="29" t="n">
        <v>9</v>
      </c>
      <c r="I92" s="28" t="n">
        <v>4</v>
      </c>
      <c r="J92" s="28" t="n">
        <v>1</v>
      </c>
      <c r="K92" s="28" t="n">
        <v>14</v>
      </c>
      <c r="W92" s="35" t="n"/>
    </row>
    <row r="93" spans="1:23">
      <c r="A93" t="n">
        <v>82</v>
      </c>
      <c r="B93" s="28" t="n">
        <v>0</v>
      </c>
      <c r="C93" s="28" t="n">
        <v>0</v>
      </c>
      <c r="D93" s="28" t="n">
        <v>0</v>
      </c>
      <c r="E93" s="28" t="n">
        <v>0</v>
      </c>
      <c r="G93" t="n">
        <v>82</v>
      </c>
      <c r="H93" s="29" t="n">
        <v>6</v>
      </c>
      <c r="I93" s="28" t="n">
        <v>1</v>
      </c>
      <c r="J93" s="28" t="n">
        <v>2</v>
      </c>
      <c r="K93" s="28" t="n">
        <v>9</v>
      </c>
      <c r="W93" s="35" t="n"/>
    </row>
    <row r="94" spans="1:23">
      <c r="A94" t="n">
        <v>83</v>
      </c>
      <c r="B94" s="28" t="n">
        <v>0</v>
      </c>
      <c r="C94" s="28" t="n">
        <v>0</v>
      </c>
      <c r="D94" s="28" t="n">
        <v>0</v>
      </c>
      <c r="E94" s="28" t="n">
        <v>0</v>
      </c>
      <c r="G94" t="n">
        <v>83</v>
      </c>
      <c r="H94" s="29" t="n">
        <v>3</v>
      </c>
      <c r="I94" s="28" t="n">
        <v>0</v>
      </c>
      <c r="J94" s="28" t="n">
        <v>0</v>
      </c>
      <c r="K94" s="28" t="n">
        <v>3</v>
      </c>
      <c r="W94" s="35" t="n"/>
    </row>
    <row r="95" spans="1:23">
      <c r="A95" t="n">
        <v>84</v>
      </c>
      <c r="B95" s="28" t="n">
        <v>0</v>
      </c>
      <c r="C95" s="28" t="n">
        <v>0</v>
      </c>
      <c r="D95" s="28" t="n">
        <v>0</v>
      </c>
      <c r="E95" s="28" t="n">
        <v>0</v>
      </c>
      <c r="G95" t="n">
        <v>84</v>
      </c>
      <c r="H95" s="29" t="n">
        <v>4</v>
      </c>
      <c r="I95" s="28" t="n">
        <v>1</v>
      </c>
      <c r="J95" s="28" t="n">
        <v>2</v>
      </c>
      <c r="K95" s="28" t="n">
        <v>7</v>
      </c>
      <c r="W95" s="35" t="n"/>
    </row>
    <row r="96" spans="1:23">
      <c r="A96" t="n">
        <v>85</v>
      </c>
      <c r="B96" s="28" t="n">
        <v>0</v>
      </c>
      <c r="C96" s="28" t="n">
        <v>0</v>
      </c>
      <c r="D96" s="28" t="n">
        <v>0</v>
      </c>
      <c r="E96" s="28" t="n">
        <v>0</v>
      </c>
      <c r="G96" t="n">
        <v>85</v>
      </c>
      <c r="H96" s="29" t="n">
        <v>13</v>
      </c>
      <c r="I96" s="28" t="n">
        <v>0</v>
      </c>
      <c r="J96" s="28" t="n">
        <v>0</v>
      </c>
      <c r="K96" s="28" t="n">
        <v>13</v>
      </c>
      <c r="W96" s="35" t="n"/>
    </row>
    <row r="97" spans="1:23">
      <c r="A97" t="n">
        <v>86</v>
      </c>
      <c r="B97" s="28" t="n">
        <v>0</v>
      </c>
      <c r="C97" s="28" t="n">
        <v>0</v>
      </c>
      <c r="D97" s="28" t="n">
        <v>0</v>
      </c>
      <c r="E97" s="28" t="n">
        <v>0</v>
      </c>
      <c r="G97" t="n">
        <v>86</v>
      </c>
      <c r="H97" s="29" t="n">
        <v>3</v>
      </c>
      <c r="I97" s="28" t="n">
        <v>1</v>
      </c>
      <c r="J97" s="28" t="n">
        <v>0</v>
      </c>
      <c r="K97" s="28" t="n">
        <v>4</v>
      </c>
      <c r="W97" s="35" t="n"/>
    </row>
    <row r="98" spans="1:23">
      <c r="A98" t="n">
        <v>87</v>
      </c>
      <c r="B98" s="28" t="n">
        <v>0</v>
      </c>
      <c r="C98" s="28" t="n">
        <v>0</v>
      </c>
      <c r="D98" s="28" t="n">
        <v>0</v>
      </c>
      <c r="E98" s="28" t="n">
        <v>0</v>
      </c>
      <c r="G98" t="n">
        <v>87</v>
      </c>
      <c r="H98" s="29" t="n">
        <v>7</v>
      </c>
      <c r="I98" s="28" t="n">
        <v>4</v>
      </c>
      <c r="J98" s="28" t="n">
        <v>0</v>
      </c>
      <c r="K98" s="28" t="n">
        <v>11</v>
      </c>
      <c r="W98" s="35" t="n"/>
    </row>
    <row r="99" spans="1:23">
      <c r="A99" t="n">
        <v>88</v>
      </c>
      <c r="B99" s="28" t="n">
        <v>0</v>
      </c>
      <c r="C99" s="28" t="n">
        <v>0</v>
      </c>
      <c r="D99" s="28" t="n">
        <v>0</v>
      </c>
      <c r="E99" s="28" t="n">
        <v>0</v>
      </c>
      <c r="G99" t="n">
        <v>88</v>
      </c>
      <c r="H99" s="29" t="n">
        <v>0</v>
      </c>
      <c r="I99" s="28" t="n">
        <v>0</v>
      </c>
      <c r="J99" s="28" t="n">
        <v>0</v>
      </c>
      <c r="K99" s="28" t="n">
        <v>0</v>
      </c>
      <c r="W99" s="35" t="n"/>
    </row>
    <row r="100" spans="1:23">
      <c r="A100" t="n">
        <v>89</v>
      </c>
      <c r="B100" s="28" t="n">
        <v>390.5323</v>
      </c>
      <c r="C100" s="28" t="n">
        <v>0</v>
      </c>
      <c r="D100" s="28" t="n">
        <v>0</v>
      </c>
      <c r="E100" s="28" t="n">
        <v>390.5323</v>
      </c>
      <c r="G100" t="n">
        <v>89</v>
      </c>
      <c r="H100" s="29" t="n">
        <v>7</v>
      </c>
      <c r="I100" s="28" t="n">
        <v>1</v>
      </c>
      <c r="J100" s="28" t="n">
        <v>0</v>
      </c>
      <c r="K100" s="28" t="n">
        <v>8</v>
      </c>
      <c r="W100" s="35" t="n"/>
    </row>
    <row customHeight="1" ht="15.75" r="101" spans="1:23">
      <c r="A101" s="21" t="s">
        <v>20</v>
      </c>
      <c r="B101" s="36" t="n">
        <v>92619.2139</v>
      </c>
      <c r="C101" s="36" t="n">
        <v>71304.2245</v>
      </c>
      <c r="D101" s="36" t="n">
        <v>8547.451800000001</v>
      </c>
      <c r="E101" s="37" t="n">
        <v>172470.8902</v>
      </c>
      <c r="G101" s="21" t="s">
        <v>20</v>
      </c>
      <c r="H101" s="38" t="n">
        <v>0</v>
      </c>
      <c r="I101" s="36" t="n">
        <v>0</v>
      </c>
      <c r="J101" s="36" t="n">
        <v>0</v>
      </c>
      <c r="K101" s="36" t="n">
        <v>0</v>
      </c>
      <c r="W101" s="37" t="n"/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2017-07-06T17:30:57Z</dcterms:modified>
  <cp:lastModifiedBy>Nagendra Dhakar</cp:lastModifiedBy>
</cp:coreProperties>
</file>