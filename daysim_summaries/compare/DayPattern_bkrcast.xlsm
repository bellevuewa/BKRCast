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0.0%"/>
  </numFmts>
  <fonts count="6">
    <font>
      <name val="Verdana"/>
      <family val="2"/>
      <color rgb="FF000000"/>
      <sz val="10"/>
    </font>
    <font>
      <name val="Calibri"/>
      <family val="2"/>
      <color theme="1"/>
      <sz val="11"/>
      <scheme val="minor"/>
    </font>
    <font>
      <name val="Verdana"/>
      <family val="2"/>
      <color rgb="FF000000"/>
      <sz val="10"/>
    </font>
    <font>
      <name val="Verdana"/>
      <family val="2"/>
      <color rgb="FF000000"/>
      <sz val="10"/>
    </font>
    <font>
      <name val="Verdana"/>
      <family val="2"/>
      <b val="1"/>
      <color rgb="FF000000"/>
      <sz val="10"/>
    </font>
    <font>
      <name val="Verdana"/>
      <family val="2"/>
      <b val="1"/>
      <color rgb="FF000000"/>
      <sz val="9"/>
    </font>
  </fonts>
  <fills count="3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</borders>
  <cellStyleXfs count="54">
    <xf numFmtId="0" fontId="1" fillId="0" borderId="0"/>
    <xf numFmtId="0" fontId="1" fillId="2" borderId="0"/>
    <xf numFmtId="0" fontId="3" fillId="0" borderId="0"/>
    <xf numFmtId="0" fontId="1" fillId="3" borderId="0"/>
    <xf numFmtId="0" fontId="1" fillId="0" borderId="0"/>
    <xf numFmtId="0" fontId="3" fillId="4" borderId="0"/>
    <xf numFmtId="0" fontId="3" fillId="5" borderId="1"/>
    <xf numFmtId="0" fontId="3" fillId="6" borderId="0"/>
    <xf numFmtId="0" fontId="1" fillId="0" borderId="2"/>
    <xf numFmtId="0" fontId="1" fillId="0" borderId="0"/>
    <xf numFmtId="0" fontId="3" fillId="7" borderId="0"/>
    <xf numFmtId="0" fontId="3" fillId="8" borderId="0"/>
    <xf numFmtId="0" fontId="3" fillId="5" borderId="3"/>
    <xf numFmtId="0" fontId="1" fillId="9" borderId="0"/>
    <xf numFmtId="0" fontId="1" fillId="10" borderId="0"/>
    <xf numFmtId="0" fontId="1" fillId="0" borderId="0"/>
    <xf numFmtId="0" fontId="3" fillId="0" borderId="4"/>
    <xf numFmtId="0" fontId="3" fillId="11" borderId="0"/>
    <xf numFmtId="0" fontId="1" fillId="12" borderId="0"/>
    <xf numFmtId="0" fontId="1" fillId="13" borderId="0"/>
    <xf numFmtId="0" fontId="1" fillId="0" borderId="0"/>
    <xf numFmtId="0" fontId="1" fillId="14" borderId="0"/>
    <xf numFmtId="0" fontId="1" fillId="0" borderId="5"/>
    <xf numFmtId="0" fontId="3" fillId="15" borderId="0"/>
    <xf numFmtId="0" fontId="3" fillId="0" borderId="6"/>
    <xf numFmtId="0" fontId="3" fillId="16" borderId="0"/>
    <xf numFmtId="0" fontId="1" fillId="0" borderId="7"/>
    <xf numFmtId="0" fontId="3" fillId="17" borderId="0"/>
    <xf numFmtId="0" fontId="3" fillId="18" borderId="0"/>
    <xf numFmtId="0" fontId="1" fillId="19" borderId="0"/>
    <xf numFmtId="0" fontId="3" fillId="0" borderId="0"/>
    <xf numFmtId="0" fontId="1" fillId="20" borderId="0"/>
    <xf numFmtId="0" fontId="3" fillId="21" borderId="0"/>
    <xf numFmtId="0" fontId="1" fillId="22" borderId="0"/>
    <xf numFmtId="0" fontId="1" fillId="23" borderId="0"/>
    <xf numFmtId="0" fontId="3" fillId="24" borderId="8"/>
    <xf numFmtId="0" fontId="3" fillId="25" borderId="0"/>
    <xf numFmtId="0" fontId="1" fillId="26" borderId="0"/>
    <xf numFmtId="0" fontId="1" fillId="27" borderId="0"/>
    <xf numFmtId="0" fontId="1" fillId="28" borderId="0"/>
    <xf numFmtId="0" fontId="1" fillId="29" borderId="0"/>
    <xf numFmtId="0" fontId="3" fillId="30" borderId="0"/>
    <xf numFmtId="0" fontId="1" fillId="0" borderId="0"/>
    <xf numFmtId="0" fontId="3" fillId="31" borderId="9"/>
    <xf numFmtId="0" fontId="3" fillId="32" borderId="3"/>
    <xf numFmtId="0" fontId="1" fillId="0" borderId="0"/>
    <xf numFmtId="0" fontId="1" fillId="33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</cellStyleXfs>
  <cellXfs count="38">
    <xf numFmtId="0" fontId="0" fillId="0" borderId="0" pivotButton="0" quotePrefix="0" xfId="0"/>
    <xf numFmtId="0" fontId="4" fillId="0" borderId="0" pivotButton="0" quotePrefix="0" xfId="45"/>
    <xf numFmtId="0" fontId="2" fillId="0" borderId="1" pivotButton="0" quotePrefix="0" xfId="45"/>
    <xf numFmtId="0" fontId="4" fillId="0" borderId="2" applyAlignment="1" pivotButton="0" quotePrefix="0" xfId="45">
      <alignment horizontal="left"/>
    </xf>
    <xf numFmtId="0" fontId="5" fillId="0" borderId="3" applyAlignment="1" pivotButton="0" quotePrefix="0" xfId="45">
      <alignment horizontal="center"/>
    </xf>
    <xf numFmtId="0" fontId="3" fillId="0" borderId="0" pivotButton="0" quotePrefix="0" xfId="46"/>
    <xf numFmtId="3" fontId="2" fillId="0" borderId="0" pivotButton="0" quotePrefix="0" xfId="45"/>
    <xf numFmtId="0" fontId="2" fillId="0" borderId="4" pivotButton="0" quotePrefix="0" xfId="45"/>
    <xf numFmtId="3" fontId="2" fillId="0" borderId="4" pivotButton="0" quotePrefix="0" xfId="45"/>
    <xf numFmtId="9" fontId="2" fillId="0" borderId="0" pivotButton="0" quotePrefix="0" xfId="45"/>
    <xf numFmtId="9" fontId="3" fillId="0" borderId="0" pivotButton="0" quotePrefix="0" xfId="46"/>
    <xf numFmtId="3" fontId="2" fillId="0" borderId="3" pivotButton="0" quotePrefix="0" xfId="45"/>
    <xf numFmtId="9" fontId="2" fillId="0" borderId="3" pivotButton="0" quotePrefix="0" xfId="45"/>
    <xf numFmtId="3" fontId="2" fillId="0" borderId="1" pivotButton="0" quotePrefix="0" xfId="45"/>
    <xf numFmtId="9" fontId="2" fillId="0" borderId="1" pivotButton="0" quotePrefix="0" xfId="45"/>
    <xf numFmtId="2" fontId="2" fillId="0" borderId="3" pivotButton="0" quotePrefix="0" xfId="45"/>
    <xf numFmtId="2" fontId="2" fillId="0" borderId="4" pivotButton="0" quotePrefix="0" xfId="45"/>
    <xf numFmtId="2" fontId="2" fillId="0" borderId="1" pivotButton="0" quotePrefix="0" xfId="45"/>
    <xf numFmtId="0" fontId="2" fillId="0" borderId="3" pivotButton="0" quotePrefix="0" xfId="45"/>
    <xf numFmtId="9" fontId="2" fillId="0" borderId="4" pivotButton="0" quotePrefix="0" xfId="45"/>
    <xf numFmtId="9" fontId="0" fillId="0" borderId="0" pivotButton="0" quotePrefix="0" xfId="47"/>
    <xf numFmtId="9" fontId="0" fillId="0" borderId="3" pivotButton="0" quotePrefix="0" xfId="47"/>
    <xf numFmtId="9" fontId="0" fillId="0" borderId="4" pivotButton="0" quotePrefix="0" xfId="47"/>
    <xf numFmtId="9" fontId="0" fillId="0" borderId="1" pivotButton="0" quotePrefix="0" xfId="47"/>
    <xf numFmtId="2" fontId="2" fillId="0" borderId="10" pivotButton="0" quotePrefix="0" xfId="45"/>
    <xf numFmtId="9" fontId="0" fillId="0" borderId="10" pivotButton="0" quotePrefix="0" xfId="47"/>
    <xf numFmtId="0" fontId="2" fillId="0" borderId="0" pivotButton="0" quotePrefix="0" xfId="45"/>
    <xf numFmtId="0" fontId="5" fillId="0" borderId="0" applyAlignment="1" pivotButton="0" quotePrefix="0" xfId="45">
      <alignment horizontal="center"/>
    </xf>
    <xf numFmtId="2" fontId="2" fillId="0" borderId="0" pivotButton="0" quotePrefix="0" xfId="45"/>
    <xf numFmtId="0" fontId="0" fillId="0" borderId="2" applyAlignment="1" pivotButton="0" quotePrefix="0" xfId="0">
      <alignment horizontal="left"/>
    </xf>
    <xf numFmtId="164" fontId="2" fillId="0" borderId="0" pivotButton="0" quotePrefix="0" xfId="53"/>
    <xf numFmtId="164" fontId="2" fillId="0" borderId="0" pivotButton="0" quotePrefix="0" xfId="45"/>
    <xf numFmtId="165" fontId="0" fillId="0" borderId="0" pivotButton="0" quotePrefix="0" xfId="47"/>
    <xf numFmtId="165" fontId="3" fillId="0" borderId="0" pivotButton="0" quotePrefix="0" xfId="46"/>
    <xf numFmtId="164" fontId="2" fillId="0" borderId="0" pivotButton="0" quotePrefix="0" xfId="53"/>
    <xf numFmtId="164" fontId="2" fillId="0" borderId="0" pivotButton="0" quotePrefix="0" xfId="45"/>
    <xf numFmtId="165" fontId="0" fillId="0" borderId="0" pivotButton="0" quotePrefix="0" xfId="47"/>
    <xf numFmtId="165" fontId="3" fillId="0" borderId="0" pivotButton="0" quotePrefix="0" xfId="46"/>
  </cellXfs>
  <cellStyles count="54">
    <cellStyle name="Normal" xfId="0" builtinId="0"/>
    <cellStyle name="XLConnect.Header" xfId="1"/>
    <cellStyle name="Warning Text 2" xfId="2"/>
    <cellStyle name="Neutral 2" xfId="3"/>
    <cellStyle name="XLConnect.String" xfId="4"/>
    <cellStyle name="40% - Accent5 2" xfId="5"/>
    <cellStyle name="Output 2" xfId="6"/>
    <cellStyle name="40% - Accent4 2" xfId="7"/>
    <cellStyle name="Heading 3 2" xfId="8"/>
    <cellStyle name="XLConnect.General" xfId="9"/>
    <cellStyle name="20% - Accent1 2" xfId="10"/>
    <cellStyle name="40% - Accent6 2" xfId="11"/>
    <cellStyle name="Calculation 2" xfId="12"/>
    <cellStyle name="Accent4 2" xfId="13"/>
    <cellStyle name="60% - Accent6 2" xfId="14"/>
    <cellStyle name="XLConnect.Date" xfId="15"/>
    <cellStyle name="Heading 2 2" xfId="16"/>
    <cellStyle name="40% - Accent1 2" xfId="17"/>
    <cellStyle name="60% - Accent5 2" xfId="18"/>
    <cellStyle name="Accent6 2" xfId="19"/>
    <cellStyle name="Percent 2" xfId="20"/>
    <cellStyle name="60% - Accent4 2" xfId="21"/>
    <cellStyle name="Total 2" xfId="22"/>
    <cellStyle name="40% - Accent3 2" xfId="23"/>
    <cellStyle name="Heading 1 2" xfId="24"/>
    <cellStyle name="20% - Accent6 2" xfId="25"/>
    <cellStyle name="Linked Cell 2" xfId="26"/>
    <cellStyle name="20% - Accent5 2" xfId="27"/>
    <cellStyle name="40% - Accent2 2" xfId="28"/>
    <cellStyle name="60% - Accent3 2" xfId="29"/>
    <cellStyle name="Title 2" xfId="30"/>
    <cellStyle name="Good 2" xfId="31"/>
    <cellStyle name="20% - Accent4 2" xfId="32"/>
    <cellStyle name="Accent3 2" xfId="33"/>
    <cellStyle name="60% - Accent2 2" xfId="34"/>
    <cellStyle name="Check Cell 2" xfId="35"/>
    <cellStyle name="20% - Accent3 2" xfId="36"/>
    <cellStyle name="60% - Accent1 2" xfId="37"/>
    <cellStyle name="Bad 2" xfId="38"/>
    <cellStyle name="Accent2 2" xfId="39"/>
    <cellStyle name="Accent5 2" xfId="40"/>
    <cellStyle name="20% - Accent2 2" xfId="41"/>
    <cellStyle name="XLConnect.Numeric" xfId="42"/>
    <cellStyle name="Note 2" xfId="43"/>
    <cellStyle name="Input 2" xfId="44"/>
    <cellStyle name="Explanatory Text 2" xfId="45"/>
    <cellStyle name="Accent1 2" xfId="46"/>
    <cellStyle name="Comma 2" xfId="47"/>
    <cellStyle name="XLConnect.Boolean" xfId="48"/>
    <cellStyle name="Normal 3" xfId="49"/>
    <cellStyle name="Normal 2" xfId="50"/>
    <cellStyle name="Heading 4 2" xfId="51"/>
    <cellStyle name="XLConnect.DateTime" xfId="52"/>
    <cellStyle name="Comma" xfId="53" builtinId="3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A86"/>
  <sheetViews>
    <sheetView tabSelected="1" topLeftCell="I16" zoomScale="85" zoomScaleNormal="85" workbookViewId="0">
      <selection activeCell="Z42" sqref="Z42"/>
    </sheetView>
  </sheetViews>
  <sheetFormatPr baseColWidth="8" defaultColWidth="10.75" defaultRowHeight="12.75"/>
  <cols>
    <col collapsed="1" width="13.75" customWidth="1" style="26" min="1" max="1"/>
    <col collapsed="1" width="12.625" customWidth="1" style="26" min="2" max="2"/>
    <col collapsed="1" width="13.625" customWidth="1" style="26" min="3" max="3"/>
    <col collapsed="1" width="12.5" bestFit="1" customWidth="1" style="26" min="4" max="4"/>
    <col collapsed="1" width="15.625" bestFit="1" customWidth="1" style="26" min="5" max="5"/>
    <col width="16.875" bestFit="1" customWidth="1" style="26" min="6" max="6"/>
    <col width="12.625" customWidth="1" style="26" min="7" max="7"/>
    <col width="13.75" bestFit="1" customWidth="1" style="26" min="8" max="8"/>
    <col width="11.5" customWidth="1" style="26" min="9" max="9"/>
    <col width="12.625" customWidth="1" style="26" min="10" max="10"/>
    <col width="12.5" bestFit="1" customWidth="1" style="26" min="11" max="11"/>
    <col width="15.625" bestFit="1" customWidth="1" style="26" min="12" max="12"/>
    <col width="16.875" bestFit="1" customWidth="1" style="26" min="13" max="13"/>
    <col width="16.875" customWidth="1" style="26" min="14" max="14"/>
    <col collapsed="1" width="16.875" customWidth="1" style="26" min="15" max="15"/>
    <col collapsed="1" width="13" customWidth="1" style="26" min="16" max="16"/>
    <col collapsed="1" width="13.875" customWidth="1" style="26" min="17" max="17"/>
    <col collapsed="1" width="12.5" bestFit="1" customWidth="1" style="26" min="18" max="18"/>
    <col collapsed="1" width="15.625" bestFit="1" customWidth="1" style="26" min="19" max="19"/>
    <col collapsed="1" width="16.875" bestFit="1" customWidth="1" style="26" min="20" max="20"/>
    <col width="10.75" customWidth="1" style="26" min="21" max="21"/>
    <col collapsed="1" width="18" customWidth="1" style="26" min="22" max="22"/>
    <col collapsed="1" width="13.875" customWidth="1" style="26" min="23" max="24"/>
    <col collapsed="1" width="12.5" bestFit="1" customWidth="1" style="26" min="25" max="25"/>
    <col collapsed="1" width="15.625" bestFit="1" customWidth="1" style="26" min="26" max="26"/>
    <col collapsed="1" width="16.875" bestFit="1" customWidth="1" style="26" min="27" max="27"/>
    <col collapsed="1" width="10.75" customWidth="1" style="26" min="28" max="33"/>
    <col collapsed="1" width="10.75" customWidth="1" style="26" min="34" max="16384"/>
  </cols>
  <sheetData>
    <row r="1" ht="18" customHeight="1">
      <c r="A1" s="1" t="inlineStr">
        <is>
          <t>TABLE 1. HH POPULATION BY COUNTY</t>
        </is>
      </c>
    </row>
    <row r="2" ht="18" customHeight="1" thickBot="1">
      <c r="B2" s="2" t="n"/>
      <c r="C2" s="2" t="n"/>
      <c r="D2" s="2" t="n"/>
      <c r="E2" s="2" t="n"/>
      <c r="F2" s="2" t="n"/>
      <c r="J2" s="26" t="inlineStr">
        <is>
          <t>pptyp</t>
        </is>
      </c>
    </row>
    <row r="3" ht="18" customHeight="1" thickBot="1">
      <c r="A3" s="3" t="inlineStr">
        <is>
          <t>County</t>
        </is>
      </c>
      <c r="B3" s="4" t="inlineStr">
        <is>
          <t>Survey</t>
        </is>
      </c>
      <c r="C3" s="4" t="inlineStr">
        <is>
          <t>SoundCast</t>
        </is>
      </c>
      <c r="D3" s="4" t="inlineStr">
        <is>
          <t>BKRCast (All)</t>
        </is>
      </c>
      <c r="E3" s="4" t="inlineStr">
        <is>
          <t>BKRCast (InBKR)</t>
        </is>
      </c>
      <c r="F3" s="4" t="inlineStr">
        <is>
          <t>BKRCast (OutBKR)</t>
        </is>
      </c>
      <c r="G3" s="27" t="n"/>
      <c r="H3" s="27" t="n"/>
      <c r="I3" s="26" t="inlineStr">
        <is>
          <t>hhdistrict</t>
        </is>
      </c>
      <c r="K3" s="26" t="n">
        <v>1</v>
      </c>
      <c r="L3" s="26" t="n">
        <v>2</v>
      </c>
      <c r="M3" s="26" t="n">
        <v>3</v>
      </c>
      <c r="N3" s="26" t="n">
        <v>4</v>
      </c>
      <c r="O3" s="26" t="n">
        <v>5</v>
      </c>
      <c r="P3" s="26" t="n">
        <v>6</v>
      </c>
      <c r="Q3" s="26" t="n">
        <v>7</v>
      </c>
      <c r="R3" s="26" t="n">
        <v>8</v>
      </c>
      <c r="S3" s="26" t="inlineStr">
        <is>
          <t>Total Workers (FT+PT)</t>
        </is>
      </c>
    </row>
    <row r="4" ht="18" customHeight="1" thickBot="1">
      <c r="A4" t="inlineStr">
        <is>
          <t>Bellevue</t>
        </is>
      </c>
      <c r="B4" s="6">
        <f>bkrcast_all!B4</f>
        <v/>
      </c>
      <c r="C4" s="6">
        <f>soundcast!C4</f>
        <v/>
      </c>
      <c r="D4" s="6">
        <f>bkrcast_all!C4</f>
        <v/>
      </c>
      <c r="E4" s="6">
        <f>bkrcast_inbkr!C4</f>
        <v/>
      </c>
      <c r="F4" s="6">
        <f>bkrcast_outbkr!C4</f>
        <v/>
      </c>
      <c r="G4" s="6" t="n"/>
      <c r="H4" s="6" t="n"/>
      <c r="I4" s="29" t="inlineStr">
        <is>
          <t>Bellevue</t>
        </is>
      </c>
      <c r="J4" s="26" t="n">
        <v>1</v>
      </c>
      <c r="K4" s="34" t="n">
        <v>60013.25</v>
      </c>
      <c r="L4" s="34" t="n">
        <v>12191.25</v>
      </c>
      <c r="M4" s="34" t="n">
        <v>17578</v>
      </c>
      <c r="N4" s="34" t="n">
        <v>21311.25</v>
      </c>
      <c r="O4" s="34" t="n">
        <v>7125.5</v>
      </c>
      <c r="P4" s="34" t="n">
        <v>5102.75</v>
      </c>
      <c r="Q4" s="34" t="n">
        <v>21597.75</v>
      </c>
      <c r="R4" s="34" t="n">
        <v>8021.75</v>
      </c>
      <c r="S4" s="35">
        <f>K4+L4</f>
        <v/>
      </c>
    </row>
    <row r="5" ht="18" customHeight="1" thickBot="1">
      <c r="A5" t="inlineStr">
        <is>
          <t>Bellevue Downtown</t>
        </is>
      </c>
      <c r="B5" s="6">
        <f>bkrcast_all!B5</f>
        <v/>
      </c>
      <c r="C5" s="6">
        <f>soundcast!C5</f>
        <v/>
      </c>
      <c r="D5" s="6">
        <f>bkrcast_all!C5</f>
        <v/>
      </c>
      <c r="E5" s="6">
        <f>bkrcast_inbkr!C5</f>
        <v/>
      </c>
      <c r="F5" s="6">
        <f>bkrcast_outbkr!C5</f>
        <v/>
      </c>
      <c r="G5" s="6" t="n"/>
      <c r="H5" s="6" t="n"/>
      <c r="I5" s="29" t="inlineStr">
        <is>
          <t>Bellevue Downtown</t>
        </is>
      </c>
      <c r="J5" s="26" t="n">
        <v>2</v>
      </c>
      <c r="K5" s="34" t="n">
        <v>4984</v>
      </c>
      <c r="L5" s="34" t="n">
        <v>542</v>
      </c>
      <c r="M5" s="34" t="n">
        <v>1200</v>
      </c>
      <c r="N5" s="34" t="n">
        <v>1558.25</v>
      </c>
      <c r="O5" s="34" t="n">
        <v>375.75</v>
      </c>
      <c r="P5" s="34" t="n">
        <v>141.5</v>
      </c>
      <c r="Q5" s="34" t="n">
        <v>504.5</v>
      </c>
      <c r="R5" s="34" t="n">
        <v>395</v>
      </c>
      <c r="S5" s="35">
        <f>K5+L5</f>
        <v/>
      </c>
    </row>
    <row r="6" ht="18" customHeight="1" thickBot="1">
      <c r="A6" t="inlineStr">
        <is>
          <t>Kirkland</t>
        </is>
      </c>
      <c r="B6" s="6">
        <f>bkrcast_all!B6</f>
        <v/>
      </c>
      <c r="C6" s="6">
        <f>soundcast!C6</f>
        <v/>
      </c>
      <c r="D6" s="6">
        <f>bkrcast_all!C6</f>
        <v/>
      </c>
      <c r="E6" s="6">
        <f>bkrcast_inbkr!C6</f>
        <v/>
      </c>
      <c r="F6" s="6">
        <f>bkrcast_outbkr!C6</f>
        <v/>
      </c>
      <c r="G6" s="6" t="n"/>
      <c r="H6" s="6" t="n"/>
      <c r="I6" s="29" t="inlineStr">
        <is>
          <t>Kirkland</t>
        </is>
      </c>
      <c r="J6" s="26" t="n">
        <v>3</v>
      </c>
      <c r="K6" s="34" t="n">
        <v>56217.75</v>
      </c>
      <c r="L6" s="34" t="n">
        <v>12070.75</v>
      </c>
      <c r="M6" s="34" t="n">
        <v>13382</v>
      </c>
      <c r="N6" s="34" t="n">
        <v>18011.25</v>
      </c>
      <c r="O6" s="34" t="n">
        <v>5958.25</v>
      </c>
      <c r="P6" s="34" t="n">
        <v>4245</v>
      </c>
      <c r="Q6" s="34" t="n">
        <v>17436.25</v>
      </c>
      <c r="R6" s="34" t="n">
        <v>8520.25</v>
      </c>
      <c r="S6" s="35">
        <f>K6+L6</f>
        <v/>
      </c>
    </row>
    <row r="7" ht="18" customHeight="1" thickBot="1">
      <c r="A7" t="inlineStr">
        <is>
          <t>Redmond</t>
        </is>
      </c>
      <c r="B7" s="6">
        <f>bkrcast_all!B7</f>
        <v/>
      </c>
      <c r="C7" s="6">
        <f>soundcast!C7</f>
        <v/>
      </c>
      <c r="D7" s="6">
        <f>bkrcast_all!C7</f>
        <v/>
      </c>
      <c r="E7" s="6">
        <f>bkrcast_inbkr!C7</f>
        <v/>
      </c>
      <c r="F7" s="6">
        <f>bkrcast_outbkr!C7</f>
        <v/>
      </c>
      <c r="G7" s="6" t="n"/>
      <c r="H7" s="6" t="n"/>
      <c r="I7" s="29" t="inlineStr">
        <is>
          <t>Redmond</t>
        </is>
      </c>
      <c r="J7" s="26" t="n">
        <v>4</v>
      </c>
      <c r="K7" s="34" t="n">
        <v>44430.5</v>
      </c>
      <c r="L7" s="34" t="n">
        <v>8310.5</v>
      </c>
      <c r="M7" s="34" t="n">
        <v>9822.75</v>
      </c>
      <c r="N7" s="34" t="n">
        <v>16276</v>
      </c>
      <c r="O7" s="34" t="n">
        <v>4049.5</v>
      </c>
      <c r="P7" s="34" t="n">
        <v>3558.5</v>
      </c>
      <c r="Q7" s="34" t="n">
        <v>15664.5</v>
      </c>
      <c r="R7" s="34" t="n">
        <v>6819.75</v>
      </c>
      <c r="S7" s="35">
        <f>K7+L7</f>
        <v/>
      </c>
    </row>
    <row r="8" ht="18" customHeight="1" thickBot="1">
      <c r="A8" t="inlineStr">
        <is>
          <t>Seattle</t>
        </is>
      </c>
      <c r="B8" s="6">
        <f>bkrcast_all!B8</f>
        <v/>
      </c>
      <c r="C8" s="6">
        <f>soundcast!C8</f>
        <v/>
      </c>
      <c r="D8" s="6">
        <f>bkrcast_all!C8</f>
        <v/>
      </c>
      <c r="E8" s="6">
        <f>bkrcast_inbkr!C8</f>
        <v/>
      </c>
      <c r="F8" s="6">
        <f>bkrcast_outbkr!C8</f>
        <v/>
      </c>
      <c r="G8" s="6" t="n"/>
      <c r="H8" s="6" t="n"/>
      <c r="I8" s="29" t="inlineStr">
        <is>
          <t>Seattle</t>
        </is>
      </c>
      <c r="J8" s="26" t="n">
        <v>5</v>
      </c>
      <c r="K8" s="34" t="n">
        <v>268946.8198</v>
      </c>
      <c r="L8" s="34" t="n">
        <v>62381.7092</v>
      </c>
      <c r="M8" s="34" t="n">
        <v>63195.2517</v>
      </c>
      <c r="N8" s="34" t="n">
        <v>75460.0186</v>
      </c>
      <c r="O8" s="34" t="n">
        <v>44363.5589</v>
      </c>
      <c r="P8" s="34" t="n">
        <v>14046.6172</v>
      </c>
      <c r="Q8" s="34" t="n">
        <v>61354.2892</v>
      </c>
      <c r="R8" s="34" t="n">
        <v>33527.2673</v>
      </c>
      <c r="S8" s="35">
        <f>K8+L8</f>
        <v/>
      </c>
    </row>
    <row r="9" ht="18" customHeight="1" thickBot="1">
      <c r="A9" t="inlineStr">
        <is>
          <t>Seattle Downtown</t>
        </is>
      </c>
      <c r="B9" s="6">
        <f>bkrcast_all!B9</f>
        <v/>
      </c>
      <c r="C9" s="6">
        <f>soundcast!C9</f>
        <v/>
      </c>
      <c r="D9" s="6">
        <f>bkrcast_all!C9</f>
        <v/>
      </c>
      <c r="E9" s="6">
        <f>bkrcast_inbkr!C9</f>
        <v/>
      </c>
      <c r="F9" s="6">
        <f>bkrcast_outbkr!C9</f>
        <v/>
      </c>
      <c r="G9" s="6" t="n"/>
      <c r="H9" s="6" t="n"/>
      <c r="I9" s="29" t="inlineStr">
        <is>
          <t>Seattle Downtown</t>
        </is>
      </c>
      <c r="J9" s="26" t="n">
        <v>6</v>
      </c>
      <c r="K9" s="34" t="n">
        <v>31260.5925</v>
      </c>
      <c r="L9" s="34" t="n">
        <v>5142.6713</v>
      </c>
      <c r="M9" s="34" t="n">
        <v>5554.4928</v>
      </c>
      <c r="N9" s="34" t="n">
        <v>7014.5736</v>
      </c>
      <c r="O9" s="34" t="n">
        <v>3672.0073</v>
      </c>
      <c r="P9" s="34" t="n">
        <v>349.8528</v>
      </c>
      <c r="Q9" s="34" t="n">
        <v>1149.3871</v>
      </c>
      <c r="R9" s="34" t="n">
        <v>727.2813</v>
      </c>
      <c r="S9" s="35">
        <f>K9+L9</f>
        <v/>
      </c>
    </row>
    <row r="10" ht="18" customHeight="1">
      <c r="A10" t="inlineStr">
        <is>
          <t>Rest</t>
        </is>
      </c>
      <c r="B10" s="6">
        <f>bkrcast_all!B10</f>
        <v/>
      </c>
      <c r="C10" s="6">
        <f>soundcast!C10</f>
        <v/>
      </c>
      <c r="D10" s="6">
        <f>bkrcast_all!C10</f>
        <v/>
      </c>
      <c r="E10" s="6">
        <f>bkrcast_inbkr!C10</f>
        <v/>
      </c>
      <c r="F10" s="6">
        <f>bkrcast_outbkr!C10</f>
        <v/>
      </c>
      <c r="G10" s="6" t="n"/>
      <c r="H10" s="6" t="n"/>
      <c r="I10" s="29" t="inlineStr">
        <is>
          <t>Rest</t>
        </is>
      </c>
      <c r="J10" s="26" t="n">
        <v>7</v>
      </c>
      <c r="K10" s="34" t="n">
        <v>944369.4669999999</v>
      </c>
      <c r="L10" s="34" t="n">
        <v>229948.9136</v>
      </c>
      <c r="M10" s="34" t="n">
        <v>282974.6849</v>
      </c>
      <c r="N10" s="34" t="n">
        <v>434271.2359</v>
      </c>
      <c r="O10" s="34" t="n">
        <v>110021.567</v>
      </c>
      <c r="P10" s="34" t="n">
        <v>92096.1569</v>
      </c>
      <c r="Q10" s="34" t="n">
        <v>386181.2796</v>
      </c>
      <c r="R10" s="34" t="n">
        <v>177049.1232</v>
      </c>
      <c r="S10" s="35">
        <f>K10+L10</f>
        <v/>
      </c>
    </row>
    <row r="11" ht="18" customHeight="1" thickBot="1">
      <c r="A11" s="7" t="inlineStr">
        <is>
          <t>Total</t>
        </is>
      </c>
      <c r="B11" s="8">
        <f>bkrcast_all!B11</f>
        <v/>
      </c>
      <c r="C11" s="8">
        <f>soundcast!C11</f>
        <v/>
      </c>
      <c r="D11" s="8">
        <f>bkrcast_all!C11</f>
        <v/>
      </c>
      <c r="E11" s="8">
        <f>bkrcast_inbkr!C11</f>
        <v/>
      </c>
      <c r="F11" s="8">
        <f>bkrcast_outbkr!C11</f>
        <v/>
      </c>
      <c r="G11" s="6" t="n"/>
      <c r="H11" s="6" t="n"/>
      <c r="I11" s="6" t="n"/>
      <c r="J11" s="6" t="n"/>
      <c r="K11" s="6">
        <f>SUM(K4:K10)</f>
        <v/>
      </c>
      <c r="L11" s="6">
        <f>SUM(L4:L10)</f>
        <v/>
      </c>
      <c r="M11" s="6" t="n"/>
      <c r="N11" s="6" t="n"/>
      <c r="S11" s="35">
        <f>SUM(S4:S10)</f>
        <v/>
      </c>
    </row>
    <row r="12" ht="18" customHeight="1"/>
    <row r="13" ht="18" customHeight="1"/>
    <row r="14" ht="18" customHeight="1">
      <c r="R14" s="27" t="n"/>
    </row>
    <row r="15" ht="18" customHeight="1">
      <c r="A15" s="1" t="inlineStr">
        <is>
          <t>TABLE 2. POPULATION BY PERSONTYPE</t>
        </is>
      </c>
    </row>
    <row r="16" ht="18" customHeight="1" thickBot="1">
      <c r="B16" s="2" t="n"/>
      <c r="C16" s="2" t="n"/>
      <c r="D16" s="2" t="n"/>
      <c r="E16" s="2" t="n"/>
      <c r="F16" s="2" t="n"/>
      <c r="I16" s="2" t="n"/>
      <c r="J16" s="2" t="n"/>
      <c r="K16" s="2" t="n"/>
      <c r="L16" s="2" t="n"/>
      <c r="M16" s="2" t="n"/>
    </row>
    <row r="17" ht="18" customHeight="1">
      <c r="A17" s="3" t="inlineStr">
        <is>
          <t>Persontype</t>
        </is>
      </c>
      <c r="B17" s="4" t="inlineStr">
        <is>
          <t>ExpandSurv</t>
        </is>
      </c>
      <c r="C17" s="4" t="inlineStr">
        <is>
          <t>SoundCast</t>
        </is>
      </c>
      <c r="D17" s="4" t="inlineStr">
        <is>
          <t>BKRCast (All)</t>
        </is>
      </c>
      <c r="E17" s="4" t="inlineStr">
        <is>
          <t>BKRCast (InBKR)</t>
        </is>
      </c>
      <c r="F17" s="4" t="inlineStr">
        <is>
          <t>BKRCast (OutBKR)</t>
        </is>
      </c>
      <c r="G17" s="27" t="n"/>
      <c r="H17" s="3" t="inlineStr">
        <is>
          <t>Persontype</t>
        </is>
      </c>
      <c r="I17" s="4" t="inlineStr">
        <is>
          <t>ExpandSurv</t>
        </is>
      </c>
      <c r="J17" s="4" t="inlineStr">
        <is>
          <t>SoundCast</t>
        </is>
      </c>
      <c r="K17" s="4" t="inlineStr">
        <is>
          <t>BKRCast (All)</t>
        </is>
      </c>
      <c r="L17" s="4" t="inlineStr">
        <is>
          <t>BKRCast (InBKR)</t>
        </is>
      </c>
      <c r="M17" s="4" t="inlineStr">
        <is>
          <t>BKRCast (OutBKR)</t>
        </is>
      </c>
      <c r="N17" s="27" t="n"/>
      <c r="P17" s="27" t="n"/>
    </row>
    <row r="18" ht="18" customHeight="1">
      <c r="A18" t="inlineStr">
        <is>
          <t>ft worker</t>
        </is>
      </c>
      <c r="B18" s="6">
        <f>bkrcast_all!B18</f>
        <v/>
      </c>
      <c r="C18" s="6">
        <f>soundcast!C18</f>
        <v/>
      </c>
      <c r="D18" s="6">
        <f>bkrcast_all!C18</f>
        <v/>
      </c>
      <c r="E18" s="6">
        <f>bkrcast_inbkr!C18</f>
        <v/>
      </c>
      <c r="F18" s="6">
        <f>bkrcast_outbkr!C18</f>
        <v/>
      </c>
      <c r="G18" s="6" t="n"/>
      <c r="H18">
        <f>A18</f>
        <v/>
      </c>
      <c r="I18" s="20">
        <f>B18/B$26</f>
        <v/>
      </c>
      <c r="J18" s="20">
        <f>C18/C$26</f>
        <v/>
      </c>
      <c r="K18" s="20">
        <f>D18/D$26</f>
        <v/>
      </c>
      <c r="L18" s="20">
        <f>E18/E$26</f>
        <v/>
      </c>
      <c r="M18" s="20">
        <f>F18/F$26</f>
        <v/>
      </c>
      <c r="N18" s="20" t="n"/>
      <c r="P18" s="6" t="n"/>
    </row>
    <row r="19" ht="18" customHeight="1">
      <c r="A19" t="inlineStr">
        <is>
          <t>pt worker</t>
        </is>
      </c>
      <c r="B19" s="6">
        <f>bkrcast_all!B19</f>
        <v/>
      </c>
      <c r="C19" s="6">
        <f>soundcast!C19</f>
        <v/>
      </c>
      <c r="D19" s="6">
        <f>bkrcast_all!C19</f>
        <v/>
      </c>
      <c r="E19" s="6">
        <f>bkrcast_inbkr!C19</f>
        <v/>
      </c>
      <c r="F19" s="6">
        <f>bkrcast_outbkr!C19</f>
        <v/>
      </c>
      <c r="G19" s="6" t="n"/>
      <c r="H19">
        <f>A19</f>
        <v/>
      </c>
      <c r="I19" s="20">
        <f>B19/B$26</f>
        <v/>
      </c>
      <c r="J19" s="20">
        <f>C19/C$26</f>
        <v/>
      </c>
      <c r="K19" s="20">
        <f>D19/D$26</f>
        <v/>
      </c>
      <c r="L19" s="20">
        <f>E19/E$26</f>
        <v/>
      </c>
      <c r="M19" s="20">
        <f>F19/F$26</f>
        <v/>
      </c>
      <c r="N19" s="20" t="n"/>
      <c r="P19" s="6" t="n"/>
    </row>
    <row r="20" ht="18" customHeight="1">
      <c r="A20" t="inlineStr">
        <is>
          <t>retired</t>
        </is>
      </c>
      <c r="B20" s="6">
        <f>bkrcast_all!B20</f>
        <v/>
      </c>
      <c r="C20" s="6">
        <f>soundcast!C20</f>
        <v/>
      </c>
      <c r="D20" s="6">
        <f>bkrcast_all!C20</f>
        <v/>
      </c>
      <c r="E20" s="6">
        <f>bkrcast_inbkr!C20</f>
        <v/>
      </c>
      <c r="F20" s="6">
        <f>bkrcast_outbkr!C20</f>
        <v/>
      </c>
      <c r="G20" s="6" t="n"/>
      <c r="H20">
        <f>A20</f>
        <v/>
      </c>
      <c r="I20" s="20">
        <f>B20/B$26</f>
        <v/>
      </c>
      <c r="J20" s="20">
        <f>C20/C$26</f>
        <v/>
      </c>
      <c r="K20" s="20">
        <f>D20/D$26</f>
        <v/>
      </c>
      <c r="L20" s="20">
        <f>E20/E$26</f>
        <v/>
      </c>
      <c r="M20" s="20">
        <f>F20/F$26</f>
        <v/>
      </c>
      <c r="N20" s="20" t="n"/>
      <c r="P20" s="6" t="n"/>
    </row>
    <row r="21" ht="18" customHeight="1">
      <c r="A21" t="inlineStr">
        <is>
          <t>nonworker</t>
        </is>
      </c>
      <c r="B21" s="6">
        <f>bkrcast_all!B21</f>
        <v/>
      </c>
      <c r="C21" s="6">
        <f>soundcast!C21</f>
        <v/>
      </c>
      <c r="D21" s="6">
        <f>bkrcast_all!C21</f>
        <v/>
      </c>
      <c r="E21" s="6">
        <f>bkrcast_inbkr!C21</f>
        <v/>
      </c>
      <c r="F21" s="6">
        <f>bkrcast_outbkr!C21</f>
        <v/>
      </c>
      <c r="G21" s="6" t="n"/>
      <c r="H21">
        <f>A21</f>
        <v/>
      </c>
      <c r="I21" s="20">
        <f>B21/B$26</f>
        <v/>
      </c>
      <c r="J21" s="20">
        <f>C21/C$26</f>
        <v/>
      </c>
      <c r="K21" s="20">
        <f>D21/D$26</f>
        <v/>
      </c>
      <c r="L21" s="20">
        <f>E21/E$26</f>
        <v/>
      </c>
      <c r="M21" s="20">
        <f>F21/F$26</f>
        <v/>
      </c>
      <c r="N21" s="20" t="n"/>
      <c r="P21" s="6" t="n"/>
    </row>
    <row r="22" ht="18" customHeight="1">
      <c r="A22" t="inlineStr">
        <is>
          <t>univ.stud</t>
        </is>
      </c>
      <c r="B22" s="6">
        <f>bkrcast_all!B22</f>
        <v/>
      </c>
      <c r="C22" s="6">
        <f>soundcast!C22</f>
        <v/>
      </c>
      <c r="D22" s="6">
        <f>bkrcast_all!C22</f>
        <v/>
      </c>
      <c r="E22" s="6">
        <f>bkrcast_inbkr!C22</f>
        <v/>
      </c>
      <c r="F22" s="6">
        <f>bkrcast_outbkr!C22</f>
        <v/>
      </c>
      <c r="G22" s="6" t="n"/>
      <c r="H22">
        <f>A22</f>
        <v/>
      </c>
      <c r="I22" s="20">
        <f>B22/B$26</f>
        <v/>
      </c>
      <c r="J22" s="20">
        <f>C22/C$26</f>
        <v/>
      </c>
      <c r="K22" s="20">
        <f>D22/D$26</f>
        <v/>
      </c>
      <c r="L22" s="20">
        <f>E22/E$26</f>
        <v/>
      </c>
      <c r="M22" s="20">
        <f>F22/F$26</f>
        <v/>
      </c>
      <c r="N22" s="20" t="n"/>
      <c r="P22" s="6" t="n"/>
    </row>
    <row r="23" ht="18" customHeight="1">
      <c r="A23" t="inlineStr">
        <is>
          <t>stud 16+</t>
        </is>
      </c>
      <c r="B23" s="6">
        <f>bkrcast_all!B23</f>
        <v/>
      </c>
      <c r="C23" s="6">
        <f>soundcast!C23</f>
        <v/>
      </c>
      <c r="D23" s="6">
        <f>bkrcast_all!C23</f>
        <v/>
      </c>
      <c r="E23" s="6">
        <f>bkrcast_inbkr!C23</f>
        <v/>
      </c>
      <c r="F23" s="6">
        <f>bkrcast_outbkr!C23</f>
        <v/>
      </c>
      <c r="G23" s="6" t="n"/>
      <c r="H23">
        <f>A23</f>
        <v/>
      </c>
      <c r="I23" s="20">
        <f>B23/B$26</f>
        <v/>
      </c>
      <c r="J23" s="20">
        <f>C23/C$26</f>
        <v/>
      </c>
      <c r="K23" s="20">
        <f>D23/D$26</f>
        <v/>
      </c>
      <c r="L23" s="20">
        <f>E23/E$26</f>
        <v/>
      </c>
      <c r="M23" s="20">
        <f>F23/F$26</f>
        <v/>
      </c>
      <c r="N23" s="20" t="n"/>
      <c r="P23" s="6" t="n"/>
    </row>
    <row r="24" ht="18" customHeight="1">
      <c r="A24" t="inlineStr">
        <is>
          <t>stud.5-15</t>
        </is>
      </c>
      <c r="B24" s="6">
        <f>bkrcast_all!B24</f>
        <v/>
      </c>
      <c r="C24" s="6">
        <f>soundcast!C24</f>
        <v/>
      </c>
      <c r="D24" s="6">
        <f>bkrcast_all!C24</f>
        <v/>
      </c>
      <c r="E24" s="6">
        <f>bkrcast_inbkr!C24</f>
        <v/>
      </c>
      <c r="F24" s="6">
        <f>bkrcast_outbkr!C24</f>
        <v/>
      </c>
      <c r="G24" s="6" t="n"/>
      <c r="H24">
        <f>A24</f>
        <v/>
      </c>
      <c r="I24" s="20">
        <f>B24/B$26</f>
        <v/>
      </c>
      <c r="J24" s="20">
        <f>C24/C$26</f>
        <v/>
      </c>
      <c r="K24" s="20">
        <f>D24/D$26</f>
        <v/>
      </c>
      <c r="L24" s="20">
        <f>E24/E$26</f>
        <v/>
      </c>
      <c r="M24" s="20">
        <f>F24/F$26</f>
        <v/>
      </c>
      <c r="N24" s="20" t="n"/>
      <c r="P24" s="6" t="n"/>
    </row>
    <row r="25" ht="18" customHeight="1">
      <c r="A25" t="inlineStr">
        <is>
          <t>under 5</t>
        </is>
      </c>
      <c r="B25" s="6">
        <f>bkrcast_all!B25</f>
        <v/>
      </c>
      <c r="C25" s="6">
        <f>soundcast!C25</f>
        <v/>
      </c>
      <c r="D25" s="6">
        <f>bkrcast_all!C25</f>
        <v/>
      </c>
      <c r="E25" s="6">
        <f>bkrcast_inbkr!C25</f>
        <v/>
      </c>
      <c r="F25" s="6">
        <f>bkrcast_outbkr!C25</f>
        <v/>
      </c>
      <c r="G25" s="6" t="n"/>
      <c r="H25">
        <f>A25</f>
        <v/>
      </c>
      <c r="I25" s="21">
        <f>B25/B$26</f>
        <v/>
      </c>
      <c r="J25" s="21">
        <f>C25/C$26</f>
        <v/>
      </c>
      <c r="K25" s="21">
        <f>D25/D$26</f>
        <v/>
      </c>
      <c r="L25" s="21">
        <f>E25/E$26</f>
        <v/>
      </c>
      <c r="M25" s="21">
        <f>F25/F$26</f>
        <v/>
      </c>
      <c r="N25" s="20" t="n"/>
      <c r="P25" s="6" t="n"/>
    </row>
    <row r="26" ht="18" customHeight="1">
      <c r="A26" s="7" t="inlineStr">
        <is>
          <t>Total</t>
        </is>
      </c>
      <c r="B26" s="8">
        <f>bkrcast_all!B26</f>
        <v/>
      </c>
      <c r="C26" s="8">
        <f>soundcast!C26</f>
        <v/>
      </c>
      <c r="D26" s="8">
        <f>bkrcast_all!C26</f>
        <v/>
      </c>
      <c r="E26" s="8">
        <f>bkrcast_inbkr!C26</f>
        <v/>
      </c>
      <c r="F26" s="8">
        <f>bkrcast_outbkr!C26</f>
        <v/>
      </c>
      <c r="G26" s="6" t="n"/>
      <c r="H26" s="7" t="inlineStr">
        <is>
          <t>Total</t>
        </is>
      </c>
      <c r="I26" s="22">
        <f>B26/B$26</f>
        <v/>
      </c>
      <c r="J26" s="22">
        <f>C26/C$26</f>
        <v/>
      </c>
      <c r="K26" s="22">
        <f>D26/D$26</f>
        <v/>
      </c>
      <c r="L26" s="22">
        <f>E26/E$26</f>
        <v/>
      </c>
      <c r="M26" s="22">
        <f>F26/F$26</f>
        <v/>
      </c>
      <c r="N26" s="20" t="n"/>
      <c r="P26" s="6" t="n"/>
    </row>
    <row r="27" ht="18" customHeight="1"/>
    <row r="28" ht="18" customHeight="1"/>
    <row r="29" ht="18" customHeight="1"/>
    <row r="30" ht="18" customHeight="1">
      <c r="A30" s="1" t="inlineStr">
        <is>
          <t>TABLE 3. TOURS BY PURPOSE</t>
        </is>
      </c>
      <c r="O30" s="1" t="inlineStr">
        <is>
          <t>TABLE 4. TOUR RATES BY PUPROSE (Total tours for purpose/total person)</t>
        </is>
      </c>
    </row>
    <row r="31" ht="18" customHeight="1">
      <c r="B31" s="2" t="n"/>
      <c r="C31" s="2" t="n"/>
      <c r="D31" s="2" t="n"/>
      <c r="E31" s="2" t="n"/>
      <c r="F31" s="2" t="n"/>
      <c r="I31" s="2" t="n"/>
      <c r="J31" s="2" t="n"/>
      <c r="K31" s="2" t="n"/>
      <c r="L31" s="2" t="n"/>
      <c r="M31" s="2" t="n"/>
      <c r="P31" s="2" t="n"/>
      <c r="Q31" s="2" t="n"/>
      <c r="R31" s="2" t="n"/>
      <c r="S31" s="2" t="n"/>
      <c r="T31" s="2" t="n"/>
    </row>
    <row r="32" ht="18" customHeight="1">
      <c r="A32" s="3" t="inlineStr">
        <is>
          <t>Purpose</t>
        </is>
      </c>
      <c r="B32" s="4" t="inlineStr">
        <is>
          <t>ExpandSurv</t>
        </is>
      </c>
      <c r="C32" s="4" t="inlineStr">
        <is>
          <t>SoundCast</t>
        </is>
      </c>
      <c r="D32" s="4" t="inlineStr">
        <is>
          <t>BKRCast (All)</t>
        </is>
      </c>
      <c r="E32" s="4" t="inlineStr">
        <is>
          <t>BKRCast (InBKR)</t>
        </is>
      </c>
      <c r="F32" s="4" t="inlineStr">
        <is>
          <t>BKRCast (OutBKR)</t>
        </is>
      </c>
      <c r="G32" s="27" t="n"/>
      <c r="H32" s="3">
        <f>A32</f>
        <v/>
      </c>
      <c r="I32" s="4" t="inlineStr">
        <is>
          <t>ExpandSurv</t>
        </is>
      </c>
      <c r="J32" s="4" t="inlineStr">
        <is>
          <t>SoundCast</t>
        </is>
      </c>
      <c r="K32" s="4" t="inlineStr">
        <is>
          <t>BKRCast (All)</t>
        </is>
      </c>
      <c r="L32" s="4" t="inlineStr">
        <is>
          <t>BKRCast (InBKR)</t>
        </is>
      </c>
      <c r="M32" s="4" t="inlineStr">
        <is>
          <t>BKRCast (OutBKR)</t>
        </is>
      </c>
      <c r="N32" s="27" t="n"/>
      <c r="O32" s="3">
        <f>H32</f>
        <v/>
      </c>
      <c r="P32" s="4" t="inlineStr">
        <is>
          <t>ExpandSurv</t>
        </is>
      </c>
      <c r="Q32" s="4" t="inlineStr">
        <is>
          <t>SoundCast</t>
        </is>
      </c>
      <c r="R32" s="4" t="inlineStr">
        <is>
          <t>BKRCast (All)</t>
        </is>
      </c>
      <c r="S32" s="4" t="inlineStr">
        <is>
          <t>BKRCast (InBKR)</t>
        </is>
      </c>
      <c r="T32" s="4" t="inlineStr">
        <is>
          <t>BKRCast (OutBKR)</t>
        </is>
      </c>
      <c r="U32" s="27" t="n"/>
    </row>
    <row r="33" ht="18" customHeight="1">
      <c r="A33" t="inlineStr">
        <is>
          <t>work</t>
        </is>
      </c>
      <c r="B33" s="6">
        <f>bkrcast_all!B33</f>
        <v/>
      </c>
      <c r="C33" s="6">
        <f>soundcast!C33</f>
        <v/>
      </c>
      <c r="D33" s="6">
        <f>bkrcast_all!C33</f>
        <v/>
      </c>
      <c r="E33" s="6">
        <f>bkrcast_inbkr!C33</f>
        <v/>
      </c>
      <c r="F33" s="6">
        <f>bkrcast_outbkr!C33</f>
        <v/>
      </c>
      <c r="G33" s="6" t="n"/>
      <c r="H33">
        <f>A33</f>
        <v/>
      </c>
      <c r="I33" s="20">
        <f>B33/B$41</f>
        <v/>
      </c>
      <c r="J33" s="20">
        <f>C33/C$41</f>
        <v/>
      </c>
      <c r="K33" s="20">
        <f>D33/D$41</f>
        <v/>
      </c>
      <c r="L33" s="20">
        <f>E33/E$41</f>
        <v/>
      </c>
      <c r="M33" s="20">
        <f>F33/F$41</f>
        <v/>
      </c>
      <c r="N33" s="20" t="n"/>
      <c r="O33">
        <f>H33</f>
        <v/>
      </c>
      <c r="P33" s="28">
        <f>B33/B$26</f>
        <v/>
      </c>
      <c r="Q33" s="28">
        <f>C33/C$26</f>
        <v/>
      </c>
      <c r="R33" s="28">
        <f>D33/D$26</f>
        <v/>
      </c>
      <c r="S33" s="28">
        <f>E33/E$26</f>
        <v/>
      </c>
      <c r="T33" s="28">
        <f>F33/F$26</f>
        <v/>
      </c>
      <c r="U33" s="28" t="n"/>
      <c r="V33" s="36" t="n"/>
      <c r="W33" s="36" t="n"/>
    </row>
    <row r="34" ht="18" customHeight="1">
      <c r="A34" t="inlineStr">
        <is>
          <t>school</t>
        </is>
      </c>
      <c r="B34" s="6">
        <f>bkrcast_all!B34</f>
        <v/>
      </c>
      <c r="C34" s="6">
        <f>soundcast!C34</f>
        <v/>
      </c>
      <c r="D34" s="6">
        <f>bkrcast_all!C34</f>
        <v/>
      </c>
      <c r="E34" s="6">
        <f>bkrcast_inbkr!C34</f>
        <v/>
      </c>
      <c r="F34" s="6">
        <f>bkrcast_outbkr!C34</f>
        <v/>
      </c>
      <c r="G34" s="6" t="n"/>
      <c r="H34">
        <f>A34</f>
        <v/>
      </c>
      <c r="I34" s="20">
        <f>B34/B$41</f>
        <v/>
      </c>
      <c r="J34" s="20">
        <f>C34/C$41</f>
        <v/>
      </c>
      <c r="K34" s="20">
        <f>D34/D$41</f>
        <v/>
      </c>
      <c r="L34" s="20">
        <f>E34/E$41</f>
        <v/>
      </c>
      <c r="M34" s="20">
        <f>F34/F$41</f>
        <v/>
      </c>
      <c r="N34" s="20" t="n"/>
      <c r="O34">
        <f>H34</f>
        <v/>
      </c>
      <c r="P34" s="28">
        <f>B34/B$26</f>
        <v/>
      </c>
      <c r="Q34" s="28">
        <f>C34/C$26</f>
        <v/>
      </c>
      <c r="R34" s="28">
        <f>D34/D$26</f>
        <v/>
      </c>
      <c r="S34" s="28">
        <f>E34/E$26</f>
        <v/>
      </c>
      <c r="T34" s="28">
        <f>F34/F$26</f>
        <v/>
      </c>
      <c r="U34" s="28" t="n"/>
      <c r="V34" s="36" t="n"/>
      <c r="W34" s="36" t="n"/>
    </row>
    <row r="35" ht="18" customHeight="1">
      <c r="A35" t="inlineStr">
        <is>
          <t>escort</t>
        </is>
      </c>
      <c r="B35" s="6">
        <f>bkrcast_all!B35</f>
        <v/>
      </c>
      <c r="C35" s="6">
        <f>soundcast!C35</f>
        <v/>
      </c>
      <c r="D35" s="6">
        <f>bkrcast_all!C35</f>
        <v/>
      </c>
      <c r="E35" s="6">
        <f>bkrcast_inbkr!C35</f>
        <v/>
      </c>
      <c r="F35" s="6">
        <f>bkrcast_outbkr!C35</f>
        <v/>
      </c>
      <c r="G35" s="6" t="n"/>
      <c r="H35">
        <f>A35</f>
        <v/>
      </c>
      <c r="I35" s="20">
        <f>B35/B$41</f>
        <v/>
      </c>
      <c r="J35" s="20">
        <f>C35/C$41</f>
        <v/>
      </c>
      <c r="K35" s="20">
        <f>D35/D$41</f>
        <v/>
      </c>
      <c r="L35" s="20">
        <f>E35/E$41</f>
        <v/>
      </c>
      <c r="M35" s="20">
        <f>F35/F$41</f>
        <v/>
      </c>
      <c r="N35" s="20" t="n"/>
      <c r="O35">
        <f>H35</f>
        <v/>
      </c>
      <c r="P35" s="28">
        <f>B35/B$26</f>
        <v/>
      </c>
      <c r="Q35" s="28">
        <f>C35/C$26</f>
        <v/>
      </c>
      <c r="R35" s="28">
        <f>D35/D$26</f>
        <v/>
      </c>
      <c r="S35" s="28">
        <f>E35/E$26</f>
        <v/>
      </c>
      <c r="T35" s="28">
        <f>F35/F$26</f>
        <v/>
      </c>
      <c r="U35" s="28" t="n"/>
      <c r="V35" s="36" t="n"/>
      <c r="W35" s="36" t="n"/>
    </row>
    <row r="36" ht="18" customHeight="1">
      <c r="A36" t="inlineStr">
        <is>
          <t>pers.bus</t>
        </is>
      </c>
      <c r="B36" s="6">
        <f>bkrcast_all!B36</f>
        <v/>
      </c>
      <c r="C36" s="6">
        <f>soundcast!C36</f>
        <v/>
      </c>
      <c r="D36" s="6">
        <f>bkrcast_all!C36</f>
        <v/>
      </c>
      <c r="E36" s="6">
        <f>bkrcast_inbkr!C36</f>
        <v/>
      </c>
      <c r="F36" s="6">
        <f>bkrcast_outbkr!C36</f>
        <v/>
      </c>
      <c r="G36" s="6" t="n"/>
      <c r="H36">
        <f>A36</f>
        <v/>
      </c>
      <c r="I36" s="20">
        <f>B36/B$41</f>
        <v/>
      </c>
      <c r="J36" s="20">
        <f>C36/C$41</f>
        <v/>
      </c>
      <c r="K36" s="20">
        <f>D36/D$41</f>
        <v/>
      </c>
      <c r="L36" s="20">
        <f>E36/E$41</f>
        <v/>
      </c>
      <c r="M36" s="20">
        <f>F36/F$41</f>
        <v/>
      </c>
      <c r="N36" s="20" t="n"/>
      <c r="O36">
        <f>H36</f>
        <v/>
      </c>
      <c r="P36" s="28">
        <f>B36/B$26</f>
        <v/>
      </c>
      <c r="Q36" s="28">
        <f>C36/C$26</f>
        <v/>
      </c>
      <c r="R36" s="28">
        <f>D36/D$26</f>
        <v/>
      </c>
      <c r="S36" s="28">
        <f>E36/E$26</f>
        <v/>
      </c>
      <c r="T36" s="28">
        <f>F36/F$26</f>
        <v/>
      </c>
      <c r="U36" s="28" t="n"/>
      <c r="V36" s="36" t="n"/>
      <c r="W36" s="36" t="n"/>
    </row>
    <row r="37" ht="18" customHeight="1">
      <c r="A37" t="inlineStr">
        <is>
          <t>shop</t>
        </is>
      </c>
      <c r="B37" s="6">
        <f>bkrcast_all!B37</f>
        <v/>
      </c>
      <c r="C37" s="6">
        <f>soundcast!C37</f>
        <v/>
      </c>
      <c r="D37" s="6">
        <f>bkrcast_all!C37</f>
        <v/>
      </c>
      <c r="E37" s="6">
        <f>bkrcast_inbkr!C37</f>
        <v/>
      </c>
      <c r="F37" s="6">
        <f>bkrcast_outbkr!C37</f>
        <v/>
      </c>
      <c r="G37" s="6" t="n"/>
      <c r="H37">
        <f>A37</f>
        <v/>
      </c>
      <c r="I37" s="20">
        <f>B37/B$41</f>
        <v/>
      </c>
      <c r="J37" s="20">
        <f>C37/C$41</f>
        <v/>
      </c>
      <c r="K37" s="20">
        <f>D37/D$41</f>
        <v/>
      </c>
      <c r="L37" s="20">
        <f>E37/E$41</f>
        <v/>
      </c>
      <c r="M37" s="20">
        <f>F37/F$41</f>
        <v/>
      </c>
      <c r="N37" s="20" t="n"/>
      <c r="O37">
        <f>H37</f>
        <v/>
      </c>
      <c r="P37" s="28">
        <f>B37/B$26</f>
        <v/>
      </c>
      <c r="Q37" s="28">
        <f>C37/C$26</f>
        <v/>
      </c>
      <c r="R37" s="28">
        <f>D37/D$26</f>
        <v/>
      </c>
      <c r="S37" s="28">
        <f>E37/E$26</f>
        <v/>
      </c>
      <c r="T37" s="28">
        <f>F37/F$26</f>
        <v/>
      </c>
      <c r="U37" s="28" t="n"/>
      <c r="V37" s="36" t="n"/>
      <c r="W37" s="36" t="n"/>
    </row>
    <row r="38" ht="18" customHeight="1">
      <c r="A38" t="inlineStr">
        <is>
          <t>meal</t>
        </is>
      </c>
      <c r="B38" s="6">
        <f>bkrcast_all!B38</f>
        <v/>
      </c>
      <c r="C38" s="6">
        <f>soundcast!C38</f>
        <v/>
      </c>
      <c r="D38" s="6">
        <f>bkrcast_all!C38</f>
        <v/>
      </c>
      <c r="E38" s="6">
        <f>bkrcast_inbkr!C38</f>
        <v/>
      </c>
      <c r="F38" s="6">
        <f>bkrcast_outbkr!C38</f>
        <v/>
      </c>
      <c r="G38" s="6" t="n"/>
      <c r="H38">
        <f>A38</f>
        <v/>
      </c>
      <c r="I38" s="20">
        <f>B38/B$41</f>
        <v/>
      </c>
      <c r="J38" s="20">
        <f>C38/C$41</f>
        <v/>
      </c>
      <c r="K38" s="20">
        <f>D38/D$41</f>
        <v/>
      </c>
      <c r="L38" s="20">
        <f>E38/E$41</f>
        <v/>
      </c>
      <c r="M38" s="20">
        <f>F38/F$41</f>
        <v/>
      </c>
      <c r="N38" s="20" t="n"/>
      <c r="O38">
        <f>H38</f>
        <v/>
      </c>
      <c r="P38" s="28">
        <f>B38/B$26</f>
        <v/>
      </c>
      <c r="Q38" s="28">
        <f>C38/C$26</f>
        <v/>
      </c>
      <c r="R38" s="28">
        <f>D38/D$26</f>
        <v/>
      </c>
      <c r="S38" s="28">
        <f>E38/E$26</f>
        <v/>
      </c>
      <c r="T38" s="28">
        <f>F38/F$26</f>
        <v/>
      </c>
      <c r="U38" s="28" t="n"/>
      <c r="V38" s="36" t="n"/>
      <c r="W38" s="36" t="n"/>
    </row>
    <row r="39" ht="18" customHeight="1">
      <c r="A39" t="inlineStr">
        <is>
          <t>soc/rec</t>
        </is>
      </c>
      <c r="B39" s="6">
        <f>bkrcast_all!B39</f>
        <v/>
      </c>
      <c r="C39" s="6">
        <f>soundcast!C39</f>
        <v/>
      </c>
      <c r="D39" s="6">
        <f>bkrcast_all!C39</f>
        <v/>
      </c>
      <c r="E39" s="6">
        <f>bkrcast_inbkr!C39</f>
        <v/>
      </c>
      <c r="F39" s="6">
        <f>bkrcast_outbkr!C39</f>
        <v/>
      </c>
      <c r="G39" s="6" t="n"/>
      <c r="H39">
        <f>A39</f>
        <v/>
      </c>
      <c r="I39" s="20">
        <f>B39/B$41</f>
        <v/>
      </c>
      <c r="J39" s="20">
        <f>C39/C$41</f>
        <v/>
      </c>
      <c r="K39" s="20">
        <f>D39/D$41</f>
        <v/>
      </c>
      <c r="L39" s="20">
        <f>E39/E$41</f>
        <v/>
      </c>
      <c r="M39" s="20">
        <f>F39/F$41</f>
        <v/>
      </c>
      <c r="N39" s="20" t="n"/>
      <c r="O39">
        <f>H39</f>
        <v/>
      </c>
      <c r="P39" s="28">
        <f>B39/B$26</f>
        <v/>
      </c>
      <c r="Q39" s="28">
        <f>C39/C$26</f>
        <v/>
      </c>
      <c r="R39" s="28">
        <f>D39/D$26</f>
        <v/>
      </c>
      <c r="S39" s="28">
        <f>E39/E$26</f>
        <v/>
      </c>
      <c r="T39" s="28">
        <f>F39/F$26</f>
        <v/>
      </c>
      <c r="U39" s="28" t="n"/>
      <c r="V39" s="36" t="n"/>
      <c r="W39" s="36" t="n"/>
    </row>
    <row r="40" ht="18" customHeight="1">
      <c r="A40" t="inlineStr">
        <is>
          <t>workbased</t>
        </is>
      </c>
      <c r="B40" s="6">
        <f>bkrcast_all!B40</f>
        <v/>
      </c>
      <c r="C40" s="6">
        <f>soundcast!C40</f>
        <v/>
      </c>
      <c r="D40" s="6">
        <f>bkrcast_all!C40</f>
        <v/>
      </c>
      <c r="E40" s="6">
        <f>bkrcast_inbkr!C40</f>
        <v/>
      </c>
      <c r="F40" s="6">
        <f>bkrcast_outbkr!C40</f>
        <v/>
      </c>
      <c r="G40" s="6" t="n"/>
      <c r="H40">
        <f>A40</f>
        <v/>
      </c>
      <c r="I40" s="21">
        <f>B40/B$41</f>
        <v/>
      </c>
      <c r="J40" s="21">
        <f>C40/C$41</f>
        <v/>
      </c>
      <c r="K40" s="21">
        <f>D40/D$41</f>
        <v/>
      </c>
      <c r="L40" s="21">
        <f>E40/E$41</f>
        <v/>
      </c>
      <c r="M40" s="21">
        <f>F40/F$41</f>
        <v/>
      </c>
      <c r="N40" s="20" t="n"/>
      <c r="O40">
        <f>H40</f>
        <v/>
      </c>
      <c r="P40" s="15">
        <f>B40/B$26</f>
        <v/>
      </c>
      <c r="Q40" s="15">
        <f>C40/C$26</f>
        <v/>
      </c>
      <c r="R40" s="15">
        <f>D40/D$26</f>
        <v/>
      </c>
      <c r="S40" s="15">
        <f>E40/E$26</f>
        <v/>
      </c>
      <c r="T40" s="15">
        <f>F40/F$26</f>
        <v/>
      </c>
      <c r="U40" s="28" t="n"/>
      <c r="V40" s="36" t="n"/>
      <c r="W40" s="36" t="n"/>
    </row>
    <row r="41" ht="18" customHeight="1">
      <c r="A41" s="7" t="inlineStr">
        <is>
          <t>Total</t>
        </is>
      </c>
      <c r="B41" s="8">
        <f>bkrcast_all!B41</f>
        <v/>
      </c>
      <c r="C41" s="8">
        <f>soundcast!C41</f>
        <v/>
      </c>
      <c r="D41" s="8">
        <f>bkrcast_all!C41</f>
        <v/>
      </c>
      <c r="E41" s="8">
        <f>bkrcast_inbkr!C41</f>
        <v/>
      </c>
      <c r="F41" s="8">
        <f>bkrcast_outbkr!C41</f>
        <v/>
      </c>
      <c r="G41" s="6" t="n"/>
      <c r="H41" s="7" t="inlineStr">
        <is>
          <t>Total</t>
        </is>
      </c>
      <c r="I41" s="23">
        <f>B41/B$41</f>
        <v/>
      </c>
      <c r="J41" s="23">
        <f>C41/C$41</f>
        <v/>
      </c>
      <c r="K41" s="23">
        <f>D41/D$41</f>
        <v/>
      </c>
      <c r="L41" s="23">
        <f>E41/E$41</f>
        <v/>
      </c>
      <c r="M41" s="23">
        <f>F41/F$41</f>
        <v/>
      </c>
      <c r="N41" s="20" t="n"/>
      <c r="O41" s="7">
        <f>H41</f>
        <v/>
      </c>
      <c r="P41" s="17">
        <f>B41/B$26</f>
        <v/>
      </c>
      <c r="Q41" s="17">
        <f>C41/C$26</f>
        <v/>
      </c>
      <c r="R41" s="17">
        <f>D41/D$26</f>
        <v/>
      </c>
      <c r="S41" s="17">
        <f>E41/E$26</f>
        <v/>
      </c>
      <c r="T41" s="17">
        <f>F41/F$26</f>
        <v/>
      </c>
      <c r="U41" s="28" t="n"/>
    </row>
    <row r="42" ht="18" customHeight="1">
      <c r="B42" s="6" t="n"/>
      <c r="C42" s="6" t="n"/>
      <c r="D42" s="6" t="n"/>
    </row>
    <row r="43" ht="18" customHeight="1">
      <c r="B43" s="6" t="n"/>
      <c r="C43" s="6" t="n"/>
      <c r="D43" s="6" t="n"/>
    </row>
    <row r="44" ht="18" customHeight="1">
      <c r="B44" s="6" t="n"/>
      <c r="C44" s="6" t="n"/>
      <c r="D44" s="6" t="n"/>
    </row>
    <row r="45" ht="18" customHeight="1">
      <c r="A45" s="1" t="inlineStr">
        <is>
          <t>TABLE 5. TOURS BY PERSONTYPE</t>
        </is>
      </c>
      <c r="O45" s="1" t="inlineStr">
        <is>
          <t>TABLE 6. TOUR RATES BY PERSONTYPE (Total tours/total person for person type)</t>
        </is>
      </c>
    </row>
    <row r="46" ht="18" customHeight="1">
      <c r="B46" s="2" t="n"/>
      <c r="C46" s="2" t="n"/>
      <c r="D46" s="2" t="n"/>
      <c r="E46" s="2" t="n"/>
      <c r="F46" s="2" t="n"/>
      <c r="I46" s="2" t="n"/>
      <c r="J46" s="2" t="n"/>
      <c r="K46" s="2" t="n"/>
      <c r="L46" s="2" t="n"/>
      <c r="M46" s="2" t="n"/>
      <c r="P46" s="2" t="n"/>
      <c r="Q46" s="2" t="n"/>
      <c r="R46" s="2" t="n"/>
      <c r="S46" s="2" t="n"/>
      <c r="T46" s="2" t="n"/>
    </row>
    <row r="47" ht="18" customHeight="1">
      <c r="A47" s="3" t="inlineStr">
        <is>
          <t>Persontype</t>
        </is>
      </c>
      <c r="B47" s="4" t="inlineStr">
        <is>
          <t>ExpandSurv</t>
        </is>
      </c>
      <c r="C47" s="4" t="inlineStr">
        <is>
          <t>SoundCast</t>
        </is>
      </c>
      <c r="D47" s="4" t="inlineStr">
        <is>
          <t>BKRCast (All)</t>
        </is>
      </c>
      <c r="E47" s="4" t="inlineStr">
        <is>
          <t>BKRCast (InBKR)</t>
        </is>
      </c>
      <c r="F47" s="4" t="inlineStr">
        <is>
          <t>BKRCast (OutBKR)</t>
        </is>
      </c>
      <c r="G47" s="27" t="n"/>
      <c r="H47" s="3" t="inlineStr">
        <is>
          <t>Persontype</t>
        </is>
      </c>
      <c r="I47" s="4" t="inlineStr">
        <is>
          <t>ExpandSurv</t>
        </is>
      </c>
      <c r="J47" s="4" t="inlineStr">
        <is>
          <t>SoundCast</t>
        </is>
      </c>
      <c r="K47" s="4" t="inlineStr">
        <is>
          <t>BKRCast (All)</t>
        </is>
      </c>
      <c r="L47" s="4" t="inlineStr">
        <is>
          <t>BKRCast (InBKR)</t>
        </is>
      </c>
      <c r="M47" s="4" t="inlineStr">
        <is>
          <t>BKRCast (OutBKR)</t>
        </is>
      </c>
      <c r="N47" s="27" t="n"/>
      <c r="O47" s="3">
        <f>H47</f>
        <v/>
      </c>
      <c r="P47" s="4" t="inlineStr">
        <is>
          <t>ExpandSurv</t>
        </is>
      </c>
      <c r="Q47" s="4" t="inlineStr">
        <is>
          <t>SoundCast</t>
        </is>
      </c>
      <c r="R47" s="4" t="inlineStr">
        <is>
          <t>BKRCast (All)</t>
        </is>
      </c>
      <c r="S47" s="4" t="inlineStr">
        <is>
          <t>BKRCast (InBKR)</t>
        </is>
      </c>
      <c r="T47" s="4" t="inlineStr">
        <is>
          <t>BKRCast (OutBKR)</t>
        </is>
      </c>
      <c r="U47" s="27" t="n"/>
    </row>
    <row r="48" ht="18" customHeight="1">
      <c r="A48" t="inlineStr">
        <is>
          <t>ft worker</t>
        </is>
      </c>
      <c r="B48" s="6">
        <f>bkrcast_all!B48</f>
        <v/>
      </c>
      <c r="C48" s="6">
        <f>soundcast!C48</f>
        <v/>
      </c>
      <c r="D48" s="6">
        <f>bkrcast_all!C48</f>
        <v/>
      </c>
      <c r="E48" s="6">
        <f>bkrcast_inbkr!C48</f>
        <v/>
      </c>
      <c r="F48" s="6">
        <f>bkrcast_outbkr!C48</f>
        <v/>
      </c>
      <c r="G48" s="6" t="n"/>
      <c r="H48">
        <f>A48</f>
        <v/>
      </c>
      <c r="I48" s="20">
        <f>B48/B$56</f>
        <v/>
      </c>
      <c r="J48" s="20">
        <f>C48/C$56</f>
        <v/>
      </c>
      <c r="K48" s="20">
        <f>D48/D$56</f>
        <v/>
      </c>
      <c r="L48" s="20">
        <f>E48/E$56</f>
        <v/>
      </c>
      <c r="M48" s="20">
        <f>F48/F$56</f>
        <v/>
      </c>
      <c r="N48" s="20" t="n"/>
      <c r="O48">
        <f>H48</f>
        <v/>
      </c>
      <c r="P48" s="28">
        <f>B48/B18</f>
        <v/>
      </c>
      <c r="Q48" s="28">
        <f>C48/C18</f>
        <v/>
      </c>
      <c r="R48" s="28">
        <f>D48/D18</f>
        <v/>
      </c>
      <c r="S48" s="28">
        <f>E48/E18</f>
        <v/>
      </c>
      <c r="T48" s="28">
        <f>F48/F18</f>
        <v/>
      </c>
      <c r="U48" s="28" t="n"/>
      <c r="V48" s="20" t="n"/>
      <c r="W48" s="20" t="n"/>
    </row>
    <row r="49" ht="18" customHeight="1">
      <c r="A49" t="inlineStr">
        <is>
          <t>pt worker</t>
        </is>
      </c>
      <c r="B49" s="6">
        <f>bkrcast_all!B49</f>
        <v/>
      </c>
      <c r="C49" s="6">
        <f>soundcast!C49</f>
        <v/>
      </c>
      <c r="D49" s="6">
        <f>bkrcast_all!C49</f>
        <v/>
      </c>
      <c r="E49" s="6">
        <f>bkrcast_inbkr!C49</f>
        <v/>
      </c>
      <c r="F49" s="6">
        <f>bkrcast_outbkr!C49</f>
        <v/>
      </c>
      <c r="G49" s="6" t="n"/>
      <c r="H49">
        <f>A49</f>
        <v/>
      </c>
      <c r="I49" s="20">
        <f>B49/B$56</f>
        <v/>
      </c>
      <c r="J49" s="20">
        <f>C49/C$56</f>
        <v/>
      </c>
      <c r="K49" s="20">
        <f>D49/D$56</f>
        <v/>
      </c>
      <c r="L49" s="20">
        <f>E49/E$56</f>
        <v/>
      </c>
      <c r="M49" s="20">
        <f>F49/F$56</f>
        <v/>
      </c>
      <c r="N49" s="20" t="n"/>
      <c r="O49">
        <f>H49</f>
        <v/>
      </c>
      <c r="P49" s="28">
        <f>B49/B19</f>
        <v/>
      </c>
      <c r="Q49" s="28">
        <f>C49/C19</f>
        <v/>
      </c>
      <c r="R49" s="28">
        <f>D49/D19</f>
        <v/>
      </c>
      <c r="S49" s="28">
        <f>E49/E19</f>
        <v/>
      </c>
      <c r="T49" s="28">
        <f>F49/F19</f>
        <v/>
      </c>
      <c r="U49" s="28" t="n"/>
      <c r="V49" s="20" t="n"/>
      <c r="W49" s="20" t="n"/>
    </row>
    <row r="50" ht="18" customHeight="1">
      <c r="A50" t="inlineStr">
        <is>
          <t>retired</t>
        </is>
      </c>
      <c r="B50" s="6">
        <f>bkrcast_all!B50</f>
        <v/>
      </c>
      <c r="C50" s="6">
        <f>soundcast!C50</f>
        <v/>
      </c>
      <c r="D50" s="6">
        <f>bkrcast_all!C50</f>
        <v/>
      </c>
      <c r="E50" s="6">
        <f>bkrcast_inbkr!C50</f>
        <v/>
      </c>
      <c r="F50" s="6">
        <f>bkrcast_outbkr!C50</f>
        <v/>
      </c>
      <c r="G50" s="6" t="n"/>
      <c r="H50">
        <f>A50</f>
        <v/>
      </c>
      <c r="I50" s="20">
        <f>B50/B$56</f>
        <v/>
      </c>
      <c r="J50" s="20">
        <f>C50/C$56</f>
        <v/>
      </c>
      <c r="K50" s="20">
        <f>D50/D$56</f>
        <v/>
      </c>
      <c r="L50" s="20">
        <f>E50/E$56</f>
        <v/>
      </c>
      <c r="M50" s="20">
        <f>F50/F$56</f>
        <v/>
      </c>
      <c r="N50" s="20" t="n"/>
      <c r="O50">
        <f>H50</f>
        <v/>
      </c>
      <c r="P50" s="28">
        <f>B50/B20</f>
        <v/>
      </c>
      <c r="Q50" s="28">
        <f>C50/C20</f>
        <v/>
      </c>
      <c r="R50" s="28">
        <f>D50/D20</f>
        <v/>
      </c>
      <c r="S50" s="28">
        <f>E50/E20</f>
        <v/>
      </c>
      <c r="T50" s="28">
        <f>F50/F20</f>
        <v/>
      </c>
      <c r="U50" s="28" t="n"/>
      <c r="V50" s="20" t="n"/>
      <c r="W50" s="20" t="n"/>
    </row>
    <row r="51" ht="18" customHeight="1">
      <c r="A51" t="inlineStr">
        <is>
          <t>nonworker</t>
        </is>
      </c>
      <c r="B51" s="6">
        <f>bkrcast_all!B51</f>
        <v/>
      </c>
      <c r="C51" s="6">
        <f>soundcast!C51</f>
        <v/>
      </c>
      <c r="D51" s="6">
        <f>bkrcast_all!C51</f>
        <v/>
      </c>
      <c r="E51" s="6">
        <f>bkrcast_inbkr!C51</f>
        <v/>
      </c>
      <c r="F51" s="6">
        <f>bkrcast_outbkr!C51</f>
        <v/>
      </c>
      <c r="G51" s="6" t="n"/>
      <c r="H51">
        <f>A51</f>
        <v/>
      </c>
      <c r="I51" s="20">
        <f>B51/B$56</f>
        <v/>
      </c>
      <c r="J51" s="20">
        <f>C51/C$56</f>
        <v/>
      </c>
      <c r="K51" s="20">
        <f>D51/D$56</f>
        <v/>
      </c>
      <c r="L51" s="20">
        <f>E51/E$56</f>
        <v/>
      </c>
      <c r="M51" s="20">
        <f>F51/F$56</f>
        <v/>
      </c>
      <c r="N51" s="20" t="n"/>
      <c r="O51">
        <f>H51</f>
        <v/>
      </c>
      <c r="P51" s="28">
        <f>B51/B21</f>
        <v/>
      </c>
      <c r="Q51" s="28">
        <f>C51/C21</f>
        <v/>
      </c>
      <c r="R51" s="28">
        <f>D51/D21</f>
        <v/>
      </c>
      <c r="S51" s="28">
        <f>E51/E21</f>
        <v/>
      </c>
      <c r="T51" s="28">
        <f>F51/F21</f>
        <v/>
      </c>
      <c r="U51" s="28" t="n"/>
      <c r="V51" s="20" t="n"/>
      <c r="W51" s="20" t="n"/>
    </row>
    <row r="52" ht="18" customHeight="1">
      <c r="A52" t="inlineStr">
        <is>
          <t>univ.stud</t>
        </is>
      </c>
      <c r="B52" s="6">
        <f>bkrcast_all!B52</f>
        <v/>
      </c>
      <c r="C52" s="6">
        <f>soundcast!C52</f>
        <v/>
      </c>
      <c r="D52" s="6">
        <f>bkrcast_all!C52</f>
        <v/>
      </c>
      <c r="E52" s="6">
        <f>bkrcast_inbkr!C52</f>
        <v/>
      </c>
      <c r="F52" s="6">
        <f>bkrcast_outbkr!C52</f>
        <v/>
      </c>
      <c r="G52" s="6" t="n"/>
      <c r="H52">
        <f>A52</f>
        <v/>
      </c>
      <c r="I52" s="20">
        <f>B52/B$56</f>
        <v/>
      </c>
      <c r="J52" s="20">
        <f>C52/C$56</f>
        <v/>
      </c>
      <c r="K52" s="20">
        <f>D52/D$56</f>
        <v/>
      </c>
      <c r="L52" s="20">
        <f>E52/E$56</f>
        <v/>
      </c>
      <c r="M52" s="20">
        <f>F52/F$56</f>
        <v/>
      </c>
      <c r="N52" s="20" t="n"/>
      <c r="O52">
        <f>H52</f>
        <v/>
      </c>
      <c r="P52" s="28">
        <f>B52/B22</f>
        <v/>
      </c>
      <c r="Q52" s="28">
        <f>C52/C22</f>
        <v/>
      </c>
      <c r="R52" s="28">
        <f>D52/D22</f>
        <v/>
      </c>
      <c r="S52" s="28">
        <f>E52/E22</f>
        <v/>
      </c>
      <c r="T52" s="28">
        <f>F52/F22</f>
        <v/>
      </c>
      <c r="U52" s="28" t="n"/>
      <c r="V52" s="20" t="n"/>
      <c r="W52" s="20" t="n"/>
    </row>
    <row r="53" ht="18" customHeight="1">
      <c r="A53" t="inlineStr">
        <is>
          <t>stud 16+</t>
        </is>
      </c>
      <c r="B53" s="6">
        <f>bkrcast_all!B53</f>
        <v/>
      </c>
      <c r="C53" s="6">
        <f>soundcast!C53</f>
        <v/>
      </c>
      <c r="D53" s="6">
        <f>bkrcast_all!C53</f>
        <v/>
      </c>
      <c r="E53" s="6">
        <f>bkrcast_inbkr!C53</f>
        <v/>
      </c>
      <c r="F53" s="6">
        <f>bkrcast_outbkr!C53</f>
        <v/>
      </c>
      <c r="G53" s="6" t="n"/>
      <c r="H53">
        <f>A53</f>
        <v/>
      </c>
      <c r="I53" s="20">
        <f>B53/B$56</f>
        <v/>
      </c>
      <c r="J53" s="20">
        <f>C53/C$56</f>
        <v/>
      </c>
      <c r="K53" s="20">
        <f>D53/D$56</f>
        <v/>
      </c>
      <c r="L53" s="20">
        <f>E53/E$56</f>
        <v/>
      </c>
      <c r="M53" s="20">
        <f>F53/F$56</f>
        <v/>
      </c>
      <c r="N53" s="20" t="n"/>
      <c r="O53">
        <f>H53</f>
        <v/>
      </c>
      <c r="P53" s="28">
        <f>B53/B23</f>
        <v/>
      </c>
      <c r="Q53" s="28">
        <f>C53/C23</f>
        <v/>
      </c>
      <c r="R53" s="28">
        <f>D53/D23</f>
        <v/>
      </c>
      <c r="S53" s="28">
        <f>E53/E23</f>
        <v/>
      </c>
      <c r="T53" s="28">
        <f>F53/F23</f>
        <v/>
      </c>
      <c r="U53" s="28" t="n"/>
      <c r="V53" s="20" t="n"/>
      <c r="W53" s="20" t="n"/>
    </row>
    <row r="54" ht="18" customHeight="1">
      <c r="A54" t="inlineStr">
        <is>
          <t>stud.5-15</t>
        </is>
      </c>
      <c r="B54" s="6">
        <f>bkrcast_all!B54</f>
        <v/>
      </c>
      <c r="C54" s="6">
        <f>soundcast!C54</f>
        <v/>
      </c>
      <c r="D54" s="6">
        <f>bkrcast_all!C54</f>
        <v/>
      </c>
      <c r="E54" s="6">
        <f>bkrcast_inbkr!C54</f>
        <v/>
      </c>
      <c r="F54" s="6">
        <f>bkrcast_outbkr!C54</f>
        <v/>
      </c>
      <c r="G54" s="6" t="n"/>
      <c r="H54">
        <f>A54</f>
        <v/>
      </c>
      <c r="I54" s="20">
        <f>B54/B$56</f>
        <v/>
      </c>
      <c r="J54" s="20">
        <f>C54/C$56</f>
        <v/>
      </c>
      <c r="K54" s="20">
        <f>D54/D$56</f>
        <v/>
      </c>
      <c r="L54" s="20">
        <f>E54/E$56</f>
        <v/>
      </c>
      <c r="M54" s="20">
        <f>F54/F$56</f>
        <v/>
      </c>
      <c r="N54" s="20" t="n"/>
      <c r="O54">
        <f>H54</f>
        <v/>
      </c>
      <c r="P54" s="28">
        <f>B54/B24</f>
        <v/>
      </c>
      <c r="Q54" s="28">
        <f>C54/C24</f>
        <v/>
      </c>
      <c r="R54" s="28">
        <f>D54/D24</f>
        <v/>
      </c>
      <c r="S54" s="28">
        <f>E54/E24</f>
        <v/>
      </c>
      <c r="T54" s="28">
        <f>F54/F24</f>
        <v/>
      </c>
      <c r="U54" s="28" t="n"/>
      <c r="V54" s="20" t="n"/>
      <c r="W54" s="20" t="n"/>
    </row>
    <row r="55" ht="18" customHeight="1">
      <c r="A55" t="inlineStr">
        <is>
          <t>under 5</t>
        </is>
      </c>
      <c r="B55" s="6">
        <f>bkrcast_all!B55</f>
        <v/>
      </c>
      <c r="C55" s="6">
        <f>soundcast!C55</f>
        <v/>
      </c>
      <c r="D55" s="6">
        <f>bkrcast_all!C55</f>
        <v/>
      </c>
      <c r="E55" s="6">
        <f>bkrcast_inbkr!C55</f>
        <v/>
      </c>
      <c r="F55" s="6">
        <f>bkrcast_outbkr!C55</f>
        <v/>
      </c>
      <c r="G55" s="6" t="n"/>
      <c r="H55">
        <f>A55</f>
        <v/>
      </c>
      <c r="I55" s="21">
        <f>B55/B$56</f>
        <v/>
      </c>
      <c r="J55" s="21">
        <f>C55/C$56</f>
        <v/>
      </c>
      <c r="K55" s="21">
        <f>D55/D$56</f>
        <v/>
      </c>
      <c r="L55" s="21">
        <f>E55/E$56</f>
        <v/>
      </c>
      <c r="M55" s="21">
        <f>F55/F$56</f>
        <v/>
      </c>
      <c r="N55" s="20" t="n"/>
      <c r="O55">
        <f>H55</f>
        <v/>
      </c>
      <c r="P55" s="15">
        <f>B55/B25</f>
        <v/>
      </c>
      <c r="Q55" s="15">
        <f>C55/C25</f>
        <v/>
      </c>
      <c r="R55" s="15">
        <f>D55/D25</f>
        <v/>
      </c>
      <c r="S55" s="15">
        <f>E55/E25</f>
        <v/>
      </c>
      <c r="T55" s="15">
        <f>F55/F25</f>
        <v/>
      </c>
      <c r="U55" s="28" t="n"/>
      <c r="V55" s="20" t="n"/>
      <c r="W55" s="20" t="n"/>
    </row>
    <row r="56" ht="18" customHeight="1">
      <c r="A56" s="7" t="inlineStr">
        <is>
          <t>Total</t>
        </is>
      </c>
      <c r="B56" s="8">
        <f>bkrcast_all!B56</f>
        <v/>
      </c>
      <c r="C56" s="8">
        <f>soundcast!C56</f>
        <v/>
      </c>
      <c r="D56" s="8">
        <f>bkrcast_all!C56</f>
        <v/>
      </c>
      <c r="E56" s="8">
        <f>bkrcast_inbkr!C56</f>
        <v/>
      </c>
      <c r="F56" s="8">
        <f>bkrcast_outbkr!C56</f>
        <v/>
      </c>
      <c r="G56" s="6" t="n"/>
      <c r="H56" s="7" t="inlineStr">
        <is>
          <t>Total</t>
        </is>
      </c>
      <c r="I56" s="23">
        <f>B56/B$56</f>
        <v/>
      </c>
      <c r="J56" s="23">
        <f>C56/C$56</f>
        <v/>
      </c>
      <c r="K56" s="23">
        <f>D56/D$56</f>
        <v/>
      </c>
      <c r="L56" s="23">
        <f>E56/E$56</f>
        <v/>
      </c>
      <c r="M56" s="23">
        <f>F56/F$56</f>
        <v/>
      </c>
      <c r="N56" s="20" t="n"/>
      <c r="O56" s="7">
        <f>H56</f>
        <v/>
      </c>
      <c r="P56" s="17">
        <f>B56/B26</f>
        <v/>
      </c>
      <c r="Q56" s="17">
        <f>C56/C26</f>
        <v/>
      </c>
      <c r="R56" s="17">
        <f>D56/D26</f>
        <v/>
      </c>
      <c r="S56" s="17">
        <f>E56/E26</f>
        <v/>
      </c>
      <c r="T56" s="17">
        <f>F56/F26</f>
        <v/>
      </c>
      <c r="U56" s="28" t="n"/>
    </row>
    <row r="57" ht="18" customHeight="1"/>
    <row r="58" ht="18" customHeight="1"/>
    <row r="59" ht="18" customHeight="1"/>
    <row r="60" ht="18" customHeight="1">
      <c r="A60" s="1" t="inlineStr">
        <is>
          <t>TABLE 7. TRIPS BY DESTINATION PURPOSE</t>
        </is>
      </c>
      <c r="O60" s="1" t="inlineStr">
        <is>
          <t>TABLE 8. TRIP RATES BY DESTINATION PURPOSE (Total trips for purpose/total person)</t>
        </is>
      </c>
      <c r="W60" s="1" t="inlineStr">
        <is>
          <t>Trip per Tours by Purpose</t>
        </is>
      </c>
    </row>
    <row r="61" ht="18" customHeight="1">
      <c r="B61" s="2" t="n"/>
      <c r="C61" s="2" t="n"/>
      <c r="D61" s="2" t="n"/>
      <c r="E61" s="2" t="n"/>
      <c r="F61" s="2" t="n"/>
      <c r="I61" s="2" t="n"/>
      <c r="J61" s="2" t="n"/>
      <c r="K61" s="2" t="n"/>
      <c r="L61" s="2" t="n"/>
      <c r="M61" s="2" t="n"/>
      <c r="P61" s="2" t="n"/>
      <c r="Q61" s="2" t="n"/>
      <c r="R61" s="2" t="n"/>
      <c r="S61" s="2" t="n"/>
      <c r="T61" s="2" t="n"/>
      <c r="W61" s="2" t="n"/>
      <c r="X61" s="2" t="n"/>
      <c r="Y61" s="2" t="n"/>
      <c r="Z61" s="2" t="n"/>
      <c r="AA61" s="2" t="n"/>
    </row>
    <row r="62" ht="18" customHeight="1">
      <c r="A62" s="3" t="inlineStr">
        <is>
          <t>Dest Purpose</t>
        </is>
      </c>
      <c r="B62" s="4" t="inlineStr">
        <is>
          <t>ExpandSurv</t>
        </is>
      </c>
      <c r="C62" s="4" t="inlineStr">
        <is>
          <t>SoundCast</t>
        </is>
      </c>
      <c r="D62" s="4" t="inlineStr">
        <is>
          <t>BKRCast (All)</t>
        </is>
      </c>
      <c r="E62" s="4" t="inlineStr">
        <is>
          <t>BKRCast (InBKR)</t>
        </is>
      </c>
      <c r="F62" s="4" t="inlineStr">
        <is>
          <t>BKRCast (OutBKR)</t>
        </is>
      </c>
      <c r="G62" s="27" t="n"/>
      <c r="H62" s="3">
        <f>A62</f>
        <v/>
      </c>
      <c r="I62" s="4" t="inlineStr">
        <is>
          <t>ExpandSurv</t>
        </is>
      </c>
      <c r="J62" s="4" t="inlineStr">
        <is>
          <t>SoundCast</t>
        </is>
      </c>
      <c r="K62" s="4" t="inlineStr">
        <is>
          <t>BKRCast (All)</t>
        </is>
      </c>
      <c r="L62" s="4" t="inlineStr">
        <is>
          <t>BKRCast (InBKR)</t>
        </is>
      </c>
      <c r="M62" s="4" t="inlineStr">
        <is>
          <t>BKRCast (OutBKR)</t>
        </is>
      </c>
      <c r="N62" s="27" t="n"/>
      <c r="O62" s="3">
        <f>H62</f>
        <v/>
      </c>
      <c r="P62" s="4" t="inlineStr">
        <is>
          <t>ExpandSurv</t>
        </is>
      </c>
      <c r="Q62" s="4" t="inlineStr">
        <is>
          <t>SoundCast</t>
        </is>
      </c>
      <c r="R62" s="4" t="inlineStr">
        <is>
          <t>BKRCast (All)</t>
        </is>
      </c>
      <c r="S62" s="4" t="inlineStr">
        <is>
          <t>BKRCast (InBKR)</t>
        </is>
      </c>
      <c r="T62" s="4" t="inlineStr">
        <is>
          <t>BKRCast (OutBKR)</t>
        </is>
      </c>
      <c r="U62" s="27" t="n"/>
      <c r="V62" s="3">
        <f>O62</f>
        <v/>
      </c>
      <c r="W62" s="4" t="inlineStr">
        <is>
          <t>ExpandSurv</t>
        </is>
      </c>
      <c r="X62" s="4" t="inlineStr">
        <is>
          <t>SoundCast</t>
        </is>
      </c>
      <c r="Y62" s="4" t="inlineStr">
        <is>
          <t>BKRCast (All)</t>
        </is>
      </c>
      <c r="Z62" s="4" t="inlineStr">
        <is>
          <t>BKRCast (InBKR)</t>
        </is>
      </c>
      <c r="AA62" s="4" t="inlineStr">
        <is>
          <t>BKRCast (OutBKR)</t>
        </is>
      </c>
    </row>
    <row r="63" ht="18" customHeight="1">
      <c r="A63" t="inlineStr">
        <is>
          <t>work</t>
        </is>
      </c>
      <c r="B63" s="6">
        <f>bkrcast_all!B63</f>
        <v/>
      </c>
      <c r="C63" s="6">
        <f>soundcast!C63</f>
        <v/>
      </c>
      <c r="D63" s="6">
        <f>bkrcast_all!C63</f>
        <v/>
      </c>
      <c r="E63" s="6">
        <f>bkrcast_inbkr!C63</f>
        <v/>
      </c>
      <c r="F63" s="6">
        <f>bkrcast_outbkr!C63</f>
        <v/>
      </c>
      <c r="G63" s="6" t="n"/>
      <c r="H63">
        <f>A63</f>
        <v/>
      </c>
      <c r="I63" s="20">
        <f>B63/B$71</f>
        <v/>
      </c>
      <c r="J63" s="20">
        <f>C63/C$71</f>
        <v/>
      </c>
      <c r="K63" s="20">
        <f>D63/D$71</f>
        <v/>
      </c>
      <c r="L63" s="20">
        <f>E63/E$71</f>
        <v/>
      </c>
      <c r="M63" s="20">
        <f>F63/F$71</f>
        <v/>
      </c>
      <c r="N63" s="20" t="n"/>
      <c r="O63">
        <f>H63</f>
        <v/>
      </c>
      <c r="P63" s="28">
        <f>B63/B$26</f>
        <v/>
      </c>
      <c r="Q63" s="28">
        <f>C63/C$26</f>
        <v/>
      </c>
      <c r="R63" s="28">
        <f>D63/D$26</f>
        <v/>
      </c>
      <c r="S63" s="28">
        <f>E63/E$26</f>
        <v/>
      </c>
      <c r="T63" s="28">
        <f>F63/F$26</f>
        <v/>
      </c>
      <c r="U63" s="28" t="n"/>
      <c r="V63">
        <f>O63</f>
        <v/>
      </c>
      <c r="W63" s="24">
        <f>B63/B33</f>
        <v/>
      </c>
      <c r="X63" s="24">
        <f>C63/C33</f>
        <v/>
      </c>
      <c r="Y63" s="24">
        <f>D63/D33</f>
        <v/>
      </c>
      <c r="Z63" s="24">
        <f>E63/E33</f>
        <v/>
      </c>
      <c r="AA63" s="24">
        <f>F63/F33</f>
        <v/>
      </c>
    </row>
    <row r="64" ht="18" customHeight="1">
      <c r="A64" t="inlineStr">
        <is>
          <t>school</t>
        </is>
      </c>
      <c r="B64" s="6">
        <f>bkrcast_all!B64</f>
        <v/>
      </c>
      <c r="C64" s="6">
        <f>soundcast!C64</f>
        <v/>
      </c>
      <c r="D64" s="6">
        <f>bkrcast_all!C64</f>
        <v/>
      </c>
      <c r="E64" s="6">
        <f>bkrcast_inbkr!C64</f>
        <v/>
      </c>
      <c r="F64" s="6">
        <f>bkrcast_outbkr!C64</f>
        <v/>
      </c>
      <c r="G64" s="6" t="n"/>
      <c r="H64">
        <f>A64</f>
        <v/>
      </c>
      <c r="I64" s="20">
        <f>B64/B$71</f>
        <v/>
      </c>
      <c r="J64" s="20">
        <f>C64/C$71</f>
        <v/>
      </c>
      <c r="K64" s="20">
        <f>D64/D$71</f>
        <v/>
      </c>
      <c r="L64" s="20">
        <f>E64/E$71</f>
        <v/>
      </c>
      <c r="M64" s="20">
        <f>F64/F$71</f>
        <v/>
      </c>
      <c r="N64" s="20" t="n"/>
      <c r="O64">
        <f>H64</f>
        <v/>
      </c>
      <c r="P64" s="28">
        <f>B64/B$26</f>
        <v/>
      </c>
      <c r="Q64" s="28">
        <f>C64/C$26</f>
        <v/>
      </c>
      <c r="R64" s="28">
        <f>D64/D$26</f>
        <v/>
      </c>
      <c r="S64" s="28">
        <f>E64/E$26</f>
        <v/>
      </c>
      <c r="T64" s="28">
        <f>F64/F$26</f>
        <v/>
      </c>
      <c r="U64" s="28" t="n"/>
      <c r="V64">
        <f>O64</f>
        <v/>
      </c>
      <c r="W64" s="28">
        <f>B64/B34</f>
        <v/>
      </c>
      <c r="X64" s="28">
        <f>C64/C34</f>
        <v/>
      </c>
      <c r="Y64" s="28">
        <f>D64/D34</f>
        <v/>
      </c>
      <c r="Z64" s="28">
        <f>E64/E34</f>
        <v/>
      </c>
      <c r="AA64" s="28">
        <f>F64/F34</f>
        <v/>
      </c>
    </row>
    <row r="65" ht="18" customHeight="1">
      <c r="A65" t="inlineStr">
        <is>
          <t>escort</t>
        </is>
      </c>
      <c r="B65" s="6">
        <f>bkrcast_all!B65</f>
        <v/>
      </c>
      <c r="C65" s="6">
        <f>soundcast!C65</f>
        <v/>
      </c>
      <c r="D65" s="6">
        <f>bkrcast_all!C65</f>
        <v/>
      </c>
      <c r="E65" s="6">
        <f>bkrcast_inbkr!C65</f>
        <v/>
      </c>
      <c r="F65" s="6">
        <f>bkrcast_outbkr!C65</f>
        <v/>
      </c>
      <c r="G65" s="6" t="n"/>
      <c r="H65">
        <f>A65</f>
        <v/>
      </c>
      <c r="I65" s="20">
        <f>B65/B$71</f>
        <v/>
      </c>
      <c r="J65" s="20">
        <f>C65/C$71</f>
        <v/>
      </c>
      <c r="K65" s="20">
        <f>D65/D$71</f>
        <v/>
      </c>
      <c r="L65" s="20">
        <f>E65/E$71</f>
        <v/>
      </c>
      <c r="M65" s="20">
        <f>F65/F$71</f>
        <v/>
      </c>
      <c r="N65" s="20" t="n"/>
      <c r="O65">
        <f>H65</f>
        <v/>
      </c>
      <c r="P65" s="28">
        <f>B65/B$26</f>
        <v/>
      </c>
      <c r="Q65" s="28">
        <f>C65/C$26</f>
        <v/>
      </c>
      <c r="R65" s="28">
        <f>D65/D$26</f>
        <v/>
      </c>
      <c r="S65" s="28">
        <f>E65/E$26</f>
        <v/>
      </c>
      <c r="T65" s="28">
        <f>F65/F$26</f>
        <v/>
      </c>
      <c r="U65" s="28" t="n"/>
      <c r="V65">
        <f>O65</f>
        <v/>
      </c>
      <c r="W65" s="28">
        <f>B65/B35</f>
        <v/>
      </c>
      <c r="X65" s="28">
        <f>C65/C35</f>
        <v/>
      </c>
      <c r="Y65" s="28">
        <f>D65/D35</f>
        <v/>
      </c>
      <c r="Z65" s="28">
        <f>E65/E35</f>
        <v/>
      </c>
      <c r="AA65" s="28">
        <f>F65/F35</f>
        <v/>
      </c>
    </row>
    <row r="66" ht="18" customHeight="1">
      <c r="A66" t="inlineStr">
        <is>
          <t>pers.bus</t>
        </is>
      </c>
      <c r="B66" s="6">
        <f>bkrcast_all!B66</f>
        <v/>
      </c>
      <c r="C66" s="6">
        <f>soundcast!C66</f>
        <v/>
      </c>
      <c r="D66" s="6">
        <f>bkrcast_all!C66</f>
        <v/>
      </c>
      <c r="E66" s="6">
        <f>bkrcast_inbkr!C66</f>
        <v/>
      </c>
      <c r="F66" s="6">
        <f>bkrcast_outbkr!C66</f>
        <v/>
      </c>
      <c r="G66" s="6" t="n"/>
      <c r="H66">
        <f>A66</f>
        <v/>
      </c>
      <c r="I66" s="20">
        <f>B66/B$71</f>
        <v/>
      </c>
      <c r="J66" s="20">
        <f>C66/C$71</f>
        <v/>
      </c>
      <c r="K66" s="20">
        <f>D66/D$71</f>
        <v/>
      </c>
      <c r="L66" s="20">
        <f>E66/E$71</f>
        <v/>
      </c>
      <c r="M66" s="20">
        <f>F66/F$71</f>
        <v/>
      </c>
      <c r="N66" s="20" t="n"/>
      <c r="O66">
        <f>H66</f>
        <v/>
      </c>
      <c r="P66" s="28">
        <f>B66/B$26</f>
        <v/>
      </c>
      <c r="Q66" s="28">
        <f>C66/C$26</f>
        <v/>
      </c>
      <c r="R66" s="28">
        <f>D66/D$26</f>
        <v/>
      </c>
      <c r="S66" s="28">
        <f>E66/E$26</f>
        <v/>
      </c>
      <c r="T66" s="28">
        <f>F66/F$26</f>
        <v/>
      </c>
      <c r="U66" s="28" t="n"/>
      <c r="V66">
        <f>O66</f>
        <v/>
      </c>
      <c r="W66" s="28">
        <f>B66/B36</f>
        <v/>
      </c>
      <c r="X66" s="28">
        <f>C66/C36</f>
        <v/>
      </c>
      <c r="Y66" s="28">
        <f>D66/D36</f>
        <v/>
      </c>
      <c r="Z66" s="28">
        <f>E66/E36</f>
        <v/>
      </c>
      <c r="AA66" s="28">
        <f>F66/F36</f>
        <v/>
      </c>
    </row>
    <row r="67" ht="18" customHeight="1">
      <c r="A67" t="inlineStr">
        <is>
          <t>shop</t>
        </is>
      </c>
      <c r="B67" s="6">
        <f>bkrcast_all!B67</f>
        <v/>
      </c>
      <c r="C67" s="6">
        <f>soundcast!C67</f>
        <v/>
      </c>
      <c r="D67" s="6">
        <f>bkrcast_all!C67</f>
        <v/>
      </c>
      <c r="E67" s="6">
        <f>bkrcast_inbkr!C67</f>
        <v/>
      </c>
      <c r="F67" s="6">
        <f>bkrcast_outbkr!C67</f>
        <v/>
      </c>
      <c r="G67" s="6" t="n"/>
      <c r="H67">
        <f>A67</f>
        <v/>
      </c>
      <c r="I67" s="20">
        <f>B67/B$71</f>
        <v/>
      </c>
      <c r="J67" s="20">
        <f>C67/C$71</f>
        <v/>
      </c>
      <c r="K67" s="20">
        <f>D67/D$71</f>
        <v/>
      </c>
      <c r="L67" s="20">
        <f>E67/E$71</f>
        <v/>
      </c>
      <c r="M67" s="20">
        <f>F67/F$71</f>
        <v/>
      </c>
      <c r="N67" s="20" t="n"/>
      <c r="O67">
        <f>H67</f>
        <v/>
      </c>
      <c r="P67" s="28">
        <f>B67/B$26</f>
        <v/>
      </c>
      <c r="Q67" s="28">
        <f>C67/C$26</f>
        <v/>
      </c>
      <c r="R67" s="28">
        <f>D67/D$26</f>
        <v/>
      </c>
      <c r="S67" s="28">
        <f>E67/E$26</f>
        <v/>
      </c>
      <c r="T67" s="28">
        <f>F67/F$26</f>
        <v/>
      </c>
      <c r="U67" s="28" t="n"/>
      <c r="V67">
        <f>O67</f>
        <v/>
      </c>
      <c r="W67" s="28">
        <f>B67/B37</f>
        <v/>
      </c>
      <c r="X67" s="28">
        <f>C67/C37</f>
        <v/>
      </c>
      <c r="Y67" s="28">
        <f>D67/D37</f>
        <v/>
      </c>
      <c r="Z67" s="28">
        <f>E67/E37</f>
        <v/>
      </c>
      <c r="AA67" s="28">
        <f>F67/F37</f>
        <v/>
      </c>
    </row>
    <row r="68" ht="18" customHeight="1">
      <c r="A68" t="inlineStr">
        <is>
          <t>meal</t>
        </is>
      </c>
      <c r="B68" s="6">
        <f>bkrcast_all!B68</f>
        <v/>
      </c>
      <c r="C68" s="6">
        <f>soundcast!C68</f>
        <v/>
      </c>
      <c r="D68" s="6">
        <f>bkrcast_all!C68</f>
        <v/>
      </c>
      <c r="E68" s="6">
        <f>bkrcast_inbkr!C68</f>
        <v/>
      </c>
      <c r="F68" s="6">
        <f>bkrcast_outbkr!C68</f>
        <v/>
      </c>
      <c r="G68" s="6" t="n"/>
      <c r="H68">
        <f>A68</f>
        <v/>
      </c>
      <c r="I68" s="20">
        <f>B68/B$71</f>
        <v/>
      </c>
      <c r="J68" s="20">
        <f>C68/C$71</f>
        <v/>
      </c>
      <c r="K68" s="20">
        <f>D68/D$71</f>
        <v/>
      </c>
      <c r="L68" s="20">
        <f>E68/E$71</f>
        <v/>
      </c>
      <c r="M68" s="20">
        <f>F68/F$71</f>
        <v/>
      </c>
      <c r="N68" s="20" t="n"/>
      <c r="O68">
        <f>H68</f>
        <v/>
      </c>
      <c r="P68" s="28">
        <f>B68/B$26</f>
        <v/>
      </c>
      <c r="Q68" s="28">
        <f>C68/C$26</f>
        <v/>
      </c>
      <c r="R68" s="28">
        <f>D68/D$26</f>
        <v/>
      </c>
      <c r="S68" s="28">
        <f>E68/E$26</f>
        <v/>
      </c>
      <c r="T68" s="28">
        <f>F68/F$26</f>
        <v/>
      </c>
      <c r="U68" s="28" t="n"/>
      <c r="V68">
        <f>O68</f>
        <v/>
      </c>
      <c r="W68" s="28">
        <f>B68/B38</f>
        <v/>
      </c>
      <c r="X68" s="28">
        <f>C68/C38</f>
        <v/>
      </c>
      <c r="Y68" s="28">
        <f>D68/D38</f>
        <v/>
      </c>
      <c r="Z68" s="28">
        <f>E68/E38</f>
        <v/>
      </c>
      <c r="AA68" s="28">
        <f>F68/F38</f>
        <v/>
      </c>
    </row>
    <row r="69" ht="18" customHeight="1">
      <c r="A69" t="inlineStr">
        <is>
          <t>soc/rec</t>
        </is>
      </c>
      <c r="B69" s="6">
        <f>bkrcast_all!B69</f>
        <v/>
      </c>
      <c r="C69" s="6">
        <f>soundcast!C69</f>
        <v/>
      </c>
      <c r="D69" s="6">
        <f>bkrcast_all!C69</f>
        <v/>
      </c>
      <c r="E69" s="6">
        <f>bkrcast_inbkr!C69</f>
        <v/>
      </c>
      <c r="F69" s="6">
        <f>bkrcast_outbkr!C69</f>
        <v/>
      </c>
      <c r="G69" s="6" t="n"/>
      <c r="H69">
        <f>A69</f>
        <v/>
      </c>
      <c r="I69" s="20">
        <f>B69/B$71</f>
        <v/>
      </c>
      <c r="J69" s="20">
        <f>C69/C$71</f>
        <v/>
      </c>
      <c r="K69" s="20">
        <f>D69/D$71</f>
        <v/>
      </c>
      <c r="L69" s="20">
        <f>E69/E$71</f>
        <v/>
      </c>
      <c r="M69" s="20">
        <f>F69/F$71</f>
        <v/>
      </c>
      <c r="N69" s="20" t="n"/>
      <c r="O69">
        <f>H69</f>
        <v/>
      </c>
      <c r="P69" s="28">
        <f>B69/B$26</f>
        <v/>
      </c>
      <c r="Q69" s="28">
        <f>C69/C$26</f>
        <v/>
      </c>
      <c r="R69" s="28">
        <f>D69/D$26</f>
        <v/>
      </c>
      <c r="S69" s="28">
        <f>E69/E$26</f>
        <v/>
      </c>
      <c r="T69" s="28">
        <f>F69/F$26</f>
        <v/>
      </c>
      <c r="U69" s="28" t="n"/>
      <c r="V69">
        <f>O69</f>
        <v/>
      </c>
      <c r="W69" s="28">
        <f>B69/B39</f>
        <v/>
      </c>
      <c r="X69" s="28">
        <f>C69/C39</f>
        <v/>
      </c>
      <c r="Y69" s="28">
        <f>D69/D39</f>
        <v/>
      </c>
      <c r="Z69" s="28">
        <f>E69/E39</f>
        <v/>
      </c>
      <c r="AA69" s="28">
        <f>F69/F39</f>
        <v/>
      </c>
    </row>
    <row r="70" ht="18" customHeight="1">
      <c r="A70" s="18" t="inlineStr">
        <is>
          <t>home</t>
        </is>
      </c>
      <c r="B70" s="6">
        <f>bkrcast_all!B70</f>
        <v/>
      </c>
      <c r="C70" s="6">
        <f>soundcast!C70</f>
        <v/>
      </c>
      <c r="D70" s="6">
        <f>bkrcast_all!C70</f>
        <v/>
      </c>
      <c r="E70" s="6">
        <f>bkrcast_inbkr!C70</f>
        <v/>
      </c>
      <c r="F70" s="6">
        <f>bkrcast_outbkr!C70</f>
        <v/>
      </c>
      <c r="G70" s="6" t="n"/>
      <c r="H70">
        <f>A70</f>
        <v/>
      </c>
      <c r="I70" s="21">
        <f>B70/B$71</f>
        <v/>
      </c>
      <c r="J70" s="21">
        <f>C70/C$71</f>
        <v/>
      </c>
      <c r="K70" s="21">
        <f>D70/D$71</f>
        <v/>
      </c>
      <c r="L70" s="21">
        <f>E70/E$71</f>
        <v/>
      </c>
      <c r="M70" s="21">
        <f>F70/F$71</f>
        <v/>
      </c>
      <c r="N70" s="20" t="n"/>
      <c r="O70">
        <f>H70</f>
        <v/>
      </c>
      <c r="P70" s="15">
        <f>B70/B$26</f>
        <v/>
      </c>
      <c r="Q70" s="15">
        <f>C70/C$26</f>
        <v/>
      </c>
      <c r="R70" s="15">
        <f>D70/D$26</f>
        <v/>
      </c>
      <c r="S70" s="15">
        <f>E70/E$26</f>
        <v/>
      </c>
      <c r="T70" s="15">
        <f>F70/F$26</f>
        <v/>
      </c>
      <c r="U70" s="28" t="n"/>
      <c r="V70">
        <f>O70</f>
        <v/>
      </c>
      <c r="W70" s="15" t="n"/>
      <c r="X70" s="15" t="n"/>
      <c r="Y70" s="15" t="n"/>
      <c r="Z70" s="15" t="n"/>
      <c r="AA70" s="15" t="n"/>
    </row>
    <row r="71" ht="18" customHeight="1">
      <c r="A71" s="7" t="inlineStr">
        <is>
          <t>Total</t>
        </is>
      </c>
      <c r="B71" s="8">
        <f>bkrcast_all!B71</f>
        <v/>
      </c>
      <c r="C71" s="8">
        <f>soundcast!C71</f>
        <v/>
      </c>
      <c r="D71" s="8">
        <f>bkrcast_all!C71</f>
        <v/>
      </c>
      <c r="E71" s="8">
        <f>bkrcast_inbkr!C71</f>
        <v/>
      </c>
      <c r="F71" s="8">
        <f>bkrcast_outbkr!C71</f>
        <v/>
      </c>
      <c r="G71" s="6" t="n"/>
      <c r="H71" s="7" t="inlineStr">
        <is>
          <t>Total</t>
        </is>
      </c>
      <c r="I71" s="23">
        <f>B71/B$71</f>
        <v/>
      </c>
      <c r="J71" s="23">
        <f>C71/C$71</f>
        <v/>
      </c>
      <c r="K71" s="23">
        <f>D71/D$71</f>
        <v/>
      </c>
      <c r="L71" s="23">
        <f>E71/E$71</f>
        <v/>
      </c>
      <c r="M71" s="23">
        <f>F71/F$71</f>
        <v/>
      </c>
      <c r="N71" s="20" t="n"/>
      <c r="O71" s="7">
        <f>H71</f>
        <v/>
      </c>
      <c r="P71" s="17">
        <f>B71/B$26</f>
        <v/>
      </c>
      <c r="Q71" s="17">
        <f>C71/C$26</f>
        <v/>
      </c>
      <c r="R71" s="17">
        <f>D71/D$26</f>
        <v/>
      </c>
      <c r="S71" s="17">
        <f>E71/E$26</f>
        <v/>
      </c>
      <c r="T71" s="17">
        <f>F71/F$26</f>
        <v/>
      </c>
      <c r="U71" s="28" t="n"/>
      <c r="V71" s="7">
        <f>O71</f>
        <v/>
      </c>
      <c r="W71" s="17">
        <f>B71/B41</f>
        <v/>
      </c>
      <c r="X71" s="17">
        <f>C71/C41</f>
        <v/>
      </c>
      <c r="Y71" s="17">
        <f>D71/D41</f>
        <v/>
      </c>
      <c r="Z71" s="17">
        <f>E71/E41</f>
        <v/>
      </c>
      <c r="AA71" s="17">
        <f>F71/F41</f>
        <v/>
      </c>
    </row>
    <row r="72" ht="18" customHeight="1"/>
    <row r="73" ht="18" customHeight="1"/>
    <row r="74" ht="18" customHeight="1"/>
    <row r="75" ht="18" customHeight="1">
      <c r="A75" s="1" t="inlineStr">
        <is>
          <t>TABLE 9. TRIPS BY PERSONTYPE</t>
        </is>
      </c>
      <c r="O75" s="1" t="inlineStr">
        <is>
          <t>TABLE 10. TRIP RATES BY PERSONTYPE  (Total trips/total person for person type)</t>
        </is>
      </c>
    </row>
    <row r="76" ht="18" customHeight="1">
      <c r="B76" s="2" t="n"/>
      <c r="C76" s="2" t="n"/>
      <c r="D76" s="2" t="n"/>
      <c r="E76" s="2" t="n"/>
      <c r="F76" s="2" t="n"/>
      <c r="I76" s="2" t="n"/>
      <c r="J76" s="2" t="n"/>
      <c r="K76" s="2" t="n"/>
      <c r="L76" s="2" t="n"/>
      <c r="M76" s="2" t="n"/>
      <c r="P76" s="2" t="n"/>
      <c r="Q76" s="2" t="n"/>
      <c r="R76" s="2" t="n"/>
      <c r="S76" s="2" t="n"/>
      <c r="T76" s="2" t="n"/>
    </row>
    <row r="77" ht="18" customHeight="1">
      <c r="A77" s="3" t="inlineStr">
        <is>
          <t>Persontype</t>
        </is>
      </c>
      <c r="B77" s="4" t="inlineStr">
        <is>
          <t>ExpandSurv</t>
        </is>
      </c>
      <c r="C77" s="4" t="inlineStr">
        <is>
          <t>SoundCast</t>
        </is>
      </c>
      <c r="D77" s="4" t="inlineStr">
        <is>
          <t>BKRCast (All)</t>
        </is>
      </c>
      <c r="E77" s="4" t="inlineStr">
        <is>
          <t>BKRCast (InBKR)</t>
        </is>
      </c>
      <c r="F77" s="4" t="inlineStr">
        <is>
          <t>BKRCast (OutBKR)</t>
        </is>
      </c>
      <c r="G77" s="27" t="n"/>
      <c r="H77" s="3" t="inlineStr">
        <is>
          <t>Persontype</t>
        </is>
      </c>
      <c r="I77" s="4" t="inlineStr">
        <is>
          <t>ExpandSurv</t>
        </is>
      </c>
      <c r="J77" s="4" t="inlineStr">
        <is>
          <t>SoundCast</t>
        </is>
      </c>
      <c r="K77" s="4" t="inlineStr">
        <is>
          <t>BKRCast (All)</t>
        </is>
      </c>
      <c r="L77" s="4" t="inlineStr">
        <is>
          <t>BKRCast (InBKR)</t>
        </is>
      </c>
      <c r="M77" s="4" t="inlineStr">
        <is>
          <t>BKRCast (OutBKR)</t>
        </is>
      </c>
      <c r="N77" s="27" t="n"/>
      <c r="O77" s="3">
        <f>H77</f>
        <v/>
      </c>
      <c r="P77" s="4" t="inlineStr">
        <is>
          <t>ExpandSurv</t>
        </is>
      </c>
      <c r="Q77" s="4" t="inlineStr">
        <is>
          <t>SoundCast</t>
        </is>
      </c>
      <c r="R77" s="4" t="inlineStr">
        <is>
          <t>BKRCast (All)</t>
        </is>
      </c>
      <c r="S77" s="4" t="inlineStr">
        <is>
          <t>BKRCast (InBKR)</t>
        </is>
      </c>
      <c r="T77" s="4" t="inlineStr">
        <is>
          <t>BKRCast (OutBKR)</t>
        </is>
      </c>
      <c r="U77" s="27" t="n"/>
    </row>
    <row r="78" ht="18" customHeight="1">
      <c r="A78" t="inlineStr">
        <is>
          <t>ft worker</t>
        </is>
      </c>
      <c r="B78" s="6">
        <f>bkrcast_all!B78</f>
        <v/>
      </c>
      <c r="C78" s="6">
        <f>soundcast!C78</f>
        <v/>
      </c>
      <c r="D78" s="6">
        <f>bkrcast_all!C78</f>
        <v/>
      </c>
      <c r="E78" s="6">
        <f>bkrcast_inbkr!C78</f>
        <v/>
      </c>
      <c r="F78" s="6">
        <f>bkrcast_outbkr!C78</f>
        <v/>
      </c>
      <c r="G78" s="6" t="n"/>
      <c r="H78">
        <f>A78</f>
        <v/>
      </c>
      <c r="I78" s="25">
        <f>B78/B$86</f>
        <v/>
      </c>
      <c r="J78" s="25">
        <f>C78/C$86</f>
        <v/>
      </c>
      <c r="K78" s="25">
        <f>D78/D$86</f>
        <v/>
      </c>
      <c r="L78" s="25">
        <f>E78/E$86</f>
        <v/>
      </c>
      <c r="M78" s="25">
        <f>F78/F$86</f>
        <v/>
      </c>
      <c r="N78" s="20" t="n"/>
      <c r="O78">
        <f>H78</f>
        <v/>
      </c>
      <c r="P78" s="28">
        <f>B78/B18</f>
        <v/>
      </c>
      <c r="Q78" s="28">
        <f>C78/C18</f>
        <v/>
      </c>
      <c r="R78" s="28">
        <f>D78/D18</f>
        <v/>
      </c>
      <c r="S78" s="28">
        <f>E78/E18</f>
        <v/>
      </c>
      <c r="T78" s="28">
        <f>F78/F18</f>
        <v/>
      </c>
      <c r="U78" s="28" t="n"/>
    </row>
    <row r="79" ht="18" customHeight="1">
      <c r="A79" t="inlineStr">
        <is>
          <t>pt worker</t>
        </is>
      </c>
      <c r="B79" s="6">
        <f>bkrcast_all!B79</f>
        <v/>
      </c>
      <c r="C79" s="6">
        <f>soundcast!C79</f>
        <v/>
      </c>
      <c r="D79" s="6">
        <f>bkrcast_all!C79</f>
        <v/>
      </c>
      <c r="E79" s="6">
        <f>bkrcast_inbkr!C79</f>
        <v/>
      </c>
      <c r="F79" s="6">
        <f>bkrcast_outbkr!C79</f>
        <v/>
      </c>
      <c r="G79" s="6" t="n"/>
      <c r="H79">
        <f>A79</f>
        <v/>
      </c>
      <c r="I79" s="20">
        <f>B79/B$86</f>
        <v/>
      </c>
      <c r="J79" s="20">
        <f>C79/C$86</f>
        <v/>
      </c>
      <c r="K79" s="20">
        <f>D79/D$86</f>
        <v/>
      </c>
      <c r="L79" s="20">
        <f>E79/E$86</f>
        <v/>
      </c>
      <c r="M79" s="20">
        <f>F79/F$86</f>
        <v/>
      </c>
      <c r="N79" s="20" t="n"/>
      <c r="O79">
        <f>H79</f>
        <v/>
      </c>
      <c r="P79" s="28">
        <f>B79/B19</f>
        <v/>
      </c>
      <c r="Q79" s="28">
        <f>C79/C19</f>
        <v/>
      </c>
      <c r="R79" s="28">
        <f>D79/D19</f>
        <v/>
      </c>
      <c r="S79" s="28">
        <f>E79/E19</f>
        <v/>
      </c>
      <c r="T79" s="28">
        <f>F79/F19</f>
        <v/>
      </c>
      <c r="U79" s="28" t="n"/>
    </row>
    <row r="80" ht="18" customHeight="1">
      <c r="A80" t="inlineStr">
        <is>
          <t>retired</t>
        </is>
      </c>
      <c r="B80" s="6">
        <f>bkrcast_all!B80</f>
        <v/>
      </c>
      <c r="C80" s="6">
        <f>soundcast!C80</f>
        <v/>
      </c>
      <c r="D80" s="6">
        <f>bkrcast_all!C80</f>
        <v/>
      </c>
      <c r="E80" s="6">
        <f>bkrcast_inbkr!C80</f>
        <v/>
      </c>
      <c r="F80" s="6">
        <f>bkrcast_outbkr!C80</f>
        <v/>
      </c>
      <c r="G80" s="6" t="n"/>
      <c r="H80">
        <f>A80</f>
        <v/>
      </c>
      <c r="I80" s="20">
        <f>B80/B$86</f>
        <v/>
      </c>
      <c r="J80" s="20">
        <f>C80/C$86</f>
        <v/>
      </c>
      <c r="K80" s="20">
        <f>D80/D$86</f>
        <v/>
      </c>
      <c r="L80" s="20">
        <f>E80/E$86</f>
        <v/>
      </c>
      <c r="M80" s="20">
        <f>F80/F$86</f>
        <v/>
      </c>
      <c r="N80" s="20" t="n"/>
      <c r="O80">
        <f>H80</f>
        <v/>
      </c>
      <c r="P80" s="28">
        <f>B80/B20</f>
        <v/>
      </c>
      <c r="Q80" s="28">
        <f>C80/C20</f>
        <v/>
      </c>
      <c r="R80" s="28">
        <f>D80/D20</f>
        <v/>
      </c>
      <c r="S80" s="28">
        <f>E80/E20</f>
        <v/>
      </c>
      <c r="T80" s="28">
        <f>F80/F20</f>
        <v/>
      </c>
      <c r="U80" s="28" t="n"/>
    </row>
    <row r="81" ht="18" customHeight="1">
      <c r="A81" t="inlineStr">
        <is>
          <t>nonworker</t>
        </is>
      </c>
      <c r="B81" s="6">
        <f>bkrcast_all!B81</f>
        <v/>
      </c>
      <c r="C81" s="6">
        <f>soundcast!C81</f>
        <v/>
      </c>
      <c r="D81" s="6">
        <f>bkrcast_all!C81</f>
        <v/>
      </c>
      <c r="E81" s="6">
        <f>bkrcast_inbkr!C81</f>
        <v/>
      </c>
      <c r="F81" s="6">
        <f>bkrcast_outbkr!C81</f>
        <v/>
      </c>
      <c r="G81" s="6" t="n"/>
      <c r="H81">
        <f>A81</f>
        <v/>
      </c>
      <c r="I81" s="20">
        <f>B81/B$86</f>
        <v/>
      </c>
      <c r="J81" s="20">
        <f>C81/C$86</f>
        <v/>
      </c>
      <c r="K81" s="20">
        <f>D81/D$86</f>
        <v/>
      </c>
      <c r="L81" s="20">
        <f>E81/E$86</f>
        <v/>
      </c>
      <c r="M81" s="20">
        <f>F81/F$86</f>
        <v/>
      </c>
      <c r="N81" s="20" t="n"/>
      <c r="O81">
        <f>H81</f>
        <v/>
      </c>
      <c r="P81" s="28">
        <f>B81/B21</f>
        <v/>
      </c>
      <c r="Q81" s="28">
        <f>C81/C21</f>
        <v/>
      </c>
      <c r="R81" s="28">
        <f>D81/D21</f>
        <v/>
      </c>
      <c r="S81" s="28">
        <f>E81/E21</f>
        <v/>
      </c>
      <c r="T81" s="28">
        <f>F81/F21</f>
        <v/>
      </c>
      <c r="U81" s="28" t="n"/>
    </row>
    <row r="82" ht="18" customHeight="1">
      <c r="A82" t="inlineStr">
        <is>
          <t>univ.stud</t>
        </is>
      </c>
      <c r="B82" s="6">
        <f>bkrcast_all!B82</f>
        <v/>
      </c>
      <c r="C82" s="6">
        <f>soundcast!C82</f>
        <v/>
      </c>
      <c r="D82" s="6">
        <f>bkrcast_all!C82</f>
        <v/>
      </c>
      <c r="E82" s="6">
        <f>bkrcast_inbkr!C82</f>
        <v/>
      </c>
      <c r="F82" s="6">
        <f>bkrcast_outbkr!C82</f>
        <v/>
      </c>
      <c r="G82" s="6" t="n"/>
      <c r="H82">
        <f>A82</f>
        <v/>
      </c>
      <c r="I82" s="20">
        <f>B82/B$86</f>
        <v/>
      </c>
      <c r="J82" s="20">
        <f>C82/C$86</f>
        <v/>
      </c>
      <c r="K82" s="20">
        <f>D82/D$86</f>
        <v/>
      </c>
      <c r="L82" s="20">
        <f>E82/E$86</f>
        <v/>
      </c>
      <c r="M82" s="20">
        <f>F82/F$86</f>
        <v/>
      </c>
      <c r="N82" s="20" t="n"/>
      <c r="O82">
        <f>H82</f>
        <v/>
      </c>
      <c r="P82" s="28">
        <f>B82/B22</f>
        <v/>
      </c>
      <c r="Q82" s="28">
        <f>C82/C22</f>
        <v/>
      </c>
      <c r="R82" s="28">
        <f>D82/D22</f>
        <v/>
      </c>
      <c r="S82" s="28">
        <f>E82/E22</f>
        <v/>
      </c>
      <c r="T82" s="28">
        <f>F82/F22</f>
        <v/>
      </c>
      <c r="U82" s="28" t="n"/>
    </row>
    <row r="83" ht="18" customHeight="1">
      <c r="A83" t="inlineStr">
        <is>
          <t>stud 16+</t>
        </is>
      </c>
      <c r="B83" s="6">
        <f>bkrcast_all!B83</f>
        <v/>
      </c>
      <c r="C83" s="6">
        <f>soundcast!C83</f>
        <v/>
      </c>
      <c r="D83" s="6">
        <f>bkrcast_all!C83</f>
        <v/>
      </c>
      <c r="E83" s="6">
        <f>bkrcast_inbkr!C83</f>
        <v/>
      </c>
      <c r="F83" s="6">
        <f>bkrcast_outbkr!C83</f>
        <v/>
      </c>
      <c r="G83" s="6" t="n"/>
      <c r="H83">
        <f>A83</f>
        <v/>
      </c>
      <c r="I83" s="20">
        <f>B83/B$86</f>
        <v/>
      </c>
      <c r="J83" s="20">
        <f>C83/C$86</f>
        <v/>
      </c>
      <c r="K83" s="20">
        <f>D83/D$86</f>
        <v/>
      </c>
      <c r="L83" s="20">
        <f>E83/E$86</f>
        <v/>
      </c>
      <c r="M83" s="20">
        <f>F83/F$86</f>
        <v/>
      </c>
      <c r="N83" s="20" t="n"/>
      <c r="O83">
        <f>H83</f>
        <v/>
      </c>
      <c r="P83" s="28">
        <f>B83/B23</f>
        <v/>
      </c>
      <c r="Q83" s="28">
        <f>C83/C23</f>
        <v/>
      </c>
      <c r="R83" s="28">
        <f>D83/D23</f>
        <v/>
      </c>
      <c r="S83" s="28">
        <f>E83/E23</f>
        <v/>
      </c>
      <c r="T83" s="28">
        <f>F83/F23</f>
        <v/>
      </c>
      <c r="U83" s="28" t="n"/>
    </row>
    <row r="84" ht="18" customHeight="1">
      <c r="A84" t="inlineStr">
        <is>
          <t>stud.5-15</t>
        </is>
      </c>
      <c r="B84" s="6">
        <f>bkrcast_all!B84</f>
        <v/>
      </c>
      <c r="C84" s="6">
        <f>soundcast!C84</f>
        <v/>
      </c>
      <c r="D84" s="6">
        <f>bkrcast_all!C84</f>
        <v/>
      </c>
      <c r="E84" s="6">
        <f>bkrcast_inbkr!C84</f>
        <v/>
      </c>
      <c r="F84" s="6">
        <f>bkrcast_outbkr!C84</f>
        <v/>
      </c>
      <c r="G84" s="6" t="n"/>
      <c r="H84">
        <f>A84</f>
        <v/>
      </c>
      <c r="I84" s="20">
        <f>B84/B$86</f>
        <v/>
      </c>
      <c r="J84" s="20">
        <f>C84/C$86</f>
        <v/>
      </c>
      <c r="K84" s="20">
        <f>D84/D$86</f>
        <v/>
      </c>
      <c r="L84" s="20">
        <f>E84/E$86</f>
        <v/>
      </c>
      <c r="M84" s="20">
        <f>F84/F$86</f>
        <v/>
      </c>
      <c r="N84" s="20" t="n"/>
      <c r="O84">
        <f>H84</f>
        <v/>
      </c>
      <c r="P84" s="28">
        <f>B84/B24</f>
        <v/>
      </c>
      <c r="Q84" s="28">
        <f>C84/C24</f>
        <v/>
      </c>
      <c r="R84" s="28">
        <f>D84/D24</f>
        <v/>
      </c>
      <c r="S84" s="28">
        <f>E84/E24</f>
        <v/>
      </c>
      <c r="T84" s="28">
        <f>F84/F24</f>
        <v/>
      </c>
      <c r="U84" s="28" t="n"/>
    </row>
    <row r="85" ht="18" customHeight="1">
      <c r="A85" t="inlineStr">
        <is>
          <t>under 5</t>
        </is>
      </c>
      <c r="B85" s="6">
        <f>bkrcast_all!B85</f>
        <v/>
      </c>
      <c r="C85" s="6">
        <f>soundcast!C85</f>
        <v/>
      </c>
      <c r="D85" s="6">
        <f>bkrcast_all!C85</f>
        <v/>
      </c>
      <c r="E85" s="6">
        <f>bkrcast_inbkr!C85</f>
        <v/>
      </c>
      <c r="F85" s="6">
        <f>bkrcast_outbkr!C85</f>
        <v/>
      </c>
      <c r="G85" s="6" t="n"/>
      <c r="H85">
        <f>A85</f>
        <v/>
      </c>
      <c r="I85" s="21">
        <f>B85/B$86</f>
        <v/>
      </c>
      <c r="J85" s="21">
        <f>C85/C$86</f>
        <v/>
      </c>
      <c r="K85" s="21">
        <f>D85/D$86</f>
        <v/>
      </c>
      <c r="L85" s="21">
        <f>E85/E$86</f>
        <v/>
      </c>
      <c r="M85" s="21">
        <f>F85/F$86</f>
        <v/>
      </c>
      <c r="N85" s="20" t="n"/>
      <c r="O85">
        <f>H85</f>
        <v/>
      </c>
      <c r="P85" s="15">
        <f>B85/B25</f>
        <v/>
      </c>
      <c r="Q85" s="15">
        <f>C85/C25</f>
        <v/>
      </c>
      <c r="R85" s="15">
        <f>D85/D25</f>
        <v/>
      </c>
      <c r="S85" s="15">
        <f>E85/E25</f>
        <v/>
      </c>
      <c r="T85" s="15">
        <f>F85/F25</f>
        <v/>
      </c>
      <c r="U85" s="28" t="n"/>
    </row>
    <row r="86" ht="18" customHeight="1">
      <c r="A86" s="7" t="inlineStr">
        <is>
          <t>Total</t>
        </is>
      </c>
      <c r="B86" s="8">
        <f>bkrcast_all!B86</f>
        <v/>
      </c>
      <c r="C86" s="8">
        <f>soundcast!C86</f>
        <v/>
      </c>
      <c r="D86" s="8">
        <f>bkrcast_all!C86</f>
        <v/>
      </c>
      <c r="E86" s="8">
        <f>bkrcast_inbkr!C86</f>
        <v/>
      </c>
      <c r="F86" s="8">
        <f>bkrcast_outbkr!C86</f>
        <v/>
      </c>
      <c r="G86" s="6" t="n"/>
      <c r="H86" s="7" t="inlineStr">
        <is>
          <t>Total</t>
        </is>
      </c>
      <c r="I86" s="23">
        <f>B86/B$86</f>
        <v/>
      </c>
      <c r="J86" s="23">
        <f>C86/C$86</f>
        <v/>
      </c>
      <c r="K86" s="23">
        <f>D86/D$86</f>
        <v/>
      </c>
      <c r="L86" s="23">
        <f>E86/E$86</f>
        <v/>
      </c>
      <c r="M86" s="23">
        <f>F86/F$86</f>
        <v/>
      </c>
      <c r="N86" s="20" t="n"/>
      <c r="O86" s="7">
        <f>H86</f>
        <v/>
      </c>
      <c r="P86" s="17">
        <f>B86/B26</f>
        <v/>
      </c>
      <c r="Q86" s="17">
        <f>C86/C26</f>
        <v/>
      </c>
      <c r="R86" s="17">
        <f>D86/D26</f>
        <v/>
      </c>
      <c r="S86" s="17">
        <f>E86/E26</f>
        <v/>
      </c>
      <c r="T86" s="17">
        <f>F86/F26</f>
        <v/>
      </c>
      <c r="U86" s="28" t="n"/>
      <c r="V86" s="28" t="n"/>
    </row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86"/>
  <sheetViews>
    <sheetView zoomScale="85" zoomScaleNormal="85" workbookViewId="0">
      <selection activeCell="G9" sqref="G9"/>
    </sheetView>
  </sheetViews>
  <sheetFormatPr baseColWidth="8" defaultColWidth="10.75" defaultRowHeight="12.75"/>
  <cols>
    <col collapsed="1" width="17.75" customWidth="1" style="26" min="1" max="1"/>
    <col collapsed="1" width="12.625" customWidth="1" style="26" min="2" max="5"/>
    <col collapsed="1" width="4.875" customWidth="1" style="26" min="6" max="6"/>
    <col collapsed="1" width="10.75" customWidth="1" style="26" min="7" max="18"/>
    <col collapsed="1" width="10.75" customWidth="1" style="26" min="19" max="16384"/>
  </cols>
  <sheetData>
    <row r="1" ht="18" customHeight="1">
      <c r="A1" s="1" t="inlineStr">
        <is>
          <t>TABLE 1. HH POPULATION BY COUNTY</t>
        </is>
      </c>
    </row>
    <row r="2" ht="18" customHeight="1">
      <c r="B2" s="2" t="n"/>
      <c r="C2" s="2" t="n"/>
    </row>
    <row r="3" ht="18" customHeight="1">
      <c r="A3" s="3" t="inlineStr">
        <is>
          <t>County</t>
        </is>
      </c>
      <c r="B3" s="4" t="inlineStr">
        <is>
          <t>ExpandSurv</t>
        </is>
      </c>
      <c r="C3" s="4" t="inlineStr">
        <is>
          <t>SynthPop</t>
        </is>
      </c>
    </row>
    <row r="4" ht="18" customHeight="1">
      <c r="A4" s="5" t="inlineStr">
        <is>
          <t>Bellevue</t>
        </is>
      </c>
      <c r="B4" s="6" t="n">
        <v>420266.7632</v>
      </c>
      <c r="C4" s="6" t="n">
        <v>984095</v>
      </c>
    </row>
    <row r="5" ht="18" customHeight="1">
      <c r="A5" s="5" t="inlineStr">
        <is>
          <t>Bellevue Downtown</t>
        </is>
      </c>
      <c r="B5" s="6" t="n">
        <v>243110.4183</v>
      </c>
      <c r="C5" s="6" t="n">
        <v>2237</v>
      </c>
    </row>
    <row r="6" ht="18" customHeight="1">
      <c r="A6" s="5" t="inlineStr">
        <is>
          <t>Kirkland</t>
        </is>
      </c>
      <c r="B6" s="6" t="n">
        <v>799227.3633</v>
      </c>
      <c r="C6" s="6" t="n">
        <v>5271</v>
      </c>
    </row>
    <row r="7" ht="18" customHeight="1">
      <c r="A7" s="5" t="inlineStr">
        <is>
          <t>Redmond</t>
        </is>
      </c>
      <c r="B7" s="6" t="n">
        <v>832721.3590000001</v>
      </c>
      <c r="C7" s="6" t="n">
        <v>75317</v>
      </c>
    </row>
    <row r="8" ht="18" customHeight="1">
      <c r="A8" s="5" t="inlineStr">
        <is>
          <t>Seattle</t>
        </is>
      </c>
      <c r="B8" s="6" t="n">
        <v>690771.3412</v>
      </c>
      <c r="C8" s="6" t="n">
        <v>52803</v>
      </c>
    </row>
    <row r="9" ht="18" customHeight="1">
      <c r="A9" s="5" t="inlineStr">
        <is>
          <t>Seattle Downtown</t>
        </is>
      </c>
      <c r="B9" s="6" t="n">
        <v>722420.7216</v>
      </c>
      <c r="C9" s="6" t="n">
        <v>13735</v>
      </c>
    </row>
    <row r="10" ht="18" customHeight="1">
      <c r="A10" s="5" t="inlineStr">
        <is>
          <t>Rest</t>
        </is>
      </c>
      <c r="B10" s="6" t="n">
        <v>2597479.8622</v>
      </c>
      <c r="C10" s="6" t="n">
        <v>2656912.428020981</v>
      </c>
    </row>
    <row r="11" ht="18" customHeight="1">
      <c r="A11" s="7" t="inlineStr">
        <is>
          <t>Total</t>
        </is>
      </c>
      <c r="B11" s="8" t="n">
        <v>6305997.8288</v>
      </c>
      <c r="C11" s="8" t="n">
        <v>3790370.428020981</v>
      </c>
    </row>
    <row r="12" ht="18" customHeight="1"/>
    <row r="13" ht="18" customHeight="1"/>
    <row r="14" ht="18" customHeight="1">
      <c r="I14" s="27" t="n"/>
    </row>
    <row r="15" ht="18" customHeight="1">
      <c r="A15" s="1" t="inlineStr">
        <is>
          <t>TABLE 2. POPULATION BY PERSONTYPE</t>
        </is>
      </c>
    </row>
    <row r="16" ht="18" customHeight="1">
      <c r="B16" s="2" t="n"/>
      <c r="C16" s="2" t="n"/>
      <c r="D16" s="2" t="n"/>
      <c r="E16" s="2" t="n"/>
    </row>
    <row r="17" ht="18" customHeight="1">
      <c r="A17" s="3" t="inlineStr">
        <is>
          <t>Persontype</t>
        </is>
      </c>
      <c r="B17" s="4" t="inlineStr">
        <is>
          <t>ExpandSurv</t>
        </is>
      </c>
      <c r="C17" s="4" t="inlineStr">
        <is>
          <t>SynthPop</t>
        </is>
      </c>
      <c r="D17" s="4" t="inlineStr">
        <is>
          <t>Diff</t>
        </is>
      </c>
      <c r="E17" s="4" t="inlineStr">
        <is>
          <t>% Diff</t>
        </is>
      </c>
      <c r="G17" s="27" t="n"/>
      <c r="H17" s="27" t="n"/>
      <c r="J17" s="27" t="n"/>
      <c r="K17" s="27" t="n"/>
    </row>
    <row r="18" ht="18" customHeight="1">
      <c r="A18" s="5" t="inlineStr">
        <is>
          <t>ft worker</t>
        </is>
      </c>
      <c r="B18" s="6" t="n">
        <v>1412589.7424</v>
      </c>
      <c r="C18" s="6" t="n">
        <v>1411760</v>
      </c>
      <c r="D18" s="6" t="n">
        <v>-829.7424000001047</v>
      </c>
      <c r="E18" s="9" t="n">
        <v>-0.0005873909282325428</v>
      </c>
      <c r="G18" s="6" t="n"/>
      <c r="H18" s="10" t="n"/>
      <c r="J18" s="6" t="n"/>
      <c r="K18" s="10" t="n"/>
    </row>
    <row r="19" ht="18" customHeight="1">
      <c r="A19" s="5" t="inlineStr">
        <is>
          <t>pt worker</t>
        </is>
      </c>
      <c r="B19" s="6" t="n">
        <v>340955.6821</v>
      </c>
      <c r="C19" s="6" t="n">
        <v>332809</v>
      </c>
      <c r="D19" s="6" t="n">
        <v>-8146.682099999976</v>
      </c>
      <c r="E19" s="9" t="n">
        <v>-0.02389366867219597</v>
      </c>
      <c r="G19" s="6" t="n"/>
      <c r="H19" s="10" t="n"/>
      <c r="J19" s="6" t="n"/>
      <c r="K19" s="10" t="n"/>
    </row>
    <row r="20" ht="18" customHeight="1">
      <c r="A20" s="5" t="inlineStr">
        <is>
          <t>retired</t>
        </is>
      </c>
      <c r="B20" s="6" t="n">
        <v>385091.9784</v>
      </c>
      <c r="C20" s="6" t="n">
        <v>391819</v>
      </c>
      <c r="D20" s="6" t="n">
        <v>6727.021599999978</v>
      </c>
      <c r="E20" s="9" t="n">
        <v>0.01746861003947616</v>
      </c>
      <c r="G20" s="6" t="n"/>
      <c r="H20" s="10" t="n"/>
      <c r="J20" s="6" t="n"/>
      <c r="K20" s="10" t="n"/>
    </row>
    <row r="21" ht="18" customHeight="1">
      <c r="A21" s="5" t="inlineStr">
        <is>
          <t>nonworker</t>
        </is>
      </c>
      <c r="B21" s="6" t="n">
        <v>592288.6684</v>
      </c>
      <c r="C21" s="6" t="n">
        <v>574329</v>
      </c>
      <c r="D21" s="6" t="n">
        <v>-17959.66839999997</v>
      </c>
      <c r="E21" s="9" t="n">
        <v>-0.03032249198438314</v>
      </c>
      <c r="G21" s="6" t="n"/>
      <c r="H21" s="10" t="n"/>
      <c r="J21" s="6" t="n"/>
      <c r="K21" s="10" t="n"/>
    </row>
    <row r="22" ht="18" customHeight="1">
      <c r="A22" s="5" t="inlineStr">
        <is>
          <t>uinv.stud</t>
        </is>
      </c>
      <c r="B22" s="6" t="n">
        <v>111478.9356</v>
      </c>
      <c r="C22" s="6" t="n">
        <v>174398</v>
      </c>
      <c r="D22" s="6" t="n">
        <v>62919.0644</v>
      </c>
      <c r="E22" s="9" t="n">
        <v>0.56440316783936</v>
      </c>
      <c r="G22" s="6" t="n"/>
      <c r="H22" s="10" t="n"/>
      <c r="J22" s="6" t="n"/>
      <c r="K22" s="10" t="n"/>
    </row>
    <row r="23" ht="18" customHeight="1">
      <c r="A23" s="5" t="inlineStr">
        <is>
          <t>stud 16+</t>
        </is>
      </c>
      <c r="B23" s="6" t="n">
        <v>78499.5442</v>
      </c>
      <c r="C23" s="6" t="n">
        <v>119864</v>
      </c>
      <c r="D23" s="6" t="n">
        <v>41364.4558</v>
      </c>
      <c r="E23" s="9" t="n">
        <v>0.5269388022765105</v>
      </c>
      <c r="G23" s="6" t="n"/>
      <c r="H23" s="10" t="n"/>
      <c r="J23" s="6" t="n"/>
      <c r="K23" s="10" t="n"/>
    </row>
    <row r="24" ht="18" customHeight="1">
      <c r="A24" s="5" t="inlineStr">
        <is>
          <t>stud.5-15</t>
        </is>
      </c>
      <c r="B24" s="6" t="n">
        <v>515915.9259</v>
      </c>
      <c r="C24" s="6" t="n">
        <v>506232</v>
      </c>
      <c r="D24" s="6" t="n">
        <v>-9683.925899999973</v>
      </c>
      <c r="E24" s="9" t="n">
        <v>-0.01877035659076942</v>
      </c>
      <c r="G24" s="6" t="n"/>
      <c r="H24" s="10" t="n"/>
      <c r="J24" s="6" t="n"/>
      <c r="K24" s="10" t="n"/>
    </row>
    <row r="25" ht="18" customHeight="1">
      <c r="A25" s="5" t="inlineStr">
        <is>
          <t>under 5</t>
        </is>
      </c>
      <c r="B25" s="11" t="n">
        <v>271697.4896</v>
      </c>
      <c r="C25" s="11" t="n">
        <v>234202</v>
      </c>
      <c r="D25" s="11" t="n">
        <v>-37495.48960000003</v>
      </c>
      <c r="E25" s="12" t="n">
        <v>-0.138004549306664</v>
      </c>
      <c r="G25" s="6" t="n"/>
      <c r="H25" s="9" t="n"/>
      <c r="J25" s="6" t="n"/>
      <c r="K25" s="9" t="n"/>
    </row>
    <row r="26" ht="18" customHeight="1">
      <c r="A26" s="7" t="inlineStr">
        <is>
          <t>Total</t>
        </is>
      </c>
      <c r="B26" s="13" t="n">
        <v>3708517.9666</v>
      </c>
      <c r="C26" s="13" t="n">
        <v>3745413</v>
      </c>
      <c r="D26" s="13" t="n">
        <v>36895.03340000007</v>
      </c>
      <c r="E26" s="14" t="n">
        <v>0.009948727155237634</v>
      </c>
      <c r="G26" s="6" t="n"/>
      <c r="H26" s="9" t="n"/>
      <c r="J26" s="6" t="n"/>
      <c r="K26" s="9" t="n"/>
    </row>
    <row r="27" ht="18" customHeight="1"/>
    <row r="28" ht="18" customHeight="1"/>
    <row r="29" ht="18" customHeight="1"/>
    <row r="30" ht="18" customHeight="1">
      <c r="A30" s="1" t="inlineStr">
        <is>
          <t>TABLE 3. TOURS BY PURPOSE</t>
        </is>
      </c>
      <c r="G30" s="1" t="inlineStr">
        <is>
          <t>TABLE 4. TOUR RATES BY PUPROSE (Total tours for purpose/total person)</t>
        </is>
      </c>
    </row>
    <row r="31" ht="18" customHeight="1">
      <c r="B31" s="2" t="n"/>
      <c r="C31" s="2" t="n"/>
      <c r="D31" s="2" t="n"/>
      <c r="E31" s="2" t="n"/>
      <c r="G31" s="2" t="n"/>
      <c r="H31" s="2" t="n"/>
      <c r="I31" s="2" t="n"/>
      <c r="J31" s="2" t="n"/>
    </row>
    <row r="32" ht="18" customHeight="1">
      <c r="A32" s="3" t="inlineStr">
        <is>
          <t>Purpose</t>
        </is>
      </c>
      <c r="B32" s="4" t="inlineStr">
        <is>
          <t>ExpandSurv</t>
        </is>
      </c>
      <c r="C32" s="4" t="inlineStr">
        <is>
          <t>SynthPop</t>
        </is>
      </c>
      <c r="D32" s="4" t="inlineStr">
        <is>
          <t>Diff</t>
        </is>
      </c>
      <c r="E32" s="4" t="inlineStr">
        <is>
          <t>% Diff</t>
        </is>
      </c>
      <c r="G32" s="4" t="inlineStr">
        <is>
          <t>ExpandSurv</t>
        </is>
      </c>
      <c r="H32" s="4" t="inlineStr">
        <is>
          <t>SynthPop</t>
        </is>
      </c>
      <c r="I32" s="4" t="inlineStr">
        <is>
          <t>Diff</t>
        </is>
      </c>
      <c r="J32" s="4" t="inlineStr">
        <is>
          <t>% Diff</t>
        </is>
      </c>
    </row>
    <row r="33" ht="18" customHeight="1">
      <c r="A33" s="5" t="inlineStr">
        <is>
          <t>work</t>
        </is>
      </c>
      <c r="B33" s="6" t="n">
        <v>1727558.953255146</v>
      </c>
      <c r="C33" s="6" t="n">
        <v>1624882</v>
      </c>
      <c r="D33" s="6" t="n">
        <v>-102676.9532551463</v>
      </c>
      <c r="E33" s="9" t="n">
        <v>-0.05943470297304623</v>
      </c>
      <c r="G33" s="28" t="n">
        <v>0.4658354007757408</v>
      </c>
      <c r="H33" s="28" t="n">
        <v>0.4338325306181188</v>
      </c>
      <c r="I33" s="28" t="n">
        <v>-0.03200287015762204</v>
      </c>
      <c r="J33" s="9" t="n">
        <v>-0.06869995303991214</v>
      </c>
      <c r="L33" s="37" t="n"/>
      <c r="M33" s="37" t="n"/>
    </row>
    <row r="34" ht="18" customHeight="1">
      <c r="A34" s="5" t="inlineStr">
        <is>
          <t>school</t>
        </is>
      </c>
      <c r="B34" s="6" t="n">
        <v>805076.5250488229</v>
      </c>
      <c r="C34" s="6" t="n">
        <v>798907</v>
      </c>
      <c r="D34" s="6" t="n">
        <v>-6169.525048822863</v>
      </c>
      <c r="E34" s="9" t="n">
        <v>-0.007663277783995403</v>
      </c>
      <c r="G34" s="28" t="n">
        <v>0.2170884790904556</v>
      </c>
      <c r="H34" s="28" t="n">
        <v>0.2133027786254814</v>
      </c>
      <c r="I34" s="28" t="n">
        <v>-0.003785700464974201</v>
      </c>
      <c r="J34" s="9" t="n">
        <v>-0.01743851392222795</v>
      </c>
      <c r="L34" s="37" t="n"/>
      <c r="M34" s="37" t="n"/>
    </row>
    <row r="35" ht="18" customHeight="1">
      <c r="A35" s="5" t="inlineStr">
        <is>
          <t>escort</t>
        </is>
      </c>
      <c r="B35" s="6" t="n">
        <v>648797.0130975691</v>
      </c>
      <c r="C35" s="6" t="n">
        <v>637577</v>
      </c>
      <c r="D35" s="6" t="n">
        <v>-11220.01309756911</v>
      </c>
      <c r="E35" s="9" t="n">
        <v>-0.01729356466054167</v>
      </c>
      <c r="G35" s="28" t="n">
        <v>0.1749477874829852</v>
      </c>
      <c r="H35" s="28" t="n">
        <v>0.1702287571490781</v>
      </c>
      <c r="I35" s="28" t="n">
        <v>-0.004719030333907082</v>
      </c>
      <c r="J35" s="9" t="n">
        <v>-0.02697393549127358</v>
      </c>
      <c r="L35" s="37" t="n"/>
      <c r="M35" s="37" t="n"/>
    </row>
    <row r="36" ht="18" customHeight="1">
      <c r="A36" s="5" t="inlineStr">
        <is>
          <t>pers.bus</t>
        </is>
      </c>
      <c r="B36" s="6" t="n">
        <v>718143.1052283818</v>
      </c>
      <c r="C36" s="6" t="n">
        <v>713834</v>
      </c>
      <c r="D36" s="6" t="n">
        <v>-4309.105228381814</v>
      </c>
      <c r="E36" s="9" t="n">
        <v>-0.006000343381437108</v>
      </c>
      <c r="G36" s="28" t="n">
        <v>0.193646926264397</v>
      </c>
      <c r="H36" s="28" t="n">
        <v>0.1905888616288778</v>
      </c>
      <c r="I36" s="28" t="n">
        <v>-0.003058064635519248</v>
      </c>
      <c r="J36" s="9" t="n">
        <v>-0.01579196062912922</v>
      </c>
      <c r="L36" s="37" t="n"/>
      <c r="M36" s="37" t="n"/>
    </row>
    <row r="37" ht="18" customHeight="1">
      <c r="A37" s="5" t="inlineStr">
        <is>
          <t>shop</t>
        </is>
      </c>
      <c r="B37" s="6" t="n">
        <v>702437.8153073883</v>
      </c>
      <c r="C37" s="6" t="n">
        <v>698546</v>
      </c>
      <c r="D37" s="6" t="n">
        <v>-3891.815307388315</v>
      </c>
      <c r="E37" s="9" t="n">
        <v>-0.005540441050550856</v>
      </c>
      <c r="G37" s="28" t="n">
        <v>0.1894120027552109</v>
      </c>
      <c r="H37" s="28" t="n">
        <v>0.1865070687798649</v>
      </c>
      <c r="I37" s="28" t="n">
        <v>-0.002904933975346025</v>
      </c>
      <c r="J37" s="9" t="n">
        <v>-0.01533658866962224</v>
      </c>
      <c r="L37" s="37" t="n"/>
      <c r="M37" s="37" t="n"/>
    </row>
    <row r="38" ht="18" customHeight="1">
      <c r="A38" s="5" t="inlineStr">
        <is>
          <t>meal</t>
        </is>
      </c>
      <c r="B38" s="6" t="n">
        <v>225250.543726851</v>
      </c>
      <c r="C38" s="6" t="n">
        <v>226212</v>
      </c>
      <c r="D38" s="6" t="n">
        <v>961.4562731490005</v>
      </c>
      <c r="E38" s="9" t="n">
        <v>0.004268386025806472</v>
      </c>
      <c r="G38" s="28" t="n">
        <v>0.06073869555318956</v>
      </c>
      <c r="H38" s="28" t="n">
        <v>0.0603970777054493</v>
      </c>
      <c r="I38" s="28" t="n">
        <v>-0.0003416178477402554</v>
      </c>
      <c r="J38" s="9" t="n">
        <v>-0.005624385651171859</v>
      </c>
      <c r="L38" s="37" t="n"/>
      <c r="M38" s="37" t="n"/>
    </row>
    <row r="39" ht="18" customHeight="1">
      <c r="A39" s="5" t="inlineStr">
        <is>
          <t>soc/rec</t>
        </is>
      </c>
      <c r="B39" s="6" t="n">
        <v>1090010.600626743</v>
      </c>
      <c r="C39" s="6" t="n">
        <v>1096444</v>
      </c>
      <c r="D39" s="6" t="n">
        <v>6433.399373256834</v>
      </c>
      <c r="E39" s="9" t="n">
        <v>0.005902143859479628</v>
      </c>
      <c r="G39" s="28" t="n">
        <v>0.2939208089171195</v>
      </c>
      <c r="H39" s="28" t="n">
        <v>0.2927431500878541</v>
      </c>
      <c r="I39" s="28" t="n">
        <v>-0.001177658829265404</v>
      </c>
      <c r="J39" s="9" t="n">
        <v>-0.004006721516602397</v>
      </c>
      <c r="L39" s="37" t="n"/>
      <c r="M39" s="37" t="n"/>
    </row>
    <row r="40" ht="18" customHeight="1">
      <c r="A40" s="5" t="inlineStr">
        <is>
          <t>workbased</t>
        </is>
      </c>
      <c r="B40" s="11" t="n">
        <v>184043.1653974242</v>
      </c>
      <c r="C40" s="11" t="n">
        <v>179461</v>
      </c>
      <c r="D40" s="11" t="n">
        <v>-4582.165397424193</v>
      </c>
      <c r="E40" s="12" t="n">
        <v>-0.02489723205710698</v>
      </c>
      <c r="G40" s="28" t="n">
        <v>0.04962714676185228</v>
      </c>
      <c r="H40" s="28" t="n">
        <v>0.04791487614316499</v>
      </c>
      <c r="I40" s="15" t="n">
        <v>-0.001712270618687291</v>
      </c>
      <c r="J40" s="12" t="n">
        <v>-0.03450270125147493</v>
      </c>
      <c r="L40" s="37" t="n"/>
      <c r="M40" s="37" t="n"/>
    </row>
    <row r="41" ht="18" customHeight="1">
      <c r="A41" s="7" t="inlineStr">
        <is>
          <t>Total</t>
        </is>
      </c>
      <c r="B41" s="13" t="n">
        <v>6101317.721688327</v>
      </c>
      <c r="C41" s="13" t="n">
        <v>5975863</v>
      </c>
      <c r="D41" s="13" t="n">
        <v>-125454.7216883274</v>
      </c>
      <c r="E41" s="14" t="n">
        <v>-0.02056190603586731</v>
      </c>
      <c r="G41" s="16" t="n">
        <v>1.645217247600951</v>
      </c>
      <c r="H41" s="16" t="n">
        <v>1.595515100737889</v>
      </c>
      <c r="I41" s="17" t="n">
        <v>-0.04970214686306185</v>
      </c>
      <c r="J41" s="14" t="n">
        <v>-0.03021008133456983</v>
      </c>
    </row>
    <row r="42" ht="18" customHeight="1">
      <c r="B42" s="6" t="n"/>
      <c r="C42" s="6" t="n"/>
      <c r="D42" s="6" t="n"/>
    </row>
    <row r="43" ht="18" customHeight="1">
      <c r="B43" s="6" t="n"/>
      <c r="C43" s="6" t="n"/>
      <c r="D43" s="6" t="n"/>
    </row>
    <row r="44" ht="18" customHeight="1">
      <c r="B44" s="6" t="n"/>
      <c r="C44" s="6" t="n"/>
      <c r="D44" s="6" t="n"/>
    </row>
    <row r="45" ht="18" customHeight="1">
      <c r="A45" s="1" t="inlineStr">
        <is>
          <t>TABLE 5. TOURS BY PERSONTYPE</t>
        </is>
      </c>
      <c r="G45" s="1" t="inlineStr">
        <is>
          <t>TABLE 6. TOUR RATES BY PERSONTYPE (Total tours/total person for person type)</t>
        </is>
      </c>
    </row>
    <row r="46" ht="18" customHeight="1">
      <c r="B46" s="2" t="n"/>
      <c r="C46" s="2" t="n"/>
      <c r="D46" s="2" t="n"/>
      <c r="E46" s="2" t="n"/>
      <c r="G46" s="2" t="n"/>
      <c r="H46" s="2" t="n"/>
      <c r="I46" s="2" t="n"/>
      <c r="J46" s="2" t="n"/>
    </row>
    <row r="47" ht="18" customHeight="1">
      <c r="A47" s="3" t="inlineStr">
        <is>
          <t>Persontype</t>
        </is>
      </c>
      <c r="B47" s="4" t="inlineStr">
        <is>
          <t>ExpandSurv</t>
        </is>
      </c>
      <c r="C47" s="4" t="inlineStr">
        <is>
          <t>SynthPop</t>
        </is>
      </c>
      <c r="D47" s="4" t="inlineStr">
        <is>
          <t>Diff</t>
        </is>
      </c>
      <c r="E47" s="4" t="inlineStr">
        <is>
          <t>% Diff</t>
        </is>
      </c>
      <c r="G47" s="4" t="inlineStr">
        <is>
          <t>ExpandSurv</t>
        </is>
      </c>
      <c r="H47" s="4" t="inlineStr">
        <is>
          <t>SynthPop</t>
        </is>
      </c>
      <c r="I47" s="4" t="inlineStr">
        <is>
          <t>Diff</t>
        </is>
      </c>
      <c r="J47" s="4" t="inlineStr">
        <is>
          <t>% Diff</t>
        </is>
      </c>
    </row>
    <row r="48" ht="18" customHeight="1">
      <c r="A48" s="5" t="inlineStr">
        <is>
          <t>ft worker</t>
        </is>
      </c>
      <c r="B48" s="6" t="n">
        <v>2431438.022820987</v>
      </c>
      <c r="C48" s="6" t="n">
        <v>2234745</v>
      </c>
      <c r="D48" s="6" t="n">
        <v>-196693.0228209868</v>
      </c>
      <c r="E48" s="9" t="n">
        <v>-0.08089575838448924</v>
      </c>
      <c r="G48" s="28" t="n">
        <v>1.721262692089181</v>
      </c>
      <c r="H48" s="28" t="n">
        <v>1.582949651498838</v>
      </c>
      <c r="I48" s="28" t="n">
        <v>-0.1383130405903426</v>
      </c>
      <c r="J48" s="9" t="n">
        <v>-0.08035556758769066</v>
      </c>
      <c r="L48" s="10" t="n"/>
      <c r="M48" s="10" t="n"/>
    </row>
    <row r="49" ht="18" customHeight="1">
      <c r="A49" s="5" t="inlineStr">
        <is>
          <t>pt worker</t>
        </is>
      </c>
      <c r="B49" s="6" t="n">
        <v>625338.6677078081</v>
      </c>
      <c r="C49" s="6" t="n">
        <v>605201</v>
      </c>
      <c r="D49" s="6" t="n">
        <v>-20137.66770780808</v>
      </c>
      <c r="E49" s="9" t="n">
        <v>-0.03220281864485228</v>
      </c>
      <c r="G49" s="28" t="n">
        <v>1.834076100026397</v>
      </c>
      <c r="H49" s="28" t="n">
        <v>1.818463442995832</v>
      </c>
      <c r="I49" s="28" t="n">
        <v>-0.01561265703056502</v>
      </c>
      <c r="J49" s="9" t="n">
        <v>-0.008512545924534055</v>
      </c>
      <c r="L49" s="10" t="n"/>
      <c r="M49" s="10" t="n"/>
    </row>
    <row r="50" ht="18" customHeight="1">
      <c r="A50" s="5" t="inlineStr">
        <is>
          <t>retired</t>
        </is>
      </c>
      <c r="B50" s="6" t="n">
        <v>547910.2446145164</v>
      </c>
      <c r="C50" s="6" t="n">
        <v>604714</v>
      </c>
      <c r="D50" s="6" t="n">
        <v>56803.75538548362</v>
      </c>
      <c r="E50" s="9" t="n">
        <v>0.1036734683167825</v>
      </c>
      <c r="G50" s="28" t="n">
        <v>1.422803577708895</v>
      </c>
      <c r="H50" s="28" t="n">
        <v>1.543350373514301</v>
      </c>
      <c r="I50" s="28" t="n">
        <v>0.1205467958054067</v>
      </c>
      <c r="J50" s="9" t="n">
        <v>0.08472483320538191</v>
      </c>
      <c r="L50" s="10" t="n"/>
      <c r="M50" s="10" t="n"/>
    </row>
    <row r="51" ht="18" customHeight="1">
      <c r="A51" s="5" t="inlineStr">
        <is>
          <t>nonworker</t>
        </is>
      </c>
      <c r="B51" s="6" t="n">
        <v>1052457.407851551</v>
      </c>
      <c r="C51" s="6" t="n">
        <v>905752</v>
      </c>
      <c r="D51" s="6" t="n">
        <v>-146705.4078515514</v>
      </c>
      <c r="E51" s="9" t="n">
        <v>-0.1393932018123475</v>
      </c>
      <c r="G51" s="28" t="n">
        <v>1.776933215174696</v>
      </c>
      <c r="H51" s="28" t="n">
        <v>1.577061231454445</v>
      </c>
      <c r="I51" s="28" t="n">
        <v>-0.1998719837202512</v>
      </c>
      <c r="J51" s="9" t="n">
        <v>-0.1124814269964564</v>
      </c>
      <c r="L51" s="10" t="n"/>
      <c r="M51" s="10" t="n"/>
    </row>
    <row r="52" ht="18" customHeight="1">
      <c r="A52" s="5" t="inlineStr">
        <is>
          <t>uinv.stud</t>
        </is>
      </c>
      <c r="B52" s="6" t="n">
        <v>199289.4263048723</v>
      </c>
      <c r="C52" s="6" t="n">
        <v>307054</v>
      </c>
      <c r="D52" s="6" t="n">
        <v>107764.5736951277</v>
      </c>
      <c r="E52" s="9" t="n">
        <v>0.5407440610033661</v>
      </c>
      <c r="G52" s="28" t="n">
        <v>1.787686841754096</v>
      </c>
      <c r="H52" s="28" t="n">
        <v>1.760650924895928</v>
      </c>
      <c r="I52" s="28" t="n">
        <v>-0.02703591685816864</v>
      </c>
      <c r="J52" s="9" t="n">
        <v>-0.01512340764987716</v>
      </c>
      <c r="L52" s="10" t="n"/>
      <c r="M52" s="10" t="n"/>
    </row>
    <row r="53" ht="18" customHeight="1">
      <c r="A53" s="5" t="inlineStr">
        <is>
          <t>stud 16+</t>
        </is>
      </c>
      <c r="B53" s="6" t="n">
        <v>108113.223138592</v>
      </c>
      <c r="C53" s="6" t="n">
        <v>176328</v>
      </c>
      <c r="D53" s="6" t="n">
        <v>68214.77686140801</v>
      </c>
      <c r="E53" s="9" t="n">
        <v>0.6309568328562589</v>
      </c>
      <c r="G53" s="28" t="n">
        <v>1.377246508121661</v>
      </c>
      <c r="H53" s="28" t="n">
        <v>1.471067209504105</v>
      </c>
      <c r="I53" s="28" t="n">
        <v>0.09382070138244369</v>
      </c>
      <c r="J53" s="9" t="n">
        <v>0.06812193810561901</v>
      </c>
      <c r="L53" s="10" t="n"/>
      <c r="M53" s="10" t="n"/>
    </row>
    <row r="54" ht="18" customHeight="1">
      <c r="A54" s="5" t="inlineStr">
        <is>
          <t>stud.5-15</t>
        </is>
      </c>
      <c r="B54" s="6" t="n">
        <v>772435.58325</v>
      </c>
      <c r="C54" s="6" t="n">
        <v>789836</v>
      </c>
      <c r="D54" s="6" t="n">
        <v>17400.41674999997</v>
      </c>
      <c r="E54" s="9" t="n">
        <v>0.02252668976847005</v>
      </c>
      <c r="G54" s="28" t="n">
        <v>1.497212131807153</v>
      </c>
      <c r="H54" s="28" t="n">
        <v>1.560225351222364</v>
      </c>
      <c r="I54" s="28" t="n">
        <v>0.06301321941521176</v>
      </c>
      <c r="J54" s="9" t="n">
        <v>0.04208703501430627</v>
      </c>
      <c r="L54" s="10" t="n"/>
      <c r="M54" s="10" t="n"/>
    </row>
    <row r="55" ht="18" customHeight="1">
      <c r="A55" s="5" t="inlineStr">
        <is>
          <t>under 5</t>
        </is>
      </c>
      <c r="B55" s="11" t="n">
        <v>364335.1460000001</v>
      </c>
      <c r="C55" s="11" t="n">
        <v>352233</v>
      </c>
      <c r="D55" s="11" t="n">
        <v>-12102.14600000007</v>
      </c>
      <c r="E55" s="12" t="n">
        <v>-0.03321706986786299</v>
      </c>
      <c r="G55" s="15" t="n">
        <v>1.340958823492935</v>
      </c>
      <c r="H55" s="15" t="n">
        <v>1.503970931076592</v>
      </c>
      <c r="I55" s="15" t="n">
        <v>0.1630121075836568</v>
      </c>
      <c r="J55" s="12" t="n">
        <v>0.1215638427726231</v>
      </c>
      <c r="L55" s="10" t="n"/>
      <c r="M55" s="10" t="n"/>
    </row>
    <row r="56" ht="18" customHeight="1">
      <c r="A56" s="7" t="inlineStr">
        <is>
          <t>Total</t>
        </is>
      </c>
      <c r="B56" s="13" t="n">
        <v>6101317.721688327</v>
      </c>
      <c r="C56" s="13" t="n">
        <v>5975863</v>
      </c>
      <c r="D56" s="13" t="n">
        <v>-125454.7216883274</v>
      </c>
      <c r="E56" s="14" t="n">
        <v>-0.02056190603586731</v>
      </c>
      <c r="G56" s="17" t="n">
        <v>1.645217247600951</v>
      </c>
      <c r="H56" s="17" t="n">
        <v>1.595515100737889</v>
      </c>
      <c r="I56" s="17" t="n">
        <v>-0.04970214686306185</v>
      </c>
      <c r="J56" s="14" t="n">
        <v>-0.03021008133456983</v>
      </c>
    </row>
    <row r="57" ht="18" customHeight="1"/>
    <row r="58" ht="18" customHeight="1"/>
    <row r="59" ht="18" customHeight="1"/>
    <row r="60" ht="18" customHeight="1">
      <c r="A60" s="1" t="inlineStr">
        <is>
          <t>TABLE 7. TRIPS BY DESTINATION PURPOSE</t>
        </is>
      </c>
      <c r="G60" s="1" t="inlineStr">
        <is>
          <t>TABLE 8. TRIP RATES BY DESTINATION PURPOSE (Total trips for purpose/total person)</t>
        </is>
      </c>
      <c r="L60" s="1" t="inlineStr">
        <is>
          <t>Trip per Tours by Purpose</t>
        </is>
      </c>
    </row>
    <row r="61" ht="18" customHeight="1">
      <c r="B61" s="2" t="n"/>
      <c r="C61" s="2" t="n"/>
      <c r="D61" s="2" t="n"/>
      <c r="E61" s="2" t="n"/>
      <c r="G61" s="2" t="n"/>
      <c r="H61" s="2" t="n"/>
      <c r="I61" s="2" t="n"/>
      <c r="J61" s="2" t="n"/>
    </row>
    <row r="62" ht="18" customHeight="1">
      <c r="A62" s="3" t="inlineStr">
        <is>
          <t>Dest Purpose</t>
        </is>
      </c>
      <c r="B62" s="4" t="inlineStr">
        <is>
          <t>ExpandSurv</t>
        </is>
      </c>
      <c r="C62" s="4" t="inlineStr">
        <is>
          <t>SynthPop</t>
        </is>
      </c>
      <c r="D62" s="4" t="inlineStr">
        <is>
          <t>Diff</t>
        </is>
      </c>
      <c r="E62" s="4" t="inlineStr">
        <is>
          <t>% Diff</t>
        </is>
      </c>
      <c r="G62" s="4" t="inlineStr">
        <is>
          <t>ExpandSurv</t>
        </is>
      </c>
      <c r="H62" s="4" t="inlineStr">
        <is>
          <t>SynthPop</t>
        </is>
      </c>
      <c r="I62" s="4" t="inlineStr">
        <is>
          <t>Diff</t>
        </is>
      </c>
      <c r="J62" s="4" t="inlineStr">
        <is>
          <t>% Diff</t>
        </is>
      </c>
      <c r="L62" s="4" t="inlineStr">
        <is>
          <t>ExpandSurv</t>
        </is>
      </c>
      <c r="M62" s="4" t="inlineStr">
        <is>
          <t>SynthPop</t>
        </is>
      </c>
    </row>
    <row r="63" ht="18" customHeight="1">
      <c r="A63" s="5" t="inlineStr">
        <is>
          <t>work</t>
        </is>
      </c>
      <c r="B63" s="6" t="n">
        <v>2298251.40394728</v>
      </c>
      <c r="C63" s="6" t="n">
        <v>2273638</v>
      </c>
      <c r="D63" s="6" t="n">
        <v>-24613.40394727979</v>
      </c>
      <c r="E63" s="9" t="n">
        <v>-0.01070962206528229</v>
      </c>
      <c r="G63" s="28" t="n">
        <v>0.6197223323834496</v>
      </c>
      <c r="H63" s="28" t="n">
        <v>0.6070460053403991</v>
      </c>
      <c r="I63" s="28" t="n">
        <v>-0.01267632704305055</v>
      </c>
      <c r="J63" s="9" t="n">
        <v>-0.02045484950380511</v>
      </c>
      <c r="L63" s="28" t="n">
        <v>1.330346150918212</v>
      </c>
      <c r="M63" s="28" t="n">
        <v>1.366072714262783</v>
      </c>
    </row>
    <row r="64" ht="18" customHeight="1">
      <c r="A64" s="5" t="inlineStr">
        <is>
          <t>school</t>
        </is>
      </c>
      <c r="B64" s="6" t="n">
        <v>874992.3497899399</v>
      </c>
      <c r="C64" s="6" t="n">
        <v>834614</v>
      </c>
      <c r="D64" s="6" t="n">
        <v>-40378.34978993994</v>
      </c>
      <c r="E64" s="9" t="n">
        <v>-0.04614708894270173</v>
      </c>
      <c r="G64" s="28" t="n">
        <v>0.2359412459829985</v>
      </c>
      <c r="H64" s="28" t="n">
        <v>0.2228363067036933</v>
      </c>
      <c r="I64" s="28" t="n">
        <v>-0.0131049392793052</v>
      </c>
      <c r="J64" s="9" t="n">
        <v>-0.05554323164102269</v>
      </c>
      <c r="L64" s="28" t="n">
        <v>1.086843700649298</v>
      </c>
      <c r="M64" s="28" t="n">
        <v>1.039630692878362</v>
      </c>
    </row>
    <row r="65" ht="18" customHeight="1">
      <c r="A65" s="5" t="inlineStr">
        <is>
          <t>escort</t>
        </is>
      </c>
      <c r="B65" s="6" t="n">
        <v>1245809.413276674</v>
      </c>
      <c r="C65" s="6" t="n">
        <v>1244467</v>
      </c>
      <c r="D65" s="6" t="n">
        <v>-1342.41327667376</v>
      </c>
      <c r="E65" s="9" t="n">
        <v>-0.001077543051423093</v>
      </c>
      <c r="G65" s="28" t="n">
        <v>0.3359318802003384</v>
      </c>
      <c r="H65" s="28" t="n">
        <v>0.3322642923490681</v>
      </c>
      <c r="I65" s="28" t="n">
        <v>-0.00366758785127036</v>
      </c>
      <c r="J65" s="9" t="n">
        <v>-0.01091765345129832</v>
      </c>
      <c r="L65" s="28" t="n">
        <v>1.920183644694621</v>
      </c>
      <c r="M65" s="28" t="n">
        <v>1.887906822747875</v>
      </c>
    </row>
    <row r="66" ht="18" customHeight="1">
      <c r="A66" s="5" t="inlineStr">
        <is>
          <t>pers.bus</t>
        </is>
      </c>
      <c r="B66" s="6" t="n">
        <v>1846226.214474478</v>
      </c>
      <c r="C66" s="6" t="n">
        <v>1668490</v>
      </c>
      <c r="D66" s="6" t="n">
        <v>-177736.2144744778</v>
      </c>
      <c r="E66" s="9" t="n">
        <v>-0.09627000910344556</v>
      </c>
      <c r="G66" s="28" t="n">
        <v>0.4978339679360144</v>
      </c>
      <c r="H66" s="28" t="n">
        <v>0.4454755723868102</v>
      </c>
      <c r="I66" s="28" t="n">
        <v>-0.05235839554920418</v>
      </c>
      <c r="J66" s="9" t="n">
        <v>-0.105172404700062</v>
      </c>
      <c r="L66" s="28" t="n">
        <v>2.570833307502613</v>
      </c>
      <c r="M66" s="28" t="n">
        <v>2.259126553801849</v>
      </c>
    </row>
    <row r="67" ht="18" customHeight="1">
      <c r="A67" s="5" t="inlineStr">
        <is>
          <t>shop</t>
        </is>
      </c>
      <c r="B67" s="6" t="n">
        <v>2042144.375058298</v>
      </c>
      <c r="C67" s="6" t="n">
        <v>1719600</v>
      </c>
      <c r="D67" s="6" t="n">
        <v>-322544.3750582975</v>
      </c>
      <c r="E67" s="9" t="n">
        <v>-0.1579439627274589</v>
      </c>
      <c r="G67" s="28" t="n">
        <v>0.5506632011629574</v>
      </c>
      <c r="H67" s="28" t="n">
        <v>0.4591215975381086</v>
      </c>
      <c r="I67" s="28" t="n">
        <v>-0.09154160362484881</v>
      </c>
      <c r="J67" s="9" t="n">
        <v>-0.166238825168488</v>
      </c>
      <c r="L67" s="28" t="n">
        <v>2.907224426926177</v>
      </c>
      <c r="M67" s="28" t="n">
        <v>2.10885892716426</v>
      </c>
    </row>
    <row r="68" ht="18" customHeight="1">
      <c r="A68" s="5" t="inlineStr">
        <is>
          <t>meal</t>
        </is>
      </c>
      <c r="B68" s="6" t="n">
        <v>828105.0150248591</v>
      </c>
      <c r="C68" s="6" t="n">
        <v>690921</v>
      </c>
      <c r="D68" s="6" t="n">
        <v>-137184.0150248591</v>
      </c>
      <c r="E68" s="9" t="n">
        <v>-0.165660166930327</v>
      </c>
      <c r="G68" s="28" t="n">
        <v>0.2232980998024051</v>
      </c>
      <c r="H68" s="28" t="n">
        <v>0.1844712452271619</v>
      </c>
      <c r="I68" s="28" t="n">
        <v>-0.03882685457524324</v>
      </c>
      <c r="J68" s="9" t="n">
        <v>-0.1738790191658632</v>
      </c>
      <c r="L68" s="28" t="n">
        <v>3.676372990375804</v>
      </c>
      <c r="M68" s="28" t="n">
        <v>2.993997398993785</v>
      </c>
    </row>
    <row r="69" ht="18" customHeight="1">
      <c r="A69" s="5" t="inlineStr">
        <is>
          <t>soc/rec</t>
        </is>
      </c>
      <c r="B69" s="6" t="n">
        <v>1716147.065760338</v>
      </c>
      <c r="C69" s="6" t="n">
        <v>1499855</v>
      </c>
      <c r="D69" s="6" t="n">
        <v>-216292.0657603382</v>
      </c>
      <c r="E69" s="9" t="n">
        <v>-0.1260335259580508</v>
      </c>
      <c r="G69" s="28" t="n">
        <v>0.4627581910662054</v>
      </c>
      <c r="H69" s="28" t="n">
        <v>0.4004511651986042</v>
      </c>
      <c r="I69" s="28" t="n">
        <v>-0.06230702586760112</v>
      </c>
      <c r="J69" s="9" t="n">
        <v>-0.1346427293356911</v>
      </c>
      <c r="L69" s="28" t="n">
        <v>1.57443153743053</v>
      </c>
      <c r="M69" s="28" t="n">
        <v>1.363108536297328</v>
      </c>
    </row>
    <row r="70" ht="18" customHeight="1">
      <c r="A70" s="18" t="inlineStr">
        <is>
          <t>home</t>
        </is>
      </c>
      <c r="B70" s="11" t="n">
        <v>5897768.195587067</v>
      </c>
      <c r="C70" s="11" t="n">
        <v>5794943</v>
      </c>
      <c r="D70" s="11" t="n">
        <v>-102825.1955870669</v>
      </c>
      <c r="E70" s="12" t="n">
        <v>-0.01743459426974506</v>
      </c>
      <c r="G70" s="28" t="n">
        <v>1.590330220509674</v>
      </c>
      <c r="H70" s="28" t="n">
        <v>1.547210681438869</v>
      </c>
      <c r="I70" s="15" t="n">
        <v>-0.04311953907080501</v>
      </c>
      <c r="J70" s="12" t="n">
        <v>-0.02711357585658274</v>
      </c>
      <c r="L70" s="28" t="n"/>
      <c r="M70" s="28" t="n"/>
    </row>
    <row r="71" ht="18" customHeight="1">
      <c r="A71" s="7" t="inlineStr">
        <is>
          <t>Total</t>
        </is>
      </c>
      <c r="B71" s="8" t="n">
        <v>16749444.03291893</v>
      </c>
      <c r="C71" s="8" t="n">
        <v>15726528</v>
      </c>
      <c r="D71" s="8" t="n">
        <v>-1022916.032918934</v>
      </c>
      <c r="E71" s="19" t="n">
        <v>-0.06107164099945768</v>
      </c>
      <c r="G71" s="16" t="n">
        <v>4.516479139044043</v>
      </c>
      <c r="H71" s="16" t="n">
        <v>4.198876866182714</v>
      </c>
      <c r="I71" s="17" t="n">
        <v>-0.317602272861329</v>
      </c>
      <c r="J71" s="14" t="n">
        <v>-0.070320766040016</v>
      </c>
      <c r="L71" s="16" t="n">
        <v>2.74521747546104</v>
      </c>
      <c r="M71" s="16" t="n">
        <v>2.576001096654113</v>
      </c>
    </row>
    <row r="72" ht="18" customHeight="1"/>
    <row r="73" ht="18" customHeight="1"/>
    <row r="74" ht="18" customHeight="1"/>
    <row r="75" ht="18" customHeight="1">
      <c r="A75" s="1" t="inlineStr">
        <is>
          <t>TABLE 9. TRIPS BY PERSONTYPE</t>
        </is>
      </c>
      <c r="G75" s="1" t="inlineStr">
        <is>
          <t>TABLE 10. TRIP RATES BY PERSONTYPE  (Total trips/total person for person type)</t>
        </is>
      </c>
    </row>
    <row r="76" ht="18" customHeight="1">
      <c r="B76" s="2" t="n"/>
      <c r="C76" s="2" t="n"/>
      <c r="D76" s="2" t="n"/>
      <c r="E76" s="2" t="n"/>
      <c r="G76" s="2" t="n"/>
      <c r="H76" s="2" t="n"/>
      <c r="I76" s="2" t="n"/>
      <c r="J76" s="2" t="n"/>
    </row>
    <row r="77" ht="18" customHeight="1">
      <c r="A77" s="3" t="inlineStr">
        <is>
          <t>Persontype</t>
        </is>
      </c>
      <c r="B77" s="4" t="inlineStr">
        <is>
          <t>ExpandSurv</t>
        </is>
      </c>
      <c r="C77" s="4" t="inlineStr">
        <is>
          <t>SynthPop</t>
        </is>
      </c>
      <c r="D77" s="4" t="inlineStr">
        <is>
          <t>Diff</t>
        </is>
      </c>
      <c r="E77" s="4" t="inlineStr">
        <is>
          <t>% Diff</t>
        </is>
      </c>
      <c r="G77" s="4" t="inlineStr">
        <is>
          <t>ExpandSurv</t>
        </is>
      </c>
      <c r="H77" s="4" t="inlineStr">
        <is>
          <t>SynthPop</t>
        </is>
      </c>
      <c r="I77" s="4" t="inlineStr">
        <is>
          <t>Diff</t>
        </is>
      </c>
      <c r="J77" s="4" t="inlineStr">
        <is>
          <t>% Diff</t>
        </is>
      </c>
    </row>
    <row r="78" ht="18" customHeight="1">
      <c r="A78" s="5" t="inlineStr">
        <is>
          <t>ft worker</t>
        </is>
      </c>
      <c r="B78" s="6" t="n">
        <v>6681016.697459168</v>
      </c>
      <c r="C78" s="6" t="n">
        <v>5977666</v>
      </c>
      <c r="D78" s="6" t="n">
        <v>-703350.6974591678</v>
      </c>
      <c r="E78" s="9" t="n">
        <v>-0.1052759975478966</v>
      </c>
      <c r="G78" s="28" t="n">
        <v>4.729622831685067</v>
      </c>
      <c r="H78" s="28" t="n">
        <v>4.234194197313991</v>
      </c>
      <c r="I78" s="28" t="n">
        <v>-0.4954286343710752</v>
      </c>
      <c r="J78" s="9" t="n">
        <v>-0.1047501358992223</v>
      </c>
    </row>
    <row r="79" ht="18" customHeight="1">
      <c r="A79" s="5" t="inlineStr">
        <is>
          <t>pt worker</t>
        </is>
      </c>
      <c r="B79" s="6" t="n">
        <v>1763383.021988167</v>
      </c>
      <c r="C79" s="6" t="n">
        <v>1604402</v>
      </c>
      <c r="D79" s="6" t="n">
        <v>-158981.0219881674</v>
      </c>
      <c r="E79" s="9" t="n">
        <v>-0.09015682923436598</v>
      </c>
      <c r="G79" s="28" t="n">
        <v>5.171883369496037</v>
      </c>
      <c r="H79" s="28" t="n">
        <v>4.820789101256276</v>
      </c>
      <c r="I79" s="28" t="n">
        <v>-0.3510942682397609</v>
      </c>
      <c r="J79" s="9" t="n">
        <v>-0.06788518672144235</v>
      </c>
    </row>
    <row r="80" ht="18" customHeight="1">
      <c r="A80" s="5" t="inlineStr">
        <is>
          <t>retired</t>
        </is>
      </c>
      <c r="B80" s="6" t="n">
        <v>1620215.64436939</v>
      </c>
      <c r="C80" s="6" t="n">
        <v>1611935</v>
      </c>
      <c r="D80" s="6" t="n">
        <v>-8280.644369390095</v>
      </c>
      <c r="E80" s="9" t="n">
        <v>-0.00511082854814245</v>
      </c>
      <c r="G80" s="28" t="n">
        <v>4.20734716703564</v>
      </c>
      <c r="H80" s="28" t="n">
        <v>4.113978648304447</v>
      </c>
      <c r="I80" s="28" t="n">
        <v>-0.09336851873119301</v>
      </c>
      <c r="J80" s="9" t="n">
        <v>-0.02219177905325493</v>
      </c>
    </row>
    <row r="81" ht="18" customHeight="1">
      <c r="A81" s="5" t="inlineStr">
        <is>
          <t>nonworker</t>
        </is>
      </c>
      <c r="B81" s="6" t="n">
        <v>2927381.509703874</v>
      </c>
      <c r="C81" s="6" t="n">
        <v>2343894</v>
      </c>
      <c r="D81" s="6" t="n">
        <v>-583487.5097038737</v>
      </c>
      <c r="E81" s="9" t="n">
        <v>-0.199320624172043</v>
      </c>
      <c r="G81" s="28" t="n">
        <v>4.94249116332389</v>
      </c>
      <c r="H81" s="28" t="n">
        <v>4.081099857398808</v>
      </c>
      <c r="I81" s="28" t="n">
        <v>-0.861391305925082</v>
      </c>
      <c r="J81" s="9" t="n">
        <v>-0.1742828216501626</v>
      </c>
    </row>
    <row r="82" ht="18" customHeight="1">
      <c r="A82" s="5" t="inlineStr">
        <is>
          <t>uinv.stud</t>
        </is>
      </c>
      <c r="B82" s="6" t="n">
        <v>601583.1677461506</v>
      </c>
      <c r="C82" s="6" t="n">
        <v>820858</v>
      </c>
      <c r="D82" s="6" t="n">
        <v>219274.8322538494</v>
      </c>
      <c r="E82" s="9" t="n">
        <v>0.3644962891421465</v>
      </c>
      <c r="G82" s="28" t="n">
        <v>5.396384209342511</v>
      </c>
      <c r="H82" s="28" t="n">
        <v>4.706808564318398</v>
      </c>
      <c r="I82" s="28" t="n">
        <v>-0.6895756450241128</v>
      </c>
      <c r="J82" s="9" t="n">
        <v>-0.1277847570286568</v>
      </c>
    </row>
    <row r="83" ht="18" customHeight="1">
      <c r="A83" s="5" t="inlineStr">
        <is>
          <t>stud 16+</t>
        </is>
      </c>
      <c r="B83" s="6" t="n">
        <v>254816.918402184</v>
      </c>
      <c r="C83" s="6" t="n">
        <v>440648</v>
      </c>
      <c r="D83" s="6" t="n">
        <v>185831.081597816</v>
      </c>
      <c r="E83" s="9" t="n">
        <v>0.7292729335362031</v>
      </c>
      <c r="G83" s="28" t="n">
        <v>3.246094241680756</v>
      </c>
      <c r="H83" s="28" t="n">
        <v>3.676233064139358</v>
      </c>
      <c r="I83" s="28" t="n">
        <v>0.4301388224586025</v>
      </c>
      <c r="J83" s="9" t="n">
        <v>0.1325096532736172</v>
      </c>
    </row>
    <row r="84" ht="18" customHeight="1">
      <c r="A84" s="5" t="inlineStr">
        <is>
          <t>stud.5-15</t>
        </is>
      </c>
      <c r="B84" s="6" t="n">
        <v>1903241.35775</v>
      </c>
      <c r="C84" s="6" t="n">
        <v>1985534</v>
      </c>
      <c r="D84" s="6" t="n">
        <v>82292.64225000003</v>
      </c>
      <c r="E84" s="9" t="n">
        <v>0.04323815364504578</v>
      </c>
      <c r="G84" s="28" t="n">
        <v>3.689053317030003</v>
      </c>
      <c r="H84" s="28" t="n">
        <v>3.922181924493118</v>
      </c>
      <c r="I84" s="28" t="n">
        <v>0.2331286074631151</v>
      </c>
      <c r="J84" s="9" t="n">
        <v>0.06319469723761087</v>
      </c>
    </row>
    <row r="85" ht="18" customHeight="1">
      <c r="A85" s="5" t="inlineStr">
        <is>
          <t>under 5</t>
        </is>
      </c>
      <c r="B85" s="11" t="n">
        <v>997805.7154999999</v>
      </c>
      <c r="C85" s="11" t="n">
        <v>941591</v>
      </c>
      <c r="D85" s="11" t="n">
        <v>-56214.71549999993</v>
      </c>
      <c r="E85" s="12" t="n">
        <v>-0.05633833784148126</v>
      </c>
      <c r="G85" s="28" t="n">
        <v>3.672487798724217</v>
      </c>
      <c r="H85" s="28" t="n">
        <v>4.020422541225097</v>
      </c>
      <c r="I85" s="15" t="n">
        <v>0.3479347425008799</v>
      </c>
      <c r="J85" s="12" t="n">
        <v>0.09474088453656639</v>
      </c>
    </row>
    <row r="86" ht="18" customHeight="1">
      <c r="A86" s="7" t="inlineStr">
        <is>
          <t>Total</t>
        </is>
      </c>
      <c r="B86" s="13" t="n">
        <v>16749444.03291893</v>
      </c>
      <c r="C86" s="13" t="n">
        <v>15726528</v>
      </c>
      <c r="D86" s="13" t="n">
        <v>-1022916.032918934</v>
      </c>
      <c r="E86" s="14" t="n">
        <v>-0.06107164099945767</v>
      </c>
      <c r="G86" s="16" t="n">
        <v>4.516479139044043</v>
      </c>
      <c r="H86" s="16" t="n">
        <v>4.198876866182714</v>
      </c>
      <c r="I86" s="17" t="n">
        <v>-0.317602272861329</v>
      </c>
      <c r="J86" s="14" t="n">
        <v>-0.070320766040016</v>
      </c>
      <c r="K86" s="28" t="n"/>
      <c r="L86" s="28" t="n"/>
    </row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86"/>
  <sheetViews>
    <sheetView topLeftCell="A70" zoomScale="85" zoomScaleNormal="85" workbookViewId="0">
      <selection activeCell="G9" sqref="G9"/>
    </sheetView>
  </sheetViews>
  <sheetFormatPr baseColWidth="8" defaultColWidth="10.75" defaultRowHeight="12.75"/>
  <cols>
    <col collapsed="1" width="17.75" customWidth="1" style="26" min="1" max="1"/>
    <col collapsed="1" width="12.625" customWidth="1" style="26" min="2" max="5"/>
    <col collapsed="1" width="4.875" customWidth="1" style="26" min="6" max="6"/>
    <col collapsed="1" width="10.75" customWidth="1" style="26" min="7" max="18"/>
    <col collapsed="1" width="10.75" customWidth="1" style="26" min="19" max="16384"/>
  </cols>
  <sheetData>
    <row r="1" ht="18" customHeight="1">
      <c r="A1" s="1" t="inlineStr">
        <is>
          <t>TABLE 1. HH POPULATION BY COUNTY</t>
        </is>
      </c>
    </row>
    <row r="2" ht="18" customHeight="1">
      <c r="B2" s="2" t="inlineStr"/>
      <c r="C2" s="2" t="inlineStr"/>
    </row>
    <row r="3" ht="18" customHeight="1">
      <c r="A3" s="3" t="inlineStr">
        <is>
          <t>County</t>
        </is>
      </c>
      <c r="B3" s="4" t="inlineStr">
        <is>
          <t>ExpandSurv</t>
        </is>
      </c>
      <c r="C3" s="4" t="inlineStr">
        <is>
          <t>SynthPop</t>
        </is>
      </c>
      <c r="H3" t="inlineStr">
        <is>
          <t>SURVEY</t>
        </is>
      </c>
      <c r="J3" t="n">
        <v>1</v>
      </c>
      <c r="K3" t="n">
        <v>2</v>
      </c>
      <c r="L3" t="n">
        <v>3</v>
      </c>
      <c r="M3" t="n">
        <v>4</v>
      </c>
      <c r="N3" t="n">
        <v>5</v>
      </c>
      <c r="O3" t="n">
        <v>6</v>
      </c>
      <c r="P3" t="n">
        <v>7</v>
      </c>
    </row>
    <row r="4" ht="18" customHeight="1">
      <c r="A4" s="5" t="inlineStr">
        <is>
          <t>Bellevue</t>
        </is>
      </c>
      <c r="B4" s="6" t="n">
        <v>151396.6479</v>
      </c>
      <c r="C4" s="6" t="n">
        <v>160326</v>
      </c>
      <c r="I4" t="inlineStr">
        <is>
          <t>Persontype</t>
        </is>
      </c>
      <c r="J4" t="inlineStr">
        <is>
          <t>Bellevue</t>
        </is>
      </c>
      <c r="K4" t="inlineStr">
        <is>
          <t>Bellevue Downtown</t>
        </is>
      </c>
      <c r="L4" t="inlineStr">
        <is>
          <t>Kirkland</t>
        </is>
      </c>
      <c r="M4" t="inlineStr">
        <is>
          <t>Redmond</t>
        </is>
      </c>
      <c r="N4" t="inlineStr">
        <is>
          <t>Seattle</t>
        </is>
      </c>
      <c r="O4" t="inlineStr">
        <is>
          <t>Seattle Downtown</t>
        </is>
      </c>
      <c r="P4" t="inlineStr">
        <is>
          <t>Rest</t>
        </is>
      </c>
      <c r="Q4" t="inlineStr">
        <is>
          <t>TOTAL</t>
        </is>
      </c>
    </row>
    <row r="5" ht="18" customHeight="1">
      <c r="A5" s="5" t="inlineStr">
        <is>
          <t>Bellevue Downtown</t>
        </is>
      </c>
      <c r="B5" s="6" t="n">
        <v>8845.852500000001</v>
      </c>
      <c r="C5" s="6" t="n">
        <v>14937</v>
      </c>
      <c r="H5" t="n">
        <v>1</v>
      </c>
      <c r="I5" t="inlineStr">
        <is>
          <t>ft worker</t>
        </is>
      </c>
      <c r="J5" t="n">
        <v>67380.1915</v>
      </c>
      <c r="K5" t="n">
        <v>5546.4424</v>
      </c>
      <c r="L5" t="n">
        <v>57225.7406</v>
      </c>
      <c r="M5" t="n">
        <v>46626.6078</v>
      </c>
      <c r="N5" t="n">
        <v>276040.1714</v>
      </c>
      <c r="O5" t="n">
        <v>31451.6111</v>
      </c>
      <c r="P5" t="n">
        <v>928318.9776</v>
      </c>
      <c r="Q5" t="n">
        <v>1412589.7424</v>
      </c>
    </row>
    <row r="6" ht="18" customHeight="1">
      <c r="A6" s="5" t="inlineStr">
        <is>
          <t>Kirkland</t>
        </is>
      </c>
      <c r="B6" s="6" t="n">
        <v>131529.915</v>
      </c>
      <c r="C6" s="6" t="n">
        <v>150180</v>
      </c>
      <c r="H6" t="n">
        <v>2</v>
      </c>
      <c r="I6" t="inlineStr">
        <is>
          <t>pt worker</t>
        </is>
      </c>
      <c r="J6" t="n">
        <v>13951.5644</v>
      </c>
      <c r="K6" t="n">
        <v>378.6098</v>
      </c>
      <c r="L6" t="n">
        <v>13224.0567</v>
      </c>
      <c r="M6" t="n">
        <v>10086.3342</v>
      </c>
      <c r="N6" t="n">
        <v>63855.7581</v>
      </c>
      <c r="O6" t="n">
        <v>4319.1906</v>
      </c>
      <c r="P6" t="n">
        <v>235140.1683</v>
      </c>
      <c r="Q6" t="n">
        <v>340955.6821</v>
      </c>
    </row>
    <row r="7" ht="18" customHeight="1">
      <c r="A7" s="5" t="inlineStr">
        <is>
          <t>Redmond</t>
        </is>
      </c>
      <c r="B7" s="6" t="n">
        <v>123832.1304</v>
      </c>
      <c r="C7" s="6" t="n">
        <v>122070</v>
      </c>
      <c r="H7" t="n">
        <v>3</v>
      </c>
      <c r="I7" t="inlineStr">
        <is>
          <t>retired</t>
        </is>
      </c>
      <c r="J7" t="n">
        <v>17397.1078</v>
      </c>
      <c r="K7" t="n">
        <v>1382.6706</v>
      </c>
      <c r="L7" t="n">
        <v>13957.9494</v>
      </c>
      <c r="M7" t="n">
        <v>9612.5879</v>
      </c>
      <c r="N7" t="n">
        <v>61542.4756</v>
      </c>
      <c r="O7" t="n">
        <v>5003.9998</v>
      </c>
      <c r="P7" t="n">
        <v>276195.1873</v>
      </c>
      <c r="Q7" t="n">
        <v>385091.9784</v>
      </c>
    </row>
    <row r="8" ht="18" customHeight="1">
      <c r="A8" s="5" t="inlineStr">
        <is>
          <t>Seattle</t>
        </is>
      </c>
      <c r="B8" s="6" t="n">
        <v>636827.6733</v>
      </c>
      <c r="C8" s="6" t="n">
        <v>701184</v>
      </c>
      <c r="H8" t="n">
        <v>4</v>
      </c>
      <c r="I8" t="inlineStr">
        <is>
          <t>nonworker</t>
        </is>
      </c>
      <c r="J8" t="n">
        <v>17253.852</v>
      </c>
      <c r="K8" t="n">
        <v>2143.4193</v>
      </c>
      <c r="L8" t="n">
        <v>16102.5137</v>
      </c>
      <c r="M8" t="n">
        <v>22962.7524</v>
      </c>
      <c r="N8" t="n">
        <v>87610.8027</v>
      </c>
      <c r="O8" t="n">
        <v>8520.9486</v>
      </c>
      <c r="P8" t="n">
        <v>437694.3797</v>
      </c>
      <c r="Q8" t="n">
        <v>592288.6684</v>
      </c>
    </row>
    <row r="9" ht="18" customHeight="1">
      <c r="A9" s="5" t="inlineStr">
        <is>
          <t>Seattle Downtown</t>
        </is>
      </c>
      <c r="B9" s="6" t="n">
        <v>54534.6622</v>
      </c>
      <c r="C9" s="6" t="n">
        <v>80748</v>
      </c>
      <c r="H9" t="n">
        <v>5</v>
      </c>
      <c r="I9" t="inlineStr">
        <is>
          <t>uinv.stud</t>
        </is>
      </c>
      <c r="J9" t="n">
        <v>2080.6143</v>
      </c>
      <c r="K9" t="n">
        <v>294.9111</v>
      </c>
      <c r="L9" t="n">
        <v>1471.8118</v>
      </c>
      <c r="M9" t="n">
        <v>3498.526</v>
      </c>
      <c r="N9" t="n">
        <v>33894.0267</v>
      </c>
      <c r="O9" t="n">
        <v>2274.6166</v>
      </c>
      <c r="P9" t="n">
        <v>67964.42909999999</v>
      </c>
      <c r="Q9" t="n">
        <v>111478.9356</v>
      </c>
    </row>
    <row r="10" ht="18" customHeight="1">
      <c r="A10" s="5" t="inlineStr">
        <is>
          <t>Rest</t>
        </is>
      </c>
      <c r="B10" s="6" t="n">
        <v>2601551.0853</v>
      </c>
      <c r="C10" s="6" t="n">
        <v>2796718</v>
      </c>
      <c r="H10" t="n">
        <v>6</v>
      </c>
      <c r="I10" t="inlineStr">
        <is>
          <t>stud 16+</t>
        </is>
      </c>
      <c r="J10" t="n">
        <v>1905.2952</v>
      </c>
      <c r="K10" t="n">
        <v>0</v>
      </c>
      <c r="L10" t="n">
        <v>2170.0193</v>
      </c>
      <c r="M10" t="n">
        <v>3936.452</v>
      </c>
      <c r="N10" t="n">
        <v>4756.9449</v>
      </c>
      <c r="O10" t="n">
        <v>178.0578</v>
      </c>
      <c r="P10" t="n">
        <v>65552.77499999999</v>
      </c>
      <c r="Q10" t="n">
        <v>78499.54419999999</v>
      </c>
    </row>
    <row r="11" ht="18" customHeight="1">
      <c r="A11" s="7" t="inlineStr">
        <is>
          <t>Total</t>
        </is>
      </c>
      <c r="B11" s="8" t="n">
        <v>3708517.9666</v>
      </c>
      <c r="C11" s="8" t="n">
        <v>4026163</v>
      </c>
      <c r="H11" t="n">
        <v>7</v>
      </c>
      <c r="I11" t="inlineStr">
        <is>
          <t>stud.5-15</t>
        </is>
      </c>
      <c r="J11" t="n">
        <v>21927.494</v>
      </c>
      <c r="K11" t="n">
        <v>164.3246</v>
      </c>
      <c r="L11" t="n">
        <v>15498.8351</v>
      </c>
      <c r="M11" t="n">
        <v>22665.7465</v>
      </c>
      <c r="N11" t="n">
        <v>73459.6531</v>
      </c>
      <c r="O11" t="n">
        <v>686.4745</v>
      </c>
      <c r="P11" t="n">
        <v>381513.3981</v>
      </c>
      <c r="Q11" t="n">
        <v>515915.9259</v>
      </c>
    </row>
    <row r="12" ht="18" customHeight="1">
      <c r="H12" t="n">
        <v>8</v>
      </c>
      <c r="I12" t="inlineStr">
        <is>
          <t>under 5</t>
        </is>
      </c>
      <c r="J12" t="n">
        <v>9636.1661</v>
      </c>
      <c r="K12" t="n">
        <v>367.029</v>
      </c>
      <c r="L12" t="n">
        <v>12903.3161</v>
      </c>
      <c r="M12" t="n">
        <v>6513.8216</v>
      </c>
      <c r="N12" t="n">
        <v>36361.084</v>
      </c>
      <c r="O12" t="n">
        <v>815.5257</v>
      </c>
      <c r="P12" t="n">
        <v>205100.5471</v>
      </c>
      <c r="Q12" t="n">
        <v>271697.4896</v>
      </c>
    </row>
    <row r="13" ht="18" customHeight="1">
      <c r="I13" t="inlineStr">
        <is>
          <t>TOTAL</t>
        </is>
      </c>
      <c r="J13" t="n">
        <v>151532.2853</v>
      </c>
      <c r="K13" t="n">
        <v>10277.4068</v>
      </c>
      <c r="L13" t="n">
        <v>132554.2427</v>
      </c>
      <c r="M13" t="n">
        <v>125902.8284</v>
      </c>
      <c r="N13" t="n">
        <v>637520.9164999999</v>
      </c>
      <c r="O13" t="n">
        <v>53250.42469999999</v>
      </c>
      <c r="P13" t="n">
        <v>2597479.8622</v>
      </c>
      <c r="Q13" t="n">
        <v>3708517.966599999</v>
      </c>
    </row>
    <row r="14" ht="18" customHeight="1">
      <c r="I14" s="27" t="inlineStr"/>
    </row>
    <row r="15" ht="18" customHeight="1">
      <c r="A15" s="1" t="inlineStr">
        <is>
          <t>TABLE 2. POPULATION BY PERSONTYPE</t>
        </is>
      </c>
    </row>
    <row r="16" ht="18" customHeight="1">
      <c r="B16" s="2" t="inlineStr"/>
      <c r="C16" s="2" t="inlineStr"/>
      <c r="D16" s="2" t="inlineStr"/>
      <c r="E16" s="2" t="inlineStr"/>
      <c r="H16" t="inlineStr">
        <is>
          <t>DaySim</t>
        </is>
      </c>
      <c r="J16" t="n">
        <v>1</v>
      </c>
      <c r="K16" t="n">
        <v>2</v>
      </c>
      <c r="L16" t="n">
        <v>3</v>
      </c>
      <c r="M16" t="n">
        <v>4</v>
      </c>
      <c r="N16" t="n">
        <v>5</v>
      </c>
      <c r="O16" t="n">
        <v>6</v>
      </c>
      <c r="P16" t="n">
        <v>7</v>
      </c>
    </row>
    <row r="17" ht="18" customHeight="1">
      <c r="A17" s="3" t="inlineStr">
        <is>
          <t>Persontype</t>
        </is>
      </c>
      <c r="B17" s="4" t="inlineStr">
        <is>
          <t>ExpandSurv</t>
        </is>
      </c>
      <c r="C17" s="4" t="inlineStr">
        <is>
          <t>SynthPop</t>
        </is>
      </c>
      <c r="D17" s="4" t="inlineStr">
        <is>
          <t>Diff</t>
        </is>
      </c>
      <c r="E17" s="4" t="inlineStr">
        <is>
          <t>% Diff</t>
        </is>
      </c>
      <c r="G17" s="27" t="inlineStr"/>
      <c r="H17" s="27" t="inlineStr"/>
      <c r="I17" t="inlineStr">
        <is>
          <t>Persontype</t>
        </is>
      </c>
      <c r="J17" s="27" t="inlineStr">
        <is>
          <t>Bellevue</t>
        </is>
      </c>
      <c r="K17" s="27" t="inlineStr">
        <is>
          <t>Bellevue Downtown</t>
        </is>
      </c>
      <c r="L17" t="inlineStr">
        <is>
          <t>Kirkland</t>
        </is>
      </c>
      <c r="M17" t="inlineStr">
        <is>
          <t>Redmond</t>
        </is>
      </c>
      <c r="N17" t="inlineStr">
        <is>
          <t>Seattle</t>
        </is>
      </c>
      <c r="O17" t="inlineStr">
        <is>
          <t>Seattle Downtown</t>
        </is>
      </c>
      <c r="P17" t="inlineStr">
        <is>
          <t>Rest</t>
        </is>
      </c>
      <c r="Q17" t="inlineStr">
        <is>
          <t>TOTAL</t>
        </is>
      </c>
    </row>
    <row r="18" ht="18" customHeight="1">
      <c r="A18" s="5" t="inlineStr">
        <is>
          <t>ft worker</t>
        </is>
      </c>
      <c r="B18" s="6" t="n">
        <v>1412589.7424</v>
      </c>
      <c r="C18" s="6" t="n">
        <v>1648001</v>
      </c>
      <c r="D18" s="6" t="n">
        <v>235411.2575999999</v>
      </c>
      <c r="E18" s="9" t="n">
        <v>0.1666522490812049</v>
      </c>
      <c r="G18" s="6" t="inlineStr"/>
      <c r="H18" s="10" t="n">
        <v>1</v>
      </c>
      <c r="I18" t="inlineStr">
        <is>
          <t>ft worker</t>
        </is>
      </c>
      <c r="J18" s="6" t="n">
        <v>60013.25</v>
      </c>
      <c r="K18" s="10" t="n">
        <v>4984</v>
      </c>
      <c r="L18" t="n">
        <v>56217.75</v>
      </c>
      <c r="M18" t="n">
        <v>44430.5</v>
      </c>
      <c r="N18" t="n">
        <v>268946.819776</v>
      </c>
      <c r="O18" t="n">
        <v>31260.5924581</v>
      </c>
      <c r="P18" t="n">
        <v>944369.46702</v>
      </c>
      <c r="Q18" t="n">
        <v>1410222.3792541</v>
      </c>
    </row>
    <row r="19" ht="18" customHeight="1">
      <c r="A19" s="5" t="inlineStr">
        <is>
          <t>pt worker</t>
        </is>
      </c>
      <c r="B19" s="6" t="n">
        <v>340955.6821</v>
      </c>
      <c r="C19" s="6" t="n">
        <v>389855</v>
      </c>
      <c r="D19" s="6" t="n">
        <v>48899.31790000002</v>
      </c>
      <c r="E19" s="9" t="n">
        <v>0.143418398540307</v>
      </c>
      <c r="G19" s="6" t="inlineStr"/>
      <c r="H19" s="10" t="n">
        <v>2</v>
      </c>
      <c r="I19" t="inlineStr">
        <is>
          <t>pt worker</t>
        </is>
      </c>
      <c r="J19" s="6" t="n">
        <v>12191.25</v>
      </c>
      <c r="K19" s="10" t="n">
        <v>542</v>
      </c>
      <c r="L19" t="n">
        <v>12070.75</v>
      </c>
      <c r="M19" t="n">
        <v>8310.5</v>
      </c>
      <c r="N19" t="n">
        <v>62381.7091932</v>
      </c>
      <c r="O19" t="n">
        <v>5142.67130944</v>
      </c>
      <c r="P19" t="n">
        <v>229948.913597</v>
      </c>
      <c r="Q19" t="n">
        <v>330587.79409964</v>
      </c>
    </row>
    <row r="20" ht="18" customHeight="1">
      <c r="A20" s="5" t="inlineStr">
        <is>
          <t>retired</t>
        </is>
      </c>
      <c r="B20" s="6" t="n">
        <v>385091.9784</v>
      </c>
      <c r="C20" s="6" t="n">
        <v>406600</v>
      </c>
      <c r="D20" s="6" t="n">
        <v>21508.02159999998</v>
      </c>
      <c r="E20" s="9" t="n">
        <v>0.05585164793450804</v>
      </c>
      <c r="G20" s="6" t="inlineStr"/>
      <c r="H20" s="10" t="n">
        <v>3</v>
      </c>
      <c r="I20" t="inlineStr">
        <is>
          <t>retired</t>
        </is>
      </c>
      <c r="J20" s="6" t="n">
        <v>17578</v>
      </c>
      <c r="K20" s="10" t="n">
        <v>1200</v>
      </c>
      <c r="L20" t="n">
        <v>13382</v>
      </c>
      <c r="M20" t="n">
        <v>9822.75</v>
      </c>
      <c r="N20" t="n">
        <v>63195.2517185</v>
      </c>
      <c r="O20" t="n">
        <v>5554.49277396</v>
      </c>
      <c r="P20" t="n">
        <v>282974.684858</v>
      </c>
      <c r="Q20" t="n">
        <v>393707.17935046</v>
      </c>
    </row>
    <row r="21" ht="18" customHeight="1">
      <c r="A21" s="5" t="inlineStr">
        <is>
          <t>nonworker</t>
        </is>
      </c>
      <c r="B21" s="6" t="n">
        <v>592288.6684</v>
      </c>
      <c r="C21" s="6" t="n">
        <v>418960</v>
      </c>
      <c r="D21" s="6" t="n">
        <v>-173328.6684</v>
      </c>
      <c r="E21" s="9" t="n">
        <v>-0.2926422159455245</v>
      </c>
      <c r="G21" s="6" t="inlineStr"/>
      <c r="H21" s="10" t="n">
        <v>4</v>
      </c>
      <c r="I21" t="inlineStr">
        <is>
          <t>nonworker</t>
        </is>
      </c>
      <c r="J21" s="6" t="n">
        <v>21311.25</v>
      </c>
      <c r="K21" s="10" t="n">
        <v>1558.25</v>
      </c>
      <c r="L21" t="n">
        <v>18011.25</v>
      </c>
      <c r="M21" t="n">
        <v>16276</v>
      </c>
      <c r="N21" t="n">
        <v>75460.01859000001</v>
      </c>
      <c r="O21" t="n">
        <v>7014.57355207</v>
      </c>
      <c r="P21" t="n">
        <v>434271.235862</v>
      </c>
      <c r="Q21" t="n">
        <v>573902.57800407</v>
      </c>
    </row>
    <row r="22" ht="18" customHeight="1">
      <c r="A22" s="5" t="inlineStr">
        <is>
          <t>uinv.stud</t>
        </is>
      </c>
      <c r="B22" s="6" t="n">
        <v>111478.9356</v>
      </c>
      <c r="C22" s="6" t="n">
        <v>228180</v>
      </c>
      <c r="D22" s="6" t="n">
        <v>116701.0644</v>
      </c>
      <c r="E22" s="9" t="n">
        <v>1.046844085583465</v>
      </c>
      <c r="G22" s="6" t="inlineStr"/>
      <c r="H22" s="10" t="n">
        <v>5</v>
      </c>
      <c r="I22" t="inlineStr">
        <is>
          <t>uinv.stud</t>
        </is>
      </c>
      <c r="J22" s="6" t="n">
        <v>7125.5</v>
      </c>
      <c r="K22" s="10" t="n">
        <v>375.75</v>
      </c>
      <c r="L22" t="n">
        <v>5958.25</v>
      </c>
      <c r="M22" t="n">
        <v>4049.5</v>
      </c>
      <c r="N22" t="n">
        <v>44363.5588828</v>
      </c>
      <c r="O22" t="n">
        <v>3672.00727627</v>
      </c>
      <c r="P22" t="n">
        <v>110021.567021</v>
      </c>
      <c r="Q22" t="n">
        <v>175566.13318007</v>
      </c>
    </row>
    <row r="23" ht="18" customHeight="1">
      <c r="A23" s="5" t="inlineStr">
        <is>
          <t>stud 16+</t>
        </is>
      </c>
      <c r="B23" s="6" t="n">
        <v>78499.5442</v>
      </c>
      <c r="C23" s="6" t="n">
        <v>95257</v>
      </c>
      <c r="D23" s="6" t="n">
        <v>16757.4558</v>
      </c>
      <c r="E23" s="9" t="n">
        <v>0.2134720140196686</v>
      </c>
      <c r="G23" s="6" t="inlineStr"/>
      <c r="H23" s="10" t="n">
        <v>6</v>
      </c>
      <c r="I23" t="inlineStr">
        <is>
          <t>stud 16+</t>
        </is>
      </c>
      <c r="J23" s="6" t="n">
        <v>5102.75</v>
      </c>
      <c r="K23" s="10" t="n">
        <v>141.5</v>
      </c>
      <c r="L23" t="n">
        <v>4245</v>
      </c>
      <c r="M23" t="n">
        <v>3558.5</v>
      </c>
      <c r="N23" t="n">
        <v>14046.6172179</v>
      </c>
      <c r="O23" t="n">
        <v>349.852824317</v>
      </c>
      <c r="P23" t="n">
        <v>92096.1569321</v>
      </c>
      <c r="Q23" t="n">
        <v>119540.376974317</v>
      </c>
    </row>
    <row r="24" ht="18" customHeight="1">
      <c r="A24" s="5" t="inlineStr">
        <is>
          <t>stud.5-15</t>
        </is>
      </c>
      <c r="B24" s="6" t="n">
        <v>515915.9259</v>
      </c>
      <c r="C24" s="6" t="n">
        <v>567370</v>
      </c>
      <c r="D24" s="6" t="n">
        <v>51454.07410000003</v>
      </c>
      <c r="E24" s="9" t="n">
        <v>0.09973344786796401</v>
      </c>
      <c r="G24" s="6" t="inlineStr"/>
      <c r="H24" s="10" t="n">
        <v>7</v>
      </c>
      <c r="I24" t="inlineStr">
        <is>
          <t>stud.5-15</t>
        </is>
      </c>
      <c r="J24" s="6" t="n">
        <v>21597.75</v>
      </c>
      <c r="K24" s="10" t="n">
        <v>504.5</v>
      </c>
      <c r="L24" t="n">
        <v>17436.25</v>
      </c>
      <c r="M24" t="n">
        <v>15664.5</v>
      </c>
      <c r="N24" t="n">
        <v>61354.2891692</v>
      </c>
      <c r="O24" t="n">
        <v>1149.3870875</v>
      </c>
      <c r="P24" t="n">
        <v>386181.27956</v>
      </c>
      <c r="Q24" t="n">
        <v>503887.9558167</v>
      </c>
    </row>
    <row r="25" ht="18" customHeight="1">
      <c r="A25" s="5" t="inlineStr">
        <is>
          <t>under 5</t>
        </is>
      </c>
      <c r="B25" s="11" t="n">
        <v>271697.4896</v>
      </c>
      <c r="C25" s="11" t="n">
        <v>271940</v>
      </c>
      <c r="D25" s="11" t="n">
        <v>242.5103999999701</v>
      </c>
      <c r="E25" s="12" t="n">
        <v>0.0008925750486579766</v>
      </c>
      <c r="G25" s="6" t="inlineStr"/>
      <c r="H25" s="9" t="n">
        <v>8</v>
      </c>
      <c r="I25" t="inlineStr">
        <is>
          <t>under 5</t>
        </is>
      </c>
      <c r="J25" s="6" t="n">
        <v>8021.75</v>
      </c>
      <c r="K25" s="9" t="n">
        <v>395</v>
      </c>
      <c r="L25" t="n">
        <v>8520.25</v>
      </c>
      <c r="M25" t="n">
        <v>6819.75</v>
      </c>
      <c r="N25" t="n">
        <v>33527.2673185</v>
      </c>
      <c r="O25" t="n">
        <v>727.2812949630001</v>
      </c>
      <c r="P25" t="n">
        <v>177049.123171</v>
      </c>
      <c r="Q25" t="n">
        <v>235060.421784463</v>
      </c>
    </row>
    <row r="26" ht="18" customHeight="1">
      <c r="A26" s="7" t="inlineStr">
        <is>
          <t>Total</t>
        </is>
      </c>
      <c r="B26" s="13" t="n">
        <v>3708517.9666</v>
      </c>
      <c r="C26" s="13" t="n">
        <v>4026163</v>
      </c>
      <c r="D26" s="13" t="n">
        <v>317645.0334000001</v>
      </c>
      <c r="E26" s="14" t="n">
        <v>0.08565282311176711</v>
      </c>
      <c r="G26" s="6" t="inlineStr"/>
      <c r="H26" s="9" t="inlineStr"/>
      <c r="I26" t="inlineStr">
        <is>
          <t>Total</t>
        </is>
      </c>
      <c r="J26" s="6" t="n">
        <v>152941.5</v>
      </c>
      <c r="K26" s="9" t="n">
        <v>9701</v>
      </c>
      <c r="L26" t="n">
        <v>135841.5</v>
      </c>
      <c r="M26" t="n">
        <v>108932</v>
      </c>
      <c r="N26" t="n">
        <v>623275.5318660999</v>
      </c>
      <c r="O26" t="n">
        <v>54870.85857662001</v>
      </c>
      <c r="P26" t="n">
        <v>2656912.4280211</v>
      </c>
      <c r="Q26" t="n">
        <v>3742474.81846382</v>
      </c>
    </row>
    <row r="27" ht="18" customHeight="1"/>
    <row r="28" ht="18" customHeight="1"/>
    <row r="29" ht="18" customHeight="1"/>
    <row r="30" ht="18" customHeight="1">
      <c r="A30" s="1" t="inlineStr">
        <is>
          <t>TABLE 3. TOURS BY PURPOSE</t>
        </is>
      </c>
      <c r="G30" s="1" t="inlineStr">
        <is>
          <t>TABLE 4. TOUR RATES BY PUPROSE (Total tours for purpose/total person)</t>
        </is>
      </c>
    </row>
    <row r="31" ht="18" customHeight="1">
      <c r="B31" s="2" t="inlineStr"/>
      <c r="C31" s="2" t="inlineStr"/>
      <c r="D31" s="2" t="inlineStr"/>
      <c r="E31" s="2" t="inlineStr"/>
      <c r="G31" s="2" t="inlineStr"/>
      <c r="H31" s="2" t="inlineStr"/>
      <c r="I31" s="2" t="inlineStr"/>
      <c r="J31" s="2" t="inlineStr"/>
    </row>
    <row r="32" ht="18" customHeight="1">
      <c r="A32" s="3" t="inlineStr">
        <is>
          <t>Purpose</t>
        </is>
      </c>
      <c r="B32" s="4" t="inlineStr">
        <is>
          <t>ExpandSurv</t>
        </is>
      </c>
      <c r="C32" s="4" t="inlineStr">
        <is>
          <t>SynthPop</t>
        </is>
      </c>
      <c r="D32" s="4" t="inlineStr">
        <is>
          <t>Diff</t>
        </is>
      </c>
      <c r="E32" s="4" t="inlineStr">
        <is>
          <t>% Diff</t>
        </is>
      </c>
      <c r="G32" s="4" t="inlineStr">
        <is>
          <t>ExpandSurv</t>
        </is>
      </c>
      <c r="H32" s="4" t="inlineStr">
        <is>
          <t>SynthPop</t>
        </is>
      </c>
      <c r="I32" s="4" t="inlineStr">
        <is>
          <t>Diff</t>
        </is>
      </c>
      <c r="J32" s="4" t="inlineStr">
        <is>
          <t>% Diff</t>
        </is>
      </c>
    </row>
    <row r="33" ht="18" customHeight="1">
      <c r="A33" s="5" t="inlineStr">
        <is>
          <t>work</t>
        </is>
      </c>
      <c r="B33" s="6" t="n">
        <v>1727558.953255146</v>
      </c>
      <c r="C33" s="6" t="n">
        <v>2081865</v>
      </c>
      <c r="D33" s="6" t="n">
        <v>354306.0467448537</v>
      </c>
      <c r="E33" s="9" t="n">
        <v>0.2050905678658629</v>
      </c>
      <c r="G33" s="28" t="n">
        <v>0.4658354007757408</v>
      </c>
      <c r="H33" s="28" t="n">
        <v>0.5170841319638574</v>
      </c>
      <c r="I33" s="28" t="n">
        <v>0.05124873118811657</v>
      </c>
      <c r="J33" s="9" t="n">
        <v>0.1100146770785855</v>
      </c>
      <c r="L33" s="37" t="inlineStr"/>
      <c r="M33" s="37" t="inlineStr"/>
    </row>
    <row r="34" ht="18" customHeight="1">
      <c r="A34" s="5" t="inlineStr">
        <is>
          <t>school</t>
        </is>
      </c>
      <c r="B34" s="6" t="n">
        <v>805076.5250488229</v>
      </c>
      <c r="C34" s="6" t="n">
        <v>714761</v>
      </c>
      <c r="D34" s="6" t="n">
        <v>-90315.52504882286</v>
      </c>
      <c r="E34" s="9" t="n">
        <v>-0.1121825345029726</v>
      </c>
      <c r="G34" s="28" t="n">
        <v>0.2170884790904556</v>
      </c>
      <c r="H34" s="28" t="n">
        <v>0.1775290766916292</v>
      </c>
      <c r="I34" s="28" t="n">
        <v>-0.03955940239882633</v>
      </c>
      <c r="J34" s="9" t="n">
        <v>-0.1822270926793074</v>
      </c>
      <c r="L34" s="37" t="inlineStr"/>
      <c r="M34" s="37" t="inlineStr"/>
    </row>
    <row r="35" ht="18" customHeight="1">
      <c r="A35" s="5" t="inlineStr">
        <is>
          <t>escort</t>
        </is>
      </c>
      <c r="B35" s="6" t="n">
        <v>648797.0130975691</v>
      </c>
      <c r="C35" s="6" t="n">
        <v>700152</v>
      </c>
      <c r="D35" s="6" t="n">
        <v>51354.98690243089</v>
      </c>
      <c r="E35" s="9" t="n">
        <v>0.07915416665876032</v>
      </c>
      <c r="G35" s="28" t="n">
        <v>0.1749477874829852</v>
      </c>
      <c r="H35" s="28" t="n">
        <v>0.1739005599127507</v>
      </c>
      <c r="I35" s="28" t="n">
        <v>-0.00104722757023451</v>
      </c>
      <c r="J35" s="9" t="n">
        <v>-0.005985943493777308</v>
      </c>
      <c r="L35" s="37" t="inlineStr"/>
      <c r="M35" s="37" t="inlineStr"/>
    </row>
    <row r="36" ht="18" customHeight="1">
      <c r="A36" s="5" t="inlineStr">
        <is>
          <t>pers.bus</t>
        </is>
      </c>
      <c r="B36" s="6" t="n">
        <v>718143.1052283818</v>
      </c>
      <c r="C36" s="6" t="n">
        <v>739293</v>
      </c>
      <c r="D36" s="6" t="n">
        <v>21149.89477161819</v>
      </c>
      <c r="E36" s="9" t="n">
        <v>0.02945080808774479</v>
      </c>
      <c r="G36" s="28" t="n">
        <v>0.193646926264397</v>
      </c>
      <c r="H36" s="28" t="n">
        <v>0.1836222229452707</v>
      </c>
      <c r="I36" s="28" t="n">
        <v>-0.0100247033191263</v>
      </c>
      <c r="J36" s="9" t="n">
        <v>-0.05176794443635534</v>
      </c>
      <c r="L36" s="37" t="inlineStr"/>
      <c r="M36" s="37" t="inlineStr"/>
    </row>
    <row r="37" ht="18" customHeight="1">
      <c r="A37" s="5" t="inlineStr">
        <is>
          <t>shop</t>
        </is>
      </c>
      <c r="B37" s="6" t="n">
        <v>702437.8153073883</v>
      </c>
      <c r="C37" s="6" t="n">
        <v>741597</v>
      </c>
      <c r="D37" s="6" t="n">
        <v>39159.18469261169</v>
      </c>
      <c r="E37" s="9" t="n">
        <v>0.05574754638668697</v>
      </c>
      <c r="G37" s="28" t="n">
        <v>0.1894120027552109</v>
      </c>
      <c r="H37" s="28" t="n">
        <v>0.1841944799552328</v>
      </c>
      <c r="I37" s="28" t="n">
        <v>-0.005217522799978086</v>
      </c>
      <c r="J37" s="9" t="n">
        <v>-0.02754589320678384</v>
      </c>
      <c r="L37" s="37" t="inlineStr"/>
      <c r="M37" s="37" t="inlineStr"/>
    </row>
    <row r="38" ht="18" customHeight="1">
      <c r="A38" s="5" t="inlineStr">
        <is>
          <t>meal</t>
        </is>
      </c>
      <c r="B38" s="6" t="n">
        <v>225250.543726851</v>
      </c>
      <c r="C38" s="6" t="n">
        <v>241864</v>
      </c>
      <c r="D38" s="6" t="n">
        <v>16613.456273149</v>
      </c>
      <c r="E38" s="9" t="n">
        <v>0.07375545469623918</v>
      </c>
      <c r="G38" s="28" t="n">
        <v>0.06073869555318956</v>
      </c>
      <c r="H38" s="28" t="n">
        <v>0.06007307702147181</v>
      </c>
      <c r="I38" s="28" t="n">
        <v>-0.0006656185317177529</v>
      </c>
      <c r="J38" s="9" t="n">
        <v>-0.01095872286448535</v>
      </c>
      <c r="L38" s="37" t="inlineStr"/>
      <c r="M38" s="37" t="inlineStr"/>
    </row>
    <row r="39" ht="18" customHeight="1">
      <c r="A39" s="5" t="inlineStr">
        <is>
          <t>soc/rec</t>
        </is>
      </c>
      <c r="B39" s="6" t="n">
        <v>1090010.600626743</v>
      </c>
      <c r="C39" s="6" t="n">
        <v>1159437</v>
      </c>
      <c r="D39" s="6" t="n">
        <v>69426.39937325683</v>
      </c>
      <c r="E39" s="9" t="n">
        <v>0.06369332493953497</v>
      </c>
      <c r="G39" s="28" t="n">
        <v>0.2939208089171195</v>
      </c>
      <c r="H39" s="28" t="n">
        <v>0.2879756731160661</v>
      </c>
      <c r="I39" s="28" t="n">
        <v>-0.005945135801053436</v>
      </c>
      <c r="J39" s="9" t="n">
        <v>-0.02022699863598245</v>
      </c>
      <c r="L39" s="37" t="inlineStr"/>
      <c r="M39" s="37" t="inlineStr"/>
    </row>
    <row r="40" ht="18" customHeight="1">
      <c r="A40" s="5" t="inlineStr">
        <is>
          <t>workbased</t>
        </is>
      </c>
      <c r="B40" s="11" t="n">
        <v>184043.1653974242</v>
      </c>
      <c r="C40" s="11" t="n">
        <v>233255</v>
      </c>
      <c r="D40" s="11" t="n">
        <v>49211.83460257581</v>
      </c>
      <c r="E40" s="12" t="n">
        <v>0.2673928939241368</v>
      </c>
      <c r="G40" s="28" t="n">
        <v>0.04962714676185228</v>
      </c>
      <c r="H40" s="28" t="n">
        <v>0.05793481287270287</v>
      </c>
      <c r="I40" s="15" t="n">
        <v>0.008307666110850591</v>
      </c>
      <c r="J40" s="12" t="n">
        <v>0.1674016471411688</v>
      </c>
      <c r="L40" s="37" t="inlineStr"/>
      <c r="M40" s="37" t="inlineStr"/>
    </row>
    <row r="41" ht="18" customHeight="1">
      <c r="A41" s="7" t="inlineStr">
        <is>
          <t>Total</t>
        </is>
      </c>
      <c r="B41" s="13" t="n">
        <v>6101317.721688327</v>
      </c>
      <c r="C41" s="13" t="n">
        <v>6612224</v>
      </c>
      <c r="D41" s="13" t="n">
        <v>510906.2783116726</v>
      </c>
      <c r="E41" s="14" t="n">
        <v>0.08373703872125136</v>
      </c>
      <c r="G41" s="16" t="n">
        <v>1.645217247600951</v>
      </c>
      <c r="H41" s="16" t="n">
        <v>1.642314034478981</v>
      </c>
      <c r="I41" s="17" t="n">
        <v>-0.002903213121969506</v>
      </c>
      <c r="J41" s="14" t="n">
        <v>-0.00176463815110312</v>
      </c>
    </row>
    <row r="42" ht="18" customHeight="1">
      <c r="B42" s="6" t="inlineStr"/>
      <c r="C42" s="6" t="inlineStr"/>
      <c r="D42" s="6" t="inlineStr"/>
    </row>
    <row r="43" ht="18" customHeight="1">
      <c r="B43" s="6" t="inlineStr"/>
      <c r="C43" s="6" t="inlineStr"/>
      <c r="D43" s="6" t="inlineStr"/>
    </row>
    <row r="44" ht="18" customHeight="1">
      <c r="B44" s="6" t="inlineStr"/>
      <c r="C44" s="6" t="inlineStr"/>
      <c r="D44" s="6" t="inlineStr"/>
    </row>
    <row r="45" ht="18" customHeight="1">
      <c r="A45" s="1" t="inlineStr">
        <is>
          <t>TABLE 5. TOURS BY PERSONTYPE</t>
        </is>
      </c>
      <c r="G45" s="1" t="inlineStr">
        <is>
          <t>TABLE 6. TOUR RATES BY PERSONTYPE (Total tours/total person for person type)</t>
        </is>
      </c>
    </row>
    <row r="46" ht="18" customHeight="1">
      <c r="B46" s="2" t="inlineStr"/>
      <c r="C46" s="2" t="inlineStr"/>
      <c r="D46" s="2" t="inlineStr"/>
      <c r="E46" s="2" t="inlineStr"/>
      <c r="G46" s="2" t="inlineStr"/>
      <c r="H46" s="2" t="inlineStr"/>
      <c r="I46" s="2" t="inlineStr"/>
      <c r="J46" s="2" t="inlineStr"/>
    </row>
    <row r="47" ht="18" customHeight="1">
      <c r="A47" s="3" t="inlineStr">
        <is>
          <t>Persontype</t>
        </is>
      </c>
      <c r="B47" s="4" t="inlineStr">
        <is>
          <t>ExpandSurv</t>
        </is>
      </c>
      <c r="C47" s="4" t="inlineStr">
        <is>
          <t>SynthPop</t>
        </is>
      </c>
      <c r="D47" s="4" t="inlineStr">
        <is>
          <t>Diff</t>
        </is>
      </c>
      <c r="E47" s="4" t="inlineStr">
        <is>
          <t>% Diff</t>
        </is>
      </c>
      <c r="G47" s="4" t="inlineStr">
        <is>
          <t>ExpandSurv</t>
        </is>
      </c>
      <c r="H47" s="4" t="inlineStr">
        <is>
          <t>SynthPop</t>
        </is>
      </c>
      <c r="I47" s="4" t="inlineStr">
        <is>
          <t>Diff</t>
        </is>
      </c>
      <c r="J47" s="4" t="inlineStr">
        <is>
          <t>% Diff</t>
        </is>
      </c>
    </row>
    <row r="48" ht="18" customHeight="1">
      <c r="A48" s="5" t="inlineStr">
        <is>
          <t>ft worker</t>
        </is>
      </c>
      <c r="B48" s="6" t="n">
        <v>2431438.022820987</v>
      </c>
      <c r="C48" s="6" t="n">
        <v>2857475</v>
      </c>
      <c r="D48" s="6" t="n">
        <v>426036.9771790132</v>
      </c>
      <c r="E48" s="9" t="n">
        <v>0.175220167316755</v>
      </c>
      <c r="G48" s="28" t="n">
        <v>1.721262692089181</v>
      </c>
      <c r="H48" s="28" t="n">
        <v>1.733903680883689</v>
      </c>
      <c r="I48" s="28" t="n">
        <v>0.01264098879450781</v>
      </c>
      <c r="J48" s="9" t="n">
        <v>0.007344020673082052</v>
      </c>
      <c r="L48" s="10" t="inlineStr"/>
      <c r="M48" s="10" t="inlineStr"/>
    </row>
    <row r="49" ht="18" customHeight="1">
      <c r="A49" s="5" t="inlineStr">
        <is>
          <t>pt worker</t>
        </is>
      </c>
      <c r="B49" s="6" t="n">
        <v>625338.6677078081</v>
      </c>
      <c r="C49" s="6" t="n">
        <v>684279</v>
      </c>
      <c r="D49" s="6" t="n">
        <v>58940.33229219192</v>
      </c>
      <c r="E49" s="9" t="n">
        <v>0.09425345870300798</v>
      </c>
      <c r="G49" s="28" t="n">
        <v>1.834076100026397</v>
      </c>
      <c r="H49" s="28" t="n">
        <v>1.755214118069539</v>
      </c>
      <c r="I49" s="28" t="n">
        <v>-0.07886198195685878</v>
      </c>
      <c r="J49" s="9" t="n">
        <v>-0.04299820599359195</v>
      </c>
      <c r="L49" s="10" t="inlineStr"/>
      <c r="M49" s="10" t="inlineStr"/>
    </row>
    <row r="50" ht="18" customHeight="1">
      <c r="A50" s="5" t="inlineStr">
        <is>
          <t>retired</t>
        </is>
      </c>
      <c r="B50" s="6" t="n">
        <v>547910.2446145164</v>
      </c>
      <c r="C50" s="6" t="n">
        <v>573197</v>
      </c>
      <c r="D50" s="6" t="n">
        <v>25286.75538548362</v>
      </c>
      <c r="E50" s="9" t="n">
        <v>0.04615127319489011</v>
      </c>
      <c r="G50" s="28" t="n">
        <v>1.422803577708895</v>
      </c>
      <c r="H50" s="28" t="n">
        <v>1.409731923266109</v>
      </c>
      <c r="I50" s="28" t="n">
        <v>-0.01307165444278535</v>
      </c>
      <c r="J50" s="9" t="n">
        <v>-0.00918725159788698</v>
      </c>
      <c r="L50" s="10" t="inlineStr"/>
      <c r="M50" s="10" t="inlineStr"/>
    </row>
    <row r="51" ht="18" customHeight="1">
      <c r="A51" s="5" t="inlineStr">
        <is>
          <t>nonworker</t>
        </is>
      </c>
      <c r="B51" s="6" t="n">
        <v>1052457.407851551</v>
      </c>
      <c r="C51" s="6" t="n">
        <v>710826</v>
      </c>
      <c r="D51" s="6" t="n">
        <v>-341631.4078515514</v>
      </c>
      <c r="E51" s="9" t="n">
        <v>-0.3246035471867175</v>
      </c>
      <c r="G51" s="28" t="n">
        <v>1.776933215174696</v>
      </c>
      <c r="H51" s="28" t="n">
        <v>1.696644071033034</v>
      </c>
      <c r="I51" s="28" t="n">
        <v>-0.08028914414166199</v>
      </c>
      <c r="J51" s="9" t="n">
        <v>-0.04518410903460348</v>
      </c>
      <c r="L51" s="10" t="inlineStr"/>
      <c r="M51" s="10" t="inlineStr"/>
    </row>
    <row r="52" ht="18" customHeight="1">
      <c r="A52" s="5" t="inlineStr">
        <is>
          <t>uinv.stud</t>
        </is>
      </c>
      <c r="B52" s="6" t="n">
        <v>199289.4263048723</v>
      </c>
      <c r="C52" s="6" t="n">
        <v>417166</v>
      </c>
      <c r="D52" s="6" t="n">
        <v>217876.5736951277</v>
      </c>
      <c r="E52" s="9" t="n">
        <v>1.093267102700275</v>
      </c>
      <c r="G52" s="28" t="n">
        <v>1.787686841754096</v>
      </c>
      <c r="H52" s="28" t="n">
        <v>1.828232097466912</v>
      </c>
      <c r="I52" s="28" t="n">
        <v>0.04054525571281586</v>
      </c>
      <c r="J52" s="9" t="n">
        <v>0.02268028983926091</v>
      </c>
      <c r="L52" s="10" t="inlineStr"/>
      <c r="M52" s="10" t="inlineStr"/>
    </row>
    <row r="53" ht="18" customHeight="1">
      <c r="A53" s="5" t="inlineStr">
        <is>
          <t>stud 16+</t>
        </is>
      </c>
      <c r="B53" s="6" t="n">
        <v>108113.223138592</v>
      </c>
      <c r="C53" s="6" t="n">
        <v>127103</v>
      </c>
      <c r="D53" s="6" t="n">
        <v>18989.77686140801</v>
      </c>
      <c r="E53" s="9" t="n">
        <v>0.1756471253943167</v>
      </c>
      <c r="G53" s="28" t="n">
        <v>1.377246508121661</v>
      </c>
      <c r="H53" s="28" t="n">
        <v>1.334316638147328</v>
      </c>
      <c r="I53" s="28" t="n">
        <v>-0.04292986997433323</v>
      </c>
      <c r="J53" s="9" t="n">
        <v>-0.03117079602030181</v>
      </c>
      <c r="L53" s="10" t="inlineStr"/>
      <c r="M53" s="10" t="inlineStr"/>
    </row>
    <row r="54" ht="18" customHeight="1">
      <c r="A54" s="5" t="inlineStr">
        <is>
          <t>stud.5-15</t>
        </is>
      </c>
      <c r="B54" s="6" t="n">
        <v>772435.58325</v>
      </c>
      <c r="C54" s="6" t="n">
        <v>817673</v>
      </c>
      <c r="D54" s="6" t="n">
        <v>45237.41674999997</v>
      </c>
      <c r="E54" s="9" t="n">
        <v>0.05856464633551043</v>
      </c>
      <c r="G54" s="28" t="n">
        <v>1.497212131807153</v>
      </c>
      <c r="H54" s="28" t="n">
        <v>1.441163614572501</v>
      </c>
      <c r="I54" s="28" t="n">
        <v>-0.05604851723465165</v>
      </c>
      <c r="J54" s="9" t="n">
        <v>-0.03743525452669184</v>
      </c>
      <c r="L54" s="10" t="inlineStr"/>
      <c r="M54" s="10" t="inlineStr"/>
    </row>
    <row r="55" ht="18" customHeight="1">
      <c r="A55" s="5" t="inlineStr">
        <is>
          <t>under 5</t>
        </is>
      </c>
      <c r="B55" s="11" t="n">
        <v>364335.1460000001</v>
      </c>
      <c r="C55" s="11" t="n">
        <v>424505</v>
      </c>
      <c r="D55" s="11" t="n">
        <v>60169.85399999993</v>
      </c>
      <c r="E55" s="12" t="n">
        <v>0.1651497382577522</v>
      </c>
      <c r="G55" s="15" t="n">
        <v>1.340958823492935</v>
      </c>
      <c r="H55" s="15" t="n">
        <v>1.561024490696477</v>
      </c>
      <c r="I55" s="15" t="n">
        <v>0.2200656672035419</v>
      </c>
      <c r="J55" s="12" t="n">
        <v>0.1641106821090255</v>
      </c>
      <c r="L55" s="10" t="inlineStr"/>
      <c r="M55" s="10" t="inlineStr"/>
    </row>
    <row r="56" ht="18" customHeight="1">
      <c r="A56" s="7" t="inlineStr">
        <is>
          <t>Total</t>
        </is>
      </c>
      <c r="B56" s="13" t="n">
        <v>6101317.721688327</v>
      </c>
      <c r="C56" s="13" t="n">
        <v>6612224</v>
      </c>
      <c r="D56" s="13" t="n">
        <v>510906.2783116726</v>
      </c>
      <c r="E56" s="14" t="n">
        <v>0.08373703872125136</v>
      </c>
      <c r="G56" s="17" t="n">
        <v>1.645217247600951</v>
      </c>
      <c r="H56" s="17" t="n">
        <v>1.642314034478981</v>
      </c>
      <c r="I56" s="17" t="n">
        <v>-0.002903213121969506</v>
      </c>
      <c r="J56" s="14" t="n">
        <v>-0.00176463815110312</v>
      </c>
    </row>
    <row r="57" ht="18" customHeight="1"/>
    <row r="58" ht="18" customHeight="1"/>
    <row r="59" ht="18" customHeight="1"/>
    <row r="60" ht="18" customHeight="1">
      <c r="A60" s="1" t="inlineStr">
        <is>
          <t>TABLE 7. TRIPS BY DESTINATION PURPOSE</t>
        </is>
      </c>
      <c r="G60" s="1" t="inlineStr">
        <is>
          <t>TABLE 8. TRIP RATES BY DESTINATION PURPOSE (Total trips for purpose/total person)</t>
        </is>
      </c>
      <c r="L60" s="1" t="inlineStr">
        <is>
          <t>Trip per Tours by Purpose</t>
        </is>
      </c>
    </row>
    <row r="61" ht="18" customHeight="1">
      <c r="B61" s="2" t="inlineStr"/>
      <c r="C61" s="2" t="inlineStr"/>
      <c r="D61" s="2" t="inlineStr"/>
      <c r="E61" s="2" t="inlineStr"/>
      <c r="G61" s="2" t="inlineStr"/>
      <c r="H61" s="2" t="inlineStr"/>
      <c r="I61" s="2" t="inlineStr"/>
      <c r="J61" s="2" t="inlineStr"/>
    </row>
    <row r="62" ht="18" customHeight="1">
      <c r="A62" s="3" t="inlineStr">
        <is>
          <t>Dest Purpose</t>
        </is>
      </c>
      <c r="B62" s="4" t="inlineStr">
        <is>
          <t>ExpandSurv</t>
        </is>
      </c>
      <c r="C62" s="4" t="inlineStr">
        <is>
          <t>SynthPop</t>
        </is>
      </c>
      <c r="D62" s="4" t="inlineStr">
        <is>
          <t>Diff</t>
        </is>
      </c>
      <c r="E62" s="4" t="inlineStr">
        <is>
          <t>% Diff</t>
        </is>
      </c>
      <c r="G62" s="4" t="inlineStr">
        <is>
          <t>ExpandSurv</t>
        </is>
      </c>
      <c r="H62" s="4" t="inlineStr">
        <is>
          <t>SynthPop</t>
        </is>
      </c>
      <c r="I62" s="4" t="inlineStr">
        <is>
          <t>Diff</t>
        </is>
      </c>
      <c r="J62" s="4" t="inlineStr">
        <is>
          <t>% Diff</t>
        </is>
      </c>
      <c r="L62" s="4" t="inlineStr">
        <is>
          <t>ExpandSurv</t>
        </is>
      </c>
      <c r="M62" s="4" t="inlineStr">
        <is>
          <t>SynthPop</t>
        </is>
      </c>
    </row>
    <row r="63" ht="18" customHeight="1">
      <c r="A63" s="5" t="inlineStr">
        <is>
          <t>work</t>
        </is>
      </c>
      <c r="B63" s="6" t="n">
        <v>2298251.40394728</v>
      </c>
      <c r="C63" s="6" t="n">
        <v>2806944</v>
      </c>
      <c r="D63" s="6" t="n">
        <v>508692.5960527202</v>
      </c>
      <c r="E63" s="9" t="n">
        <v>0.221338968913076</v>
      </c>
      <c r="G63" s="28" t="n">
        <v>0.6197223323834496</v>
      </c>
      <c r="H63" s="28" t="n">
        <v>0.6971759464283984</v>
      </c>
      <c r="I63" s="28" t="n">
        <v>0.07745361404494877</v>
      </c>
      <c r="J63" s="9" t="n">
        <v>0.1249811568788597</v>
      </c>
      <c r="L63" s="28" t="n">
        <v>1.330346150918212</v>
      </c>
      <c r="M63" s="28" t="n">
        <v>1.348283390133366</v>
      </c>
    </row>
    <row r="64" ht="18" customHeight="1">
      <c r="A64" s="5" t="inlineStr">
        <is>
          <t>school</t>
        </is>
      </c>
      <c r="B64" s="6" t="n">
        <v>874992.3497899399</v>
      </c>
      <c r="C64" s="6" t="n">
        <v>781148</v>
      </c>
      <c r="D64" s="6" t="n">
        <v>-93844.34978993994</v>
      </c>
      <c r="E64" s="9" t="n">
        <v>-0.1072516231855847</v>
      </c>
      <c r="G64" s="28" t="n">
        <v>0.2359412459829985</v>
      </c>
      <c r="H64" s="28" t="n">
        <v>0.194017976917477</v>
      </c>
      <c r="I64" s="28" t="n">
        <v>-0.04192326906552146</v>
      </c>
      <c r="J64" s="9" t="n">
        <v>-0.1776852067168552</v>
      </c>
      <c r="L64" s="28" t="n">
        <v>1.086843700649298</v>
      </c>
      <c r="M64" s="28" t="n">
        <v>1.092879997649564</v>
      </c>
    </row>
    <row r="65" ht="18" customHeight="1">
      <c r="A65" s="5" t="inlineStr">
        <is>
          <t>escort</t>
        </is>
      </c>
      <c r="B65" s="6" t="n">
        <v>1245809.413276674</v>
      </c>
      <c r="C65" s="6" t="n">
        <v>1436674</v>
      </c>
      <c r="D65" s="6" t="n">
        <v>190864.5867233262</v>
      </c>
      <c r="E65" s="9" t="n">
        <v>0.1532052854066357</v>
      </c>
      <c r="G65" s="28" t="n">
        <v>0.3359318802003384</v>
      </c>
      <c r="H65" s="28" t="n">
        <v>0.3568345345183491</v>
      </c>
      <c r="I65" s="28" t="n">
        <v>0.02090265431801069</v>
      </c>
      <c r="J65" s="9" t="n">
        <v>0.06222289562260377</v>
      </c>
      <c r="L65" s="28" t="n">
        <v>1.920183644694621</v>
      </c>
      <c r="M65" s="28" t="n">
        <v>2.051945863183994</v>
      </c>
    </row>
    <row r="66" ht="18" customHeight="1">
      <c r="A66" s="5" t="inlineStr">
        <is>
          <t>pers.bus</t>
        </is>
      </c>
      <c r="B66" s="6" t="n">
        <v>1846226.214474478</v>
      </c>
      <c r="C66" s="6" t="n">
        <v>1979068</v>
      </c>
      <c r="D66" s="6" t="n">
        <v>132841.7855255222</v>
      </c>
      <c r="E66" s="9" t="n">
        <v>0.07195314663178216</v>
      </c>
      <c r="G66" s="28" t="n">
        <v>0.4978339679360144</v>
      </c>
      <c r="H66" s="28" t="n">
        <v>0.4915518820276278</v>
      </c>
      <c r="I66" s="28" t="n">
        <v>-0.006282085908386636</v>
      </c>
      <c r="J66" s="9" t="n">
        <v>-0.01261883742973935</v>
      </c>
      <c r="L66" s="28" t="n">
        <v>2.570833307502613</v>
      </c>
      <c r="M66" s="28" t="n">
        <v>2.676973811465819</v>
      </c>
    </row>
    <row r="67" ht="18" customHeight="1">
      <c r="A67" s="5" t="inlineStr">
        <is>
          <t>shop</t>
        </is>
      </c>
      <c r="B67" s="6" t="n">
        <v>2042144.375058298</v>
      </c>
      <c r="C67" s="6" t="n">
        <v>2191708</v>
      </c>
      <c r="D67" s="6" t="n">
        <v>149563.6249417025</v>
      </c>
      <c r="E67" s="9" t="n">
        <v>0.07323851671233227</v>
      </c>
      <c r="G67" s="28" t="n">
        <v>0.5506632011629574</v>
      </c>
      <c r="H67" s="28" t="n">
        <v>0.5443664352387124</v>
      </c>
      <c r="I67" s="28" t="n">
        <v>-0.006296765924244996</v>
      </c>
      <c r="J67" s="9" t="n">
        <v>-0.0114348769101453</v>
      </c>
      <c r="L67" s="28" t="n">
        <v>2.907224426926177</v>
      </c>
      <c r="M67" s="28" t="n">
        <v>2.95538951748726</v>
      </c>
    </row>
    <row r="68" ht="18" customHeight="1">
      <c r="A68" s="5" t="inlineStr">
        <is>
          <t>meal</t>
        </is>
      </c>
      <c r="B68" s="6" t="n">
        <v>828105.0150248591</v>
      </c>
      <c r="C68" s="6" t="n">
        <v>910329</v>
      </c>
      <c r="D68" s="6" t="n">
        <v>82223.98497514089</v>
      </c>
      <c r="E68" s="9" t="n">
        <v>0.09929173653497629</v>
      </c>
      <c r="G68" s="28" t="n">
        <v>0.2232980998024051</v>
      </c>
      <c r="H68" s="28" t="n">
        <v>0.2261033644191753</v>
      </c>
      <c r="I68" s="28" t="n">
        <v>0.002805264616770192</v>
      </c>
      <c r="J68" s="9" t="n">
        <v>0.01256286828796372</v>
      </c>
      <c r="L68" s="28" t="n">
        <v>3.676372990375804</v>
      </c>
      <c r="M68" s="28" t="n">
        <v>3.763805278999768</v>
      </c>
    </row>
    <row r="69" ht="18" customHeight="1">
      <c r="A69" s="5" t="inlineStr">
        <is>
          <t>soc/rec</t>
        </is>
      </c>
      <c r="B69" s="6" t="n">
        <v>1716147.065760338</v>
      </c>
      <c r="C69" s="6" t="n">
        <v>1844943</v>
      </c>
      <c r="D69" s="6" t="n">
        <v>128795.9342396618</v>
      </c>
      <c r="E69" s="9" t="n">
        <v>0.07504947379471748</v>
      </c>
      <c r="G69" s="28" t="n">
        <v>0.4627581910662054</v>
      </c>
      <c r="H69" s="28" t="n">
        <v>0.4582385263587192</v>
      </c>
      <c r="I69" s="28" t="n">
        <v>-0.00451966470748616</v>
      </c>
      <c r="J69" s="9" t="n">
        <v>-0.009766795693173468</v>
      </c>
      <c r="L69" s="28" t="n">
        <v>1.57443153743053</v>
      </c>
      <c r="M69" s="28" t="n">
        <v>1.591240403747681</v>
      </c>
    </row>
    <row r="70" ht="18" customHeight="1">
      <c r="A70" s="18" t="inlineStr">
        <is>
          <t>home</t>
        </is>
      </c>
      <c r="B70" s="11" t="n">
        <v>5897768.195587067</v>
      </c>
      <c r="C70" s="11" t="n">
        <v>6378969</v>
      </c>
      <c r="D70" s="11" t="n">
        <v>481200.8044129331</v>
      </c>
      <c r="E70" s="12" t="n">
        <v>0.08159032170389229</v>
      </c>
      <c r="G70" s="28" t="n">
        <v>1.590330220509674</v>
      </c>
      <c r="H70" s="28" t="n">
        <v>1.584379221606279</v>
      </c>
      <c r="I70" s="15" t="n">
        <v>-0.005950998903395677</v>
      </c>
      <c r="J70" s="12" t="n">
        <v>-0.003741989447630871</v>
      </c>
      <c r="L70" s="28" t="inlineStr"/>
      <c r="M70" s="28" t="inlineStr"/>
    </row>
    <row r="71" ht="18" customHeight="1">
      <c r="A71" s="7" t="inlineStr">
        <is>
          <t>Total</t>
        </is>
      </c>
      <c r="B71" s="8" t="n">
        <v>16749444.03291893</v>
      </c>
      <c r="C71" s="8" t="n">
        <v>18329783</v>
      </c>
      <c r="D71" s="8" t="n">
        <v>1580338.967081066</v>
      </c>
      <c r="E71" s="19" t="n">
        <v>0.09435172677822069</v>
      </c>
      <c r="G71" s="16" t="n">
        <v>4.516479139044043</v>
      </c>
      <c r="H71" s="16" t="n">
        <v>4.552667887514738</v>
      </c>
      <c r="I71" s="17" t="n">
        <v>0.03618874847069442</v>
      </c>
      <c r="J71" s="14" t="n">
        <v>0.008012601709559567</v>
      </c>
      <c r="L71" s="16" t="n">
        <v>2.74521747546104</v>
      </c>
      <c r="M71" s="16" t="n">
        <v>2.772105572950947</v>
      </c>
    </row>
    <row r="72" ht="18" customHeight="1"/>
    <row r="73" ht="18" customHeight="1"/>
    <row r="74" ht="18" customHeight="1"/>
    <row r="75" ht="18" customHeight="1">
      <c r="A75" s="1" t="inlineStr">
        <is>
          <t>TABLE 9. TRIPS BY PERSONTYPE</t>
        </is>
      </c>
      <c r="G75" s="1" t="inlineStr">
        <is>
          <t>TABLE 10. TRIP RATES BY PERSONTYPE  (Total trips/total person for person type)</t>
        </is>
      </c>
    </row>
    <row r="76" ht="18" customHeight="1">
      <c r="B76" s="2" t="inlineStr"/>
      <c r="C76" s="2" t="inlineStr"/>
      <c r="D76" s="2" t="inlineStr"/>
      <c r="E76" s="2" t="inlineStr"/>
      <c r="G76" s="2" t="inlineStr"/>
      <c r="H76" s="2" t="inlineStr"/>
      <c r="I76" s="2" t="inlineStr"/>
      <c r="J76" s="2" t="inlineStr"/>
    </row>
    <row r="77" ht="18" customHeight="1">
      <c r="A77" s="3" t="inlineStr">
        <is>
          <t>Persontype</t>
        </is>
      </c>
      <c r="B77" s="4" t="inlineStr">
        <is>
          <t>ExpandSurv</t>
        </is>
      </c>
      <c r="C77" s="4" t="inlineStr">
        <is>
          <t>SynthPop</t>
        </is>
      </c>
      <c r="D77" s="4" t="inlineStr">
        <is>
          <t>Diff</t>
        </is>
      </c>
      <c r="E77" s="4" t="inlineStr">
        <is>
          <t>% Diff</t>
        </is>
      </c>
      <c r="G77" s="4" t="inlineStr">
        <is>
          <t>ExpandSurv</t>
        </is>
      </c>
      <c r="H77" s="4" t="inlineStr">
        <is>
          <t>SynthPop</t>
        </is>
      </c>
      <c r="I77" s="4" t="inlineStr">
        <is>
          <t>Diff</t>
        </is>
      </c>
      <c r="J77" s="4" t="inlineStr">
        <is>
          <t>% Diff</t>
        </is>
      </c>
    </row>
    <row r="78" ht="18" customHeight="1">
      <c r="A78" s="5" t="inlineStr">
        <is>
          <t>ft worker</t>
        </is>
      </c>
      <c r="B78" s="6" t="n">
        <v>6681016.697459168</v>
      </c>
      <c r="C78" s="6" t="n">
        <v>8318544</v>
      </c>
      <c r="D78" s="6" t="n">
        <v>1637527.302540832</v>
      </c>
      <c r="E78" s="9" t="n">
        <v>0.2451015132417786</v>
      </c>
      <c r="G78" s="28" t="n">
        <v>4.729622831685067</v>
      </c>
      <c r="H78" s="28" t="n">
        <v>5.047657131276012</v>
      </c>
      <c r="I78" s="28" t="n">
        <v>0.3180342995909458</v>
      </c>
      <c r="J78" s="9" t="n">
        <v>0.06724305740837197</v>
      </c>
    </row>
    <row r="79" ht="18" customHeight="1">
      <c r="A79" s="5" t="inlineStr">
        <is>
          <t>pt worker</t>
        </is>
      </c>
      <c r="B79" s="6" t="n">
        <v>1763383.021988167</v>
      </c>
      <c r="C79" s="6" t="n">
        <v>1873429</v>
      </c>
      <c r="D79" s="6" t="n">
        <v>110045.9780118326</v>
      </c>
      <c r="E79" s="9" t="n">
        <v>0.06240616850657815</v>
      </c>
      <c r="G79" s="28" t="n">
        <v>5.171883369496037</v>
      </c>
      <c r="H79" s="28" t="n">
        <v>4.805450744507573</v>
      </c>
      <c r="I79" s="28" t="n">
        <v>-0.3664326249884633</v>
      </c>
      <c r="J79" s="9" t="n">
        <v>-0.07085090648982859</v>
      </c>
    </row>
    <row r="80" ht="18" customHeight="1">
      <c r="A80" s="5" t="inlineStr">
        <is>
          <t>retired</t>
        </is>
      </c>
      <c r="B80" s="6" t="n">
        <v>1620215.64436939</v>
      </c>
      <c r="C80" s="6" t="n">
        <v>1578136</v>
      </c>
      <c r="D80" s="6" t="n">
        <v>-42079.64436939009</v>
      </c>
      <c r="E80" s="9" t="n">
        <v>-0.02597163193407385</v>
      </c>
      <c r="G80" s="28" t="n">
        <v>4.20734716703564</v>
      </c>
      <c r="H80" s="28" t="n">
        <v>3.881298573536645</v>
      </c>
      <c r="I80" s="28" t="n">
        <v>-0.3260485934989945</v>
      </c>
      <c r="J80" s="9" t="n">
        <v>-0.07749505342786289</v>
      </c>
    </row>
    <row r="81" ht="18" customHeight="1">
      <c r="A81" s="5" t="inlineStr">
        <is>
          <t>nonworker</t>
        </is>
      </c>
      <c r="B81" s="6" t="n">
        <v>2927381.509703874</v>
      </c>
      <c r="C81" s="6" t="n">
        <v>1923570</v>
      </c>
      <c r="D81" s="6" t="n">
        <v>-1003811.509703874</v>
      </c>
      <c r="E81" s="9" t="n">
        <v>-0.3429042324604341</v>
      </c>
      <c r="G81" s="28" t="n">
        <v>4.94249116332389</v>
      </c>
      <c r="H81" s="28" t="n">
        <v>4.591297498567882</v>
      </c>
      <c r="I81" s="28" t="n">
        <v>-0.3511936647560079</v>
      </c>
      <c r="J81" s="9" t="n">
        <v>-0.07105600256042249</v>
      </c>
    </row>
    <row r="82" ht="18" customHeight="1">
      <c r="A82" s="5" t="inlineStr">
        <is>
          <t>uinv.stud</t>
        </is>
      </c>
      <c r="B82" s="6" t="n">
        <v>601583.1677461506</v>
      </c>
      <c r="C82" s="6" t="n">
        <v>1182760</v>
      </c>
      <c r="D82" s="6" t="n">
        <v>581176.8322538494</v>
      </c>
      <c r="E82" s="9" t="n">
        <v>0.9660789453788173</v>
      </c>
      <c r="G82" s="28" t="n">
        <v>5.396384209342511</v>
      </c>
      <c r="H82" s="28" t="n">
        <v>5.18345166096941</v>
      </c>
      <c r="I82" s="28" t="n">
        <v>-0.212932548373101</v>
      </c>
      <c r="J82" s="9" t="n">
        <v>-0.03945837436935287</v>
      </c>
    </row>
    <row r="83" ht="18" customHeight="1">
      <c r="A83" s="5" t="inlineStr">
        <is>
          <t>stud 16+</t>
        </is>
      </c>
      <c r="B83" s="6" t="n">
        <v>254816.918402184</v>
      </c>
      <c r="C83" s="6" t="n">
        <v>320174</v>
      </c>
      <c r="D83" s="6" t="n">
        <v>65357.08159781602</v>
      </c>
      <c r="E83" s="9" t="n">
        <v>0.2564864295810269</v>
      </c>
      <c r="G83" s="28" t="n">
        <v>3.246094241680756</v>
      </c>
      <c r="H83" s="28" t="n">
        <v>3.361159809777759</v>
      </c>
      <c r="I83" s="28" t="n">
        <v>0.1150655680970036</v>
      </c>
      <c r="J83" s="9" t="n">
        <v>0.03544738985687157</v>
      </c>
    </row>
    <row r="84" ht="18" customHeight="1">
      <c r="A84" s="5" t="inlineStr">
        <is>
          <t>stud.5-15</t>
        </is>
      </c>
      <c r="B84" s="6" t="n">
        <v>1903241.35775</v>
      </c>
      <c r="C84" s="6" t="n">
        <v>2006614</v>
      </c>
      <c r="D84" s="6" t="n">
        <v>103372.64225</v>
      </c>
      <c r="E84" s="9" t="n">
        <v>0.0543139953474984</v>
      </c>
      <c r="G84" s="28" t="n">
        <v>3.689053317030003</v>
      </c>
      <c r="H84" s="28" t="n">
        <v>3.536693868198883</v>
      </c>
      <c r="I84" s="28" t="n">
        <v>-0.15235944883112</v>
      </c>
      <c r="J84" s="9" t="n">
        <v>-0.04130041930480476</v>
      </c>
    </row>
    <row r="85" ht="18" customHeight="1">
      <c r="A85" s="5" t="inlineStr">
        <is>
          <t>under 5</t>
        </is>
      </c>
      <c r="B85" s="11" t="n">
        <v>997805.7154999999</v>
      </c>
      <c r="C85" s="11" t="n">
        <v>1126556</v>
      </c>
      <c r="D85" s="11" t="n">
        <v>128750.2845000001</v>
      </c>
      <c r="E85" s="12" t="n">
        <v>0.1290334205346613</v>
      </c>
      <c r="G85" s="28" t="n">
        <v>3.672487798724217</v>
      </c>
      <c r="H85" s="28" t="n">
        <v>4.142663822902111</v>
      </c>
      <c r="I85" s="15" t="n">
        <v>0.4701760241778938</v>
      </c>
      <c r="J85" s="12" t="n">
        <v>0.1280265721621262</v>
      </c>
    </row>
    <row r="86" ht="18" customHeight="1">
      <c r="A86" s="7" t="inlineStr">
        <is>
          <t>Total</t>
        </is>
      </c>
      <c r="B86" s="13" t="n">
        <v>16749444.03291893</v>
      </c>
      <c r="C86" s="13" t="n">
        <v>18329783</v>
      </c>
      <c r="D86" s="13" t="n">
        <v>1580338.967081066</v>
      </c>
      <c r="E86" s="14" t="n">
        <v>0.09435172677822071</v>
      </c>
      <c r="G86" s="16" t="n">
        <v>4.516479139044043</v>
      </c>
      <c r="H86" s="16" t="n">
        <v>4.552667887514738</v>
      </c>
      <c r="I86" s="17" t="n">
        <v>0.03618874847069442</v>
      </c>
      <c r="J86" s="14" t="n">
        <v>0.008012601709559567</v>
      </c>
      <c r="K86" s="28" t="inlineStr"/>
      <c r="L86" s="28" t="inlineStr"/>
    </row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86"/>
  <sheetViews>
    <sheetView zoomScale="85" zoomScaleNormal="85" workbookViewId="0">
      <selection activeCell="G9" sqref="G9"/>
    </sheetView>
  </sheetViews>
  <sheetFormatPr baseColWidth="8" defaultColWidth="10.75" defaultRowHeight="12.75"/>
  <cols>
    <col collapsed="1" width="17.75" customWidth="1" style="26" min="1" max="1"/>
    <col collapsed="1" width="12.625" customWidth="1" style="26" min="2" max="5"/>
    <col collapsed="1" width="4.875" customWidth="1" style="26" min="6" max="6"/>
    <col collapsed="1" width="10.75" customWidth="1" style="26" min="7" max="18"/>
    <col collapsed="1" width="10.75" customWidth="1" style="26" min="19" max="16384"/>
  </cols>
  <sheetData>
    <row r="1" ht="18" customHeight="1">
      <c r="A1" s="1" t="inlineStr">
        <is>
          <t>TABLE 1. HH POPULATION BY COUNTY</t>
        </is>
      </c>
    </row>
    <row r="2" ht="18" customHeight="1">
      <c r="B2" s="2" t="inlineStr"/>
      <c r="C2" s="2" t="inlineStr"/>
    </row>
    <row r="3" ht="18" customHeight="1">
      <c r="A3" s="3" t="inlineStr">
        <is>
          <t>County</t>
        </is>
      </c>
      <c r="B3" s="4" t="inlineStr">
        <is>
          <t>ExpandSurv</t>
        </is>
      </c>
      <c r="C3" s="4" t="inlineStr">
        <is>
          <t>SynthPop</t>
        </is>
      </c>
    </row>
    <row r="4" ht="18" customHeight="1">
      <c r="A4" s="5" t="inlineStr">
        <is>
          <t>Bellevue</t>
        </is>
      </c>
      <c r="B4" s="6" t="n">
        <v>151396.6479</v>
      </c>
      <c r="C4" s="6" t="n">
        <v>160326</v>
      </c>
    </row>
    <row r="5" ht="18" customHeight="1">
      <c r="A5" s="5" t="inlineStr">
        <is>
          <t>Bellevue Downtown</t>
        </is>
      </c>
      <c r="B5" s="6" t="n">
        <v>8845.852500000001</v>
      </c>
      <c r="C5" s="6" t="n">
        <v>14937</v>
      </c>
    </row>
    <row r="6" ht="18" customHeight="1">
      <c r="A6" s="5" t="inlineStr">
        <is>
          <t>Kirkland</t>
        </is>
      </c>
      <c r="B6" s="6" t="n">
        <v>131529.915</v>
      </c>
      <c r="C6" s="6" t="n">
        <v>150180</v>
      </c>
    </row>
    <row r="7" ht="18" customHeight="1">
      <c r="A7" s="5" t="inlineStr">
        <is>
          <t>Redmond</t>
        </is>
      </c>
      <c r="B7" s="6" t="n">
        <v>123832.1304</v>
      </c>
      <c r="C7" s="6" t="n">
        <v>122070</v>
      </c>
    </row>
    <row r="8" ht="18" customHeight="1">
      <c r="A8" s="5" t="inlineStr">
        <is>
          <t>Seattle</t>
        </is>
      </c>
      <c r="B8" s="6" t="n">
        <v>0</v>
      </c>
      <c r="C8" s="6" t="n">
        <v>0</v>
      </c>
    </row>
    <row r="9" ht="18" customHeight="1">
      <c r="A9" s="5" t="inlineStr">
        <is>
          <t>Seattle Downtown</t>
        </is>
      </c>
      <c r="B9" s="6" t="n">
        <v>0</v>
      </c>
      <c r="C9" s="6" t="n">
        <v>0</v>
      </c>
    </row>
    <row r="10" ht="18" customHeight="1">
      <c r="A10" s="5" t="inlineStr">
        <is>
          <t>Rest</t>
        </is>
      </c>
      <c r="B10" s="6" t="n">
        <v>0</v>
      </c>
      <c r="C10" s="6" t="n">
        <v>0</v>
      </c>
    </row>
    <row r="11" ht="18" customHeight="1">
      <c r="A11" s="7" t="inlineStr">
        <is>
          <t>Total</t>
        </is>
      </c>
      <c r="B11" s="8" t="n">
        <v>415604.5458000001</v>
      </c>
      <c r="C11" s="8" t="n">
        <v>447513</v>
      </c>
    </row>
    <row r="12" ht="18" customHeight="1"/>
    <row r="13" ht="18" customHeight="1"/>
    <row r="14" ht="18" customHeight="1">
      <c r="I14" s="27" t="inlineStr"/>
    </row>
    <row r="15" ht="18" customHeight="1">
      <c r="A15" s="1" t="inlineStr">
        <is>
          <t>TABLE 2. POPULATION BY PERSONTYPE</t>
        </is>
      </c>
    </row>
    <row r="16" ht="18" customHeight="1">
      <c r="B16" s="2" t="inlineStr"/>
      <c r="C16" s="2" t="inlineStr"/>
      <c r="D16" s="2" t="inlineStr"/>
      <c r="E16" s="2" t="inlineStr"/>
    </row>
    <row r="17" ht="18" customHeight="1">
      <c r="A17" s="3" t="inlineStr">
        <is>
          <t>Persontype</t>
        </is>
      </c>
      <c r="B17" s="4" t="inlineStr">
        <is>
          <t>ExpandSurv</t>
        </is>
      </c>
      <c r="C17" s="4" t="inlineStr">
        <is>
          <t>SynthPop</t>
        </is>
      </c>
      <c r="D17" s="4" t="inlineStr">
        <is>
          <t>Diff</t>
        </is>
      </c>
      <c r="E17" s="4" t="inlineStr">
        <is>
          <t>% Diff</t>
        </is>
      </c>
      <c r="G17" s="27" t="inlineStr"/>
      <c r="H17" s="27" t="inlineStr"/>
      <c r="J17" s="27" t="inlineStr"/>
      <c r="K17" s="27" t="inlineStr"/>
    </row>
    <row r="18" ht="18" customHeight="1">
      <c r="A18" s="5" t="inlineStr">
        <is>
          <t>ft worker</t>
        </is>
      </c>
      <c r="B18" s="6" t="n">
        <v>174034.4896</v>
      </c>
      <c r="C18" s="6" t="n">
        <v>187358</v>
      </c>
      <c r="D18" s="6" t="n">
        <v>13323.5104</v>
      </c>
      <c r="E18" s="9" t="n">
        <v>0.07655672407591557</v>
      </c>
      <c r="G18" s="6" t="inlineStr"/>
      <c r="H18" s="10" t="inlineStr"/>
      <c r="J18" s="6" t="inlineStr"/>
      <c r="K18" s="10" t="inlineStr"/>
    </row>
    <row r="19" ht="18" customHeight="1">
      <c r="A19" s="5" t="inlineStr">
        <is>
          <t>pt worker</t>
        </is>
      </c>
      <c r="B19" s="6" t="n">
        <v>35722.8404</v>
      </c>
      <c r="C19" s="6" t="n">
        <v>42235</v>
      </c>
      <c r="D19" s="6" t="n">
        <v>6512.159599999999</v>
      </c>
      <c r="E19" s="9" t="n">
        <v>0.1822968030280145</v>
      </c>
      <c r="G19" s="6" t="inlineStr"/>
      <c r="H19" s="10" t="inlineStr"/>
      <c r="J19" s="6" t="inlineStr"/>
      <c r="K19" s="10" t="inlineStr"/>
    </row>
    <row r="20" ht="18" customHeight="1">
      <c r="A20" s="5" t="inlineStr">
        <is>
          <t>retired</t>
        </is>
      </c>
      <c r="B20" s="6" t="n">
        <v>42350.3157</v>
      </c>
      <c r="C20" s="6" t="n">
        <v>45200</v>
      </c>
      <c r="D20" s="6" t="n">
        <v>2849.684300000001</v>
      </c>
      <c r="E20" s="9" t="n">
        <v>0.06728838387384208</v>
      </c>
      <c r="G20" s="6" t="inlineStr"/>
      <c r="H20" s="10" t="inlineStr"/>
      <c r="J20" s="6" t="inlineStr"/>
      <c r="K20" s="10" t="inlineStr"/>
    </row>
    <row r="21" ht="18" customHeight="1">
      <c r="A21" s="5" t="inlineStr">
        <is>
          <t>nonworker</t>
        </is>
      </c>
      <c r="B21" s="6" t="n">
        <v>58462.5374</v>
      </c>
      <c r="C21" s="6" t="n">
        <v>43751</v>
      </c>
      <c r="D21" s="6" t="n">
        <v>-14711.5374</v>
      </c>
      <c r="E21" s="9" t="n">
        <v>-0.2516404188778847</v>
      </c>
      <c r="G21" s="6" t="inlineStr"/>
      <c r="H21" s="10" t="inlineStr"/>
      <c r="J21" s="6" t="inlineStr"/>
      <c r="K21" s="10" t="inlineStr"/>
    </row>
    <row r="22" ht="18" customHeight="1">
      <c r="A22" s="5" t="inlineStr">
        <is>
          <t>uinv.stud</t>
        </is>
      </c>
      <c r="B22" s="6" t="n">
        <v>7345.8632</v>
      </c>
      <c r="C22" s="6" t="n">
        <v>24362</v>
      </c>
      <c r="D22" s="6" t="n">
        <v>17016.1368</v>
      </c>
      <c r="E22" s="9" t="n">
        <v>2.316424406052103</v>
      </c>
      <c r="G22" s="6" t="inlineStr"/>
      <c r="H22" s="10" t="inlineStr"/>
      <c r="J22" s="6" t="inlineStr"/>
      <c r="K22" s="10" t="inlineStr"/>
    </row>
    <row r="23" ht="18" customHeight="1">
      <c r="A23" s="5" t="inlineStr">
        <is>
          <t>stud 16+</t>
        </is>
      </c>
      <c r="B23" s="6" t="n">
        <v>8011.7665</v>
      </c>
      <c r="C23" s="6" t="n">
        <v>10360</v>
      </c>
      <c r="D23" s="6" t="n">
        <v>2348.2335</v>
      </c>
      <c r="E23" s="9" t="n">
        <v>0.2930980951579156</v>
      </c>
      <c r="G23" s="6" t="inlineStr"/>
      <c r="H23" s="10" t="inlineStr"/>
      <c r="J23" s="6" t="inlineStr"/>
      <c r="K23" s="10" t="inlineStr"/>
    </row>
    <row r="24" ht="18" customHeight="1">
      <c r="A24" s="5" t="inlineStr">
        <is>
          <t>stud.5-15</t>
        </is>
      </c>
      <c r="B24" s="6" t="n">
        <v>60256.4002</v>
      </c>
      <c r="C24" s="6" t="n">
        <v>63164</v>
      </c>
      <c r="D24" s="6" t="n">
        <v>2907.599799999996</v>
      </c>
      <c r="E24" s="9" t="n">
        <v>0.04825379196814343</v>
      </c>
      <c r="G24" s="6" t="inlineStr"/>
      <c r="H24" s="10" t="inlineStr"/>
      <c r="J24" s="6" t="inlineStr"/>
      <c r="K24" s="10" t="inlineStr"/>
    </row>
    <row r="25" ht="18" customHeight="1">
      <c r="A25" s="5" t="inlineStr">
        <is>
          <t>under 5</t>
        </is>
      </c>
      <c r="B25" s="11" t="n">
        <v>29420.3328</v>
      </c>
      <c r="C25" s="11" t="n">
        <v>31083</v>
      </c>
      <c r="D25" s="11" t="n">
        <v>1662.6672</v>
      </c>
      <c r="E25" s="12" t="n">
        <v>0.05651422134830507</v>
      </c>
      <c r="G25" s="6" t="inlineStr"/>
      <c r="H25" s="9" t="inlineStr"/>
      <c r="J25" s="6" t="inlineStr"/>
      <c r="K25" s="9" t="inlineStr"/>
    </row>
    <row r="26" ht="18" customHeight="1">
      <c r="A26" s="7" t="inlineStr">
        <is>
          <t>Total</t>
        </is>
      </c>
      <c r="B26" s="13" t="n">
        <v>415604.5458000001</v>
      </c>
      <c r="C26" s="13" t="n">
        <v>447513</v>
      </c>
      <c r="D26" s="13" t="n">
        <v>31908.45419999992</v>
      </c>
      <c r="E26" s="14" t="n">
        <v>0.07677599901747734</v>
      </c>
      <c r="G26" s="6" t="inlineStr"/>
      <c r="H26" s="9" t="inlineStr"/>
      <c r="J26" s="6" t="inlineStr"/>
      <c r="K26" s="9" t="inlineStr"/>
    </row>
    <row r="27" ht="18" customHeight="1"/>
    <row r="28" ht="18" customHeight="1"/>
    <row r="29" ht="18" customHeight="1"/>
    <row r="30" ht="18" customHeight="1">
      <c r="A30" s="1" t="inlineStr">
        <is>
          <t>TABLE 3. TOURS BY PURPOSE</t>
        </is>
      </c>
      <c r="G30" s="1" t="inlineStr">
        <is>
          <t>TABLE 4. TOUR RATES BY PUPROSE (Total tours for purpose/total person)</t>
        </is>
      </c>
    </row>
    <row r="31" ht="18" customHeight="1">
      <c r="B31" s="2" t="inlineStr"/>
      <c r="C31" s="2" t="inlineStr"/>
      <c r="D31" s="2" t="inlineStr"/>
      <c r="E31" s="2" t="inlineStr"/>
      <c r="G31" s="2" t="inlineStr"/>
      <c r="H31" s="2" t="inlineStr"/>
      <c r="I31" s="2" t="inlineStr"/>
      <c r="J31" s="2" t="inlineStr"/>
    </row>
    <row r="32" ht="18" customHeight="1">
      <c r="A32" s="3" t="inlineStr">
        <is>
          <t>Purpose</t>
        </is>
      </c>
      <c r="B32" s="4" t="inlineStr">
        <is>
          <t>ExpandSurv</t>
        </is>
      </c>
      <c r="C32" s="4" t="inlineStr">
        <is>
          <t>SynthPop</t>
        </is>
      </c>
      <c r="D32" s="4" t="inlineStr">
        <is>
          <t>Diff</t>
        </is>
      </c>
      <c r="E32" s="4" t="inlineStr">
        <is>
          <t>% Diff</t>
        </is>
      </c>
      <c r="G32" s="4" t="inlineStr">
        <is>
          <t>ExpandSurv</t>
        </is>
      </c>
      <c r="H32" s="4" t="inlineStr">
        <is>
          <t>SynthPop</t>
        </is>
      </c>
      <c r="I32" s="4" t="inlineStr">
        <is>
          <t>Diff</t>
        </is>
      </c>
      <c r="J32" s="4" t="inlineStr">
        <is>
          <t>% Diff</t>
        </is>
      </c>
    </row>
    <row r="33" ht="18" customHeight="1">
      <c r="A33" s="5" t="inlineStr">
        <is>
          <t>work</t>
        </is>
      </c>
      <c r="B33" s="6" t="n">
        <v>206337.4681264991</v>
      </c>
      <c r="C33" s="6" t="n">
        <v>237364</v>
      </c>
      <c r="D33" s="6" t="n">
        <v>31026.53187350091</v>
      </c>
      <c r="E33" s="9" t="n">
        <v>0.1503679004846541</v>
      </c>
      <c r="G33" s="28" t="n">
        <v>0.4964754842354254</v>
      </c>
      <c r="H33" s="28" t="n">
        <v>0.5304069378990107</v>
      </c>
      <c r="I33" s="28" t="n">
        <v>0.0339314536635853</v>
      </c>
      <c r="J33" s="9" t="n">
        <v>0.06834467106838094</v>
      </c>
      <c r="L33" s="37" t="inlineStr"/>
      <c r="M33" s="37" t="inlineStr"/>
    </row>
    <row r="34" ht="18" customHeight="1">
      <c r="A34" s="5" t="inlineStr">
        <is>
          <t>school</t>
        </is>
      </c>
      <c r="B34" s="6" t="n">
        <v>98905.77528047978</v>
      </c>
      <c r="C34" s="6" t="n">
        <v>83022</v>
      </c>
      <c r="D34" s="6" t="n">
        <v>-15883.77528047978</v>
      </c>
      <c r="E34" s="9" t="n">
        <v>-0.1605950232474911</v>
      </c>
      <c r="G34" s="28" t="n">
        <v>0.2379804943906361</v>
      </c>
      <c r="H34" s="28" t="n">
        <v>0.1855186329782599</v>
      </c>
      <c r="I34" s="28" t="n">
        <v>-0.05246186141237624</v>
      </c>
      <c r="J34" s="9" t="n">
        <v>-0.2204460560799662</v>
      </c>
      <c r="L34" s="37" t="inlineStr"/>
      <c r="M34" s="37" t="inlineStr"/>
    </row>
    <row r="35" ht="18" customHeight="1">
      <c r="A35" s="5" t="inlineStr">
        <is>
          <t>escort</t>
        </is>
      </c>
      <c r="B35" s="6" t="n">
        <v>100972.3972377748</v>
      </c>
      <c r="C35" s="6" t="n">
        <v>79533</v>
      </c>
      <c r="D35" s="6" t="n">
        <v>-21439.3972377748</v>
      </c>
      <c r="E35" s="9" t="n">
        <v>-0.2123292882438776</v>
      </c>
      <c r="G35" s="28" t="n">
        <v>0.2429530626124705</v>
      </c>
      <c r="H35" s="28" t="n">
        <v>0.1777222114217911</v>
      </c>
      <c r="I35" s="28" t="n">
        <v>-0.06523085119067945</v>
      </c>
      <c r="J35" s="9" t="n">
        <v>-0.2684915781231696</v>
      </c>
      <c r="L35" s="37" t="inlineStr"/>
      <c r="M35" s="37" t="inlineStr"/>
    </row>
    <row r="36" ht="18" customHeight="1">
      <c r="A36" s="5" t="inlineStr">
        <is>
          <t>pers.bus</t>
        </is>
      </c>
      <c r="B36" s="6" t="n">
        <v>80348.13949780811</v>
      </c>
      <c r="C36" s="6" t="n">
        <v>80794</v>
      </c>
      <c r="D36" s="6" t="n">
        <v>445.860502191892</v>
      </c>
      <c r="E36" s="9" t="n">
        <v>0.005549107981573799</v>
      </c>
      <c r="G36" s="28" t="n">
        <v>0.1933283461641292</v>
      </c>
      <c r="H36" s="28" t="n">
        <v>0.1805400066590244</v>
      </c>
      <c r="I36" s="28" t="n">
        <v>-0.0127883395051048</v>
      </c>
      <c r="J36" s="9" t="n">
        <v>-0.06614828998872174</v>
      </c>
      <c r="L36" s="37" t="inlineStr"/>
      <c r="M36" s="37" t="inlineStr"/>
    </row>
    <row r="37" ht="18" customHeight="1">
      <c r="A37" s="5" t="inlineStr">
        <is>
          <t>shop</t>
        </is>
      </c>
      <c r="B37" s="6" t="n">
        <v>60205.388111098</v>
      </c>
      <c r="C37" s="6" t="n">
        <v>66641</v>
      </c>
      <c r="D37" s="6" t="n">
        <v>6435.611888902</v>
      </c>
      <c r="E37" s="9" t="n">
        <v>0.1068942845618113</v>
      </c>
      <c r="G37" s="28" t="n">
        <v>0.1448621982591846</v>
      </c>
      <c r="H37" s="28" t="n">
        <v>0.1489141097577054</v>
      </c>
      <c r="I37" s="28" t="n">
        <v>0.004051911498520716</v>
      </c>
      <c r="J37" s="9" t="n">
        <v>0.0279707994715855</v>
      </c>
      <c r="L37" s="37" t="inlineStr"/>
      <c r="M37" s="37" t="inlineStr"/>
    </row>
    <row r="38" ht="18" customHeight="1">
      <c r="A38" s="5" t="inlineStr">
        <is>
          <t>meal</t>
        </is>
      </c>
      <c r="B38" s="6" t="n">
        <v>28661.4413651768</v>
      </c>
      <c r="C38" s="6" t="n">
        <v>31002</v>
      </c>
      <c r="D38" s="6" t="n">
        <v>2340.558634823203</v>
      </c>
      <c r="E38" s="9" t="n">
        <v>0.08166227947164391</v>
      </c>
      <c r="G38" s="28" t="n">
        <v>0.06896325282007248</v>
      </c>
      <c r="H38" s="28" t="n">
        <v>0.06927619979754777</v>
      </c>
      <c r="I38" s="28" t="n">
        <v>0.0003129469774752897</v>
      </c>
      <c r="J38" s="9" t="n">
        <v>0.00453788017064362</v>
      </c>
      <c r="L38" s="37" t="inlineStr"/>
      <c r="M38" s="37" t="inlineStr"/>
    </row>
    <row r="39" ht="18" customHeight="1">
      <c r="A39" s="5" t="inlineStr">
        <is>
          <t>soc/rec</t>
        </is>
      </c>
      <c r="B39" s="6" t="n">
        <v>120009.561827411</v>
      </c>
      <c r="C39" s="6" t="n">
        <v>145577</v>
      </c>
      <c r="D39" s="6" t="n">
        <v>25567.438172589</v>
      </c>
      <c r="E39" s="9" t="n">
        <v>0.2130450089415227</v>
      </c>
      <c r="G39" s="28" t="n">
        <v>0.2887590211420902</v>
      </c>
      <c r="H39" s="28" t="n">
        <v>0.3253022817214248</v>
      </c>
      <c r="I39" s="28" t="n">
        <v>0.03654326057933466</v>
      </c>
      <c r="J39" s="9" t="n">
        <v>0.1265527928263503</v>
      </c>
      <c r="L39" s="37" t="inlineStr"/>
      <c r="M39" s="37" t="inlineStr"/>
    </row>
    <row r="40" ht="18" customHeight="1">
      <c r="A40" s="5" t="inlineStr">
        <is>
          <t>workbased</t>
        </is>
      </c>
      <c r="B40" s="11" t="n">
        <v>22362.4894044785</v>
      </c>
      <c r="C40" s="11" t="n">
        <v>29467</v>
      </c>
      <c r="D40" s="11" t="n">
        <v>7104.5105955215</v>
      </c>
      <c r="E40" s="12" t="n">
        <v>0.3176976617862004</v>
      </c>
      <c r="G40" s="28" t="n">
        <v>0.05380713380175568</v>
      </c>
      <c r="H40" s="28" t="n">
        <v>0.06584613184421458</v>
      </c>
      <c r="I40" s="15" t="n">
        <v>0.0120389980424589</v>
      </c>
      <c r="J40" s="12" t="n">
        <v>0.2237435297485791</v>
      </c>
      <c r="L40" s="37" t="inlineStr"/>
      <c r="M40" s="37" t="inlineStr"/>
    </row>
    <row r="41" ht="18" customHeight="1">
      <c r="A41" s="7" t="inlineStr">
        <is>
          <t>Total</t>
        </is>
      </c>
      <c r="B41" s="13" t="n">
        <v>717802.6608507262</v>
      </c>
      <c r="C41" s="13" t="n">
        <v>753400</v>
      </c>
      <c r="D41" s="13" t="n">
        <v>35597.33914927382</v>
      </c>
      <c r="E41" s="14" t="n">
        <v>0.0495920969519457</v>
      </c>
      <c r="G41" s="16" t="n">
        <v>1.727128993425765</v>
      </c>
      <c r="H41" s="16" t="n">
        <v>1.683526512078979</v>
      </c>
      <c r="I41" s="17" t="n">
        <v>-0.0436024813467859</v>
      </c>
      <c r="J41" s="14" t="n">
        <v>-0.02524564263164865</v>
      </c>
    </row>
    <row r="42" ht="18" customHeight="1">
      <c r="B42" s="6" t="inlineStr"/>
      <c r="C42" s="6" t="inlineStr"/>
      <c r="D42" s="6" t="inlineStr"/>
    </row>
    <row r="43" ht="18" customHeight="1">
      <c r="B43" s="6" t="inlineStr"/>
      <c r="C43" s="6" t="inlineStr"/>
      <c r="D43" s="6" t="inlineStr"/>
    </row>
    <row r="44" ht="18" customHeight="1">
      <c r="B44" s="6" t="inlineStr"/>
      <c r="C44" s="6" t="inlineStr"/>
      <c r="D44" s="6" t="inlineStr"/>
    </row>
    <row r="45" ht="18" customHeight="1">
      <c r="A45" s="1" t="inlineStr">
        <is>
          <t>TABLE 5. TOURS BY PERSONTYPE</t>
        </is>
      </c>
      <c r="G45" s="1" t="inlineStr">
        <is>
          <t>TABLE 6. TOUR RATES BY PERSONTYPE (Total tours/total person for person type)</t>
        </is>
      </c>
    </row>
    <row r="46" ht="18" customHeight="1">
      <c r="B46" s="2" t="inlineStr"/>
      <c r="C46" s="2" t="inlineStr"/>
      <c r="D46" s="2" t="inlineStr"/>
      <c r="E46" s="2" t="inlineStr"/>
      <c r="G46" s="2" t="inlineStr"/>
      <c r="H46" s="2" t="inlineStr"/>
      <c r="I46" s="2" t="inlineStr"/>
      <c r="J46" s="2" t="inlineStr"/>
    </row>
    <row r="47" ht="18" customHeight="1">
      <c r="A47" s="3" t="inlineStr">
        <is>
          <t>Persontype</t>
        </is>
      </c>
      <c r="B47" s="4" t="inlineStr">
        <is>
          <t>ExpandSurv</t>
        </is>
      </c>
      <c r="C47" s="4" t="inlineStr">
        <is>
          <t>SynthPop</t>
        </is>
      </c>
      <c r="D47" s="4" t="inlineStr">
        <is>
          <t>Diff</t>
        </is>
      </c>
      <c r="E47" s="4" t="inlineStr">
        <is>
          <t>% Diff</t>
        </is>
      </c>
      <c r="G47" s="4" t="inlineStr">
        <is>
          <t>ExpandSurv</t>
        </is>
      </c>
      <c r="H47" s="4" t="inlineStr">
        <is>
          <t>SynthPop</t>
        </is>
      </c>
      <c r="I47" s="4" t="inlineStr">
        <is>
          <t>Diff</t>
        </is>
      </c>
      <c r="J47" s="4" t="inlineStr">
        <is>
          <t>% Diff</t>
        </is>
      </c>
    </row>
    <row r="48" ht="18" customHeight="1">
      <c r="A48" s="5" t="inlineStr">
        <is>
          <t>ft worker</t>
        </is>
      </c>
      <c r="B48" s="6" t="n">
        <v>294861.2578418003</v>
      </c>
      <c r="C48" s="6" t="n">
        <v>331149</v>
      </c>
      <c r="D48" s="6" t="n">
        <v>36287.74215819972</v>
      </c>
      <c r="E48" s="9" t="n">
        <v>0.1230671754702644</v>
      </c>
      <c r="G48" s="28" t="n">
        <v>1.694269098725821</v>
      </c>
      <c r="H48" s="28" t="n">
        <v>1.767466561342457</v>
      </c>
      <c r="I48" s="28" t="n">
        <v>0.07319746261663562</v>
      </c>
      <c r="J48" s="9" t="n">
        <v>0.04320297328900347</v>
      </c>
      <c r="L48" s="10" t="inlineStr"/>
      <c r="M48" s="10" t="inlineStr"/>
    </row>
    <row r="49" ht="18" customHeight="1">
      <c r="A49" s="5" t="inlineStr">
        <is>
          <t>pt worker</t>
        </is>
      </c>
      <c r="B49" s="6" t="n">
        <v>61309.23682390329</v>
      </c>
      <c r="C49" s="6" t="n">
        <v>76355</v>
      </c>
      <c r="D49" s="6" t="n">
        <v>15045.76317609671</v>
      </c>
      <c r="E49" s="9" t="n">
        <v>0.2454077714148066</v>
      </c>
      <c r="G49" s="28" t="n">
        <v>1.71624753623744</v>
      </c>
      <c r="H49" s="28" t="n">
        <v>1.807860778974784</v>
      </c>
      <c r="I49" s="28" t="n">
        <v>0.09161324273734373</v>
      </c>
      <c r="J49" s="9" t="n">
        <v>0.05337997043141519</v>
      </c>
      <c r="L49" s="10" t="inlineStr"/>
      <c r="M49" s="10" t="inlineStr"/>
    </row>
    <row r="50" ht="18" customHeight="1">
      <c r="A50" s="5" t="inlineStr">
        <is>
          <t>retired</t>
        </is>
      </c>
      <c r="B50" s="6" t="n">
        <v>58140.0172433999</v>
      </c>
      <c r="C50" s="6" t="n">
        <v>67248</v>
      </c>
      <c r="D50" s="6" t="n">
        <v>9107.982756600104</v>
      </c>
      <c r="E50" s="9" t="n">
        <v>0.1566560037034397</v>
      </c>
      <c r="G50" s="28" t="n">
        <v>1.372835509781097</v>
      </c>
      <c r="H50" s="28" t="n">
        <v>1.487787610619469</v>
      </c>
      <c r="I50" s="28" t="n">
        <v>0.114952100838372</v>
      </c>
      <c r="J50" s="9" t="n">
        <v>0.08373333878630625</v>
      </c>
      <c r="L50" s="10" t="inlineStr"/>
      <c r="M50" s="10" t="inlineStr"/>
    </row>
    <row r="51" ht="18" customHeight="1">
      <c r="A51" s="5" t="inlineStr">
        <is>
          <t>nonworker</t>
        </is>
      </c>
      <c r="B51" s="6" t="n">
        <v>129573.2008051121</v>
      </c>
      <c r="C51" s="6" t="n">
        <v>77842</v>
      </c>
      <c r="D51" s="6" t="n">
        <v>-51731.20080511208</v>
      </c>
      <c r="E51" s="9" t="n">
        <v>-0.3992430570802965</v>
      </c>
      <c r="G51" s="28" t="n">
        <v>2.216345827047734</v>
      </c>
      <c r="H51" s="28" t="n">
        <v>1.779205046741789</v>
      </c>
      <c r="I51" s="28" t="n">
        <v>-0.4371407803059451</v>
      </c>
      <c r="J51" s="9" t="n">
        <v>-0.1972349147733118</v>
      </c>
      <c r="L51" s="10" t="inlineStr"/>
      <c r="M51" s="10" t="inlineStr"/>
    </row>
    <row r="52" ht="18" customHeight="1">
      <c r="A52" s="5" t="inlineStr">
        <is>
          <t>uinv.stud</t>
        </is>
      </c>
      <c r="B52" s="6" t="n">
        <v>11948.3596365105</v>
      </c>
      <c r="C52" s="6" t="n">
        <v>45492</v>
      </c>
      <c r="D52" s="6" t="n">
        <v>33543.6403634895</v>
      </c>
      <c r="E52" s="9" t="n">
        <v>2.807384560219504</v>
      </c>
      <c r="G52" s="28" t="n">
        <v>1.626542628306841</v>
      </c>
      <c r="H52" s="28" t="n">
        <v>1.867334373204171</v>
      </c>
      <c r="I52" s="28" t="n">
        <v>0.2407917448973296</v>
      </c>
      <c r="J52" s="9" t="n">
        <v>0.1480390004582807</v>
      </c>
      <c r="L52" s="10" t="inlineStr"/>
      <c r="M52" s="10" t="inlineStr"/>
    </row>
    <row r="53" ht="18" customHeight="1">
      <c r="A53" s="5" t="inlineStr">
        <is>
          <t>stud 16+</t>
        </is>
      </c>
      <c r="B53" s="6" t="n">
        <v>12439.88875</v>
      </c>
      <c r="C53" s="6" t="n">
        <v>14608</v>
      </c>
      <c r="D53" s="6" t="n">
        <v>2168.11125</v>
      </c>
      <c r="E53" s="9" t="n">
        <v>0.1742870288932447</v>
      </c>
      <c r="G53" s="28" t="n">
        <v>1.552702359710558</v>
      </c>
      <c r="H53" s="28" t="n">
        <v>1.41003861003861</v>
      </c>
      <c r="I53" s="28" t="n">
        <v>-0.1426637496719483</v>
      </c>
      <c r="J53" s="9" t="n">
        <v>-0.09188093827495854</v>
      </c>
      <c r="L53" s="10" t="inlineStr"/>
      <c r="M53" s="10" t="inlineStr"/>
    </row>
    <row r="54" ht="18" customHeight="1">
      <c r="A54" s="5" t="inlineStr">
        <is>
          <t>stud.5-15</t>
        </is>
      </c>
      <c r="B54" s="6" t="n">
        <v>103440.646625</v>
      </c>
      <c r="C54" s="6" t="n">
        <v>93865</v>
      </c>
      <c r="D54" s="6" t="n">
        <v>-9575.646624999994</v>
      </c>
      <c r="E54" s="9" t="n">
        <v>-0.09257141111766512</v>
      </c>
      <c r="G54" s="28" t="n">
        <v>1.716674847512713</v>
      </c>
      <c r="H54" s="28" t="n">
        <v>1.486052181622443</v>
      </c>
      <c r="I54" s="28" t="n">
        <v>-0.2306226658902695</v>
      </c>
      <c r="J54" s="9" t="n">
        <v>-0.134342660303096</v>
      </c>
      <c r="L54" s="10" t="inlineStr"/>
      <c r="M54" s="10" t="inlineStr"/>
    </row>
    <row r="55" ht="18" customHeight="1">
      <c r="A55" s="5" t="inlineStr">
        <is>
          <t>under 5</t>
        </is>
      </c>
      <c r="B55" s="11" t="n">
        <v>46090.053125</v>
      </c>
      <c r="C55" s="11" t="n">
        <v>46841</v>
      </c>
      <c r="D55" s="11" t="n">
        <v>750.9468750000015</v>
      </c>
      <c r="E55" s="12" t="n">
        <v>0.01629303557024272</v>
      </c>
      <c r="G55" s="15" t="n">
        <v>1.566605430275758</v>
      </c>
      <c r="H55" s="15" t="n">
        <v>1.506965222147154</v>
      </c>
      <c r="I55" s="15" t="n">
        <v>-0.05964020812860382</v>
      </c>
      <c r="J55" s="12" t="n">
        <v>-0.03806970598723496</v>
      </c>
      <c r="L55" s="10" t="inlineStr"/>
      <c r="M55" s="10" t="inlineStr"/>
    </row>
    <row r="56" ht="18" customHeight="1">
      <c r="A56" s="7" t="inlineStr">
        <is>
          <t>Total</t>
        </is>
      </c>
      <c r="B56" s="13" t="n">
        <v>717802.660850726</v>
      </c>
      <c r="C56" s="13" t="n">
        <v>753400</v>
      </c>
      <c r="D56" s="13" t="n">
        <v>35597.33914927405</v>
      </c>
      <c r="E56" s="14" t="n">
        <v>0.04959209695194605</v>
      </c>
      <c r="G56" s="17" t="n">
        <v>1.727128993425764</v>
      </c>
      <c r="H56" s="17" t="n">
        <v>1.683526512078979</v>
      </c>
      <c r="I56" s="17" t="n">
        <v>-0.04360248134678524</v>
      </c>
      <c r="J56" s="14" t="n">
        <v>-0.02524564263164827</v>
      </c>
    </row>
    <row r="57" ht="18" customHeight="1"/>
    <row r="58" ht="18" customHeight="1"/>
    <row r="59" ht="18" customHeight="1"/>
    <row r="60" ht="18" customHeight="1">
      <c r="A60" s="1" t="inlineStr">
        <is>
          <t>TABLE 7. TRIPS BY DESTINATION PURPOSE</t>
        </is>
      </c>
      <c r="G60" s="1" t="inlineStr">
        <is>
          <t>TABLE 8. TRIP RATES BY DESTINATION PURPOSE (Total trips for purpose/total person)</t>
        </is>
      </c>
      <c r="L60" s="1" t="inlineStr">
        <is>
          <t>Trip per Tours by Purpose</t>
        </is>
      </c>
    </row>
    <row r="61" ht="18" customHeight="1">
      <c r="B61" s="2" t="inlineStr"/>
      <c r="C61" s="2" t="inlineStr"/>
      <c r="D61" s="2" t="inlineStr"/>
      <c r="E61" s="2" t="inlineStr"/>
      <c r="G61" s="2" t="inlineStr"/>
      <c r="H61" s="2" t="inlineStr"/>
      <c r="I61" s="2" t="inlineStr"/>
      <c r="J61" s="2" t="inlineStr"/>
    </row>
    <row r="62" ht="18" customHeight="1">
      <c r="A62" s="3" t="inlineStr">
        <is>
          <t>Dest Purpose</t>
        </is>
      </c>
      <c r="B62" s="4" t="inlineStr">
        <is>
          <t>ExpandSurv</t>
        </is>
      </c>
      <c r="C62" s="4" t="inlineStr">
        <is>
          <t>SynthPop</t>
        </is>
      </c>
      <c r="D62" s="4" t="inlineStr">
        <is>
          <t>Diff</t>
        </is>
      </c>
      <c r="E62" s="4" t="inlineStr">
        <is>
          <t>% Diff</t>
        </is>
      </c>
      <c r="G62" s="4" t="inlineStr">
        <is>
          <t>ExpandSurv</t>
        </is>
      </c>
      <c r="H62" s="4" t="inlineStr">
        <is>
          <t>SynthPop</t>
        </is>
      </c>
      <c r="I62" s="4" t="inlineStr">
        <is>
          <t>Diff</t>
        </is>
      </c>
      <c r="J62" s="4" t="inlineStr">
        <is>
          <t>% Diff</t>
        </is>
      </c>
      <c r="L62" s="4" t="inlineStr">
        <is>
          <t>ExpandSurv</t>
        </is>
      </c>
      <c r="M62" s="4" t="inlineStr">
        <is>
          <t>SynthPop</t>
        </is>
      </c>
    </row>
    <row r="63" ht="18" customHeight="1">
      <c r="A63" s="5" t="inlineStr">
        <is>
          <t>work</t>
        </is>
      </c>
      <c r="B63" s="6" t="n">
        <v>258588.1951378488</v>
      </c>
      <c r="C63" s="6" t="n">
        <v>324238</v>
      </c>
      <c r="D63" s="6" t="n">
        <v>65649.80486215121</v>
      </c>
      <c r="E63" s="9" t="n">
        <v>0.2538778107297375</v>
      </c>
      <c r="G63" s="28" t="n">
        <v>0.6221977063318462</v>
      </c>
      <c r="H63" s="28" t="n">
        <v>0.7245331420539739</v>
      </c>
      <c r="I63" s="28" t="n">
        <v>0.1023354357221277</v>
      </c>
      <c r="J63" s="9" t="n">
        <v>0.1644741449232337</v>
      </c>
      <c r="L63" s="28" t="n">
        <v>1.253229466687632</v>
      </c>
      <c r="M63" s="28" t="n">
        <v>1.365994843362936</v>
      </c>
    </row>
    <row r="64" ht="18" customHeight="1">
      <c r="A64" s="5" t="inlineStr">
        <is>
          <t>school</t>
        </is>
      </c>
      <c r="B64" s="6" t="n">
        <v>104446.2581821878</v>
      </c>
      <c r="C64" s="6" t="n">
        <v>91360</v>
      </c>
      <c r="D64" s="6" t="n">
        <v>-13086.2581821878</v>
      </c>
      <c r="E64" s="9" t="n">
        <v>-0.1252917855550283</v>
      </c>
      <c r="G64" s="28" t="n">
        <v>0.2513116356346355</v>
      </c>
      <c r="H64" s="28" t="n">
        <v>0.204150493952131</v>
      </c>
      <c r="I64" s="28" t="n">
        <v>-0.04716114168250449</v>
      </c>
      <c r="J64" s="9" t="n">
        <v>-0.1876600005543269</v>
      </c>
      <c r="L64" s="28" t="n">
        <v>1.056017789517307</v>
      </c>
      <c r="M64" s="28" t="n">
        <v>1.100431211004312</v>
      </c>
    </row>
    <row r="65" ht="18" customHeight="1">
      <c r="A65" s="5" t="inlineStr">
        <is>
          <t>escort</t>
        </is>
      </c>
      <c r="B65" s="6" t="n">
        <v>185546.8744579908</v>
      </c>
      <c r="C65" s="6" t="n">
        <v>167586</v>
      </c>
      <c r="D65" s="6" t="n">
        <v>-17960.87445799078</v>
      </c>
      <c r="E65" s="9" t="n">
        <v>-0.09679966051951609</v>
      </c>
      <c r="G65" s="28" t="n">
        <v>0.4464505413453318</v>
      </c>
      <c r="H65" s="28" t="n">
        <v>0.3744829759135489</v>
      </c>
      <c r="I65" s="28" t="n">
        <v>-0.0719675654317829</v>
      </c>
      <c r="J65" s="9" t="n">
        <v>-0.1611994135227526</v>
      </c>
      <c r="L65" s="28" t="n">
        <v>1.837599973199169</v>
      </c>
      <c r="M65" s="28" t="n">
        <v>2.107125344196748</v>
      </c>
    </row>
    <row r="66" ht="18" customHeight="1">
      <c r="A66" s="5" t="inlineStr">
        <is>
          <t>pers.bus</t>
        </is>
      </c>
      <c r="B66" s="6" t="n">
        <v>173118.5883234489</v>
      </c>
      <c r="C66" s="6" t="n">
        <v>226688</v>
      </c>
      <c r="D66" s="6" t="n">
        <v>53569.4116765511</v>
      </c>
      <c r="E66" s="9" t="n">
        <v>0.3094376646398238</v>
      </c>
      <c r="G66" s="28" t="n">
        <v>0.4165464263395188</v>
      </c>
      <c r="H66" s="28" t="n">
        <v>0.5065506476906816</v>
      </c>
      <c r="I66" s="28" t="n">
        <v>0.09000422135116276</v>
      </c>
      <c r="J66" s="9" t="n">
        <v>0.216072484745799</v>
      </c>
      <c r="L66" s="28" t="n">
        <v>2.154606060644025</v>
      </c>
      <c r="M66" s="28" t="n">
        <v>2.805752902443251</v>
      </c>
    </row>
    <row r="67" ht="18" customHeight="1">
      <c r="A67" s="5" t="inlineStr">
        <is>
          <t>shop</t>
        </is>
      </c>
      <c r="B67" s="6" t="n">
        <v>194291.1655982758</v>
      </c>
      <c r="C67" s="6" t="n">
        <v>236317</v>
      </c>
      <c r="D67" s="6" t="n">
        <v>42025.83440172419</v>
      </c>
      <c r="E67" s="9" t="n">
        <v>0.2163033726845743</v>
      </c>
      <c r="G67" s="28" t="n">
        <v>0.4674904727624752</v>
      </c>
      <c r="H67" s="28" t="n">
        <v>0.5280673410604831</v>
      </c>
      <c r="I67" s="28" t="n">
        <v>0.06057686829800796</v>
      </c>
      <c r="J67" s="9" t="n">
        <v>0.1295788295749636</v>
      </c>
      <c r="L67" s="28" t="n">
        <v>3.227139159700243</v>
      </c>
      <c r="M67" s="28" t="n">
        <v>3.546120256298675</v>
      </c>
    </row>
    <row r="68" ht="18" customHeight="1">
      <c r="A68" s="5" t="inlineStr">
        <is>
          <t>meal</t>
        </is>
      </c>
      <c r="B68" s="6" t="n">
        <v>93465.6306103575</v>
      </c>
      <c r="C68" s="6" t="n">
        <v>120482</v>
      </c>
      <c r="D68" s="6" t="n">
        <v>27016.3693896425</v>
      </c>
      <c r="E68" s="9" t="n">
        <v>0.2890513787069944</v>
      </c>
      <c r="G68" s="28" t="n">
        <v>0.2248907803220604</v>
      </c>
      <c r="H68" s="28" t="n">
        <v>0.2692256984713293</v>
      </c>
      <c r="I68" s="28" t="n">
        <v>0.04433491814926893</v>
      </c>
      <c r="J68" s="9" t="n">
        <v>0.1971397764095888</v>
      </c>
      <c r="L68" s="28" t="n">
        <v>3.261023387467065</v>
      </c>
      <c r="M68" s="28" t="n">
        <v>3.886265402232114</v>
      </c>
    </row>
    <row r="69" ht="18" customHeight="1">
      <c r="A69" s="5" t="inlineStr">
        <is>
          <t>soc/rec</t>
        </is>
      </c>
      <c r="B69" s="6" t="n">
        <v>198718.7533229267</v>
      </c>
      <c r="C69" s="6" t="n">
        <v>230665</v>
      </c>
      <c r="D69" s="6" t="n">
        <v>31946.2466770733</v>
      </c>
      <c r="E69" s="9" t="n">
        <v>0.1607611065532363</v>
      </c>
      <c r="G69" s="28" t="n">
        <v>0.4781438396936</v>
      </c>
      <c r="H69" s="28" t="n">
        <v>0.515437540361956</v>
      </c>
      <c r="I69" s="28" t="n">
        <v>0.03729370066835597</v>
      </c>
      <c r="J69" s="9" t="n">
        <v>0.07799682349197302</v>
      </c>
      <c r="L69" s="28" t="n">
        <v>1.655857669147309</v>
      </c>
      <c r="M69" s="28" t="n">
        <v>1.584487934220378</v>
      </c>
    </row>
    <row r="70" ht="18" customHeight="1">
      <c r="A70" s="18" t="inlineStr">
        <is>
          <t>home</t>
        </is>
      </c>
      <c r="B70" s="11" t="n">
        <v>694210.2253689019</v>
      </c>
      <c r="C70" s="11" t="n">
        <v>723933</v>
      </c>
      <c r="D70" s="11" t="n">
        <v>29722.77463109815</v>
      </c>
      <c r="E70" s="12" t="n">
        <v>0.04281523599757339</v>
      </c>
      <c r="G70" s="28" t="n">
        <v>1.670362445224491</v>
      </c>
      <c r="H70" s="28" t="n">
        <v>1.617680380234764</v>
      </c>
      <c r="I70" s="15" t="n">
        <v>-0.05268206498972638</v>
      </c>
      <c r="J70" s="12" t="n">
        <v>-0.03153930162902226</v>
      </c>
      <c r="L70" s="28" t="inlineStr"/>
      <c r="M70" s="28" t="inlineStr"/>
    </row>
    <row r="71" ht="18" customHeight="1">
      <c r="A71" s="7" t="inlineStr">
        <is>
          <t>Total</t>
        </is>
      </c>
      <c r="B71" s="8" t="n">
        <v>1902385.691001938</v>
      </c>
      <c r="C71" s="8" t="n">
        <v>2121269</v>
      </c>
      <c r="D71" s="8" t="n">
        <v>218883.3089980618</v>
      </c>
      <c r="E71" s="19" t="n">
        <v>0.1150572725779816</v>
      </c>
      <c r="G71" s="16" t="n">
        <v>4.577393847653958</v>
      </c>
      <c r="H71" s="16" t="n">
        <v>4.740128219738868</v>
      </c>
      <c r="I71" s="17" t="n">
        <v>0.1627343720849099</v>
      </c>
      <c r="J71" s="14" t="n">
        <v>0.03555175226364142</v>
      </c>
      <c r="L71" s="16" t="n">
        <v>2.650290664494426</v>
      </c>
      <c r="M71" s="16" t="n">
        <v>2.815594637642687</v>
      </c>
    </row>
    <row r="72" ht="18" customHeight="1"/>
    <row r="73" ht="18" customHeight="1"/>
    <row r="74" ht="18" customHeight="1"/>
    <row r="75" ht="18" customHeight="1">
      <c r="A75" s="1" t="inlineStr">
        <is>
          <t>TABLE 9. TRIPS BY PERSONTYPE</t>
        </is>
      </c>
      <c r="G75" s="1" t="inlineStr">
        <is>
          <t>TABLE 10. TRIP RATES BY PERSONTYPE  (Total trips/total person for person type)</t>
        </is>
      </c>
    </row>
    <row r="76" ht="18" customHeight="1">
      <c r="B76" s="2" t="inlineStr"/>
      <c r="C76" s="2" t="inlineStr"/>
      <c r="D76" s="2" t="inlineStr"/>
      <c r="E76" s="2" t="inlineStr"/>
      <c r="G76" s="2" t="inlineStr"/>
      <c r="H76" s="2" t="inlineStr"/>
      <c r="I76" s="2" t="inlineStr"/>
      <c r="J76" s="2" t="inlineStr"/>
    </row>
    <row r="77" ht="18" customHeight="1">
      <c r="A77" s="3" t="inlineStr">
        <is>
          <t>Persontype</t>
        </is>
      </c>
      <c r="B77" s="4" t="inlineStr">
        <is>
          <t>ExpandSurv</t>
        </is>
      </c>
      <c r="C77" s="4" t="inlineStr">
        <is>
          <t>SynthPop</t>
        </is>
      </c>
      <c r="D77" s="4" t="inlineStr">
        <is>
          <t>Diff</t>
        </is>
      </c>
      <c r="E77" s="4" t="inlineStr">
        <is>
          <t>% Diff</t>
        </is>
      </c>
      <c r="G77" s="4" t="inlineStr">
        <is>
          <t>ExpandSurv</t>
        </is>
      </c>
      <c r="H77" s="4" t="inlineStr">
        <is>
          <t>SynthPop</t>
        </is>
      </c>
      <c r="I77" s="4" t="inlineStr">
        <is>
          <t>Diff</t>
        </is>
      </c>
      <c r="J77" s="4" t="inlineStr">
        <is>
          <t>% Diff</t>
        </is>
      </c>
    </row>
    <row r="78" ht="18" customHeight="1">
      <c r="A78" s="5" t="inlineStr">
        <is>
          <t>ft worker</t>
        </is>
      </c>
      <c r="B78" s="6" t="n">
        <v>789271.7818863874</v>
      </c>
      <c r="C78" s="6" t="n">
        <v>972877</v>
      </c>
      <c r="D78" s="6" t="n">
        <v>183605.2181136126</v>
      </c>
      <c r="E78" s="9" t="n">
        <v>0.2326261020947558</v>
      </c>
      <c r="G78" s="28" t="n">
        <v>4.535145784611117</v>
      </c>
      <c r="H78" s="28" t="n">
        <v>5.192609869874786</v>
      </c>
      <c r="I78" s="28" t="n">
        <v>0.6574640852636682</v>
      </c>
      <c r="J78" s="9" t="n">
        <v>0.1449708821918378</v>
      </c>
    </row>
    <row r="79" ht="18" customHeight="1">
      <c r="A79" s="5" t="inlineStr">
        <is>
          <t>pt worker</t>
        </is>
      </c>
      <c r="B79" s="6" t="n">
        <v>171567.4532406697</v>
      </c>
      <c r="C79" s="6" t="n">
        <v>212328</v>
      </c>
      <c r="D79" s="6" t="n">
        <v>40760.54675933029</v>
      </c>
      <c r="E79" s="9" t="n">
        <v>0.2375773842265561</v>
      </c>
      <c r="G79" s="28" t="n">
        <v>4.802738285074042</v>
      </c>
      <c r="H79" s="28" t="n">
        <v>5.027299633005801</v>
      </c>
      <c r="I79" s="28" t="n">
        <v>0.2245613479317585</v>
      </c>
      <c r="J79" s="9" t="n">
        <v>0.04675694043742726</v>
      </c>
    </row>
    <row r="80" ht="18" customHeight="1">
      <c r="A80" s="5" t="inlineStr">
        <is>
          <t>retired</t>
        </is>
      </c>
      <c r="B80" s="6" t="n">
        <v>168036.1803033074</v>
      </c>
      <c r="C80" s="6" t="n">
        <v>187841</v>
      </c>
      <c r="D80" s="6" t="n">
        <v>19804.8196966926</v>
      </c>
      <c r="E80" s="9" t="n">
        <v>0.1178604492255457</v>
      </c>
      <c r="G80" s="28" t="n">
        <v>3.967766887350674</v>
      </c>
      <c r="H80" s="28" t="n">
        <v>4.155774336283186</v>
      </c>
      <c r="I80" s="28" t="n">
        <v>0.1880074489325119</v>
      </c>
      <c r="J80" s="9" t="n">
        <v>0.04738369321340012</v>
      </c>
    </row>
    <row r="81" ht="18" customHeight="1">
      <c r="A81" s="5" t="inlineStr">
        <is>
          <t>nonworker</t>
        </is>
      </c>
      <c r="B81" s="6" t="n">
        <v>350100.6962353232</v>
      </c>
      <c r="C81" s="6" t="n">
        <v>214152</v>
      </c>
      <c r="D81" s="6" t="n">
        <v>-135948.6962353232</v>
      </c>
      <c r="E81" s="9" t="n">
        <v>-0.3883131273293559</v>
      </c>
      <c r="G81" s="28" t="n">
        <v>5.988462215383132</v>
      </c>
      <c r="H81" s="28" t="n">
        <v>4.894790976206258</v>
      </c>
      <c r="I81" s="28" t="n">
        <v>-1.093671239176873</v>
      </c>
      <c r="J81" s="9" t="n">
        <v>-0.1826297302782434</v>
      </c>
    </row>
    <row r="82" ht="18" customHeight="1">
      <c r="A82" s="5" t="inlineStr">
        <is>
          <t>uinv.stud</t>
        </is>
      </c>
      <c r="B82" s="6" t="n">
        <v>35356.16283625049</v>
      </c>
      <c r="C82" s="6" t="n">
        <v>130880</v>
      </c>
      <c r="D82" s="6" t="n">
        <v>95523.8371637495</v>
      </c>
      <c r="E82" s="9" t="n">
        <v>2.701759170138491</v>
      </c>
      <c r="G82" s="28" t="n">
        <v>4.813071231199962</v>
      </c>
      <c r="H82" s="28" t="n">
        <v>5.372301124702405</v>
      </c>
      <c r="I82" s="28" t="n">
        <v>0.5592298935024429</v>
      </c>
      <c r="J82" s="9" t="n">
        <v>0.1161898228053067</v>
      </c>
    </row>
    <row r="83" ht="18" customHeight="1">
      <c r="A83" s="5" t="inlineStr">
        <is>
          <t>stud 16+</t>
        </is>
      </c>
      <c r="B83" s="6" t="n">
        <v>34067.36025</v>
      </c>
      <c r="C83" s="6" t="n">
        <v>37900</v>
      </c>
      <c r="D83" s="6" t="n">
        <v>3832.639750000002</v>
      </c>
      <c r="E83" s="9" t="n">
        <v>0.1125018117598355</v>
      </c>
      <c r="G83" s="28" t="n">
        <v>4.252165892503233</v>
      </c>
      <c r="H83" s="28" t="n">
        <v>3.658301158301158</v>
      </c>
      <c r="I83" s="28" t="n">
        <v>-0.5938647342020746</v>
      </c>
      <c r="J83" s="9" t="n">
        <v>-0.139661703991626</v>
      </c>
    </row>
    <row r="84" ht="18" customHeight="1">
      <c r="A84" s="5" t="inlineStr">
        <is>
          <t>stud.5-15</t>
        </is>
      </c>
      <c r="B84" s="6" t="n">
        <v>244830.970625</v>
      </c>
      <c r="C84" s="6" t="n">
        <v>237020</v>
      </c>
      <c r="D84" s="6" t="n">
        <v>-7810.970625000016</v>
      </c>
      <c r="E84" s="9" t="n">
        <v>-0.03190352350056169</v>
      </c>
      <c r="G84" s="28" t="n">
        <v>4.063152956571741</v>
      </c>
      <c r="H84" s="28" t="n">
        <v>3.752453929453486</v>
      </c>
      <c r="I84" s="28" t="n">
        <v>-0.3106990271182544</v>
      </c>
      <c r="J84" s="9" t="n">
        <v>-0.07646747007535859</v>
      </c>
    </row>
    <row r="85" ht="18" customHeight="1">
      <c r="A85" s="5" t="inlineStr">
        <is>
          <t>under 5</t>
        </is>
      </c>
      <c r="B85" s="11" t="n">
        <v>109155.085625</v>
      </c>
      <c r="C85" s="11" t="n">
        <v>128271</v>
      </c>
      <c r="D85" s="11" t="n">
        <v>19115.91437499999</v>
      </c>
      <c r="E85" s="12" t="n">
        <v>0.1751261910111299</v>
      </c>
      <c r="G85" s="28" t="n">
        <v>3.71019207590337</v>
      </c>
      <c r="H85" s="28" t="n">
        <v>4.1267252195734</v>
      </c>
      <c r="I85" s="15" t="n">
        <v>0.4165331436700299</v>
      </c>
      <c r="J85" s="12" t="n">
        <v>0.1122672721919959</v>
      </c>
    </row>
    <row r="86" ht="18" customHeight="1">
      <c r="A86" s="7" t="inlineStr">
        <is>
          <t>Total</t>
        </is>
      </c>
      <c r="B86" s="13" t="n">
        <v>1902385.691001938</v>
      </c>
      <c r="C86" s="13" t="n">
        <v>2121269</v>
      </c>
      <c r="D86" s="13" t="n">
        <v>218883.3089980618</v>
      </c>
      <c r="E86" s="14" t="n">
        <v>0.1150572725779816</v>
      </c>
      <c r="G86" s="16" t="n">
        <v>4.577393847653958</v>
      </c>
      <c r="H86" s="16" t="n">
        <v>4.740128219738868</v>
      </c>
      <c r="I86" s="17" t="n">
        <v>0.1627343720849108</v>
      </c>
      <c r="J86" s="14" t="n">
        <v>0.03555175226364162</v>
      </c>
      <c r="K86" s="28" t="inlineStr"/>
      <c r="L86" s="28" t="inlineStr"/>
    </row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M86"/>
  <sheetViews>
    <sheetView zoomScale="85" zoomScaleNormal="85" workbookViewId="0">
      <selection activeCell="G9" sqref="G9"/>
    </sheetView>
  </sheetViews>
  <sheetFormatPr baseColWidth="8" defaultColWidth="10.75" defaultRowHeight="12.75"/>
  <cols>
    <col collapsed="1" width="17.75" customWidth="1" style="26" min="1" max="1"/>
    <col collapsed="1" width="12.625" customWidth="1" style="26" min="2" max="5"/>
    <col collapsed="1" width="4.875" customWidth="1" style="26" min="6" max="6"/>
    <col collapsed="1" width="10.75" customWidth="1" style="26" min="7" max="18"/>
    <col collapsed="1" width="10.75" customWidth="1" style="26" min="19" max="16384"/>
  </cols>
  <sheetData>
    <row r="1" ht="18" customHeight="1">
      <c r="A1" s="1" t="inlineStr">
        <is>
          <t>TABLE 1. HH POPULATION BY COUNTY</t>
        </is>
      </c>
      <c r="B1" s="5" t="inlineStr"/>
      <c r="C1" s="5" t="inlineStr"/>
      <c r="D1" s="5" t="inlineStr"/>
      <c r="E1" s="5" t="inlineStr"/>
      <c r="F1" s="5" t="inlineStr"/>
      <c r="G1" s="5" t="inlineStr"/>
      <c r="H1" s="5" t="inlineStr"/>
      <c r="I1" s="5" t="inlineStr"/>
      <c r="J1" s="5" t="inlineStr"/>
      <c r="K1" s="5" t="inlineStr"/>
      <c r="L1" s="5" t="inlineStr"/>
      <c r="M1" s="5" t="inlineStr"/>
    </row>
    <row r="2" ht="18" customHeight="1">
      <c r="A2" s="5" t="inlineStr"/>
      <c r="B2" s="2" t="inlineStr"/>
      <c r="C2" s="2" t="inlineStr"/>
      <c r="D2" s="5" t="inlineStr"/>
      <c r="E2" s="5" t="inlineStr"/>
      <c r="F2" s="5" t="inlineStr"/>
      <c r="G2" s="5" t="inlineStr"/>
      <c r="H2" s="5" t="inlineStr"/>
      <c r="I2" s="5" t="inlineStr"/>
      <c r="J2" s="5" t="inlineStr"/>
      <c r="K2" s="5" t="inlineStr"/>
      <c r="L2" s="5" t="inlineStr"/>
      <c r="M2" s="5" t="inlineStr"/>
    </row>
    <row r="3" ht="18" customHeight="1">
      <c r="A3" s="3" t="inlineStr">
        <is>
          <t>County</t>
        </is>
      </c>
      <c r="B3" s="4" t="inlineStr">
        <is>
          <t>ExpandSurv</t>
        </is>
      </c>
      <c r="C3" s="4" t="inlineStr">
        <is>
          <t>SynthPop</t>
        </is>
      </c>
      <c r="D3" s="5" t="inlineStr"/>
      <c r="E3" s="5" t="inlineStr"/>
      <c r="F3" s="5" t="inlineStr"/>
      <c r="G3" s="5" t="inlineStr"/>
      <c r="H3" s="5" t="inlineStr"/>
      <c r="I3" s="5" t="inlineStr"/>
      <c r="J3" s="5" t="inlineStr"/>
      <c r="K3" s="5" t="inlineStr"/>
      <c r="L3" s="5" t="inlineStr"/>
      <c r="M3" s="5" t="inlineStr"/>
    </row>
    <row r="4" ht="18" customHeight="1">
      <c r="A4" s="5" t="inlineStr">
        <is>
          <t>Bellevue</t>
        </is>
      </c>
      <c r="B4" s="6" t="n">
        <v>0</v>
      </c>
      <c r="C4" s="6" t="n">
        <v>0</v>
      </c>
      <c r="D4" s="5" t="inlineStr"/>
      <c r="E4" s="5" t="inlineStr"/>
      <c r="F4" s="5" t="inlineStr"/>
      <c r="G4" s="5" t="inlineStr"/>
      <c r="H4" s="5" t="inlineStr"/>
      <c r="I4" s="5" t="inlineStr"/>
      <c r="J4" s="5" t="inlineStr"/>
      <c r="K4" s="5" t="inlineStr"/>
      <c r="L4" s="5" t="inlineStr"/>
      <c r="M4" s="5" t="inlineStr"/>
    </row>
    <row r="5" ht="18" customHeight="1">
      <c r="A5" s="5" t="inlineStr">
        <is>
          <t>Bellevue Downtown</t>
        </is>
      </c>
      <c r="B5" s="6" t="n">
        <v>0</v>
      </c>
      <c r="C5" s="6" t="n">
        <v>0</v>
      </c>
      <c r="D5" s="5" t="inlineStr"/>
      <c r="E5" s="5" t="inlineStr"/>
      <c r="F5" s="5" t="inlineStr"/>
      <c r="G5" s="5" t="inlineStr"/>
      <c r="H5" s="5" t="inlineStr"/>
      <c r="I5" s="5" t="inlineStr"/>
      <c r="J5" s="5" t="inlineStr"/>
      <c r="K5" s="5" t="inlineStr"/>
      <c r="L5" s="5" t="inlineStr"/>
      <c r="M5" s="5" t="inlineStr"/>
    </row>
    <row r="6" ht="18" customHeight="1">
      <c r="A6" s="5" t="inlineStr">
        <is>
          <t>Kirkland</t>
        </is>
      </c>
      <c r="B6" s="6" t="n">
        <v>0</v>
      </c>
      <c r="C6" s="6" t="n">
        <v>0</v>
      </c>
      <c r="D6" s="5" t="inlineStr"/>
      <c r="E6" s="5" t="inlineStr"/>
      <c r="F6" s="5" t="inlineStr"/>
      <c r="G6" s="5" t="inlineStr"/>
      <c r="H6" s="5" t="inlineStr"/>
      <c r="I6" s="5" t="inlineStr"/>
      <c r="J6" s="5" t="inlineStr"/>
      <c r="K6" s="5" t="inlineStr"/>
      <c r="L6" s="5" t="inlineStr"/>
      <c r="M6" s="5" t="inlineStr"/>
    </row>
    <row r="7" ht="18" customHeight="1">
      <c r="A7" s="5" t="inlineStr">
        <is>
          <t>Redmond</t>
        </is>
      </c>
      <c r="B7" s="6" t="n">
        <v>0</v>
      </c>
      <c r="C7" s="6" t="n">
        <v>0</v>
      </c>
      <c r="D7" s="5" t="inlineStr"/>
      <c r="E7" s="5" t="inlineStr"/>
      <c r="F7" s="5" t="inlineStr"/>
      <c r="G7" s="5" t="inlineStr"/>
      <c r="H7" s="5" t="inlineStr"/>
      <c r="I7" s="5" t="inlineStr"/>
      <c r="J7" s="5" t="inlineStr"/>
      <c r="K7" s="5" t="inlineStr"/>
      <c r="L7" s="5" t="inlineStr"/>
      <c r="M7" s="5" t="inlineStr"/>
    </row>
    <row r="8" ht="18" customHeight="1">
      <c r="A8" s="5" t="inlineStr">
        <is>
          <t>Seattle</t>
        </is>
      </c>
      <c r="B8" s="6" t="n">
        <v>636827.6733</v>
      </c>
      <c r="C8" s="6" t="n">
        <v>701184</v>
      </c>
      <c r="D8" s="5" t="inlineStr"/>
      <c r="E8" s="5" t="inlineStr"/>
      <c r="F8" s="5" t="inlineStr"/>
      <c r="G8" s="5" t="inlineStr"/>
      <c r="H8" s="5" t="inlineStr"/>
      <c r="I8" s="5" t="inlineStr"/>
      <c r="J8" s="5" t="inlineStr"/>
      <c r="K8" s="5" t="inlineStr"/>
      <c r="L8" s="5" t="inlineStr"/>
      <c r="M8" s="5" t="inlineStr"/>
    </row>
    <row r="9" ht="18" customHeight="1">
      <c r="A9" s="5" t="inlineStr">
        <is>
          <t>Seattle Downtown</t>
        </is>
      </c>
      <c r="B9" s="6" t="n">
        <v>54534.6622</v>
      </c>
      <c r="C9" s="6" t="n">
        <v>80748</v>
      </c>
      <c r="D9" s="5" t="inlineStr"/>
      <c r="E9" s="5" t="inlineStr"/>
      <c r="F9" s="5" t="inlineStr"/>
      <c r="G9" s="5" t="inlineStr"/>
      <c r="H9" s="5" t="inlineStr"/>
      <c r="I9" s="5" t="inlineStr"/>
      <c r="J9" s="5" t="inlineStr"/>
      <c r="K9" s="5" t="inlineStr"/>
      <c r="L9" s="5" t="inlineStr"/>
      <c r="M9" s="5" t="inlineStr"/>
    </row>
    <row r="10" ht="18" customHeight="1">
      <c r="A10" s="5" t="inlineStr">
        <is>
          <t>Rest</t>
        </is>
      </c>
      <c r="B10" s="6" t="n">
        <v>2601551.0853</v>
      </c>
      <c r="C10" s="6" t="n">
        <v>2796718</v>
      </c>
      <c r="D10" s="5" t="inlineStr"/>
      <c r="E10" s="5" t="inlineStr"/>
      <c r="F10" s="5" t="inlineStr"/>
      <c r="G10" s="5" t="inlineStr"/>
      <c r="H10" s="5" t="inlineStr"/>
      <c r="I10" s="5" t="inlineStr"/>
      <c r="J10" s="5" t="inlineStr"/>
      <c r="K10" s="5" t="inlineStr"/>
      <c r="L10" s="5" t="inlineStr"/>
      <c r="M10" s="5" t="inlineStr"/>
    </row>
    <row r="11" ht="18" customHeight="1">
      <c r="A11" s="7" t="inlineStr">
        <is>
          <t>Total</t>
        </is>
      </c>
      <c r="B11" s="8" t="n">
        <v>3292913.4208</v>
      </c>
      <c r="C11" s="8" t="n">
        <v>3578650</v>
      </c>
      <c r="D11" s="5" t="inlineStr"/>
      <c r="E11" s="5" t="inlineStr"/>
      <c r="F11" s="5" t="inlineStr"/>
      <c r="G11" s="5" t="inlineStr"/>
      <c r="H11" s="5" t="inlineStr"/>
      <c r="I11" s="5" t="inlineStr"/>
      <c r="J11" s="5" t="inlineStr"/>
      <c r="K11" s="5" t="inlineStr"/>
      <c r="L11" s="5" t="inlineStr"/>
      <c r="M11" s="5" t="inlineStr"/>
    </row>
    <row r="12" ht="18" customHeight="1">
      <c r="A12" s="5" t="inlineStr"/>
      <c r="B12" s="5" t="inlineStr"/>
      <c r="C12" s="5" t="inlineStr"/>
      <c r="D12" s="5" t="inlineStr"/>
      <c r="E12" s="5" t="inlineStr"/>
      <c r="F12" s="5" t="inlineStr"/>
      <c r="G12" s="5" t="inlineStr"/>
      <c r="H12" s="5" t="inlineStr"/>
      <c r="I12" s="5" t="inlineStr"/>
      <c r="J12" s="5" t="inlineStr"/>
      <c r="K12" s="5" t="inlineStr"/>
      <c r="L12" s="5" t="inlineStr"/>
      <c r="M12" s="5" t="inlineStr"/>
    </row>
    <row r="13" ht="18" customHeight="1">
      <c r="A13" s="5" t="inlineStr"/>
      <c r="B13" s="5" t="inlineStr"/>
      <c r="C13" s="5" t="inlineStr"/>
      <c r="D13" s="5" t="inlineStr"/>
      <c r="E13" s="5" t="inlineStr"/>
      <c r="F13" s="5" t="inlineStr"/>
      <c r="G13" s="5" t="inlineStr"/>
      <c r="H13" s="5" t="inlineStr"/>
      <c r="I13" s="5" t="inlineStr"/>
      <c r="J13" s="5" t="inlineStr"/>
      <c r="K13" s="5" t="inlineStr"/>
      <c r="L13" s="5" t="inlineStr"/>
      <c r="M13" s="5" t="inlineStr"/>
    </row>
    <row r="14" ht="18" customHeight="1">
      <c r="A14" s="5" t="inlineStr"/>
      <c r="B14" s="5" t="inlineStr"/>
      <c r="C14" s="5" t="inlineStr"/>
      <c r="D14" s="5" t="inlineStr"/>
      <c r="E14" s="5" t="inlineStr"/>
      <c r="F14" s="5" t="inlineStr"/>
      <c r="G14" s="5" t="inlineStr"/>
      <c r="H14" s="5" t="inlineStr"/>
      <c r="I14" s="27" t="inlineStr"/>
      <c r="J14" s="5" t="inlineStr"/>
      <c r="K14" s="5" t="inlineStr"/>
      <c r="L14" s="5" t="inlineStr"/>
      <c r="M14" s="5" t="inlineStr"/>
    </row>
    <row r="15" ht="18" customHeight="1">
      <c r="A15" s="1" t="inlineStr">
        <is>
          <t>TABLE 2. POPULATION BY PERSONTYPE</t>
        </is>
      </c>
      <c r="B15" s="5" t="inlineStr"/>
      <c r="C15" s="5" t="inlineStr"/>
      <c r="D15" s="5" t="inlineStr"/>
      <c r="E15" s="5" t="inlineStr"/>
      <c r="F15" s="5" t="inlineStr"/>
      <c r="G15" s="5" t="inlineStr"/>
      <c r="H15" s="5" t="inlineStr"/>
      <c r="I15" s="5" t="inlineStr"/>
      <c r="J15" s="5" t="inlineStr"/>
      <c r="K15" s="5" t="inlineStr"/>
      <c r="L15" s="5" t="inlineStr"/>
      <c r="M15" s="5" t="inlineStr"/>
    </row>
    <row r="16" ht="18" customHeight="1">
      <c r="A16" s="5" t="inlineStr"/>
      <c r="B16" s="2" t="inlineStr"/>
      <c r="C16" s="2" t="inlineStr"/>
      <c r="D16" s="2" t="inlineStr"/>
      <c r="E16" s="2" t="inlineStr"/>
      <c r="F16" s="5" t="inlineStr"/>
      <c r="G16" s="5" t="inlineStr"/>
      <c r="H16" s="5" t="inlineStr"/>
      <c r="I16" s="5" t="inlineStr"/>
      <c r="J16" s="5" t="inlineStr"/>
      <c r="K16" s="5" t="inlineStr"/>
      <c r="L16" s="5" t="inlineStr"/>
      <c r="M16" s="5" t="inlineStr"/>
    </row>
    <row r="17" ht="18" customHeight="1">
      <c r="A17" s="3" t="inlineStr">
        <is>
          <t>Persontype</t>
        </is>
      </c>
      <c r="B17" s="4" t="inlineStr">
        <is>
          <t>ExpandSurv</t>
        </is>
      </c>
      <c r="C17" s="4" t="inlineStr">
        <is>
          <t>SynthPop</t>
        </is>
      </c>
      <c r="D17" s="4" t="inlineStr">
        <is>
          <t>Diff</t>
        </is>
      </c>
      <c r="E17" s="4" t="inlineStr">
        <is>
          <t>% Diff</t>
        </is>
      </c>
      <c r="F17" s="5" t="inlineStr"/>
      <c r="G17" s="27" t="inlineStr"/>
      <c r="H17" s="27" t="inlineStr"/>
      <c r="I17" s="5" t="inlineStr"/>
      <c r="J17" s="27" t="inlineStr"/>
      <c r="K17" s="27" t="inlineStr"/>
      <c r="L17" s="5" t="inlineStr"/>
      <c r="M17" s="5" t="inlineStr"/>
    </row>
    <row r="18" ht="18" customHeight="1">
      <c r="A18" s="5" t="inlineStr">
        <is>
          <t>ft worker</t>
        </is>
      </c>
      <c r="B18" s="6" t="n">
        <v>1238555.2528</v>
      </c>
      <c r="C18" s="6" t="n">
        <v>1460643</v>
      </c>
      <c r="D18" s="6" t="n">
        <v>222087.7472000001</v>
      </c>
      <c r="E18" s="9" t="n">
        <v>0.1793119416335498</v>
      </c>
      <c r="F18" s="5" t="inlineStr"/>
      <c r="G18" s="6" t="inlineStr"/>
      <c r="H18" s="10" t="inlineStr"/>
      <c r="I18" s="5" t="inlineStr"/>
      <c r="J18" s="6" t="inlineStr"/>
      <c r="K18" s="10" t="inlineStr"/>
      <c r="L18" s="5" t="inlineStr"/>
      <c r="M18" s="5" t="inlineStr"/>
    </row>
    <row r="19" ht="18" customHeight="1">
      <c r="A19" s="5" t="inlineStr">
        <is>
          <t>pt worker</t>
        </is>
      </c>
      <c r="B19" s="6" t="n">
        <v>305232.8417</v>
      </c>
      <c r="C19" s="6" t="n">
        <v>347620</v>
      </c>
      <c r="D19" s="6" t="n">
        <v>42387.15830000001</v>
      </c>
      <c r="E19" s="9" t="n">
        <v>0.1388682753268749</v>
      </c>
      <c r="F19" s="5" t="inlineStr"/>
      <c r="G19" s="6" t="inlineStr"/>
      <c r="H19" s="10" t="inlineStr"/>
      <c r="I19" s="5" t="inlineStr"/>
      <c r="J19" s="6" t="inlineStr"/>
      <c r="K19" s="10" t="inlineStr"/>
      <c r="L19" s="5" t="inlineStr"/>
      <c r="M19" s="5" t="inlineStr"/>
    </row>
    <row r="20" ht="18" customHeight="1">
      <c r="A20" s="5" t="inlineStr">
        <is>
          <t>retired</t>
        </is>
      </c>
      <c r="B20" s="6" t="n">
        <v>342741.6627</v>
      </c>
      <c r="C20" s="6" t="n">
        <v>361400</v>
      </c>
      <c r="D20" s="6" t="n">
        <v>18658.33730000001</v>
      </c>
      <c r="E20" s="9" t="n">
        <v>0.05443848627276912</v>
      </c>
      <c r="F20" s="5" t="inlineStr"/>
      <c r="G20" s="6" t="inlineStr"/>
      <c r="H20" s="10" t="inlineStr"/>
      <c r="I20" s="5" t="inlineStr"/>
      <c r="J20" s="6" t="inlineStr"/>
      <c r="K20" s="10" t="inlineStr"/>
      <c r="L20" s="5" t="inlineStr"/>
      <c r="M20" s="5" t="inlineStr"/>
    </row>
    <row r="21" ht="18" customHeight="1">
      <c r="A21" s="5" t="inlineStr">
        <is>
          <t>nonworker</t>
        </is>
      </c>
      <c r="B21" s="6" t="n">
        <v>533826.1310000001</v>
      </c>
      <c r="C21" s="6" t="n">
        <v>375209</v>
      </c>
      <c r="D21" s="6" t="n">
        <v>-158617.1310000001</v>
      </c>
      <c r="E21" s="9" t="n">
        <v>-0.2971325714289547</v>
      </c>
      <c r="F21" s="5" t="inlineStr"/>
      <c r="G21" s="6" t="inlineStr"/>
      <c r="H21" s="10" t="inlineStr"/>
      <c r="I21" s="5" t="inlineStr"/>
      <c r="J21" s="6" t="inlineStr"/>
      <c r="K21" s="10" t="inlineStr"/>
      <c r="L21" s="5" t="inlineStr"/>
      <c r="M21" s="5" t="inlineStr"/>
    </row>
    <row r="22" ht="18" customHeight="1">
      <c r="A22" s="5" t="inlineStr">
        <is>
          <t>uinv.stud</t>
        </is>
      </c>
      <c r="B22" s="6" t="n">
        <v>104133.0724</v>
      </c>
      <c r="C22" s="6" t="n">
        <v>203818</v>
      </c>
      <c r="D22" s="6" t="n">
        <v>99684.9276</v>
      </c>
      <c r="E22" s="9" t="n">
        <v>0.9572840338090322</v>
      </c>
      <c r="F22" s="5" t="inlineStr"/>
      <c r="G22" s="6" t="inlineStr"/>
      <c r="H22" s="10" t="inlineStr"/>
      <c r="I22" s="5" t="inlineStr"/>
      <c r="J22" s="6" t="inlineStr"/>
      <c r="K22" s="10" t="inlineStr"/>
      <c r="L22" s="5" t="inlineStr"/>
      <c r="M22" s="5" t="inlineStr"/>
    </row>
    <row r="23" ht="18" customHeight="1">
      <c r="A23" s="5" t="inlineStr">
        <is>
          <t>stud 16+</t>
        </is>
      </c>
      <c r="B23" s="6" t="n">
        <v>70487.77770000001</v>
      </c>
      <c r="C23" s="6" t="n">
        <v>84897</v>
      </c>
      <c r="D23" s="6" t="n">
        <v>14409.22229999999</v>
      </c>
      <c r="E23" s="9" t="n">
        <v>0.2044215716563865</v>
      </c>
      <c r="F23" s="5" t="inlineStr"/>
      <c r="G23" s="6" t="inlineStr"/>
      <c r="H23" s="10" t="inlineStr"/>
      <c r="I23" s="5" t="inlineStr"/>
      <c r="J23" s="6" t="inlineStr"/>
      <c r="K23" s="10" t="inlineStr"/>
      <c r="L23" s="5" t="inlineStr"/>
      <c r="M23" s="5" t="inlineStr"/>
    </row>
    <row r="24" ht="18" customHeight="1">
      <c r="A24" s="5" t="inlineStr">
        <is>
          <t>stud.5-15</t>
        </is>
      </c>
      <c r="B24" s="6" t="n">
        <v>455659.5257</v>
      </c>
      <c r="C24" s="6" t="n">
        <v>504206</v>
      </c>
      <c r="D24" s="6" t="n">
        <v>48546.4743</v>
      </c>
      <c r="E24" s="9" t="n">
        <v>0.1065411158154133</v>
      </c>
      <c r="F24" s="5" t="inlineStr"/>
      <c r="G24" s="6" t="inlineStr"/>
      <c r="H24" s="10" t="inlineStr"/>
      <c r="I24" s="5" t="inlineStr"/>
      <c r="J24" s="6" t="inlineStr"/>
      <c r="K24" s="10" t="inlineStr"/>
      <c r="L24" s="5" t="inlineStr"/>
      <c r="M24" s="5" t="inlineStr"/>
    </row>
    <row r="25" ht="18" customHeight="1">
      <c r="A25" s="5" t="inlineStr">
        <is>
          <t>under 5</t>
        </is>
      </c>
      <c r="B25" s="11" t="n">
        <v>242277.1568</v>
      </c>
      <c r="C25" s="11" t="n">
        <v>240857</v>
      </c>
      <c r="D25" s="11" t="n">
        <v>-1420.156799999997</v>
      </c>
      <c r="E25" s="12" t="n">
        <v>-0.005861703260668268</v>
      </c>
      <c r="F25" s="5" t="inlineStr"/>
      <c r="G25" s="6" t="inlineStr"/>
      <c r="H25" s="9" t="inlineStr"/>
      <c r="I25" s="5" t="inlineStr"/>
      <c r="J25" s="6" t="inlineStr"/>
      <c r="K25" s="9" t="inlineStr"/>
      <c r="L25" s="5" t="inlineStr"/>
      <c r="M25" s="5" t="inlineStr"/>
    </row>
    <row r="26" ht="18" customHeight="1">
      <c r="A26" s="7" t="inlineStr">
        <is>
          <t>Total</t>
        </is>
      </c>
      <c r="B26" s="13" t="n">
        <v>3292913.4208</v>
      </c>
      <c r="C26" s="13" t="n">
        <v>3578650</v>
      </c>
      <c r="D26" s="13" t="n">
        <v>285736.5792</v>
      </c>
      <c r="E26" s="14" t="n">
        <v>0.08677318310135876</v>
      </c>
      <c r="F26" s="5" t="inlineStr"/>
      <c r="G26" s="6" t="inlineStr"/>
      <c r="H26" s="9" t="inlineStr"/>
      <c r="I26" s="5" t="inlineStr"/>
      <c r="J26" s="6" t="inlineStr"/>
      <c r="K26" s="9" t="inlineStr"/>
      <c r="L26" s="5" t="inlineStr"/>
      <c r="M26" s="5" t="inlineStr"/>
    </row>
    <row r="27" ht="18" customHeight="1">
      <c r="A27" s="5" t="inlineStr"/>
      <c r="B27" s="5" t="inlineStr"/>
      <c r="C27" s="5" t="inlineStr"/>
      <c r="D27" s="5" t="inlineStr"/>
      <c r="E27" s="5" t="inlineStr"/>
      <c r="F27" s="5" t="inlineStr"/>
      <c r="G27" s="5" t="inlineStr"/>
      <c r="H27" s="5" t="inlineStr"/>
      <c r="I27" s="5" t="inlineStr"/>
      <c r="J27" s="5" t="inlineStr"/>
      <c r="K27" s="5" t="inlineStr"/>
      <c r="L27" s="5" t="inlineStr"/>
      <c r="M27" s="5" t="inlineStr"/>
    </row>
    <row r="28" ht="18" customHeight="1">
      <c r="A28" s="5" t="inlineStr"/>
      <c r="B28" s="5" t="inlineStr"/>
      <c r="C28" s="5" t="inlineStr"/>
      <c r="D28" s="5" t="inlineStr"/>
      <c r="E28" s="5" t="inlineStr"/>
      <c r="F28" s="5" t="inlineStr"/>
      <c r="G28" s="5" t="inlineStr"/>
      <c r="H28" s="5" t="inlineStr"/>
      <c r="I28" s="5" t="inlineStr"/>
      <c r="J28" s="5" t="inlineStr"/>
      <c r="K28" s="5" t="inlineStr"/>
      <c r="L28" s="5" t="inlineStr"/>
      <c r="M28" s="5" t="inlineStr"/>
    </row>
    <row r="29" ht="18" customHeight="1">
      <c r="A29" s="5" t="inlineStr"/>
      <c r="B29" s="5" t="inlineStr"/>
      <c r="C29" s="5" t="inlineStr"/>
      <c r="D29" s="5" t="inlineStr"/>
      <c r="E29" s="5" t="inlineStr"/>
      <c r="F29" s="5" t="inlineStr"/>
      <c r="G29" s="5" t="inlineStr"/>
      <c r="H29" s="5" t="inlineStr"/>
      <c r="I29" s="5" t="inlineStr"/>
      <c r="J29" s="5" t="inlineStr"/>
      <c r="K29" s="5" t="inlineStr"/>
      <c r="L29" s="5" t="inlineStr"/>
      <c r="M29" s="5" t="inlineStr"/>
    </row>
    <row r="30" ht="18" customHeight="1">
      <c r="A30" s="1" t="inlineStr">
        <is>
          <t>TABLE 3. TOURS BY PURPOSE</t>
        </is>
      </c>
      <c r="B30" s="5" t="inlineStr"/>
      <c r="C30" s="5" t="inlineStr"/>
      <c r="D30" s="5" t="inlineStr"/>
      <c r="E30" s="5" t="inlineStr"/>
      <c r="F30" s="5" t="inlineStr"/>
      <c r="G30" s="1" t="inlineStr">
        <is>
          <t>TABLE 4. TOUR RATES BY PUPROSE (Total tours for purpose/total person)</t>
        </is>
      </c>
      <c r="H30" s="5" t="inlineStr"/>
      <c r="I30" s="5" t="inlineStr"/>
      <c r="J30" s="5" t="inlineStr"/>
      <c r="K30" s="5" t="inlineStr"/>
      <c r="L30" s="5" t="inlineStr"/>
      <c r="M30" s="5" t="inlineStr"/>
    </row>
    <row r="31" ht="18" customHeight="1">
      <c r="A31" s="5" t="inlineStr"/>
      <c r="B31" s="2" t="inlineStr"/>
      <c r="C31" s="2" t="inlineStr"/>
      <c r="D31" s="2" t="inlineStr"/>
      <c r="E31" s="2" t="inlineStr"/>
      <c r="F31" s="5" t="inlineStr"/>
      <c r="G31" s="2" t="inlineStr"/>
      <c r="H31" s="2" t="inlineStr"/>
      <c r="I31" s="2" t="inlineStr"/>
      <c r="J31" s="2" t="inlineStr"/>
      <c r="K31" s="5" t="inlineStr"/>
      <c r="L31" s="5" t="inlineStr"/>
      <c r="M31" s="5" t="inlineStr"/>
    </row>
    <row r="32" ht="18" customHeight="1">
      <c r="A32" s="3" t="inlineStr">
        <is>
          <t>Purpose</t>
        </is>
      </c>
      <c r="B32" s="4" t="inlineStr">
        <is>
          <t>ExpandSurv</t>
        </is>
      </c>
      <c r="C32" s="4" t="inlineStr">
        <is>
          <t>SynthPop</t>
        </is>
      </c>
      <c r="D32" s="4" t="inlineStr">
        <is>
          <t>Diff</t>
        </is>
      </c>
      <c r="E32" s="4" t="inlineStr">
        <is>
          <t>% Diff</t>
        </is>
      </c>
      <c r="F32" s="5" t="inlineStr"/>
      <c r="G32" s="4" t="inlineStr">
        <is>
          <t>ExpandSurv</t>
        </is>
      </c>
      <c r="H32" s="4" t="inlineStr">
        <is>
          <t>SynthPop</t>
        </is>
      </c>
      <c r="I32" s="4" t="inlineStr">
        <is>
          <t>Diff</t>
        </is>
      </c>
      <c r="J32" s="4" t="inlineStr">
        <is>
          <t>% Diff</t>
        </is>
      </c>
      <c r="K32" s="5" t="inlineStr"/>
      <c r="L32" s="5" t="inlineStr"/>
      <c r="M32" s="5" t="inlineStr"/>
    </row>
    <row r="33" ht="18" customHeight="1">
      <c r="A33" s="5" t="inlineStr">
        <is>
          <t>work</t>
        </is>
      </c>
      <c r="B33" s="6" t="n">
        <v>1521221.485128647</v>
      </c>
      <c r="C33" s="6" t="n">
        <v>1844501</v>
      </c>
      <c r="D33" s="6" t="n">
        <v>323279.5148713528</v>
      </c>
      <c r="E33" s="9" t="n">
        <v>0.212513113988798</v>
      </c>
      <c r="F33" s="5" t="inlineStr"/>
      <c r="G33" s="28" t="n">
        <v>0.4619682605439024</v>
      </c>
      <c r="H33" s="28" t="n">
        <v>0.5154181045925139</v>
      </c>
      <c r="I33" s="28" t="n">
        <v>0.05344984404861153</v>
      </c>
      <c r="J33" s="9" t="n">
        <v>0.1157002517568672</v>
      </c>
      <c r="K33" s="5" t="inlineStr"/>
      <c r="L33" s="37" t="inlineStr"/>
      <c r="M33" s="37" t="inlineStr"/>
    </row>
    <row r="34" ht="18" customHeight="1">
      <c r="A34" s="5" t="inlineStr">
        <is>
          <t>school</t>
        </is>
      </c>
      <c r="B34" s="6" t="n">
        <v>706170.7497683431</v>
      </c>
      <c r="C34" s="6" t="n">
        <v>631739</v>
      </c>
      <c r="D34" s="6" t="n">
        <v>-74431.74976834306</v>
      </c>
      <c r="E34" s="9" t="n">
        <v>-0.1054019156029333</v>
      </c>
      <c r="F34" s="5" t="inlineStr"/>
      <c r="G34" s="28" t="n">
        <v>0.2144516601340772</v>
      </c>
      <c r="H34" s="28" t="n">
        <v>0.176529976387744</v>
      </c>
      <c r="I34" s="28" t="n">
        <v>-0.0379216837463332</v>
      </c>
      <c r="J34" s="9" t="n">
        <v>-0.176830917152258</v>
      </c>
      <c r="K34" s="5" t="inlineStr"/>
      <c r="L34" s="37" t="inlineStr"/>
      <c r="M34" s="37" t="inlineStr"/>
    </row>
    <row r="35" ht="18" customHeight="1">
      <c r="A35" s="5" t="inlineStr">
        <is>
          <t>escort</t>
        </is>
      </c>
      <c r="B35" s="6" t="n">
        <v>547824.6158597942</v>
      </c>
      <c r="C35" s="6" t="n">
        <v>620619</v>
      </c>
      <c r="D35" s="6" t="n">
        <v>72794.3841402058</v>
      </c>
      <c r="E35" s="9" t="n">
        <v>0.1328789945409029</v>
      </c>
      <c r="F35" s="5" t="inlineStr"/>
      <c r="G35" s="28" t="n">
        <v>0.1663647189748167</v>
      </c>
      <c r="H35" s="28" t="n">
        <v>0.1734226593827281</v>
      </c>
      <c r="I35" s="28" t="n">
        <v>0.007057940407911467</v>
      </c>
      <c r="J35" s="9" t="n">
        <v>0.04242450233080884</v>
      </c>
      <c r="K35" s="5" t="inlineStr"/>
      <c r="L35" s="37" t="inlineStr"/>
      <c r="M35" s="37" t="inlineStr"/>
    </row>
    <row r="36" ht="18" customHeight="1">
      <c r="A36" s="5" t="inlineStr">
        <is>
          <t>pers.bus</t>
        </is>
      </c>
      <c r="B36" s="6" t="n">
        <v>637794.9657305737</v>
      </c>
      <c r="C36" s="6" t="n">
        <v>658499</v>
      </c>
      <c r="D36" s="6" t="n">
        <v>20704.03426942625</v>
      </c>
      <c r="E36" s="9" t="n">
        <v>0.03246189666252765</v>
      </c>
      <c r="F36" s="5" t="inlineStr"/>
      <c r="G36" s="28" t="n">
        <v>0.1936871348338166</v>
      </c>
      <c r="H36" s="28" t="n">
        <v>0.1840076565185196</v>
      </c>
      <c r="I36" s="28" t="n">
        <v>-0.00967947831529703</v>
      </c>
      <c r="J36" s="9" t="n">
        <v>-0.0499748128527071</v>
      </c>
      <c r="K36" s="5" t="inlineStr"/>
      <c r="L36" s="37" t="inlineStr"/>
      <c r="M36" s="37" t="inlineStr"/>
    </row>
    <row r="37" ht="18" customHeight="1">
      <c r="A37" s="5" t="inlineStr">
        <is>
          <t>shop</t>
        </is>
      </c>
      <c r="B37" s="6" t="n">
        <v>642232.4271962903</v>
      </c>
      <c r="C37" s="6" t="n">
        <v>674956</v>
      </c>
      <c r="D37" s="6" t="n">
        <v>32723.57280370966</v>
      </c>
      <c r="E37" s="9" t="n">
        <v>0.05095285042919221</v>
      </c>
      <c r="F37" s="5" t="inlineStr"/>
      <c r="G37" s="28" t="n">
        <v>0.1950347139829333</v>
      </c>
      <c r="H37" s="28" t="n">
        <v>0.1886063180249535</v>
      </c>
      <c r="I37" s="28" t="n">
        <v>-0.006428395957979727</v>
      </c>
      <c r="J37" s="9" t="n">
        <v>-0.03296026551735939</v>
      </c>
      <c r="K37" s="5" t="inlineStr"/>
      <c r="L37" s="37" t="inlineStr"/>
      <c r="M37" s="37" t="inlineStr"/>
    </row>
    <row r="38" ht="18" customHeight="1">
      <c r="A38" s="5" t="inlineStr">
        <is>
          <t>meal</t>
        </is>
      </c>
      <c r="B38" s="6" t="n">
        <v>196589.1023616742</v>
      </c>
      <c r="C38" s="6" t="n">
        <v>210862</v>
      </c>
      <c r="D38" s="6" t="n">
        <v>14272.89763832581</v>
      </c>
      <c r="E38" s="9" t="n">
        <v>0.0726026899093689</v>
      </c>
      <c r="F38" s="5" t="inlineStr"/>
      <c r="G38" s="28" t="n">
        <v>0.05970065933707837</v>
      </c>
      <c r="H38" s="28" t="n">
        <v>0.05892221927263074</v>
      </c>
      <c r="I38" s="28" t="n">
        <v>-0.0007784400644476261</v>
      </c>
      <c r="J38" s="9" t="n">
        <v>-0.0130390530538774</v>
      </c>
      <c r="K38" s="5" t="inlineStr"/>
      <c r="L38" s="37" t="inlineStr"/>
      <c r="M38" s="37" t="inlineStr"/>
    </row>
    <row r="39" ht="18" customHeight="1">
      <c r="A39" s="5" t="inlineStr">
        <is>
          <t>soc/rec</t>
        </is>
      </c>
      <c r="B39" s="6" t="n">
        <v>970001.0387993322</v>
      </c>
      <c r="C39" s="6" t="n">
        <v>1013860</v>
      </c>
      <c r="D39" s="6" t="n">
        <v>43858.96120066778</v>
      </c>
      <c r="E39" s="9" t="n">
        <v>0.04521537549584114</v>
      </c>
      <c r="F39" s="5" t="inlineStr"/>
      <c r="G39" s="28" t="n">
        <v>0.2945722874680605</v>
      </c>
      <c r="H39" s="28" t="n">
        <v>0.283307951322426</v>
      </c>
      <c r="I39" s="28" t="n">
        <v>-0.01126433614563449</v>
      </c>
      <c r="J39" s="9" t="n">
        <v>-0.03823963293511052</v>
      </c>
      <c r="K39" s="5" t="inlineStr"/>
      <c r="L39" s="37" t="inlineStr"/>
      <c r="M39" s="37" t="inlineStr"/>
    </row>
    <row r="40" ht="18" customHeight="1">
      <c r="A40" s="5" t="inlineStr">
        <is>
          <t>workbased</t>
        </is>
      </c>
      <c r="B40" s="11" t="n">
        <v>161680.6759929457</v>
      </c>
      <c r="C40" s="11" t="n">
        <v>203788</v>
      </c>
      <c r="D40" s="11" t="n">
        <v>42107.32400705427</v>
      </c>
      <c r="E40" s="12" t="n">
        <v>0.260435106103165</v>
      </c>
      <c r="F40" s="5" t="inlineStr"/>
      <c r="G40" s="28" t="n">
        <v>0.04909958305361884</v>
      </c>
      <c r="H40" s="28" t="n">
        <v>0.05694549620667011</v>
      </c>
      <c r="I40" s="15" t="n">
        <v>0.007845913153051269</v>
      </c>
      <c r="J40" s="12" t="n">
        <v>0.1597959221870214</v>
      </c>
      <c r="K40" s="5" t="inlineStr"/>
      <c r="L40" s="37" t="inlineStr"/>
      <c r="M40" s="37" t="inlineStr"/>
    </row>
    <row r="41" ht="18" customHeight="1">
      <c r="A41" s="7" t="inlineStr">
        <is>
          <t>Total</t>
        </is>
      </c>
      <c r="B41" s="13" t="n">
        <v>5383515.060837602</v>
      </c>
      <c r="C41" s="13" t="n">
        <v>5858824</v>
      </c>
      <c r="D41" s="13" t="n">
        <v>475308.9391623978</v>
      </c>
      <c r="E41" s="14" t="n">
        <v>0.08828970176382234</v>
      </c>
      <c r="F41" s="5" t="inlineStr"/>
      <c r="G41" s="16" t="n">
        <v>1.634879018328304</v>
      </c>
      <c r="H41" s="16" t="n">
        <v>1.637160381708186</v>
      </c>
      <c r="I41" s="17" t="n">
        <v>0.00228136337988194</v>
      </c>
      <c r="J41" s="14" t="n">
        <v>0.001395432539231361</v>
      </c>
      <c r="K41" s="5" t="inlineStr"/>
      <c r="L41" s="5" t="inlineStr"/>
      <c r="M41" s="5" t="inlineStr"/>
    </row>
    <row r="42" ht="18" customHeight="1">
      <c r="A42" s="5" t="inlineStr"/>
      <c r="B42" s="6" t="inlineStr"/>
      <c r="C42" s="6" t="inlineStr"/>
      <c r="D42" s="6" t="inlineStr"/>
      <c r="E42" s="5" t="inlineStr"/>
      <c r="F42" s="5" t="inlineStr"/>
      <c r="G42" s="5" t="inlineStr"/>
      <c r="H42" s="5" t="inlineStr"/>
      <c r="I42" s="5" t="inlineStr"/>
      <c r="J42" s="5" t="inlineStr"/>
      <c r="K42" s="5" t="inlineStr"/>
      <c r="L42" s="5" t="inlineStr"/>
      <c r="M42" s="5" t="inlineStr"/>
    </row>
    <row r="43" ht="18" customHeight="1">
      <c r="A43" s="5" t="inlineStr"/>
      <c r="B43" s="6" t="inlineStr"/>
      <c r="C43" s="6" t="inlineStr"/>
      <c r="D43" s="6" t="inlineStr"/>
      <c r="E43" s="5" t="inlineStr"/>
      <c r="F43" s="5" t="inlineStr"/>
      <c r="G43" s="5" t="inlineStr"/>
      <c r="H43" s="5" t="inlineStr"/>
      <c r="I43" s="5" t="inlineStr"/>
      <c r="J43" s="5" t="inlineStr"/>
      <c r="K43" s="5" t="inlineStr"/>
      <c r="L43" s="5" t="inlineStr"/>
      <c r="M43" s="5" t="inlineStr"/>
    </row>
    <row r="44" ht="18" customHeight="1">
      <c r="A44" s="5" t="inlineStr"/>
      <c r="B44" s="6" t="inlineStr"/>
      <c r="C44" s="6" t="inlineStr"/>
      <c r="D44" s="6" t="inlineStr"/>
      <c r="E44" s="5" t="inlineStr"/>
      <c r="F44" s="5" t="inlineStr"/>
      <c r="G44" s="5" t="inlineStr"/>
      <c r="H44" s="5" t="inlineStr"/>
      <c r="I44" s="5" t="inlineStr"/>
      <c r="J44" s="5" t="inlineStr"/>
      <c r="K44" s="5" t="inlineStr"/>
      <c r="L44" s="5" t="inlineStr"/>
      <c r="M44" s="5" t="inlineStr"/>
    </row>
    <row r="45" ht="18" customHeight="1">
      <c r="A45" s="1" t="inlineStr">
        <is>
          <t>TABLE 5. TOURS BY PERSONTYPE</t>
        </is>
      </c>
      <c r="B45" s="5" t="inlineStr"/>
      <c r="C45" s="5" t="inlineStr"/>
      <c r="D45" s="5" t="inlineStr"/>
      <c r="E45" s="5" t="inlineStr"/>
      <c r="F45" s="5" t="inlineStr"/>
      <c r="G45" s="1" t="inlineStr">
        <is>
          <t>TABLE 6. TOUR RATES BY PERSONTYPE (Total tours/total person for person type)</t>
        </is>
      </c>
      <c r="H45" s="5" t="inlineStr"/>
      <c r="I45" s="5" t="inlineStr"/>
      <c r="J45" s="5" t="inlineStr"/>
      <c r="K45" s="5" t="inlineStr"/>
      <c r="L45" s="5" t="inlineStr"/>
      <c r="M45" s="5" t="inlineStr"/>
    </row>
    <row r="46" ht="18" customHeight="1">
      <c r="A46" s="5" t="inlineStr"/>
      <c r="B46" s="2" t="inlineStr"/>
      <c r="C46" s="2" t="inlineStr"/>
      <c r="D46" s="2" t="inlineStr"/>
      <c r="E46" s="2" t="inlineStr"/>
      <c r="F46" s="5" t="inlineStr"/>
      <c r="G46" s="2" t="inlineStr"/>
      <c r="H46" s="2" t="inlineStr"/>
      <c r="I46" s="2" t="inlineStr"/>
      <c r="J46" s="2" t="inlineStr"/>
      <c r="K46" s="5" t="inlineStr"/>
      <c r="L46" s="5" t="inlineStr"/>
      <c r="M46" s="5" t="inlineStr"/>
    </row>
    <row r="47" ht="18" customHeight="1">
      <c r="A47" s="3" t="inlineStr">
        <is>
          <t>Persontype</t>
        </is>
      </c>
      <c r="B47" s="4" t="inlineStr">
        <is>
          <t>ExpandSurv</t>
        </is>
      </c>
      <c r="C47" s="4" t="inlineStr">
        <is>
          <t>SynthPop</t>
        </is>
      </c>
      <c r="D47" s="4" t="inlineStr">
        <is>
          <t>Diff</t>
        </is>
      </c>
      <c r="E47" s="4" t="inlineStr">
        <is>
          <t>% Diff</t>
        </is>
      </c>
      <c r="F47" s="5" t="inlineStr"/>
      <c r="G47" s="4" t="inlineStr">
        <is>
          <t>ExpandSurv</t>
        </is>
      </c>
      <c r="H47" s="4" t="inlineStr">
        <is>
          <t>SynthPop</t>
        </is>
      </c>
      <c r="I47" s="4" t="inlineStr">
        <is>
          <t>Diff</t>
        </is>
      </c>
      <c r="J47" s="4" t="inlineStr">
        <is>
          <t>% Diff</t>
        </is>
      </c>
      <c r="K47" s="5" t="inlineStr"/>
      <c r="L47" s="5" t="inlineStr"/>
      <c r="M47" s="5" t="inlineStr"/>
    </row>
    <row r="48" ht="18" customHeight="1">
      <c r="A48" s="5" t="inlineStr">
        <is>
          <t>ft worker</t>
        </is>
      </c>
      <c r="B48" s="6" t="n">
        <v>2136576.764979186</v>
      </c>
      <c r="C48" s="6" t="n">
        <v>2526326</v>
      </c>
      <c r="D48" s="6" t="n">
        <v>389749.2350208135</v>
      </c>
      <c r="E48" s="9" t="n">
        <v>0.1824176137310986</v>
      </c>
      <c r="F48" s="5" t="inlineStr"/>
      <c r="G48" s="28" t="n">
        <v>1.725055672848693</v>
      </c>
      <c r="H48" s="28" t="n">
        <v>1.729598539821161</v>
      </c>
      <c r="I48" s="28" t="n">
        <v>0.004542866972468085</v>
      </c>
      <c r="J48" s="9" t="n">
        <v>0.002633461078369815</v>
      </c>
      <c r="K48" s="5" t="inlineStr"/>
      <c r="L48" s="10" t="inlineStr"/>
      <c r="M48" s="10" t="inlineStr"/>
    </row>
    <row r="49" ht="18" customHeight="1">
      <c r="A49" s="5" t="inlineStr">
        <is>
          <t>pt worker</t>
        </is>
      </c>
      <c r="B49" s="6" t="n">
        <v>564029.4308839047</v>
      </c>
      <c r="C49" s="6" t="n">
        <v>607924</v>
      </c>
      <c r="D49" s="6" t="n">
        <v>43894.56911609531</v>
      </c>
      <c r="E49" s="9" t="n">
        <v>0.07782318920363257</v>
      </c>
      <c r="F49" s="5" t="inlineStr"/>
      <c r="G49" s="28" t="n">
        <v>1.847866133088865</v>
      </c>
      <c r="H49" s="28" t="n">
        <v>1.748817674472125</v>
      </c>
      <c r="I49" s="28" t="n">
        <v>-0.09904845861674039</v>
      </c>
      <c r="J49" s="9" t="n">
        <v>-0.05360153359765974</v>
      </c>
      <c r="K49" s="5" t="inlineStr"/>
      <c r="L49" s="10" t="inlineStr"/>
      <c r="M49" s="10" t="inlineStr"/>
    </row>
    <row r="50" ht="18" customHeight="1">
      <c r="A50" s="5" t="inlineStr">
        <is>
          <t>retired</t>
        </is>
      </c>
      <c r="B50" s="6" t="n">
        <v>489770.2273711165</v>
      </c>
      <c r="C50" s="6" t="n">
        <v>505949</v>
      </c>
      <c r="D50" s="6" t="n">
        <v>16178.77262888348</v>
      </c>
      <c r="E50" s="9" t="n">
        <v>0.03303339346641061</v>
      </c>
      <c r="F50" s="5" t="inlineStr"/>
      <c r="G50" s="28" t="n">
        <v>1.428977800693608</v>
      </c>
      <c r="H50" s="28" t="n">
        <v>1.399969562811289</v>
      </c>
      <c r="I50" s="28" t="n">
        <v>-0.02900823788231888</v>
      </c>
      <c r="J50" s="9" t="n">
        <v>-0.02029999197205068</v>
      </c>
      <c r="K50" s="5" t="inlineStr"/>
      <c r="L50" s="10" t="inlineStr"/>
      <c r="M50" s="10" t="inlineStr"/>
    </row>
    <row r="51" ht="18" customHeight="1">
      <c r="A51" s="5" t="inlineStr">
        <is>
          <t>nonworker</t>
        </is>
      </c>
      <c r="B51" s="6" t="n">
        <v>922884.2070464392</v>
      </c>
      <c r="C51" s="6" t="n">
        <v>632984</v>
      </c>
      <c r="D51" s="6" t="n">
        <v>-289900.2070464392</v>
      </c>
      <c r="E51" s="9" t="n">
        <v>-0.3141241391205771</v>
      </c>
      <c r="F51" s="5" t="inlineStr"/>
      <c r="G51" s="28" t="n">
        <v>1.728810474896814</v>
      </c>
      <c r="H51" s="28" t="n">
        <v>1.687017102468224</v>
      </c>
      <c r="I51" s="28" t="n">
        <v>-0.04179337242859016</v>
      </c>
      <c r="J51" s="9" t="n">
        <v>-0.02417464090798306</v>
      </c>
      <c r="K51" s="5" t="inlineStr"/>
      <c r="L51" s="10" t="inlineStr"/>
      <c r="M51" s="10" t="inlineStr"/>
    </row>
    <row r="52" ht="18" customHeight="1">
      <c r="A52" s="5" t="inlineStr">
        <is>
          <t>uinv.stud</t>
        </is>
      </c>
      <c r="B52" s="6" t="n">
        <v>187341.0666683618</v>
      </c>
      <c r="C52" s="6" t="n">
        <v>371674</v>
      </c>
      <c r="D52" s="6" t="n">
        <v>184332.9333316382</v>
      </c>
      <c r="E52" s="9" t="n">
        <v>0.9839430115872634</v>
      </c>
      <c r="F52" s="5" t="inlineStr"/>
      <c r="G52" s="28" t="n">
        <v>1.799054443997772</v>
      </c>
      <c r="H52" s="28" t="n">
        <v>1.823558272576514</v>
      </c>
      <c r="I52" s="28" t="n">
        <v>0.02450382857874178</v>
      </c>
      <c r="J52" s="9" t="n">
        <v>0.01362039301283765</v>
      </c>
      <c r="K52" s="5" t="inlineStr"/>
      <c r="L52" s="10" t="inlineStr"/>
      <c r="M52" s="10" t="inlineStr"/>
    </row>
    <row r="53" ht="18" customHeight="1">
      <c r="A53" s="5" t="inlineStr">
        <is>
          <t>stud 16+</t>
        </is>
      </c>
      <c r="B53" s="6" t="n">
        <v>95673.334388592</v>
      </c>
      <c r="C53" s="6" t="n">
        <v>112495</v>
      </c>
      <c r="D53" s="6" t="n">
        <v>16821.665611408</v>
      </c>
      <c r="E53" s="9" t="n">
        <v>0.1758239714222168</v>
      </c>
      <c r="F53" s="5" t="inlineStr"/>
      <c r="G53" s="28" t="n">
        <v>1.357303883175083</v>
      </c>
      <c r="H53" s="28" t="n">
        <v>1.325076268890538</v>
      </c>
      <c r="I53" s="28" t="n">
        <v>-0.03222761428454457</v>
      </c>
      <c r="J53" s="9" t="n">
        <v>-0.02374384593165378</v>
      </c>
      <c r="K53" s="5" t="inlineStr"/>
      <c r="L53" s="10" t="inlineStr"/>
      <c r="M53" s="10" t="inlineStr"/>
    </row>
    <row r="54" ht="18" customHeight="1">
      <c r="A54" s="5" t="inlineStr">
        <is>
          <t>stud.5-15</t>
        </is>
      </c>
      <c r="B54" s="6" t="n">
        <v>668994.9366249999</v>
      </c>
      <c r="C54" s="6" t="n">
        <v>723808</v>
      </c>
      <c r="D54" s="6" t="n">
        <v>54813.06337500014</v>
      </c>
      <c r="E54" s="9" t="n">
        <v>0.08193345027620919</v>
      </c>
      <c r="F54" s="5" t="inlineStr"/>
      <c r="G54" s="28" t="n">
        <v>1.468190389737308</v>
      </c>
      <c r="H54" s="28" t="n">
        <v>1.435540235538649</v>
      </c>
      <c r="I54" s="28" t="n">
        <v>-0.03265015419865902</v>
      </c>
      <c r="J54" s="9" t="n">
        <v>-0.02223836528755706</v>
      </c>
      <c r="K54" s="5" t="inlineStr"/>
      <c r="L54" s="10" t="inlineStr"/>
      <c r="M54" s="10" t="inlineStr"/>
    </row>
    <row r="55" ht="18" customHeight="1">
      <c r="A55" s="5" t="inlineStr">
        <is>
          <t>under 5</t>
        </is>
      </c>
      <c r="B55" s="11" t="n">
        <v>318245.092875</v>
      </c>
      <c r="C55" s="11" t="n">
        <v>377664</v>
      </c>
      <c r="D55" s="11" t="n">
        <v>59418.90712499997</v>
      </c>
      <c r="E55" s="12" t="n">
        <v>0.1867080073041015</v>
      </c>
      <c r="F55" s="5" t="inlineStr"/>
      <c r="G55" s="15" t="n">
        <v>1.313557980778649</v>
      </c>
      <c r="H55" s="15" t="n">
        <v>1.568000930012414</v>
      </c>
      <c r="I55" s="15" t="n">
        <v>0.2544429492337654</v>
      </c>
      <c r="J55" s="12" t="n">
        <v>0.1937051526899004</v>
      </c>
      <c r="K55" s="5" t="inlineStr"/>
      <c r="L55" s="10" t="inlineStr"/>
      <c r="M55" s="10" t="inlineStr"/>
    </row>
    <row r="56" ht="18" customHeight="1">
      <c r="A56" s="7" t="inlineStr">
        <is>
          <t>Total</t>
        </is>
      </c>
      <c r="B56" s="13" t="n">
        <v>5383515.060837601</v>
      </c>
      <c r="C56" s="13" t="n">
        <v>5858824</v>
      </c>
      <c r="D56" s="13" t="n">
        <v>475308.9391623987</v>
      </c>
      <c r="E56" s="14" t="n">
        <v>0.08828970176382252</v>
      </c>
      <c r="F56" s="5" t="inlineStr"/>
      <c r="G56" s="17" t="n">
        <v>1.634879018328304</v>
      </c>
      <c r="H56" s="17" t="n">
        <v>1.637160381708186</v>
      </c>
      <c r="I56" s="17" t="n">
        <v>0.002281363379882162</v>
      </c>
      <c r="J56" s="14" t="n">
        <v>0.001395432539231497</v>
      </c>
      <c r="K56" s="5" t="inlineStr"/>
      <c r="L56" s="5" t="inlineStr"/>
      <c r="M56" s="5" t="inlineStr"/>
    </row>
    <row r="57" ht="18" customHeight="1">
      <c r="A57" s="5" t="inlineStr"/>
      <c r="B57" s="5" t="inlineStr"/>
      <c r="C57" s="5" t="inlineStr"/>
      <c r="D57" s="5" t="inlineStr"/>
      <c r="E57" s="5" t="inlineStr"/>
      <c r="F57" s="5" t="inlineStr"/>
      <c r="G57" s="5" t="inlineStr"/>
      <c r="H57" s="5" t="inlineStr"/>
      <c r="I57" s="5" t="inlineStr"/>
      <c r="J57" s="5" t="inlineStr"/>
      <c r="K57" s="5" t="inlineStr"/>
      <c r="L57" s="5" t="inlineStr"/>
      <c r="M57" s="5" t="inlineStr"/>
    </row>
    <row r="58" ht="18" customHeight="1">
      <c r="A58" s="5" t="inlineStr"/>
      <c r="B58" s="5" t="inlineStr"/>
      <c r="C58" s="5" t="inlineStr"/>
      <c r="D58" s="5" t="inlineStr"/>
      <c r="E58" s="5" t="inlineStr"/>
      <c r="F58" s="5" t="inlineStr"/>
      <c r="G58" s="5" t="inlineStr"/>
      <c r="H58" s="5" t="inlineStr"/>
      <c r="I58" s="5" t="inlineStr"/>
      <c r="J58" s="5" t="inlineStr"/>
      <c r="K58" s="5" t="inlineStr"/>
      <c r="L58" s="5" t="inlineStr"/>
      <c r="M58" s="5" t="inlineStr"/>
    </row>
    <row r="59" ht="18" customHeight="1">
      <c r="A59" s="5" t="inlineStr"/>
      <c r="B59" s="5" t="inlineStr"/>
      <c r="C59" s="5" t="inlineStr"/>
      <c r="D59" s="5" t="inlineStr"/>
      <c r="E59" s="5" t="inlineStr"/>
      <c r="F59" s="5" t="inlineStr"/>
      <c r="G59" s="5" t="inlineStr"/>
      <c r="H59" s="5" t="inlineStr"/>
      <c r="I59" s="5" t="inlineStr"/>
      <c r="J59" s="5" t="inlineStr"/>
      <c r="K59" s="5" t="inlineStr"/>
      <c r="L59" s="5" t="inlineStr"/>
      <c r="M59" s="5" t="inlineStr"/>
    </row>
    <row r="60" ht="18" customHeight="1">
      <c r="A60" s="1" t="inlineStr">
        <is>
          <t>TABLE 7. TRIPS BY DESTINATION PURPOSE</t>
        </is>
      </c>
      <c r="B60" s="5" t="inlineStr"/>
      <c r="C60" s="5" t="inlineStr"/>
      <c r="D60" s="5" t="inlineStr"/>
      <c r="E60" s="5" t="inlineStr"/>
      <c r="F60" s="5" t="inlineStr"/>
      <c r="G60" s="1" t="inlineStr">
        <is>
          <t>TABLE 8. TRIP RATES BY DESTINATION PURPOSE (Total trips for purpose/total person)</t>
        </is>
      </c>
      <c r="H60" s="5" t="inlineStr"/>
      <c r="I60" s="5" t="inlineStr"/>
      <c r="J60" s="5" t="inlineStr"/>
      <c r="K60" s="5" t="inlineStr"/>
      <c r="L60" s="1" t="inlineStr">
        <is>
          <t>Trip per Tours by Purpose</t>
        </is>
      </c>
      <c r="M60" s="5" t="inlineStr"/>
    </row>
    <row r="61" ht="18" customHeight="1">
      <c r="A61" s="5" t="inlineStr"/>
      <c r="B61" s="2" t="inlineStr"/>
      <c r="C61" s="2" t="inlineStr"/>
      <c r="D61" s="2" t="inlineStr"/>
      <c r="E61" s="2" t="inlineStr"/>
      <c r="F61" s="5" t="inlineStr"/>
      <c r="G61" s="2" t="inlineStr"/>
      <c r="H61" s="2" t="inlineStr"/>
      <c r="I61" s="2" t="inlineStr"/>
      <c r="J61" s="2" t="inlineStr"/>
      <c r="K61" s="5" t="inlineStr"/>
      <c r="L61" s="5" t="inlineStr"/>
      <c r="M61" s="5" t="inlineStr"/>
    </row>
    <row r="62" ht="18" customHeight="1">
      <c r="A62" s="3" t="inlineStr">
        <is>
          <t>Dest Purpose</t>
        </is>
      </c>
      <c r="B62" s="4" t="inlineStr">
        <is>
          <t>ExpandSurv</t>
        </is>
      </c>
      <c r="C62" s="4" t="inlineStr">
        <is>
          <t>SynthPop</t>
        </is>
      </c>
      <c r="D62" s="4" t="inlineStr">
        <is>
          <t>Diff</t>
        </is>
      </c>
      <c r="E62" s="4" t="inlineStr">
        <is>
          <t>% Diff</t>
        </is>
      </c>
      <c r="F62" s="5" t="inlineStr"/>
      <c r="G62" s="4" t="inlineStr">
        <is>
          <t>ExpandSurv</t>
        </is>
      </c>
      <c r="H62" s="4" t="inlineStr">
        <is>
          <t>SynthPop</t>
        </is>
      </c>
      <c r="I62" s="4" t="inlineStr">
        <is>
          <t>Diff</t>
        </is>
      </c>
      <c r="J62" s="4" t="inlineStr">
        <is>
          <t>% Diff</t>
        </is>
      </c>
      <c r="K62" s="5" t="inlineStr"/>
      <c r="L62" s="4" t="inlineStr">
        <is>
          <t>ExpandSurv</t>
        </is>
      </c>
      <c r="M62" s="4" t="inlineStr">
        <is>
          <t>SynthPop</t>
        </is>
      </c>
    </row>
    <row r="63" ht="18" customHeight="1">
      <c r="A63" s="5" t="inlineStr">
        <is>
          <t>work</t>
        </is>
      </c>
      <c r="B63" s="6" t="n">
        <v>2039663.208809431</v>
      </c>
      <c r="C63" s="6" t="n">
        <v>2482706</v>
      </c>
      <c r="D63" s="6" t="n">
        <v>443042.7911905688</v>
      </c>
      <c r="E63" s="9" t="n">
        <v>0.2172136994367696</v>
      </c>
      <c r="F63" s="5" t="inlineStr"/>
      <c r="G63" s="28" t="n">
        <v>0.6194099109699347</v>
      </c>
      <c r="H63" s="28" t="n">
        <v>0.6937549075768795</v>
      </c>
      <c r="I63" s="28" t="n">
        <v>0.07434499660694482</v>
      </c>
      <c r="J63" s="9" t="n">
        <v>0.1200255199186721</v>
      </c>
      <c r="K63" s="5" t="inlineStr"/>
      <c r="L63" s="28" t="n">
        <v>1.340806206557713</v>
      </c>
      <c r="M63" s="28" t="n">
        <v>1.346004149631797</v>
      </c>
    </row>
    <row r="64" ht="18" customHeight="1">
      <c r="A64" s="5" t="inlineStr">
        <is>
          <t>school</t>
        </is>
      </c>
      <c r="B64" s="6" t="n">
        <v>770546.0916077521</v>
      </c>
      <c r="C64" s="6" t="n">
        <v>689788</v>
      </c>
      <c r="D64" s="6" t="n">
        <v>-80758.09160775214</v>
      </c>
      <c r="E64" s="9" t="n">
        <v>-0.104806308781931</v>
      </c>
      <c r="F64" s="5" t="inlineStr"/>
      <c r="G64" s="28" t="n">
        <v>0.234001321365003</v>
      </c>
      <c r="H64" s="28" t="n">
        <v>0.1927508976848812</v>
      </c>
      <c r="I64" s="28" t="n">
        <v>-0.0412504236801218</v>
      </c>
      <c r="J64" s="9" t="n">
        <v>-0.1762828664363738</v>
      </c>
      <c r="K64" s="5" t="inlineStr"/>
      <c r="L64" s="28" t="n">
        <v>1.091161155939307</v>
      </c>
      <c r="M64" s="28" t="n">
        <v>1.091887630809559</v>
      </c>
    </row>
    <row r="65" ht="18" customHeight="1">
      <c r="A65" s="5" t="inlineStr">
        <is>
          <t>escort</t>
        </is>
      </c>
      <c r="B65" s="6" t="n">
        <v>1060262.538818683</v>
      </c>
      <c r="C65" s="6" t="n">
        <v>1269088</v>
      </c>
      <c r="D65" s="6" t="n">
        <v>208825.461181317</v>
      </c>
      <c r="E65" s="9" t="n">
        <v>0.1969563702722015</v>
      </c>
      <c r="F65" s="5" t="inlineStr"/>
      <c r="G65" s="28" t="n">
        <v>0.3219831205161466</v>
      </c>
      <c r="H65" s="28" t="n">
        <v>0.3546275830271192</v>
      </c>
      <c r="I65" s="28" t="n">
        <v>0.03264446251097253</v>
      </c>
      <c r="J65" s="9" t="n">
        <v>0.1013856330687232</v>
      </c>
      <c r="K65" s="5" t="inlineStr"/>
      <c r="L65" s="28" t="n">
        <v>1.935405069658348</v>
      </c>
      <c r="M65" s="28" t="n">
        <v>2.044874552664356</v>
      </c>
    </row>
    <row r="66" ht="18" customHeight="1">
      <c r="A66" s="5" t="inlineStr">
        <is>
          <t>pers.bus</t>
        </is>
      </c>
      <c r="B66" s="6" t="n">
        <v>1673107.626151029</v>
      </c>
      <c r="C66" s="6" t="n">
        <v>1752380</v>
      </c>
      <c r="D66" s="6" t="n">
        <v>79272.37384897121</v>
      </c>
      <c r="E66" s="9" t="n">
        <v>0.04738031947851239</v>
      </c>
      <c r="F66" s="5" t="inlineStr"/>
      <c r="G66" s="28" t="n">
        <v>0.5080934152664585</v>
      </c>
      <c r="H66" s="28" t="n">
        <v>0.4896762745728138</v>
      </c>
      <c r="I66" s="28" t="n">
        <v>-0.0184171406936447</v>
      </c>
      <c r="J66" s="9" t="n">
        <v>-0.03624754846308376</v>
      </c>
      <c r="K66" s="5" t="inlineStr"/>
      <c r="L66" s="28" t="n">
        <v>2.623268787069427</v>
      </c>
      <c r="M66" s="28" t="n">
        <v>2.661173365487267</v>
      </c>
    </row>
    <row r="67" ht="18" customHeight="1">
      <c r="A67" s="5" t="inlineStr">
        <is>
          <t>shop</t>
        </is>
      </c>
      <c r="B67" s="6" t="n">
        <v>1847853.209460022</v>
      </c>
      <c r="C67" s="6" t="n">
        <v>1955391</v>
      </c>
      <c r="D67" s="6" t="n">
        <v>107537.7905399783</v>
      </c>
      <c r="E67" s="9" t="n">
        <v>0.05819606773386665</v>
      </c>
      <c r="F67" s="5" t="inlineStr"/>
      <c r="G67" s="28" t="n">
        <v>0.5611605813222666</v>
      </c>
      <c r="H67" s="28" t="n">
        <v>0.5464046497981082</v>
      </c>
      <c r="I67" s="28" t="n">
        <v>-0.01475593152415844</v>
      </c>
      <c r="J67" s="9" t="n">
        <v>-0.02629538142074936</v>
      </c>
      <c r="K67" s="5" t="inlineStr"/>
      <c r="L67" s="28" t="n">
        <v>2.877234364398185</v>
      </c>
      <c r="M67" s="28" t="n">
        <v>2.897064401235043</v>
      </c>
    </row>
    <row r="68" ht="18" customHeight="1">
      <c r="A68" s="5" t="inlineStr">
        <is>
          <t>meal</t>
        </is>
      </c>
      <c r="B68" s="6" t="n">
        <v>734639.3844145016</v>
      </c>
      <c r="C68" s="6" t="n">
        <v>789847</v>
      </c>
      <c r="D68" s="6" t="n">
        <v>55207.6155854984</v>
      </c>
      <c r="E68" s="9" t="n">
        <v>0.0751492729041449</v>
      </c>
      <c r="F68" s="5" t="inlineStr"/>
      <c r="G68" s="28" t="n">
        <v>0.2230970847195928</v>
      </c>
      <c r="H68" s="28" t="n">
        <v>0.2207108825953921</v>
      </c>
      <c r="I68" s="28" t="n">
        <v>-0.002386202124200654</v>
      </c>
      <c r="J68" s="9" t="n">
        <v>-0.01069580145881258</v>
      </c>
      <c r="K68" s="5" t="inlineStr"/>
      <c r="L68" s="28" t="n">
        <v>3.736928322013247</v>
      </c>
      <c r="M68" s="28" t="n">
        <v>3.745800570989557</v>
      </c>
    </row>
    <row r="69" ht="18" customHeight="1">
      <c r="A69" s="5" t="inlineStr">
        <is>
          <t>soc/rec</t>
        </is>
      </c>
      <c r="B69" s="6" t="n">
        <v>1517428.312437411</v>
      </c>
      <c r="C69" s="6" t="n">
        <v>1614278</v>
      </c>
      <c r="D69" s="6" t="n">
        <v>96849.6875625886</v>
      </c>
      <c r="E69" s="9" t="n">
        <v>0.06382488501682237</v>
      </c>
      <c r="F69" s="5" t="inlineStr"/>
      <c r="G69" s="28" t="n">
        <v>0.4608163405853405</v>
      </c>
      <c r="H69" s="28" t="n">
        <v>0.4510857446243695</v>
      </c>
      <c r="I69" s="28" t="n">
        <v>-0.009730595960970978</v>
      </c>
      <c r="J69" s="9" t="n">
        <v>-0.02111599590546405</v>
      </c>
      <c r="K69" s="5" t="inlineStr"/>
      <c r="L69" s="28" t="n">
        <v>1.564357409674205</v>
      </c>
      <c r="M69" s="28" t="n">
        <v>1.592209969818318</v>
      </c>
    </row>
    <row r="70" ht="18" customHeight="1">
      <c r="A70" s="18" t="inlineStr">
        <is>
          <t>home</t>
        </is>
      </c>
      <c r="B70" s="11" t="n">
        <v>5203557.970218165</v>
      </c>
      <c r="C70" s="11" t="n">
        <v>5655036</v>
      </c>
      <c r="D70" s="11" t="n">
        <v>451478.0297818352</v>
      </c>
      <c r="E70" s="12" t="n">
        <v>0.08676333239022346</v>
      </c>
      <c r="F70" s="5" t="inlineStr"/>
      <c r="G70" s="28" t="n">
        <v>1.580229208988429</v>
      </c>
      <c r="H70" s="28" t="n">
        <v>1.580214885501516</v>
      </c>
      <c r="I70" s="15" t="n">
        <v>-1.432348691277063e-05</v>
      </c>
      <c r="J70" s="12" t="n">
        <v>-9.064183114258279e-06</v>
      </c>
      <c r="K70" s="5" t="inlineStr"/>
      <c r="L70" s="28" t="inlineStr"/>
      <c r="M70" s="28" t="inlineStr"/>
    </row>
    <row r="71" ht="18" customHeight="1">
      <c r="A71" s="7" t="inlineStr">
        <is>
          <t>Total</t>
        </is>
      </c>
      <c r="B71" s="8" t="n">
        <v>14847058.341917</v>
      </c>
      <c r="C71" s="8" t="n">
        <v>16208514</v>
      </c>
      <c r="D71" s="8" t="n">
        <v>1361455.658083005</v>
      </c>
      <c r="E71" s="19" t="n">
        <v>0.09169868042070474</v>
      </c>
      <c r="F71" s="5" t="inlineStr"/>
      <c r="G71" s="16" t="n">
        <v>4.508790983733172</v>
      </c>
      <c r="H71" s="16" t="n">
        <v>4.529225825381079</v>
      </c>
      <c r="I71" s="17" t="n">
        <v>0.02043484164790765</v>
      </c>
      <c r="J71" s="14" t="n">
        <v>0.004532221990691636</v>
      </c>
      <c r="K71" s="5" t="inlineStr"/>
      <c r="L71" s="16" t="n">
        <v>2.757874395099583</v>
      </c>
      <c r="M71" s="16" t="n">
        <v>2.766513211525043</v>
      </c>
    </row>
    <row r="72" ht="18" customHeight="1">
      <c r="A72" s="5" t="inlineStr"/>
      <c r="B72" s="5" t="inlineStr"/>
      <c r="C72" s="5" t="inlineStr"/>
      <c r="D72" s="5" t="inlineStr"/>
      <c r="E72" s="5" t="inlineStr"/>
      <c r="F72" s="5" t="inlineStr"/>
      <c r="G72" s="5" t="inlineStr"/>
      <c r="H72" s="5" t="inlineStr"/>
      <c r="I72" s="5" t="inlineStr"/>
      <c r="J72" s="5" t="inlineStr"/>
      <c r="K72" s="5" t="inlineStr"/>
      <c r="L72" s="5" t="inlineStr"/>
      <c r="M72" s="5" t="inlineStr"/>
    </row>
    <row r="73" ht="18" customHeight="1">
      <c r="A73" s="5" t="inlineStr"/>
      <c r="B73" s="5" t="inlineStr"/>
      <c r="C73" s="5" t="inlineStr"/>
      <c r="D73" s="5" t="inlineStr"/>
      <c r="E73" s="5" t="inlineStr"/>
      <c r="F73" s="5" t="inlineStr"/>
      <c r="G73" s="5" t="inlineStr"/>
      <c r="H73" s="5" t="inlineStr"/>
      <c r="I73" s="5" t="inlineStr"/>
      <c r="J73" s="5" t="inlineStr"/>
      <c r="K73" s="5" t="inlineStr"/>
      <c r="L73" s="5" t="inlineStr"/>
      <c r="M73" s="5" t="inlineStr"/>
    </row>
    <row r="74" ht="18" customHeight="1">
      <c r="A74" s="5" t="inlineStr"/>
      <c r="B74" s="5" t="inlineStr"/>
      <c r="C74" s="5" t="inlineStr"/>
      <c r="D74" s="5" t="inlineStr"/>
      <c r="E74" s="5" t="inlineStr"/>
      <c r="F74" s="5" t="inlineStr"/>
      <c r="G74" s="5" t="inlineStr"/>
      <c r="H74" s="5" t="inlineStr"/>
      <c r="I74" s="5" t="inlineStr"/>
      <c r="J74" s="5" t="inlineStr"/>
      <c r="K74" s="5" t="inlineStr"/>
      <c r="L74" s="5" t="inlineStr"/>
      <c r="M74" s="5" t="inlineStr"/>
    </row>
    <row r="75" ht="18" customHeight="1">
      <c r="A75" s="1" t="inlineStr">
        <is>
          <t>TABLE 9. TRIPS BY PERSONTYPE</t>
        </is>
      </c>
      <c r="B75" s="5" t="inlineStr"/>
      <c r="C75" s="5" t="inlineStr"/>
      <c r="D75" s="5" t="inlineStr"/>
      <c r="E75" s="5" t="inlineStr"/>
      <c r="F75" s="5" t="inlineStr"/>
      <c r="G75" s="1" t="inlineStr">
        <is>
          <t>TABLE 10. TRIP RATES BY PERSONTYPE  (Total trips/total person for person type)</t>
        </is>
      </c>
      <c r="H75" s="5" t="inlineStr"/>
      <c r="I75" s="5" t="inlineStr"/>
      <c r="J75" s="5" t="inlineStr"/>
      <c r="K75" s="5" t="inlineStr"/>
      <c r="L75" s="5" t="inlineStr"/>
      <c r="M75" s="5" t="inlineStr"/>
    </row>
    <row r="76" ht="18" customHeight="1">
      <c r="A76" s="5" t="inlineStr"/>
      <c r="B76" s="2" t="inlineStr"/>
      <c r="C76" s="2" t="inlineStr"/>
      <c r="D76" s="2" t="inlineStr"/>
      <c r="E76" s="2" t="inlineStr"/>
      <c r="F76" s="5" t="inlineStr"/>
      <c r="G76" s="2" t="inlineStr"/>
      <c r="H76" s="2" t="inlineStr"/>
      <c r="I76" s="2" t="inlineStr"/>
      <c r="J76" s="2" t="inlineStr"/>
      <c r="K76" s="5" t="inlineStr"/>
      <c r="L76" s="5" t="inlineStr"/>
      <c r="M76" s="5" t="inlineStr"/>
    </row>
    <row r="77" ht="18" customHeight="1">
      <c r="A77" s="3" t="inlineStr">
        <is>
          <t>Persontype</t>
        </is>
      </c>
      <c r="B77" s="4" t="inlineStr">
        <is>
          <t>ExpandSurv</t>
        </is>
      </c>
      <c r="C77" s="4" t="inlineStr">
        <is>
          <t>SynthPop</t>
        </is>
      </c>
      <c r="D77" s="4" t="inlineStr">
        <is>
          <t>Diff</t>
        </is>
      </c>
      <c r="E77" s="4" t="inlineStr">
        <is>
          <t>% Diff</t>
        </is>
      </c>
      <c r="F77" s="5" t="inlineStr"/>
      <c r="G77" s="4" t="inlineStr">
        <is>
          <t>ExpandSurv</t>
        </is>
      </c>
      <c r="H77" s="4" t="inlineStr">
        <is>
          <t>SynthPop</t>
        </is>
      </c>
      <c r="I77" s="4" t="inlineStr">
        <is>
          <t>Diff</t>
        </is>
      </c>
      <c r="J77" s="4" t="inlineStr">
        <is>
          <t>% Diff</t>
        </is>
      </c>
      <c r="K77" s="5" t="inlineStr"/>
      <c r="L77" s="5" t="inlineStr"/>
      <c r="M77" s="5" t="inlineStr"/>
    </row>
    <row r="78" ht="18" customHeight="1">
      <c r="A78" s="5" t="inlineStr">
        <is>
          <t>ft worker</t>
        </is>
      </c>
      <c r="B78" s="6" t="n">
        <v>5891744.915572781</v>
      </c>
      <c r="C78" s="6" t="n">
        <v>7345667</v>
      </c>
      <c r="D78" s="6" t="n">
        <v>1453922.084427219</v>
      </c>
      <c r="E78" s="9" t="n">
        <v>0.2467727481860732</v>
      </c>
      <c r="F78" s="5" t="inlineStr"/>
      <c r="G78" s="28" t="n">
        <v>4.756949600959119</v>
      </c>
      <c r="H78" s="28" t="n">
        <v>5.029063912263298</v>
      </c>
      <c r="I78" s="28" t="n">
        <v>0.2721143113041782</v>
      </c>
      <c r="J78" s="9" t="n">
        <v>0.05720353044087605</v>
      </c>
      <c r="K78" s="5" t="inlineStr"/>
      <c r="L78" s="5" t="inlineStr"/>
      <c r="M78" s="5" t="inlineStr"/>
    </row>
    <row r="79" ht="18" customHeight="1">
      <c r="A79" s="5" t="inlineStr">
        <is>
          <t>pt worker</t>
        </is>
      </c>
      <c r="B79" s="6" t="n">
        <v>1591815.568747498</v>
      </c>
      <c r="C79" s="6" t="n">
        <v>1661101</v>
      </c>
      <c r="D79" s="6" t="n">
        <v>69285.43125250214</v>
      </c>
      <c r="E79" s="9" t="n">
        <v>0.04352604196918277</v>
      </c>
      <c r="F79" s="5" t="inlineStr"/>
      <c r="G79" s="28" t="n">
        <v>5.215086161377169</v>
      </c>
      <c r="H79" s="28" t="n">
        <v>4.778496634255797</v>
      </c>
      <c r="I79" s="28" t="n">
        <v>-0.436589527121372</v>
      </c>
      <c r="J79" s="9" t="n">
        <v>-0.08371664697598784</v>
      </c>
      <c r="K79" s="5" t="inlineStr"/>
      <c r="L79" s="5" t="inlineStr"/>
      <c r="M79" s="5" t="inlineStr"/>
    </row>
    <row r="80" ht="18" customHeight="1">
      <c r="A80" s="5" t="inlineStr">
        <is>
          <t>retired</t>
        </is>
      </c>
      <c r="B80" s="6" t="n">
        <v>1452179.464066083</v>
      </c>
      <c r="C80" s="6" t="n">
        <v>1390295</v>
      </c>
      <c r="D80" s="6" t="n">
        <v>-61884.46406608284</v>
      </c>
      <c r="E80" s="9" t="n">
        <v>-0.04261488720740286</v>
      </c>
      <c r="F80" s="5" t="inlineStr"/>
      <c r="G80" s="28" t="n">
        <v>4.236950514350419</v>
      </c>
      <c r="H80" s="28" t="n">
        <v>3.846970116214721</v>
      </c>
      <c r="I80" s="28" t="n">
        <v>-0.3899803981356986</v>
      </c>
      <c r="J80" s="9" t="n">
        <v>-0.09204270779534648</v>
      </c>
      <c r="K80" s="5" t="inlineStr"/>
      <c r="L80" s="5" t="inlineStr"/>
      <c r="M80" s="5" t="inlineStr"/>
    </row>
    <row r="81" ht="18" customHeight="1">
      <c r="A81" s="5" t="inlineStr">
        <is>
          <t>nonworker</t>
        </is>
      </c>
      <c r="B81" s="6" t="n">
        <v>2577280.81346855</v>
      </c>
      <c r="C81" s="6" t="n">
        <v>1709418</v>
      </c>
      <c r="D81" s="6" t="n">
        <v>-867862.8134685503</v>
      </c>
      <c r="E81" s="9" t="n">
        <v>-0.3367358376057458</v>
      </c>
      <c r="F81" s="5" t="inlineStr"/>
      <c r="G81" s="28" t="n">
        <v>4.827940529326673</v>
      </c>
      <c r="H81" s="28" t="n">
        <v>4.555908840139762</v>
      </c>
      <c r="I81" s="28" t="n">
        <v>-0.2720316891869112</v>
      </c>
      <c r="J81" s="9" t="n">
        <v>-0.05634528584900569</v>
      </c>
      <c r="K81" s="5" t="inlineStr"/>
      <c r="L81" s="5" t="inlineStr"/>
      <c r="M81" s="5" t="inlineStr"/>
    </row>
    <row r="82" ht="18" customHeight="1">
      <c r="A82" s="5" t="inlineStr">
        <is>
          <t>uinv.stud</t>
        </is>
      </c>
      <c r="B82" s="6" t="n">
        <v>566227.0049099</v>
      </c>
      <c r="C82" s="6" t="n">
        <v>1051880</v>
      </c>
      <c r="D82" s="6" t="n">
        <v>485652.9950901</v>
      </c>
      <c r="E82" s="9" t="n">
        <v>0.8577001642077787</v>
      </c>
      <c r="F82" s="5" t="inlineStr"/>
      <c r="G82" s="28" t="n">
        <v>5.437532878458506</v>
      </c>
      <c r="H82" s="28" t="n">
        <v>5.160878823263892</v>
      </c>
      <c r="I82" s="28" t="n">
        <v>-0.2766540551946139</v>
      </c>
      <c r="J82" s="9" t="n">
        <v>-0.05087859905925626</v>
      </c>
      <c r="K82" s="5" t="inlineStr"/>
      <c r="L82" s="5" t="inlineStr"/>
      <c r="M82" s="5" t="inlineStr"/>
    </row>
    <row r="83" ht="18" customHeight="1">
      <c r="A83" s="5" t="inlineStr">
        <is>
          <t>stud 16+</t>
        </is>
      </c>
      <c r="B83" s="6" t="n">
        <v>220749.558152184</v>
      </c>
      <c r="C83" s="6" t="n">
        <v>282274</v>
      </c>
      <c r="D83" s="6" t="n">
        <v>61524.44184781599</v>
      </c>
      <c r="E83" s="9" t="n">
        <v>0.2787069761897383</v>
      </c>
      <c r="F83" s="5" t="inlineStr"/>
      <c r="G83" s="28" t="n">
        <v>3.131742343923889</v>
      </c>
      <c r="H83" s="28" t="n">
        <v>3.324899584202033</v>
      </c>
      <c r="I83" s="28" t="n">
        <v>0.1931572402781447</v>
      </c>
      <c r="J83" s="9" t="n">
        <v>0.06167724514531106</v>
      </c>
      <c r="K83" s="5" t="inlineStr"/>
      <c r="L83" s="5" t="inlineStr"/>
      <c r="M83" s="5" t="inlineStr"/>
    </row>
    <row r="84" ht="18" customHeight="1">
      <c r="A84" s="5" t="inlineStr">
        <is>
          <t>stud.5-15</t>
        </is>
      </c>
      <c r="B84" s="6" t="n">
        <v>1658410.387125</v>
      </c>
      <c r="C84" s="6" t="n">
        <v>1769594</v>
      </c>
      <c r="D84" s="6" t="n">
        <v>111183.6128750001</v>
      </c>
      <c r="E84" s="9" t="n">
        <v>0.06704227960592231</v>
      </c>
      <c r="F84" s="5" t="inlineStr"/>
      <c r="G84" s="28" t="n">
        <v>3.639582393405015</v>
      </c>
      <c r="H84" s="28" t="n">
        <v>3.509664700539065</v>
      </c>
      <c r="I84" s="28" t="n">
        <v>-0.1299176928659498</v>
      </c>
      <c r="J84" s="9" t="n">
        <v>-0.03569576913586648</v>
      </c>
      <c r="K84" s="5" t="inlineStr"/>
      <c r="L84" s="5" t="inlineStr"/>
      <c r="M84" s="5" t="inlineStr"/>
    </row>
    <row r="85" ht="18" customHeight="1">
      <c r="A85" s="5" t="inlineStr">
        <is>
          <t>under 5</t>
        </is>
      </c>
      <c r="B85" s="11" t="n">
        <v>888650.6298750001</v>
      </c>
      <c r="C85" s="11" t="n">
        <v>998285</v>
      </c>
      <c r="D85" s="11" t="n">
        <v>109634.3701249999</v>
      </c>
      <c r="E85" s="12" t="n">
        <v>0.1233717351220708</v>
      </c>
      <c r="F85" s="5" t="inlineStr"/>
      <c r="G85" s="28" t="n">
        <v>3.667909272224876</v>
      </c>
      <c r="H85" s="28" t="n">
        <v>4.144720726406125</v>
      </c>
      <c r="I85" s="15" t="n">
        <v>0.4768114541812492</v>
      </c>
      <c r="J85" s="12" t="n">
        <v>0.1299954330364408</v>
      </c>
      <c r="K85" s="5" t="inlineStr"/>
      <c r="L85" s="5" t="inlineStr"/>
      <c r="M85" s="5" t="inlineStr"/>
    </row>
    <row r="86" ht="18" customHeight="1">
      <c r="A86" s="7" t="inlineStr">
        <is>
          <t>Total</t>
        </is>
      </c>
      <c r="B86" s="13" t="n">
        <v>14847058.341917</v>
      </c>
      <c r="C86" s="13" t="n">
        <v>16208514</v>
      </c>
      <c r="D86" s="13" t="n">
        <v>1361455.658083004</v>
      </c>
      <c r="E86" s="14" t="n">
        <v>0.09169868042070466</v>
      </c>
      <c r="F86" s="5" t="inlineStr"/>
      <c r="G86" s="16" t="n">
        <v>4.508790983733173</v>
      </c>
      <c r="H86" s="16" t="n">
        <v>4.529225825381079</v>
      </c>
      <c r="I86" s="17" t="n">
        <v>0.02043484164790677</v>
      </c>
      <c r="J86" s="14" t="n">
        <v>0.004532221990691438</v>
      </c>
      <c r="K86" s="28" t="inlineStr"/>
      <c r="L86" s="28" t="inlineStr"/>
      <c r="M86" s="5" t="inlineStr"/>
    </row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Joe Castiglione</dc:creator>
  <dcterms:created xmlns:dcterms="http://purl.org/dc/terms/" xmlns:xsi="http://www.w3.org/2001/XMLSchema-instance" xsi:type="dcterms:W3CDTF">2008-04-30T13:33:45Z</dcterms:created>
  <dcterms:modified xmlns:dcterms="http://purl.org/dc/terms/" xmlns:xsi="http://www.w3.org/2001/XMLSchema-instance" xsi:type="dcterms:W3CDTF">2020-01-14T20:37:01Z</dcterms:modified>
  <cp:lastModifiedBy>Dong, Hu</cp:lastModifiedBy>
</cp:coreProperties>
</file>