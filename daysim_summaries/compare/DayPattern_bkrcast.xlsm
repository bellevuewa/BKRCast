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Summary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<sst xmlns="http://schemas.openxmlformats.org/spreadsheetml/2006/main" uniqueCount="56">
  <si>
    <t>TABLE 1. HH POPULATION BY COUNTY</t>
  </si>
  <si>
    <t>pptyp</t>
  </si>
  <si>
    <t>County</t>
  </si>
  <si>
    <t>Survey</t>
  </si>
  <si>
    <t>SoundCast</t>
  </si>
  <si>
    <t>BKRCast (All)</t>
  </si>
  <si>
    <t>BKRCast (InBKR)</t>
  </si>
  <si>
    <t>BKRCast (OutBKR)</t>
  </si>
  <si>
    <t>hhdistrict</t>
  </si>
  <si>
    <t>Total Workers (FT+PT)</t>
  </si>
  <si>
    <t>Bellevue</t>
  </si>
  <si>
    <t>Bellevue Downtown</t>
  </si>
  <si>
    <t>Kirkland</t>
  </si>
  <si>
    <t>Redmond</t>
  </si>
  <si>
    <t>Seattle</t>
  </si>
  <si>
    <t>Seattle Downtown</t>
  </si>
  <si>
    <t>Rest</t>
  </si>
  <si>
    <t>Total</t>
  </si>
  <si>
    <t>TABLE 2. POPULATION BY PERSONTYPE</t>
  </si>
  <si>
    <t>Persontype</t>
  </si>
  <si>
    <t>ExpandSurv</t>
  </si>
  <si>
    <t>ft worker</t>
  </si>
  <si>
    <t>pt worker</t>
  </si>
  <si>
    <t>retired</t>
  </si>
  <si>
    <t>nonworker</t>
  </si>
  <si>
    <t>univ.stud</t>
  </si>
  <si>
    <t>stud 16+</t>
  </si>
  <si>
    <t>stud.5-15</t>
  </si>
  <si>
    <t>under 5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</si>
  <si>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</si>
  <si>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</si>
  <si>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</si>
  <si>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</si>
  <si>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</si>
  <si>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</si>
  <si>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</si>
  <si>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</si>
  <si>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</si>
  <si>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</si>
  <si>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</si>
  <si>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</si>
  <si>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</si>
  <si>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</si>
  <si>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</si>
  <si>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</si>
  <si>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</si>
  <si>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</si>
  <si>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</si>
  <si>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TABLE 10. TRIP RATES BY PERSONTYPE  (Total trips/total person for person type)</t>
  </si>
  <si>
    <t>SynthPop</t>
  </si>
  <si>
    <t>Diff</t>
  </si>
  <si>
    <t>% Diff</t>
  </si>
  <si>
    <t>uinv.stud</t>
  </si>
  <si>
    <t>SURVEY</t>
  </si>
  <si>
    <t>TOTAL</t>
  </si>
  <si>
    <t>DaySim</t>
  </si>
</sst>
</file>

<file path=xl/styles.xml><?xml version="1.0" encoding="utf-8"?>
<styleSheet xmlns="http://schemas.openxmlformats.org/spreadsheetml/2006/main">
  <numFmts count="3">
    <numFmt formatCode="_(* #,##0.00_);_(* \(#,##0.00\);_(* &quot;-&quot;??_);_(@_)" numFmtId="164"/>
    <numFmt formatCode="0.0%" numFmtId="165"/>
    <numFmt formatCode="_(* #,##0_);_(* \(#,##0\);_(* &quot;-&quot;??_);_(@_)" numFmtId="166"/>
  </numFmts>
  <fonts count="22">
    <font>
      <name val="Verdana"/>
      <family val="2"/>
      <color rgb="FF000000"/>
      <sz val="10"/>
    </font>
    <font>
      <name val="Calibri"/>
      <family val="2"/>
      <color theme="1"/>
      <sz val="11"/>
      <scheme val="minor"/>
    </font>
    <font>
      <name val="Verdana"/>
      <family val="2"/>
      <color rgb="FF000000"/>
      <sz val="10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Verdana"/>
      <family val="2"/>
      <color rgb="FF000000"/>
      <sz val="10"/>
    </font>
    <font>
      <name val="Verdana"/>
      <family val="2"/>
      <b val="1"/>
      <color rgb="FF000000"/>
      <sz val="10"/>
    </font>
    <font>
      <name val="Verdana"/>
      <family val="2"/>
      <b val="1"/>
      <color rgb="FF000000"/>
      <sz val="9"/>
    </font>
  </fonts>
  <fills count="3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</borders>
  <cellStyleXfs count="54">
    <xf borderId="0" fillId="0" fontId="1" numFmtId="0"/>
    <xf borderId="0" fillId="2" fontId="1" numFmtId="0"/>
    <xf borderId="0" fillId="0" fontId="0" numFmtId="0"/>
    <xf borderId="0" fillId="3" fontId="1" numFmtId="0"/>
    <xf borderId="0" fillId="0" fontId="1" numFmtId="0"/>
    <xf borderId="0" fillId="4" fontId="0" numFmtId="0"/>
    <xf borderId="1" fillId="5" fontId="0" numFmtId="0"/>
    <xf borderId="0" fillId="6" fontId="0" numFmtId="0"/>
    <xf borderId="2" fillId="0" fontId="1" numFmtId="0"/>
    <xf borderId="0" fillId="0" fontId="1" numFmtId="0"/>
    <xf borderId="0" fillId="7" fontId="0" numFmtId="0"/>
    <xf borderId="0" fillId="8" fontId="0" numFmtId="0"/>
    <xf borderId="3" fillId="5" fontId="0" numFmtId="0"/>
    <xf borderId="0" fillId="9" fontId="1" numFmtId="0"/>
    <xf borderId="0" fillId="10" fontId="1" numFmtId="0"/>
    <xf borderId="0" fillId="0" fontId="1" numFmtId="0"/>
    <xf borderId="4" fillId="0" fontId="0" numFmtId="0"/>
    <xf borderId="0" fillId="11" fontId="0" numFmtId="0"/>
    <xf borderId="0" fillId="12" fontId="1" numFmtId="0"/>
    <xf borderId="0" fillId="13" fontId="1" numFmtId="0"/>
    <xf borderId="0" fillId="0" fontId="1" numFmtId="0"/>
    <xf borderId="0" fillId="14" fontId="1" numFmtId="0"/>
    <xf borderId="5" fillId="0" fontId="1" numFmtId="0"/>
    <xf borderId="0" fillId="15" fontId="0" numFmtId="0"/>
    <xf borderId="6" fillId="0" fontId="0" numFmtId="0"/>
    <xf borderId="0" fillId="16" fontId="0" numFmtId="0"/>
    <xf borderId="7" fillId="0" fontId="1" numFmtId="0"/>
    <xf borderId="0" fillId="17" fontId="0" numFmtId="0"/>
    <xf borderId="0" fillId="18" fontId="0" numFmtId="0"/>
    <xf borderId="0" fillId="19" fontId="1" numFmtId="0"/>
    <xf borderId="0" fillId="0" fontId="0" numFmtId="0"/>
    <xf borderId="0" fillId="20" fontId="1" numFmtId="0"/>
    <xf borderId="0" fillId="21" fontId="0" numFmtId="0"/>
    <xf borderId="0" fillId="22" fontId="1" numFmtId="0"/>
    <xf borderId="0" fillId="23" fontId="1" numFmtId="0"/>
    <xf borderId="8" fillId="24" fontId="0" numFmtId="0"/>
    <xf borderId="0" fillId="25" fontId="0" numFmtId="0"/>
    <xf borderId="0" fillId="26" fontId="1" numFmtId="0"/>
    <xf borderId="0" fillId="27" fontId="1" numFmtId="0"/>
    <xf borderId="0" fillId="28" fontId="1" numFmtId="0"/>
    <xf borderId="0" fillId="29" fontId="1" numFmtId="0"/>
    <xf borderId="0" fillId="30" fontId="0" numFmtId="0"/>
    <xf borderId="0" fillId="0" fontId="1" numFmtId="0"/>
    <xf borderId="9" fillId="31" fontId="0" numFmtId="0"/>
    <xf borderId="3" fillId="32" fontId="0" numFmtId="0"/>
    <xf borderId="0" fillId="0" fontId="1" numFmtId="0"/>
    <xf borderId="0" fillId="33" fontId="1" numFmtId="0"/>
    <xf borderId="0" fillId="0" fontId="0" numFmtId="0"/>
    <xf borderId="0" fillId="0" fontId="1" numFmtId="0"/>
    <xf borderId="0" fillId="0" fontId="1" numFmtId="0"/>
    <xf borderId="0" fillId="0" fontId="0" numFmtId="0"/>
    <xf borderId="0" fillId="0" fontId="1" numFmtId="0"/>
    <xf borderId="0" fillId="0" fontId="1" numFmtId="0"/>
    <xf borderId="0" fillId="0" fontId="1" numFmtId="0"/>
  </cellStyleXfs>
  <cellXfs count="38">
    <xf borderId="0" fillId="0" fontId="0" numFmtId="0" pivotButton="0" quotePrefix="0" xfId="0"/>
    <xf borderId="0" fillId="0" fontId="20" numFmtId="0" pivotButton="0" quotePrefix="0" xfId="45"/>
    <xf borderId="1" fillId="0" fontId="0" numFmtId="0" pivotButton="0" quotePrefix="0" xfId="45"/>
    <xf applyAlignment="1" borderId="2" fillId="0" fontId="20" numFmtId="0" pivotButton="0" quotePrefix="0" xfId="45">
      <alignment horizontal="left"/>
    </xf>
    <xf applyAlignment="1" borderId="3" fillId="0" fontId="21" numFmtId="0" pivotButton="0" quotePrefix="0" xfId="45">
      <alignment horizontal="center"/>
    </xf>
    <xf borderId="0" fillId="0" fontId="19" numFmtId="0" pivotButton="0" quotePrefix="0" xfId="46"/>
    <xf borderId="0" fillId="0" fontId="0" numFmtId="3" pivotButton="0" quotePrefix="0" xfId="45"/>
    <xf borderId="4" fillId="0" fontId="0" numFmtId="0" pivotButton="0" quotePrefix="0" xfId="45"/>
    <xf borderId="4" fillId="0" fontId="0" numFmtId="3" pivotButton="0" quotePrefix="0" xfId="45"/>
    <xf borderId="0" fillId="0" fontId="0" numFmtId="9" pivotButton="0" quotePrefix="0" xfId="45"/>
    <xf borderId="0" fillId="0" fontId="19" numFmtId="9" pivotButton="0" quotePrefix="0" xfId="46"/>
    <xf borderId="3" fillId="0" fontId="0" numFmtId="3" pivotButton="0" quotePrefix="0" xfId="45"/>
    <xf borderId="3" fillId="0" fontId="0" numFmtId="9" pivotButton="0" quotePrefix="0" xfId="45"/>
    <xf borderId="1" fillId="0" fontId="0" numFmtId="3" pivotButton="0" quotePrefix="0" xfId="45"/>
    <xf borderId="1" fillId="0" fontId="0" numFmtId="9" pivotButton="0" quotePrefix="0" xfId="45"/>
    <xf borderId="0" fillId="0" fontId="19" numFmtId="165" pivotButton="0" quotePrefix="0" xfId="46"/>
    <xf borderId="3" fillId="0" fontId="0" numFmtId="2" pivotButton="0" quotePrefix="0" xfId="45"/>
    <xf borderId="4" fillId="0" fontId="0" numFmtId="2" pivotButton="0" quotePrefix="0" xfId="45"/>
    <xf borderId="1" fillId="0" fontId="0" numFmtId="2" pivotButton="0" quotePrefix="0" xfId="45"/>
    <xf borderId="3" fillId="0" fontId="0" numFmtId="0" pivotButton="0" quotePrefix="0" xfId="45"/>
    <xf borderId="4" fillId="0" fontId="0" numFmtId="9" pivotButton="0" quotePrefix="0" xfId="45"/>
    <xf borderId="0" fillId="0" fontId="0" numFmtId="9" pivotButton="0" quotePrefix="0" xfId="47"/>
    <xf borderId="3" fillId="0" fontId="0" numFmtId="9" pivotButton="0" quotePrefix="0" xfId="47"/>
    <xf borderId="4" fillId="0" fontId="0" numFmtId="9" pivotButton="0" quotePrefix="0" xfId="47"/>
    <xf borderId="0" fillId="0" fontId="0" numFmtId="165" pivotButton="0" quotePrefix="0" xfId="47"/>
    <xf borderId="1" fillId="0" fontId="0" numFmtId="9" pivotButton="0" quotePrefix="0" xfId="47"/>
    <xf borderId="14" fillId="0" fontId="0" numFmtId="2" pivotButton="0" quotePrefix="0" xfId="45"/>
    <xf borderId="14" fillId="0" fontId="0" numFmtId="9" pivotButton="0" quotePrefix="0" xfId="47"/>
    <xf borderId="0" fillId="0" fontId="0" numFmtId="0" pivotButton="0" quotePrefix="0" xfId="45"/>
    <xf applyAlignment="1" borderId="0" fillId="0" fontId="21" numFmtId="0" pivotButton="0" quotePrefix="0" xfId="45">
      <alignment horizontal="center"/>
    </xf>
    <xf borderId="0" fillId="0" fontId="0" numFmtId="2" pivotButton="0" quotePrefix="0" xfId="45"/>
    <xf borderId="0" fillId="0" fontId="0" numFmtId="166" pivotButton="0" quotePrefix="0" xfId="53"/>
    <xf applyAlignment="1" borderId="2" fillId="0" fontId="0" numFmtId="0" pivotButton="0" quotePrefix="0" xfId="0">
      <alignment horizontal="left"/>
    </xf>
    <xf borderId="0" fillId="0" fontId="0" numFmtId="166" pivotButton="0" quotePrefix="0" xfId="45"/>
    <xf borderId="0" fillId="0" fontId="0" numFmtId="166" pivotButton="0" quotePrefix="0" xfId="53"/>
    <xf borderId="0" fillId="0" fontId="0" numFmtId="166" pivotButton="0" quotePrefix="0" xfId="45"/>
    <xf borderId="0" fillId="0" fontId="0" numFmtId="165" pivotButton="0" quotePrefix="0" xfId="47"/>
    <xf borderId="0" fillId="0" fontId="19" numFmtId="165" pivotButton="0" quotePrefix="0" xfId="46"/>
  </cellXfs>
  <cellStyles count="54">
    <cellStyle builtinId="0" name="Normal" xfId="0"/>
    <cellStyle name="XLConnect.Header" xfId="1"/>
    <cellStyle name="Warning Text 2" xfId="2"/>
    <cellStyle name="Neutral 2" xfId="3"/>
    <cellStyle name="XLConnect.String" xfId="4"/>
    <cellStyle name="40% - Accent5 2" xfId="5"/>
    <cellStyle name="Output 2" xfId="6"/>
    <cellStyle name="40% - Accent4 2" xfId="7"/>
    <cellStyle name="Heading 3 2" xfId="8"/>
    <cellStyle name="XLConnect.General" xfId="9"/>
    <cellStyle name="20% - Accent1 2" xfId="10"/>
    <cellStyle name="40% - Accent6 2" xfId="11"/>
    <cellStyle name="Calculation 2" xfId="12"/>
    <cellStyle name="Accent4 2" xfId="13"/>
    <cellStyle name="60% - Accent6 2" xfId="14"/>
    <cellStyle name="XLConnect.Date" xfId="15"/>
    <cellStyle name="Heading 2 2" xfId="16"/>
    <cellStyle name="40% - Accent1 2" xfId="17"/>
    <cellStyle name="60% - Accent5 2" xfId="18"/>
    <cellStyle name="Accent6 2" xfId="19"/>
    <cellStyle name="Percent 2" xfId="20"/>
    <cellStyle name="60% - Accent4 2" xfId="21"/>
    <cellStyle name="Total 2" xfId="22"/>
    <cellStyle name="40% - Accent3 2" xfId="23"/>
    <cellStyle name="Heading 1 2" xfId="24"/>
    <cellStyle name="20% - Accent6 2" xfId="25"/>
    <cellStyle name="Linked Cell 2" xfId="26"/>
    <cellStyle name="20% - Accent5 2" xfId="27"/>
    <cellStyle name="40% - Accent2 2" xfId="28"/>
    <cellStyle name="60% - Accent3 2" xfId="29"/>
    <cellStyle name="Title 2" xfId="30"/>
    <cellStyle name="Good 2" xfId="31"/>
    <cellStyle name="20% - Accent4 2" xfId="32"/>
    <cellStyle name="Accent3 2" xfId="33"/>
    <cellStyle name="60% - Accent2 2" xfId="34"/>
    <cellStyle name="Check Cell 2" xfId="35"/>
    <cellStyle name="20% - Accent3 2" xfId="36"/>
    <cellStyle name="60% - Accent1 2" xfId="37"/>
    <cellStyle name="Bad 2" xfId="38"/>
    <cellStyle name="Accent2 2" xfId="39"/>
    <cellStyle name="Accent5 2" xfId="40"/>
    <cellStyle name="20% - Accent2 2" xfId="41"/>
    <cellStyle name="XLConnect.Numeric" xfId="42"/>
    <cellStyle name="Note 2" xfId="43"/>
    <cellStyle name="Input 2" xfId="44"/>
    <cellStyle name="Explanatory Text 2" xfId="45"/>
    <cellStyle name="Accent1 2" xfId="46"/>
    <cellStyle name="Comma 2" xfId="47"/>
    <cellStyle name="XLConnect.Boolean" xfId="48"/>
    <cellStyle name="Normal 3" xfId="49"/>
    <cellStyle name="Normal 2" xfId="50"/>
    <cellStyle name="Heading 4 2" xfId="51"/>
    <cellStyle name="XLConnect.DateTime" xfId="52"/>
    <cellStyle builtinId="3" name="Comma" xfId="53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86"/>
  <sheetViews>
    <sheetView tabSelected="1" workbookViewId="0" zoomScale="85" zoomScaleNormal="85">
      <selection activeCell="N20" sqref="N20"/>
    </sheetView>
  </sheetViews>
  <sheetFormatPr baseColWidth="8" defaultColWidth="10.75" defaultRowHeight="12.75" outlineLevelCol="0"/>
  <cols>
    <col collapsed="1" customWidth="1" max="1" min="1" style="28" width="13.75"/>
    <col collapsed="1" customWidth="1" max="2" min="2" style="28" width="12.625"/>
    <col collapsed="1" customWidth="1" max="3" min="3" style="28" width="13.625"/>
    <col bestFit="1" collapsed="1" customWidth="1" max="4" min="4" style="28" width="12.5"/>
    <col bestFit="1" collapsed="1" customWidth="1" max="5" min="5" style="28" width="15.625"/>
    <col bestFit="1" customWidth="1" max="6" min="6" style="28" width="16.875"/>
    <col customWidth="1" max="7" min="7" style="28" width="12.625"/>
    <col bestFit="1" customWidth="1" max="8" min="8" style="28" width="13.75"/>
    <col customWidth="1" max="9" min="9" style="28" width="11.5"/>
    <col customWidth="1" max="10" min="10" style="28" width="12.625"/>
    <col bestFit="1" customWidth="1" max="11" min="11" style="28" width="12.5"/>
    <col bestFit="1" customWidth="1" max="12" min="12" style="28" width="15.625"/>
    <col bestFit="1" customWidth="1" max="13" min="13" style="28" width="16.875"/>
    <col customWidth="1" max="14" min="14" style="28" width="16.875"/>
    <col collapsed="1" customWidth="1" max="15" min="15" style="28" width="16.875"/>
    <col collapsed="1" customWidth="1" max="16" min="16" style="28" width="13"/>
    <col collapsed="1" customWidth="1" max="17" min="17" style="28" width="13.875"/>
    <col bestFit="1" collapsed="1" customWidth="1" max="18" min="18" style="28" width="12.5"/>
    <col bestFit="1" collapsed="1" customWidth="1" max="19" min="19" style="28" width="15.625"/>
    <col bestFit="1" collapsed="1" customWidth="1" max="20" min="20" style="28" width="16.875"/>
    <col customWidth="1" max="21" min="21" style="28" width="10.75"/>
    <col collapsed="1" customWidth="1" max="22" min="22" style="28" width="18"/>
    <col collapsed="1" customWidth="1" max="24" min="23" style="28" width="13.875"/>
    <col bestFit="1" collapsed="1" customWidth="1" max="25" min="25" style="28" width="12.5"/>
    <col bestFit="1" collapsed="1" customWidth="1" max="26" min="26" style="28" width="15.625"/>
    <col bestFit="1" collapsed="1" customWidth="1" max="27" min="27" style="28" width="16.875"/>
    <col collapsed="1" customWidth="1" max="32" min="28" style="28" width="10.75"/>
    <col collapsed="1" customWidth="1" max="16384" min="33" style="28" width="10.75"/>
  </cols>
  <sheetData>
    <row customHeight="1" ht="18" r="1" spans="1:27">
      <c r="A1" s="1" t="s">
        <v>0</v>
      </c>
    </row>
    <row customHeight="1" ht="18" r="2" spans="1:27" thickBot="1">
      <c r="B2" s="2" t="n"/>
      <c r="C2" s="2" t="n"/>
      <c r="D2" s="2" t="n"/>
      <c r="E2" s="2" t="n"/>
      <c r="F2" s="2" t="n"/>
      <c r="J2" s="28" t="s">
        <v>1</v>
      </c>
    </row>
    <row customHeight="1" ht="18" r="3" spans="1:27" thickBot="1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29" t="n"/>
      <c r="H3" s="29" t="n"/>
      <c r="I3" s="28" t="s">
        <v>8</v>
      </c>
      <c r="K3" s="28" t="n">
        <v>1</v>
      </c>
      <c r="L3" s="28" t="n">
        <v>2</v>
      </c>
      <c r="M3" s="28" t="n">
        <v>3</v>
      </c>
      <c r="N3" s="28" t="n">
        <v>4</v>
      </c>
      <c r="O3" s="28" t="n">
        <v>5</v>
      </c>
      <c r="P3" s="28" t="n">
        <v>6</v>
      </c>
      <c r="Q3" s="28" t="n">
        <v>7</v>
      </c>
      <c r="R3" s="28" t="n">
        <v>8</v>
      </c>
      <c r="S3" s="28" t="s">
        <v>9</v>
      </c>
    </row>
    <row customHeight="1" ht="18" r="4" spans="1:27" thickBot="1">
      <c r="A4" t="s">
        <v>10</v>
      </c>
      <c r="B4" s="6">
        <f>bkrcast_all!B4</f>
        <v/>
      </c>
      <c r="C4" s="6">
        <f>soundcast!C4</f>
        <v/>
      </c>
      <c r="D4" s="6">
        <f>bkrcast_all!C4</f>
        <v/>
      </c>
      <c r="E4" s="6">
        <f>bkrcast_inbkr!C4</f>
        <v/>
      </c>
      <c r="F4" s="6">
        <f>bkrcast_outbkr!C4</f>
        <v/>
      </c>
      <c r="G4" s="6" t="n"/>
      <c r="H4" s="6" t="n"/>
      <c r="I4" s="32" t="s">
        <v>10</v>
      </c>
      <c r="J4" s="28" t="n">
        <v>1</v>
      </c>
      <c r="K4" s="34" t="n">
        <v>60013.25</v>
      </c>
      <c r="L4" s="34" t="n">
        <v>12191.25</v>
      </c>
      <c r="M4" s="34" t="n">
        <v>17578</v>
      </c>
      <c r="N4" s="34" t="n">
        <v>21311.25</v>
      </c>
      <c r="O4" s="34" t="n">
        <v>7125.5</v>
      </c>
      <c r="P4" s="34" t="n">
        <v>5102.75</v>
      </c>
      <c r="Q4" s="34" t="n">
        <v>21597.75</v>
      </c>
      <c r="R4" s="34" t="n">
        <v>8021.75</v>
      </c>
      <c r="S4" s="35">
        <f>K4+L4</f>
        <v/>
      </c>
    </row>
    <row customHeight="1" ht="18" r="5" spans="1:27" thickBot="1">
      <c r="A5" t="s">
        <v>11</v>
      </c>
      <c r="B5" s="6">
        <f>bkrcast_all!B5</f>
        <v/>
      </c>
      <c r="C5" s="6">
        <f>soundcast!C5</f>
        <v/>
      </c>
      <c r="D5" s="6">
        <f>bkrcast_all!C5</f>
        <v/>
      </c>
      <c r="E5" s="6">
        <f>bkrcast_inbkr!C5</f>
        <v/>
      </c>
      <c r="F5" s="6">
        <f>bkrcast_outbkr!C5</f>
        <v/>
      </c>
      <c r="G5" s="6" t="n"/>
      <c r="H5" s="6" t="n"/>
      <c r="I5" s="32" t="s">
        <v>11</v>
      </c>
      <c r="J5" s="28" t="n">
        <v>2</v>
      </c>
      <c r="K5" s="34" t="n">
        <v>4984</v>
      </c>
      <c r="L5" s="34" t="n">
        <v>542</v>
      </c>
      <c r="M5" s="34" t="n">
        <v>1200</v>
      </c>
      <c r="N5" s="34" t="n">
        <v>1558.25</v>
      </c>
      <c r="O5" s="34" t="n">
        <v>375.75</v>
      </c>
      <c r="P5" s="34" t="n">
        <v>141.5</v>
      </c>
      <c r="Q5" s="34" t="n">
        <v>504.5</v>
      </c>
      <c r="R5" s="34" t="n">
        <v>395</v>
      </c>
      <c r="S5" s="35">
        <f>K5+L5</f>
        <v/>
      </c>
    </row>
    <row customHeight="1" ht="18" r="6" spans="1:27" thickBot="1">
      <c r="A6" t="s">
        <v>12</v>
      </c>
      <c r="B6" s="6">
        <f>bkrcast_all!B6</f>
        <v/>
      </c>
      <c r="C6" s="6">
        <f>soundcast!C6</f>
        <v/>
      </c>
      <c r="D6" s="6">
        <f>bkrcast_all!C6</f>
        <v/>
      </c>
      <c r="E6" s="6">
        <f>bkrcast_inbkr!C6</f>
        <v/>
      </c>
      <c r="F6" s="6">
        <f>bkrcast_outbkr!C6</f>
        <v/>
      </c>
      <c r="G6" s="6" t="n"/>
      <c r="H6" s="6" t="n"/>
      <c r="I6" s="32" t="s">
        <v>12</v>
      </c>
      <c r="J6" s="28" t="n">
        <v>3</v>
      </c>
      <c r="K6" s="34" t="n">
        <v>56217.75</v>
      </c>
      <c r="L6" s="34" t="n">
        <v>12070.75</v>
      </c>
      <c r="M6" s="34" t="n">
        <v>13382</v>
      </c>
      <c r="N6" s="34" t="n">
        <v>18011.25</v>
      </c>
      <c r="O6" s="34" t="n">
        <v>5958.25</v>
      </c>
      <c r="P6" s="34" t="n">
        <v>4245</v>
      </c>
      <c r="Q6" s="34" t="n">
        <v>17436.25</v>
      </c>
      <c r="R6" s="34" t="n">
        <v>8520.25</v>
      </c>
      <c r="S6" s="35">
        <f>K6+L6</f>
        <v/>
      </c>
    </row>
    <row customHeight="1" ht="18" r="7" spans="1:27" thickBot="1">
      <c r="A7" t="s">
        <v>13</v>
      </c>
      <c r="B7" s="6">
        <f>bkrcast_all!B7</f>
        <v/>
      </c>
      <c r="C7" s="6">
        <f>soundcast!C7</f>
        <v/>
      </c>
      <c r="D7" s="6">
        <f>bkrcast_all!C7</f>
        <v/>
      </c>
      <c r="E7" s="6">
        <f>bkrcast_inbkr!C7</f>
        <v/>
      </c>
      <c r="F7" s="6">
        <f>bkrcast_outbkr!C7</f>
        <v/>
      </c>
      <c r="G7" s="6" t="n"/>
      <c r="H7" s="6" t="n"/>
      <c r="I7" s="32" t="s">
        <v>13</v>
      </c>
      <c r="J7" s="28" t="n">
        <v>4</v>
      </c>
      <c r="K7" s="34" t="n">
        <v>44430.5</v>
      </c>
      <c r="L7" s="34" t="n">
        <v>8310.5</v>
      </c>
      <c r="M7" s="34" t="n">
        <v>9822.75</v>
      </c>
      <c r="N7" s="34" t="n">
        <v>16276</v>
      </c>
      <c r="O7" s="34" t="n">
        <v>4049.5</v>
      </c>
      <c r="P7" s="34" t="n">
        <v>3558.5</v>
      </c>
      <c r="Q7" s="34" t="n">
        <v>15664.5</v>
      </c>
      <c r="R7" s="34" t="n">
        <v>6819.75</v>
      </c>
      <c r="S7" s="35">
        <f>K7+L7</f>
        <v/>
      </c>
    </row>
    <row customHeight="1" ht="18" r="8" spans="1:27" thickBot="1">
      <c r="A8" t="s">
        <v>14</v>
      </c>
      <c r="B8" s="6">
        <f>bkrcast_all!B8</f>
        <v/>
      </c>
      <c r="C8" s="6">
        <f>soundcast!C8</f>
        <v/>
      </c>
      <c r="D8" s="6">
        <f>bkrcast_all!C8</f>
        <v/>
      </c>
      <c r="E8" s="6">
        <f>bkrcast_inbkr!C8</f>
        <v/>
      </c>
      <c r="F8" s="6">
        <f>bkrcast_outbkr!C8</f>
        <v/>
      </c>
      <c r="G8" s="6" t="n"/>
      <c r="H8" s="6" t="n"/>
      <c r="I8" s="32" t="s">
        <v>14</v>
      </c>
      <c r="J8" s="28" t="n">
        <v>5</v>
      </c>
      <c r="K8" s="34" t="n">
        <v>268946.8198</v>
      </c>
      <c r="L8" s="34" t="n">
        <v>62381.7092</v>
      </c>
      <c r="M8" s="34" t="n">
        <v>63195.2517</v>
      </c>
      <c r="N8" s="34" t="n">
        <v>75460.0186</v>
      </c>
      <c r="O8" s="34" t="n">
        <v>44363.5589</v>
      </c>
      <c r="P8" s="34" t="n">
        <v>14046.6172</v>
      </c>
      <c r="Q8" s="34" t="n">
        <v>61354.2892</v>
      </c>
      <c r="R8" s="34" t="n">
        <v>33527.2673</v>
      </c>
      <c r="S8" s="35">
        <f>K8+L8</f>
        <v/>
      </c>
    </row>
    <row customHeight="1" ht="18" r="9" spans="1:27" thickBot="1">
      <c r="A9" t="s">
        <v>15</v>
      </c>
      <c r="B9" s="6">
        <f>bkrcast_all!B9</f>
        <v/>
      </c>
      <c r="C9" s="6">
        <f>soundcast!C9</f>
        <v/>
      </c>
      <c r="D9" s="6">
        <f>bkrcast_all!C9</f>
        <v/>
      </c>
      <c r="E9" s="6">
        <f>bkrcast_inbkr!C9</f>
        <v/>
      </c>
      <c r="F9" s="6">
        <f>bkrcast_outbkr!C9</f>
        <v/>
      </c>
      <c r="G9" s="6" t="n"/>
      <c r="H9" s="6" t="n"/>
      <c r="I9" s="32" t="s">
        <v>15</v>
      </c>
      <c r="J9" s="28" t="n">
        <v>6</v>
      </c>
      <c r="K9" s="34" t="n">
        <v>31260.5925</v>
      </c>
      <c r="L9" s="34" t="n">
        <v>5142.6713</v>
      </c>
      <c r="M9" s="34" t="n">
        <v>5554.4928</v>
      </c>
      <c r="N9" s="34" t="n">
        <v>7014.5736</v>
      </c>
      <c r="O9" s="34" t="n">
        <v>3672.0073</v>
      </c>
      <c r="P9" s="34" t="n">
        <v>349.8528</v>
      </c>
      <c r="Q9" s="34" t="n">
        <v>1149.3871</v>
      </c>
      <c r="R9" s="34" t="n">
        <v>727.2813</v>
      </c>
      <c r="S9" s="35">
        <f>K9+L9</f>
        <v/>
      </c>
    </row>
    <row customHeight="1" ht="18" r="10" spans="1:27">
      <c r="A10" t="s">
        <v>16</v>
      </c>
      <c r="B10" s="6">
        <f>bkrcast_all!B10</f>
        <v/>
      </c>
      <c r="C10" s="6">
        <f>soundcast!C10</f>
        <v/>
      </c>
      <c r="D10" s="6">
        <f>bkrcast_all!C10</f>
        <v/>
      </c>
      <c r="E10" s="6">
        <f>bkrcast_inbkr!C10</f>
        <v/>
      </c>
      <c r="F10" s="6">
        <f>bkrcast_outbkr!C10</f>
        <v/>
      </c>
      <c r="G10" s="6" t="n"/>
      <c r="H10" s="6" t="n"/>
      <c r="I10" s="32" t="s">
        <v>16</v>
      </c>
      <c r="J10" s="28" t="n">
        <v>7</v>
      </c>
      <c r="K10" s="34" t="n">
        <v>944369.4669999999</v>
      </c>
      <c r="L10" s="34" t="n">
        <v>229948.9136</v>
      </c>
      <c r="M10" s="34" t="n">
        <v>282974.6849</v>
      </c>
      <c r="N10" s="34" t="n">
        <v>434271.2359</v>
      </c>
      <c r="O10" s="34" t="n">
        <v>110021.567</v>
      </c>
      <c r="P10" s="34" t="n">
        <v>92096.1569</v>
      </c>
      <c r="Q10" s="34" t="n">
        <v>386181.2796</v>
      </c>
      <c r="R10" s="34" t="n">
        <v>177049.1232</v>
      </c>
      <c r="S10" s="35">
        <f>K10+L10</f>
        <v/>
      </c>
    </row>
    <row customHeight="1" ht="18" r="11" spans="1:27" thickBot="1">
      <c r="A11" s="7" t="s">
        <v>17</v>
      </c>
      <c r="B11" s="8">
        <f>bkrcast_all!B11</f>
        <v/>
      </c>
      <c r="C11" s="8">
        <f>soundcast!C11</f>
        <v/>
      </c>
      <c r="D11" s="8">
        <f>bkrcast_all!C11</f>
        <v/>
      </c>
      <c r="E11" s="8">
        <f>bkrcast_inbkr!C11</f>
        <v/>
      </c>
      <c r="F11" s="8">
        <f>bkrcast_outbkr!C11</f>
        <v/>
      </c>
      <c r="G11" s="6" t="n"/>
      <c r="H11" s="6" t="n"/>
      <c r="I11" s="6" t="n"/>
      <c r="J11" s="6" t="n"/>
      <c r="K11" s="6">
        <f>SUM(K4:K10)</f>
        <v/>
      </c>
      <c r="L11" s="6">
        <f>SUM(L4:L10)</f>
        <v/>
      </c>
      <c r="M11" s="6" t="n"/>
      <c r="N11" s="6" t="n"/>
      <c r="S11" s="35">
        <f>SUM(S4:S10)</f>
        <v/>
      </c>
    </row>
    <row customHeight="1" ht="18" r="12" spans="1:27"/>
    <row customHeight="1" ht="18" r="13" spans="1:27"/>
    <row customHeight="1" ht="18" r="14" spans="1:27">
      <c r="R14" s="29" t="n"/>
    </row>
    <row customHeight="1" ht="18" r="15" spans="1:27">
      <c r="A15" s="1" t="s">
        <v>18</v>
      </c>
    </row>
    <row customHeight="1" ht="18" r="16" spans="1:27" thickBot="1">
      <c r="B16" s="2" t="n"/>
      <c r="C16" s="2" t="n"/>
      <c r="D16" s="2" t="n"/>
      <c r="E16" s="2" t="n"/>
      <c r="F16" s="2" t="n"/>
      <c r="I16" s="2" t="n"/>
      <c r="J16" s="2" t="n"/>
      <c r="K16" s="2" t="n"/>
      <c r="L16" s="2" t="n"/>
      <c r="M16" s="2" t="n"/>
    </row>
    <row customHeight="1" ht="18" r="17" spans="1:27">
      <c r="A17" s="3" t="s">
        <v>19</v>
      </c>
      <c r="B17" s="4" t="s">
        <v>20</v>
      </c>
      <c r="C17" s="4" t="s">
        <v>4</v>
      </c>
      <c r="D17" s="4" t="s">
        <v>5</v>
      </c>
      <c r="E17" s="4" t="s">
        <v>6</v>
      </c>
      <c r="F17" s="4" t="s">
        <v>7</v>
      </c>
      <c r="G17" s="29" t="n"/>
      <c r="H17" s="3" t="s">
        <v>19</v>
      </c>
      <c r="I17" s="4" t="s">
        <v>20</v>
      </c>
      <c r="J17" s="4" t="s">
        <v>4</v>
      </c>
      <c r="K17" s="4" t="s">
        <v>5</v>
      </c>
      <c r="L17" s="4" t="s">
        <v>6</v>
      </c>
      <c r="M17" s="4" t="s">
        <v>7</v>
      </c>
      <c r="N17" s="29" t="n"/>
      <c r="P17" s="29" t="n"/>
    </row>
    <row customHeight="1" ht="18" r="18" spans="1:27">
      <c r="A18" t="s">
        <v>21</v>
      </c>
      <c r="B18" s="6">
        <f>bkrcast_all!B18</f>
        <v/>
      </c>
      <c r="C18" s="6">
        <f>soundcast!C18</f>
        <v/>
      </c>
      <c r="D18" s="6">
        <f>bkrcast_all!C18</f>
        <v/>
      </c>
      <c r="E18" s="6">
        <f>bkrcast_inbkr!C18</f>
        <v/>
      </c>
      <c r="F18" s="6">
        <f>bkrcast_outbkr!C18</f>
        <v/>
      </c>
      <c r="G18" s="6" t="n"/>
      <c r="H18">
        <f>A18</f>
        <v/>
      </c>
      <c r="I18" s="21">
        <f>B18/B$26</f>
        <v/>
      </c>
      <c r="J18" s="21">
        <f>C18/C$26</f>
        <v/>
      </c>
      <c r="K18" s="21">
        <f>D18/D$26</f>
        <v/>
      </c>
      <c r="L18" s="21">
        <f>E18/E$26</f>
        <v/>
      </c>
      <c r="M18" s="21">
        <f>F18/F$26</f>
        <v/>
      </c>
      <c r="N18" s="21" t="n"/>
      <c r="P18" s="6" t="n"/>
    </row>
    <row customHeight="1" ht="18" r="19" spans="1:27">
      <c r="A19" t="s">
        <v>22</v>
      </c>
      <c r="B19" s="6">
        <f>bkrcast_all!B19</f>
        <v/>
      </c>
      <c r="C19" s="6">
        <f>soundcast!C19</f>
        <v/>
      </c>
      <c r="D19" s="6">
        <f>bkrcast_all!C19</f>
        <v/>
      </c>
      <c r="E19" s="6">
        <f>bkrcast_inbkr!C19</f>
        <v/>
      </c>
      <c r="F19" s="6">
        <f>bkrcast_outbkr!C19</f>
        <v/>
      </c>
      <c r="G19" s="6" t="n"/>
      <c r="H19">
        <f>A19</f>
        <v/>
      </c>
      <c r="I19" s="21">
        <f>B19/B$26</f>
        <v/>
      </c>
      <c r="J19" s="21">
        <f>C19/C$26</f>
        <v/>
      </c>
      <c r="K19" s="21">
        <f>D19/D$26</f>
        <v/>
      </c>
      <c r="L19" s="21">
        <f>E19/E$26</f>
        <v/>
      </c>
      <c r="M19" s="21">
        <f>F19/F$26</f>
        <v/>
      </c>
      <c r="N19" s="21" t="n"/>
      <c r="P19" s="6" t="n"/>
    </row>
    <row customHeight="1" ht="18" r="20" spans="1:27">
      <c r="A20" t="s">
        <v>23</v>
      </c>
      <c r="B20" s="6">
        <f>bkrcast_all!B20</f>
        <v/>
      </c>
      <c r="C20" s="6">
        <f>soundcast!C20</f>
        <v/>
      </c>
      <c r="D20" s="6">
        <f>bkrcast_all!C20</f>
        <v/>
      </c>
      <c r="E20" s="6">
        <f>bkrcast_inbkr!C20</f>
        <v/>
      </c>
      <c r="F20" s="6">
        <f>bkrcast_outbkr!C20</f>
        <v/>
      </c>
      <c r="G20" s="6" t="n"/>
      <c r="H20">
        <f>A20</f>
        <v/>
      </c>
      <c r="I20" s="21">
        <f>B20/B$26</f>
        <v/>
      </c>
      <c r="J20" s="21">
        <f>C20/C$26</f>
        <v/>
      </c>
      <c r="K20" s="21">
        <f>D20/D$26</f>
        <v/>
      </c>
      <c r="L20" s="21">
        <f>E20/E$26</f>
        <v/>
      </c>
      <c r="M20" s="21">
        <f>F20/F$26</f>
        <v/>
      </c>
      <c r="N20" s="21" t="n"/>
      <c r="P20" s="6" t="n"/>
    </row>
    <row customHeight="1" ht="18" r="21" spans="1:27">
      <c r="A21" t="s">
        <v>24</v>
      </c>
      <c r="B21" s="6">
        <f>bkrcast_all!B21</f>
        <v/>
      </c>
      <c r="C21" s="6">
        <f>soundcast!C21</f>
        <v/>
      </c>
      <c r="D21" s="6">
        <f>bkrcast_all!C21</f>
        <v/>
      </c>
      <c r="E21" s="6">
        <f>bkrcast_inbkr!C21</f>
        <v/>
      </c>
      <c r="F21" s="6">
        <f>bkrcast_outbkr!C21</f>
        <v/>
      </c>
      <c r="G21" s="6" t="n"/>
      <c r="H21">
        <f>A21</f>
        <v/>
      </c>
      <c r="I21" s="21">
        <f>B21/B$26</f>
        <v/>
      </c>
      <c r="J21" s="21">
        <f>C21/C$26</f>
        <v/>
      </c>
      <c r="K21" s="21">
        <f>D21/D$26</f>
        <v/>
      </c>
      <c r="L21" s="21">
        <f>E21/E$26</f>
        <v/>
      </c>
      <c r="M21" s="21">
        <f>F21/F$26</f>
        <v/>
      </c>
      <c r="N21" s="21" t="n"/>
      <c r="P21" s="6" t="n"/>
    </row>
    <row customHeight="1" ht="18" r="22" spans="1:27">
      <c r="A22" t="s">
        <v>25</v>
      </c>
      <c r="B22" s="6">
        <f>bkrcast_all!B22</f>
        <v/>
      </c>
      <c r="C22" s="6">
        <f>soundcast!C22</f>
        <v/>
      </c>
      <c r="D22" s="6">
        <f>bkrcast_all!C22</f>
        <v/>
      </c>
      <c r="E22" s="6">
        <f>bkrcast_inbkr!C22</f>
        <v/>
      </c>
      <c r="F22" s="6">
        <f>bkrcast_outbkr!C22</f>
        <v/>
      </c>
      <c r="G22" s="6" t="n"/>
      <c r="H22">
        <f>A22</f>
        <v/>
      </c>
      <c r="I22" s="21">
        <f>B22/B$26</f>
        <v/>
      </c>
      <c r="J22" s="21">
        <f>C22/C$26</f>
        <v/>
      </c>
      <c r="K22" s="21">
        <f>D22/D$26</f>
        <v/>
      </c>
      <c r="L22" s="21">
        <f>E22/E$26</f>
        <v/>
      </c>
      <c r="M22" s="21">
        <f>F22/F$26</f>
        <v/>
      </c>
      <c r="N22" s="21" t="n"/>
      <c r="P22" s="6" t="n"/>
    </row>
    <row customHeight="1" ht="18" r="23" spans="1:27">
      <c r="A23" t="s">
        <v>26</v>
      </c>
      <c r="B23" s="6">
        <f>bkrcast_all!B23</f>
        <v/>
      </c>
      <c r="C23" s="6">
        <f>soundcast!C23</f>
        <v/>
      </c>
      <c r="D23" s="6">
        <f>bkrcast_all!C23</f>
        <v/>
      </c>
      <c r="E23" s="6">
        <f>bkrcast_inbkr!C23</f>
        <v/>
      </c>
      <c r="F23" s="6">
        <f>bkrcast_outbkr!C23</f>
        <v/>
      </c>
      <c r="G23" s="6" t="n"/>
      <c r="H23">
        <f>A23</f>
        <v/>
      </c>
      <c r="I23" s="21">
        <f>B23/B$26</f>
        <v/>
      </c>
      <c r="J23" s="21">
        <f>C23/C$26</f>
        <v/>
      </c>
      <c r="K23" s="21">
        <f>D23/D$26</f>
        <v/>
      </c>
      <c r="L23" s="21">
        <f>E23/E$26</f>
        <v/>
      </c>
      <c r="M23" s="21">
        <f>F23/F$26</f>
        <v/>
      </c>
      <c r="N23" s="21" t="n"/>
      <c r="P23" s="6" t="n"/>
    </row>
    <row customHeight="1" ht="18" r="24" spans="1:27">
      <c r="A24" t="s">
        <v>27</v>
      </c>
      <c r="B24" s="6">
        <f>bkrcast_all!B24</f>
        <v/>
      </c>
      <c r="C24" s="6">
        <f>soundcast!C24</f>
        <v/>
      </c>
      <c r="D24" s="6">
        <f>bkrcast_all!C24</f>
        <v/>
      </c>
      <c r="E24" s="6">
        <f>bkrcast_inbkr!C24</f>
        <v/>
      </c>
      <c r="F24" s="6">
        <f>bkrcast_outbkr!C24</f>
        <v/>
      </c>
      <c r="G24" s="6" t="n"/>
      <c r="H24">
        <f>A24</f>
        <v/>
      </c>
      <c r="I24" s="21">
        <f>B24/B$26</f>
        <v/>
      </c>
      <c r="J24" s="21">
        <f>C24/C$26</f>
        <v/>
      </c>
      <c r="K24" s="21">
        <f>D24/D$26</f>
        <v/>
      </c>
      <c r="L24" s="21">
        <f>E24/E$26</f>
        <v/>
      </c>
      <c r="M24" s="21">
        <f>F24/F$26</f>
        <v/>
      </c>
      <c r="N24" s="21" t="n"/>
      <c r="P24" s="6" t="n"/>
    </row>
    <row customHeight="1" ht="18" r="25" spans="1:27">
      <c r="A25" t="s">
        <v>28</v>
      </c>
      <c r="B25" s="6">
        <f>bkrcast_all!B25</f>
        <v/>
      </c>
      <c r="C25" s="6">
        <f>soundcast!C25</f>
        <v/>
      </c>
      <c r="D25" s="6">
        <f>bkrcast_all!C25</f>
        <v/>
      </c>
      <c r="E25" s="6">
        <f>bkrcast_inbkr!C25</f>
        <v/>
      </c>
      <c r="F25" s="6">
        <f>bkrcast_outbkr!C25</f>
        <v/>
      </c>
      <c r="G25" s="6" t="n"/>
      <c r="H25">
        <f>A25</f>
        <v/>
      </c>
      <c r="I25" s="22">
        <f>B25/B$26</f>
        <v/>
      </c>
      <c r="J25" s="22">
        <f>C25/C$26</f>
        <v/>
      </c>
      <c r="K25" s="22">
        <f>D25/D$26</f>
        <v/>
      </c>
      <c r="L25" s="22">
        <f>E25/E$26</f>
        <v/>
      </c>
      <c r="M25" s="22">
        <f>F25/F$26</f>
        <v/>
      </c>
      <c r="N25" s="21" t="n"/>
      <c r="P25" s="6" t="n"/>
    </row>
    <row customHeight="1" ht="18" r="26" spans="1:27">
      <c r="A26" s="7" t="s">
        <v>17</v>
      </c>
      <c r="B26" s="8">
        <f>bkrcast_all!B26</f>
        <v/>
      </c>
      <c r="C26" s="8">
        <f>soundcast!C26</f>
        <v/>
      </c>
      <c r="D26" s="8">
        <f>bkrcast_all!C26</f>
        <v/>
      </c>
      <c r="E26" s="8">
        <f>bkrcast_inbkr!C26</f>
        <v/>
      </c>
      <c r="F26" s="8">
        <f>bkrcast_outbkr!C26</f>
        <v/>
      </c>
      <c r="G26" s="6" t="n"/>
      <c r="H26" s="7" t="s">
        <v>17</v>
      </c>
      <c r="I26" s="23">
        <f>B26/B$26</f>
        <v/>
      </c>
      <c r="J26" s="23">
        <f>C26/C$26</f>
        <v/>
      </c>
      <c r="K26" s="23">
        <f>D26/D$26</f>
        <v/>
      </c>
      <c r="L26" s="23">
        <f>E26/E$26</f>
        <v/>
      </c>
      <c r="M26" s="23">
        <f>F26/F$26</f>
        <v/>
      </c>
      <c r="N26" s="21" t="n"/>
      <c r="P26" s="6" t="n"/>
    </row>
    <row customHeight="1" ht="18" r="27" spans="1:27"/>
    <row customHeight="1" ht="18" r="28" spans="1:27"/>
    <row customHeight="1" ht="18" r="29" spans="1:27"/>
    <row customHeight="1" ht="18" r="30" spans="1:27">
      <c r="A30" s="1" t="s">
        <v>29</v>
      </c>
      <c r="O30" s="1" t="s">
        <v>30</v>
      </c>
    </row>
    <row customHeight="1" ht="18" r="31" spans="1:27">
      <c r="B31" s="2" t="n"/>
      <c r="C31" s="2" t="n"/>
      <c r="D31" s="2" t="n"/>
      <c r="E31" s="2" t="n"/>
      <c r="F31" s="2" t="n"/>
      <c r="I31" s="2" t="n"/>
      <c r="J31" s="2" t="n"/>
      <c r="K31" s="2" t="n"/>
      <c r="L31" s="2" t="n"/>
      <c r="M31" s="2" t="n"/>
      <c r="P31" s="2" t="n"/>
      <c r="Q31" s="2" t="n"/>
      <c r="R31" s="2" t="n"/>
      <c r="S31" s="2" t="n"/>
      <c r="T31" s="2" t="n"/>
    </row>
    <row customHeight="1" ht="18" r="32" spans="1:27">
      <c r="A32" s="3" t="s">
        <v>31</v>
      </c>
      <c r="B32" s="4" t="s">
        <v>20</v>
      </c>
      <c r="C32" s="4" t="s">
        <v>4</v>
      </c>
      <c r="D32" s="4" t="s">
        <v>5</v>
      </c>
      <c r="E32" s="4" t="s">
        <v>6</v>
      </c>
      <c r="F32" s="4" t="s">
        <v>7</v>
      </c>
      <c r="G32" s="29" t="n"/>
      <c r="H32" s="3">
        <f>A32</f>
        <v/>
      </c>
      <c r="I32" s="4" t="s">
        <v>20</v>
      </c>
      <c r="J32" s="4" t="s">
        <v>4</v>
      </c>
      <c r="K32" s="4" t="s">
        <v>5</v>
      </c>
      <c r="L32" s="4" t="s">
        <v>6</v>
      </c>
      <c r="M32" s="4" t="s">
        <v>7</v>
      </c>
      <c r="N32" s="29" t="n"/>
      <c r="O32" s="3">
        <f>H32</f>
        <v/>
      </c>
      <c r="P32" s="4" t="s">
        <v>20</v>
      </c>
      <c r="Q32" s="4" t="s">
        <v>4</v>
      </c>
      <c r="R32" s="4" t="s">
        <v>5</v>
      </c>
      <c r="S32" s="4" t="s">
        <v>6</v>
      </c>
      <c r="T32" s="4" t="s">
        <v>7</v>
      </c>
      <c r="U32" s="29" t="n"/>
    </row>
    <row customHeight="1" ht="18" r="33" spans="1:27">
      <c r="A33" t="s">
        <v>32</v>
      </c>
      <c r="B33" s="6">
        <f>bkrcast_all!B33</f>
        <v/>
      </c>
      <c r="C33" s="6">
        <f>soundcast!C33</f>
        <v/>
      </c>
      <c r="D33" s="6">
        <f>bkrcast_all!C33</f>
        <v/>
      </c>
      <c r="E33" s="6">
        <f>bkrcast_inbkr!C33</f>
        <v/>
      </c>
      <c r="F33" s="6">
        <f>bkrcast_outbkr!C33</f>
        <v/>
      </c>
      <c r="G33" s="6" t="n"/>
      <c r="H33">
        <f>A33</f>
        <v/>
      </c>
      <c r="I33" s="21">
        <f>B33/B$41</f>
        <v/>
      </c>
      <c r="J33" s="21">
        <f>C33/C$41</f>
        <v/>
      </c>
      <c r="K33" s="21">
        <f>D33/D$41</f>
        <v/>
      </c>
      <c r="L33" s="21">
        <f>E33/E$41</f>
        <v/>
      </c>
      <c r="M33" s="21">
        <f>F33/F$41</f>
        <v/>
      </c>
      <c r="N33" s="21" t="n"/>
      <c r="O33">
        <f>H33</f>
        <v/>
      </c>
      <c r="P33" s="30">
        <f>B33/B$26</f>
        <v/>
      </c>
      <c r="Q33" s="30">
        <f>C33/C$26</f>
        <v/>
      </c>
      <c r="R33" s="30">
        <f>D33/D$26</f>
        <v/>
      </c>
      <c r="S33" s="30">
        <f>E33/E$26</f>
        <v/>
      </c>
      <c r="T33" s="30">
        <f>F33/F$26</f>
        <v/>
      </c>
      <c r="U33" s="30" t="n"/>
      <c r="V33" s="36" t="n"/>
      <c r="W33" s="36" t="n"/>
    </row>
    <row customHeight="1" ht="18" r="34" spans="1:27">
      <c r="A34" t="s">
        <v>33</v>
      </c>
      <c r="B34" s="6">
        <f>bkrcast_all!B34</f>
        <v/>
      </c>
      <c r="C34" s="6">
        <f>soundcast!C34</f>
        <v/>
      </c>
      <c r="D34" s="6">
        <f>bkrcast_all!C34</f>
        <v/>
      </c>
      <c r="E34" s="6">
        <f>bkrcast_inbkr!C34</f>
        <v/>
      </c>
      <c r="F34" s="6">
        <f>bkrcast_outbkr!C34</f>
        <v/>
      </c>
      <c r="G34" s="6" t="n"/>
      <c r="H34">
        <f>A34</f>
        <v/>
      </c>
      <c r="I34" s="21">
        <f>B34/B$41</f>
        <v/>
      </c>
      <c r="J34" s="21">
        <f>C34/C$41</f>
        <v/>
      </c>
      <c r="K34" s="21">
        <f>D34/D$41</f>
        <v/>
      </c>
      <c r="L34" s="21">
        <f>E34/E$41</f>
        <v/>
      </c>
      <c r="M34" s="21">
        <f>F34/F$41</f>
        <v/>
      </c>
      <c r="N34" s="21" t="n"/>
      <c r="O34">
        <f>H34</f>
        <v/>
      </c>
      <c r="P34" s="30">
        <f>B34/B$26</f>
        <v/>
      </c>
      <c r="Q34" s="30">
        <f>C34/C$26</f>
        <v/>
      </c>
      <c r="R34" s="30">
        <f>D34/D$26</f>
        <v/>
      </c>
      <c r="S34" s="30">
        <f>E34/E$26</f>
        <v/>
      </c>
      <c r="T34" s="30">
        <f>F34/F$26</f>
        <v/>
      </c>
      <c r="U34" s="30" t="n"/>
      <c r="V34" s="36" t="n"/>
      <c r="W34" s="36" t="n"/>
    </row>
    <row customHeight="1" ht="18" r="35" spans="1:27">
      <c r="A35" t="s">
        <v>34</v>
      </c>
      <c r="B35" s="6">
        <f>bkrcast_all!B35</f>
        <v/>
      </c>
      <c r="C35" s="6">
        <f>soundcast!C35</f>
        <v/>
      </c>
      <c r="D35" s="6">
        <f>bkrcast_all!C35</f>
        <v/>
      </c>
      <c r="E35" s="6">
        <f>bkrcast_inbkr!C35</f>
        <v/>
      </c>
      <c r="F35" s="6">
        <f>bkrcast_outbkr!C35</f>
        <v/>
      </c>
      <c r="G35" s="6" t="n"/>
      <c r="H35">
        <f>A35</f>
        <v/>
      </c>
      <c r="I35" s="21">
        <f>B35/B$41</f>
        <v/>
      </c>
      <c r="J35" s="21">
        <f>C35/C$41</f>
        <v/>
      </c>
      <c r="K35" s="21">
        <f>D35/D$41</f>
        <v/>
      </c>
      <c r="L35" s="21">
        <f>E35/E$41</f>
        <v/>
      </c>
      <c r="M35" s="21">
        <f>F35/F$41</f>
        <v/>
      </c>
      <c r="N35" s="21" t="n"/>
      <c r="O35">
        <f>H35</f>
        <v/>
      </c>
      <c r="P35" s="30">
        <f>B35/B$26</f>
        <v/>
      </c>
      <c r="Q35" s="30">
        <f>C35/C$26</f>
        <v/>
      </c>
      <c r="R35" s="30">
        <f>D35/D$26</f>
        <v/>
      </c>
      <c r="S35" s="30">
        <f>E35/E$26</f>
        <v/>
      </c>
      <c r="T35" s="30">
        <f>F35/F$26</f>
        <v/>
      </c>
      <c r="U35" s="30" t="n"/>
      <c r="V35" s="36" t="n"/>
      <c r="W35" s="36" t="n"/>
    </row>
    <row customHeight="1" ht="18" r="36" spans="1:27">
      <c r="A36" t="s">
        <v>35</v>
      </c>
      <c r="B36" s="6">
        <f>bkrcast_all!B36</f>
        <v/>
      </c>
      <c r="C36" s="6">
        <f>soundcast!C36</f>
        <v/>
      </c>
      <c r="D36" s="6">
        <f>bkrcast_all!C36</f>
        <v/>
      </c>
      <c r="E36" s="6">
        <f>bkrcast_inbkr!C36</f>
        <v/>
      </c>
      <c r="F36" s="6">
        <f>bkrcast_outbkr!C36</f>
        <v/>
      </c>
      <c r="G36" s="6" t="n"/>
      <c r="H36">
        <f>A36</f>
        <v/>
      </c>
      <c r="I36" s="21">
        <f>B36/B$41</f>
        <v/>
      </c>
      <c r="J36" s="21">
        <f>C36/C$41</f>
        <v/>
      </c>
      <c r="K36" s="21">
        <f>D36/D$41</f>
        <v/>
      </c>
      <c r="L36" s="21">
        <f>E36/E$41</f>
        <v/>
      </c>
      <c r="M36" s="21">
        <f>F36/F$41</f>
        <v/>
      </c>
      <c r="N36" s="21" t="n"/>
      <c r="O36">
        <f>H36</f>
        <v/>
      </c>
      <c r="P36" s="30">
        <f>B36/B$26</f>
        <v/>
      </c>
      <c r="Q36" s="30">
        <f>C36/C$26</f>
        <v/>
      </c>
      <c r="R36" s="30">
        <f>D36/D$26</f>
        <v/>
      </c>
      <c r="S36" s="30">
        <f>E36/E$26</f>
        <v/>
      </c>
      <c r="T36" s="30">
        <f>F36/F$26</f>
        <v/>
      </c>
      <c r="U36" s="30" t="n"/>
      <c r="V36" s="36" t="n"/>
      <c r="W36" s="36" t="n"/>
    </row>
    <row customHeight="1" ht="18" r="37" spans="1:27">
      <c r="A37" t="s">
        <v>36</v>
      </c>
      <c r="B37" s="6">
        <f>bkrcast_all!B37</f>
        <v/>
      </c>
      <c r="C37" s="6">
        <f>soundcast!C37</f>
        <v/>
      </c>
      <c r="D37" s="6">
        <f>bkrcast_all!C37</f>
        <v/>
      </c>
      <c r="E37" s="6">
        <f>bkrcast_inbkr!C37</f>
        <v/>
      </c>
      <c r="F37" s="6">
        <f>bkrcast_outbkr!C37</f>
        <v/>
      </c>
      <c r="G37" s="6" t="n"/>
      <c r="H37">
        <f>A37</f>
        <v/>
      </c>
      <c r="I37" s="21">
        <f>B37/B$41</f>
        <v/>
      </c>
      <c r="J37" s="21">
        <f>C37/C$41</f>
        <v/>
      </c>
      <c r="K37" s="21">
        <f>D37/D$41</f>
        <v/>
      </c>
      <c r="L37" s="21">
        <f>E37/E$41</f>
        <v/>
      </c>
      <c r="M37" s="21">
        <f>F37/F$41</f>
        <v/>
      </c>
      <c r="N37" s="21" t="n"/>
      <c r="O37">
        <f>H37</f>
        <v/>
      </c>
      <c r="P37" s="30">
        <f>B37/B$26</f>
        <v/>
      </c>
      <c r="Q37" s="30">
        <f>C37/C$26</f>
        <v/>
      </c>
      <c r="R37" s="30">
        <f>D37/D$26</f>
        <v/>
      </c>
      <c r="S37" s="30">
        <f>E37/E$26</f>
        <v/>
      </c>
      <c r="T37" s="30">
        <f>F37/F$26</f>
        <v/>
      </c>
      <c r="U37" s="30" t="n"/>
      <c r="V37" s="36" t="n"/>
      <c r="W37" s="36" t="n"/>
    </row>
    <row customHeight="1" ht="18" r="38" spans="1:27">
      <c r="A38" t="s">
        <v>37</v>
      </c>
      <c r="B38" s="6">
        <f>bkrcast_all!B38</f>
        <v/>
      </c>
      <c r="C38" s="6">
        <f>soundcast!C38</f>
        <v/>
      </c>
      <c r="D38" s="6">
        <f>bkrcast_all!C38</f>
        <v/>
      </c>
      <c r="E38" s="6">
        <f>bkrcast_inbkr!C38</f>
        <v/>
      </c>
      <c r="F38" s="6">
        <f>bkrcast_outbkr!C38</f>
        <v/>
      </c>
      <c r="G38" s="6" t="n"/>
      <c r="H38">
        <f>A38</f>
        <v/>
      </c>
      <c r="I38" s="21">
        <f>B38/B$41</f>
        <v/>
      </c>
      <c r="J38" s="21">
        <f>C38/C$41</f>
        <v/>
      </c>
      <c r="K38" s="21">
        <f>D38/D$41</f>
        <v/>
      </c>
      <c r="L38" s="21">
        <f>E38/E$41</f>
        <v/>
      </c>
      <c r="M38" s="21">
        <f>F38/F$41</f>
        <v/>
      </c>
      <c r="N38" s="21" t="n"/>
      <c r="O38">
        <f>H38</f>
        <v/>
      </c>
      <c r="P38" s="30">
        <f>B38/B$26</f>
        <v/>
      </c>
      <c r="Q38" s="30">
        <f>C38/C$26</f>
        <v/>
      </c>
      <c r="R38" s="30">
        <f>D38/D$26</f>
        <v/>
      </c>
      <c r="S38" s="30">
        <f>E38/E$26</f>
        <v/>
      </c>
      <c r="T38" s="30">
        <f>F38/F$26</f>
        <v/>
      </c>
      <c r="U38" s="30" t="n"/>
      <c r="V38" s="36" t="n"/>
      <c r="W38" s="36" t="n"/>
    </row>
    <row customHeight="1" ht="18" r="39" spans="1:27">
      <c r="A39" t="s">
        <v>38</v>
      </c>
      <c r="B39" s="6">
        <f>bkrcast_all!B39</f>
        <v/>
      </c>
      <c r="C39" s="6">
        <f>soundcast!C39</f>
        <v/>
      </c>
      <c r="D39" s="6">
        <f>bkrcast_all!C39</f>
        <v/>
      </c>
      <c r="E39" s="6">
        <f>bkrcast_inbkr!C39</f>
        <v/>
      </c>
      <c r="F39" s="6">
        <f>bkrcast_outbkr!C39</f>
        <v/>
      </c>
      <c r="G39" s="6" t="n"/>
      <c r="H39">
        <f>A39</f>
        <v/>
      </c>
      <c r="I39" s="21">
        <f>B39/B$41</f>
        <v/>
      </c>
      <c r="J39" s="21">
        <f>C39/C$41</f>
        <v/>
      </c>
      <c r="K39" s="21">
        <f>D39/D$41</f>
        <v/>
      </c>
      <c r="L39" s="21">
        <f>E39/E$41</f>
        <v/>
      </c>
      <c r="M39" s="21">
        <f>F39/F$41</f>
        <v/>
      </c>
      <c r="N39" s="21" t="n"/>
      <c r="O39">
        <f>H39</f>
        <v/>
      </c>
      <c r="P39" s="30">
        <f>B39/B$26</f>
        <v/>
      </c>
      <c r="Q39" s="30">
        <f>C39/C$26</f>
        <v/>
      </c>
      <c r="R39" s="30">
        <f>D39/D$26</f>
        <v/>
      </c>
      <c r="S39" s="30">
        <f>E39/E$26</f>
        <v/>
      </c>
      <c r="T39" s="30">
        <f>F39/F$26</f>
        <v/>
      </c>
      <c r="U39" s="30" t="n"/>
      <c r="V39" s="36" t="n"/>
      <c r="W39" s="36" t="n"/>
    </row>
    <row customHeight="1" ht="18" r="40" spans="1:27">
      <c r="A40" t="s">
        <v>39</v>
      </c>
      <c r="B40" s="6">
        <f>bkrcast_all!B40</f>
        <v/>
      </c>
      <c r="C40" s="6">
        <f>soundcast!C40</f>
        <v/>
      </c>
      <c r="D40" s="6">
        <f>bkrcast_all!C40</f>
        <v/>
      </c>
      <c r="E40" s="6">
        <f>bkrcast_inbkr!C40</f>
        <v/>
      </c>
      <c r="F40" s="6">
        <f>bkrcast_outbkr!C40</f>
        <v/>
      </c>
      <c r="G40" s="6" t="n"/>
      <c r="H40">
        <f>A40</f>
        <v/>
      </c>
      <c r="I40" s="22">
        <f>B40/B$41</f>
        <v/>
      </c>
      <c r="J40" s="22">
        <f>C40/C$41</f>
        <v/>
      </c>
      <c r="K40" s="22">
        <f>D40/D$41</f>
        <v/>
      </c>
      <c r="L40" s="22">
        <f>E40/E$41</f>
        <v/>
      </c>
      <c r="M40" s="22">
        <f>F40/F$41</f>
        <v/>
      </c>
      <c r="N40" s="21" t="n"/>
      <c r="O40">
        <f>H40</f>
        <v/>
      </c>
      <c r="P40" s="16">
        <f>B40/B$26</f>
        <v/>
      </c>
      <c r="Q40" s="16">
        <f>C40/C$26</f>
        <v/>
      </c>
      <c r="R40" s="16">
        <f>D40/D$26</f>
        <v/>
      </c>
      <c r="S40" s="16">
        <f>E40/E$26</f>
        <v/>
      </c>
      <c r="T40" s="16">
        <f>F40/F$26</f>
        <v/>
      </c>
      <c r="U40" s="30" t="n"/>
      <c r="V40" s="36" t="n"/>
      <c r="W40" s="36" t="n"/>
    </row>
    <row customHeight="1" ht="18" r="41" spans="1:27">
      <c r="A41" s="7" t="s">
        <v>17</v>
      </c>
      <c r="B41" s="8">
        <f>bkrcast_all!B41</f>
        <v/>
      </c>
      <c r="C41" s="8">
        <f>soundcast!C41</f>
        <v/>
      </c>
      <c r="D41" s="8">
        <f>bkrcast_all!C41</f>
        <v/>
      </c>
      <c r="E41" s="8">
        <f>bkrcast_inbkr!C41</f>
        <v/>
      </c>
      <c r="F41" s="8">
        <f>bkrcast_outbkr!C41</f>
        <v/>
      </c>
      <c r="G41" s="6" t="n"/>
      <c r="H41" s="7" t="s">
        <v>17</v>
      </c>
      <c r="I41" s="25">
        <f>B41/B$41</f>
        <v/>
      </c>
      <c r="J41" s="25">
        <f>C41/C$41</f>
        <v/>
      </c>
      <c r="K41" s="25">
        <f>D41/D$41</f>
        <v/>
      </c>
      <c r="L41" s="25">
        <f>E41/E$41</f>
        <v/>
      </c>
      <c r="M41" s="25">
        <f>F41/F$41</f>
        <v/>
      </c>
      <c r="N41" s="21" t="n"/>
      <c r="O41" s="7">
        <f>H41</f>
        <v/>
      </c>
      <c r="P41" s="18">
        <f>B41/B$26</f>
        <v/>
      </c>
      <c r="Q41" s="18">
        <f>C41/C$26</f>
        <v/>
      </c>
      <c r="R41" s="18">
        <f>D41/D$26</f>
        <v/>
      </c>
      <c r="S41" s="18">
        <f>E41/E$26</f>
        <v/>
      </c>
      <c r="T41" s="18">
        <f>F41/F$26</f>
        <v/>
      </c>
      <c r="U41" s="30" t="n"/>
    </row>
    <row customHeight="1" ht="18" r="42" spans="1:27">
      <c r="B42" s="6" t="n"/>
      <c r="C42" s="6" t="n"/>
      <c r="D42" s="6" t="n"/>
    </row>
    <row customHeight="1" ht="18" r="43" spans="1:27">
      <c r="B43" s="6" t="n"/>
      <c r="C43" s="6" t="n"/>
      <c r="D43" s="6" t="n"/>
    </row>
    <row customHeight="1" ht="18" r="44" spans="1:27">
      <c r="B44" s="6" t="n"/>
      <c r="C44" s="6" t="n"/>
      <c r="D44" s="6" t="n"/>
    </row>
    <row customHeight="1" ht="18" r="45" spans="1:27">
      <c r="A45" s="1" t="s">
        <v>40</v>
      </c>
      <c r="O45" s="1" t="s">
        <v>41</v>
      </c>
    </row>
    <row customHeight="1" ht="18" r="46" spans="1:27">
      <c r="B46" s="2" t="n"/>
      <c r="C46" s="2" t="n"/>
      <c r="D46" s="2" t="n"/>
      <c r="E46" s="2" t="n"/>
      <c r="F46" s="2" t="n"/>
      <c r="I46" s="2" t="n"/>
      <c r="J46" s="2" t="n"/>
      <c r="K46" s="2" t="n"/>
      <c r="L46" s="2" t="n"/>
      <c r="M46" s="2" t="n"/>
      <c r="P46" s="2" t="n"/>
      <c r="Q46" s="2" t="n"/>
      <c r="R46" s="2" t="n"/>
      <c r="S46" s="2" t="n"/>
      <c r="T46" s="2" t="n"/>
    </row>
    <row customHeight="1" ht="18" r="47" spans="1:27">
      <c r="A47" s="3" t="s">
        <v>19</v>
      </c>
      <c r="B47" s="4" t="s">
        <v>20</v>
      </c>
      <c r="C47" s="4" t="s">
        <v>4</v>
      </c>
      <c r="D47" s="4" t="s">
        <v>5</v>
      </c>
      <c r="E47" s="4" t="s">
        <v>6</v>
      </c>
      <c r="F47" s="4" t="s">
        <v>7</v>
      </c>
      <c r="G47" s="29" t="n"/>
      <c r="H47" s="3" t="s">
        <v>19</v>
      </c>
      <c r="I47" s="4" t="s">
        <v>20</v>
      </c>
      <c r="J47" s="4" t="s">
        <v>4</v>
      </c>
      <c r="K47" s="4" t="s">
        <v>5</v>
      </c>
      <c r="L47" s="4" t="s">
        <v>6</v>
      </c>
      <c r="M47" s="4" t="s">
        <v>7</v>
      </c>
      <c r="N47" s="29" t="n"/>
      <c r="O47" s="3">
        <f>H47</f>
        <v/>
      </c>
      <c r="P47" s="4" t="s">
        <v>20</v>
      </c>
      <c r="Q47" s="4" t="s">
        <v>4</v>
      </c>
      <c r="R47" s="4" t="s">
        <v>5</v>
      </c>
      <c r="S47" s="4" t="s">
        <v>6</v>
      </c>
      <c r="T47" s="4" t="s">
        <v>7</v>
      </c>
      <c r="U47" s="29" t="n"/>
    </row>
    <row customHeight="1" ht="18" r="48" spans="1:27">
      <c r="A48" t="s">
        <v>21</v>
      </c>
      <c r="B48" s="6">
        <f>bkrcast_all!B48</f>
        <v/>
      </c>
      <c r="C48" s="6">
        <f>soundcast!C48</f>
        <v/>
      </c>
      <c r="D48" s="6">
        <f>bkrcast_all!C48</f>
        <v/>
      </c>
      <c r="E48" s="6">
        <f>bkrcast_inbkr!C48</f>
        <v/>
      </c>
      <c r="F48" s="6">
        <f>bkrcast_outbkr!C48</f>
        <v/>
      </c>
      <c r="G48" s="6" t="n"/>
      <c r="H48">
        <f>A48</f>
        <v/>
      </c>
      <c r="I48" s="21">
        <f>B48/B$56</f>
        <v/>
      </c>
      <c r="J48" s="21">
        <f>C48/C$56</f>
        <v/>
      </c>
      <c r="K48" s="21">
        <f>D48/D$56</f>
        <v/>
      </c>
      <c r="L48" s="21">
        <f>E48/E$56</f>
        <v/>
      </c>
      <c r="M48" s="21">
        <f>F48/F$56</f>
        <v/>
      </c>
      <c r="N48" s="21" t="n"/>
      <c r="O48">
        <f>H48</f>
        <v/>
      </c>
      <c r="P48" s="30">
        <f>B48/B18</f>
        <v/>
      </c>
      <c r="Q48" s="30">
        <f>C48/C18</f>
        <v/>
      </c>
      <c r="R48" s="30">
        <f>D48/D18</f>
        <v/>
      </c>
      <c r="S48" s="30">
        <f>E48/E18</f>
        <v/>
      </c>
      <c r="T48" s="30">
        <f>F48/F18</f>
        <v/>
      </c>
      <c r="U48" s="30" t="n"/>
      <c r="V48" s="21" t="n"/>
      <c r="W48" s="21" t="n"/>
    </row>
    <row customHeight="1" ht="18" r="49" spans="1:27">
      <c r="A49" t="s">
        <v>22</v>
      </c>
      <c r="B49" s="6">
        <f>bkrcast_all!B49</f>
        <v/>
      </c>
      <c r="C49" s="6">
        <f>soundcast!C49</f>
        <v/>
      </c>
      <c r="D49" s="6">
        <f>bkrcast_all!C49</f>
        <v/>
      </c>
      <c r="E49" s="6">
        <f>bkrcast_inbkr!C49</f>
        <v/>
      </c>
      <c r="F49" s="6">
        <f>bkrcast_outbkr!C49</f>
        <v/>
      </c>
      <c r="G49" s="6" t="n"/>
      <c r="H49">
        <f>A49</f>
        <v/>
      </c>
      <c r="I49" s="21">
        <f>B49/B$56</f>
        <v/>
      </c>
      <c r="J49" s="21">
        <f>C49/C$56</f>
        <v/>
      </c>
      <c r="K49" s="21">
        <f>D49/D$56</f>
        <v/>
      </c>
      <c r="L49" s="21">
        <f>E49/E$56</f>
        <v/>
      </c>
      <c r="M49" s="21">
        <f>F49/F$56</f>
        <v/>
      </c>
      <c r="N49" s="21" t="n"/>
      <c r="O49">
        <f>H49</f>
        <v/>
      </c>
      <c r="P49" s="30">
        <f>B49/B19</f>
        <v/>
      </c>
      <c r="Q49" s="30">
        <f>C49/C19</f>
        <v/>
      </c>
      <c r="R49" s="30">
        <f>D49/D19</f>
        <v/>
      </c>
      <c r="S49" s="30">
        <f>E49/E19</f>
        <v/>
      </c>
      <c r="T49" s="30">
        <f>F49/F19</f>
        <v/>
      </c>
      <c r="U49" s="30" t="n"/>
      <c r="V49" s="21" t="n"/>
      <c r="W49" s="21" t="n"/>
    </row>
    <row customHeight="1" ht="18" r="50" spans="1:27">
      <c r="A50" t="s">
        <v>23</v>
      </c>
      <c r="B50" s="6">
        <f>bkrcast_all!B50</f>
        <v/>
      </c>
      <c r="C50" s="6">
        <f>soundcast!C50</f>
        <v/>
      </c>
      <c r="D50" s="6">
        <f>bkrcast_all!C50</f>
        <v/>
      </c>
      <c r="E50" s="6">
        <f>bkrcast_inbkr!C50</f>
        <v/>
      </c>
      <c r="F50" s="6">
        <f>bkrcast_outbkr!C50</f>
        <v/>
      </c>
      <c r="G50" s="6" t="n"/>
      <c r="H50">
        <f>A50</f>
        <v/>
      </c>
      <c r="I50" s="21">
        <f>B50/B$56</f>
        <v/>
      </c>
      <c r="J50" s="21">
        <f>C50/C$56</f>
        <v/>
      </c>
      <c r="K50" s="21">
        <f>D50/D$56</f>
        <v/>
      </c>
      <c r="L50" s="21">
        <f>E50/E$56</f>
        <v/>
      </c>
      <c r="M50" s="21">
        <f>F50/F$56</f>
        <v/>
      </c>
      <c r="N50" s="21" t="n"/>
      <c r="O50">
        <f>H50</f>
        <v/>
      </c>
      <c r="P50" s="30">
        <f>B50/B20</f>
        <v/>
      </c>
      <c r="Q50" s="30">
        <f>C50/C20</f>
        <v/>
      </c>
      <c r="R50" s="30">
        <f>D50/D20</f>
        <v/>
      </c>
      <c r="S50" s="30">
        <f>E50/E20</f>
        <v/>
      </c>
      <c r="T50" s="30">
        <f>F50/F20</f>
        <v/>
      </c>
      <c r="U50" s="30" t="n"/>
      <c r="V50" s="21" t="n"/>
      <c r="W50" s="21" t="n"/>
    </row>
    <row customHeight="1" ht="18" r="51" spans="1:27">
      <c r="A51" t="s">
        <v>24</v>
      </c>
      <c r="B51" s="6">
        <f>bkrcast_all!B51</f>
        <v/>
      </c>
      <c r="C51" s="6">
        <f>soundcast!C51</f>
        <v/>
      </c>
      <c r="D51" s="6">
        <f>bkrcast_all!C51</f>
        <v/>
      </c>
      <c r="E51" s="6">
        <f>bkrcast_inbkr!C51</f>
        <v/>
      </c>
      <c r="F51" s="6">
        <f>bkrcast_outbkr!C51</f>
        <v/>
      </c>
      <c r="G51" s="6" t="n"/>
      <c r="H51">
        <f>A51</f>
        <v/>
      </c>
      <c r="I51" s="21">
        <f>B51/B$56</f>
        <v/>
      </c>
      <c r="J51" s="21">
        <f>C51/C$56</f>
        <v/>
      </c>
      <c r="K51" s="21">
        <f>D51/D$56</f>
        <v/>
      </c>
      <c r="L51" s="21">
        <f>E51/E$56</f>
        <v/>
      </c>
      <c r="M51" s="21">
        <f>F51/F$56</f>
        <v/>
      </c>
      <c r="N51" s="21" t="n"/>
      <c r="O51">
        <f>H51</f>
        <v/>
      </c>
      <c r="P51" s="30">
        <f>B51/B21</f>
        <v/>
      </c>
      <c r="Q51" s="30">
        <f>C51/C21</f>
        <v/>
      </c>
      <c r="R51" s="30">
        <f>D51/D21</f>
        <v/>
      </c>
      <c r="S51" s="30">
        <f>E51/E21</f>
        <v/>
      </c>
      <c r="T51" s="30">
        <f>F51/F21</f>
        <v/>
      </c>
      <c r="U51" s="30" t="n"/>
      <c r="V51" s="21" t="n"/>
      <c r="W51" s="21" t="n"/>
    </row>
    <row customHeight="1" ht="18" r="52" spans="1:27">
      <c r="A52" t="s">
        <v>25</v>
      </c>
      <c r="B52" s="6">
        <f>bkrcast_all!B52</f>
        <v/>
      </c>
      <c r="C52" s="6">
        <f>soundcast!C52</f>
        <v/>
      </c>
      <c r="D52" s="6">
        <f>bkrcast_all!C52</f>
        <v/>
      </c>
      <c r="E52" s="6">
        <f>bkrcast_inbkr!C52</f>
        <v/>
      </c>
      <c r="F52" s="6">
        <f>bkrcast_outbkr!C52</f>
        <v/>
      </c>
      <c r="G52" s="6" t="n"/>
      <c r="H52">
        <f>A52</f>
        <v/>
      </c>
      <c r="I52" s="21">
        <f>B52/B$56</f>
        <v/>
      </c>
      <c r="J52" s="21">
        <f>C52/C$56</f>
        <v/>
      </c>
      <c r="K52" s="21">
        <f>D52/D$56</f>
        <v/>
      </c>
      <c r="L52" s="21">
        <f>E52/E$56</f>
        <v/>
      </c>
      <c r="M52" s="21">
        <f>F52/F$56</f>
        <v/>
      </c>
      <c r="N52" s="21" t="n"/>
      <c r="O52">
        <f>H52</f>
        <v/>
      </c>
      <c r="P52" s="30">
        <f>B52/B22</f>
        <v/>
      </c>
      <c r="Q52" s="30">
        <f>C52/C22</f>
        <v/>
      </c>
      <c r="R52" s="30">
        <f>D52/D22</f>
        <v/>
      </c>
      <c r="S52" s="30">
        <f>E52/E22</f>
        <v/>
      </c>
      <c r="T52" s="30">
        <f>F52/F22</f>
        <v/>
      </c>
      <c r="U52" s="30" t="n"/>
      <c r="V52" s="21" t="n"/>
      <c r="W52" s="21" t="n"/>
    </row>
    <row customHeight="1" ht="18" r="53" spans="1:27">
      <c r="A53" t="s">
        <v>26</v>
      </c>
      <c r="B53" s="6">
        <f>bkrcast_all!B53</f>
        <v/>
      </c>
      <c r="C53" s="6">
        <f>soundcast!C53</f>
        <v/>
      </c>
      <c r="D53" s="6">
        <f>bkrcast_all!C53</f>
        <v/>
      </c>
      <c r="E53" s="6">
        <f>bkrcast_inbkr!C53</f>
        <v/>
      </c>
      <c r="F53" s="6">
        <f>bkrcast_outbkr!C53</f>
        <v/>
      </c>
      <c r="G53" s="6" t="n"/>
      <c r="H53">
        <f>A53</f>
        <v/>
      </c>
      <c r="I53" s="21">
        <f>B53/B$56</f>
        <v/>
      </c>
      <c r="J53" s="21">
        <f>C53/C$56</f>
        <v/>
      </c>
      <c r="K53" s="21">
        <f>D53/D$56</f>
        <v/>
      </c>
      <c r="L53" s="21">
        <f>E53/E$56</f>
        <v/>
      </c>
      <c r="M53" s="21">
        <f>F53/F$56</f>
        <v/>
      </c>
      <c r="N53" s="21" t="n"/>
      <c r="O53">
        <f>H53</f>
        <v/>
      </c>
      <c r="P53" s="30">
        <f>B53/B23</f>
        <v/>
      </c>
      <c r="Q53" s="30">
        <f>C53/C23</f>
        <v/>
      </c>
      <c r="R53" s="30">
        <f>D53/D23</f>
        <v/>
      </c>
      <c r="S53" s="30">
        <f>E53/E23</f>
        <v/>
      </c>
      <c r="T53" s="30">
        <f>F53/F23</f>
        <v/>
      </c>
      <c r="U53" s="30" t="n"/>
      <c r="V53" s="21" t="n"/>
      <c r="W53" s="21" t="n"/>
    </row>
    <row customHeight="1" ht="18" r="54" spans="1:27">
      <c r="A54" t="s">
        <v>27</v>
      </c>
      <c r="B54" s="6">
        <f>bkrcast_all!B54</f>
        <v/>
      </c>
      <c r="C54" s="6">
        <f>soundcast!C54</f>
        <v/>
      </c>
      <c r="D54" s="6">
        <f>bkrcast_all!C54</f>
        <v/>
      </c>
      <c r="E54" s="6">
        <f>bkrcast_inbkr!C54</f>
        <v/>
      </c>
      <c r="F54" s="6">
        <f>bkrcast_outbkr!C54</f>
        <v/>
      </c>
      <c r="G54" s="6" t="n"/>
      <c r="H54">
        <f>A54</f>
        <v/>
      </c>
      <c r="I54" s="21">
        <f>B54/B$56</f>
        <v/>
      </c>
      <c r="J54" s="21">
        <f>C54/C$56</f>
        <v/>
      </c>
      <c r="K54" s="21">
        <f>D54/D$56</f>
        <v/>
      </c>
      <c r="L54" s="21">
        <f>E54/E$56</f>
        <v/>
      </c>
      <c r="M54" s="21">
        <f>F54/F$56</f>
        <v/>
      </c>
      <c r="N54" s="21" t="n"/>
      <c r="O54">
        <f>H54</f>
        <v/>
      </c>
      <c r="P54" s="30">
        <f>B54/B24</f>
        <v/>
      </c>
      <c r="Q54" s="30">
        <f>C54/C24</f>
        <v/>
      </c>
      <c r="R54" s="30">
        <f>D54/D24</f>
        <v/>
      </c>
      <c r="S54" s="30">
        <f>E54/E24</f>
        <v/>
      </c>
      <c r="T54" s="30">
        <f>F54/F24</f>
        <v/>
      </c>
      <c r="U54" s="30" t="n"/>
      <c r="V54" s="21" t="n"/>
      <c r="W54" s="21" t="n"/>
    </row>
    <row customHeight="1" ht="18" r="55" spans="1:27">
      <c r="A55" t="s">
        <v>28</v>
      </c>
      <c r="B55" s="6">
        <f>bkrcast_all!B55</f>
        <v/>
      </c>
      <c r="C55" s="6">
        <f>soundcast!C55</f>
        <v/>
      </c>
      <c r="D55" s="6">
        <f>bkrcast_all!C55</f>
        <v/>
      </c>
      <c r="E55" s="6">
        <f>bkrcast_inbkr!C55</f>
        <v/>
      </c>
      <c r="F55" s="6">
        <f>bkrcast_outbkr!C55</f>
        <v/>
      </c>
      <c r="G55" s="6" t="n"/>
      <c r="H55">
        <f>A55</f>
        <v/>
      </c>
      <c r="I55" s="22">
        <f>B55/B$56</f>
        <v/>
      </c>
      <c r="J55" s="22">
        <f>C55/C$56</f>
        <v/>
      </c>
      <c r="K55" s="22">
        <f>D55/D$56</f>
        <v/>
      </c>
      <c r="L55" s="22">
        <f>E55/E$56</f>
        <v/>
      </c>
      <c r="M55" s="22">
        <f>F55/F$56</f>
        <v/>
      </c>
      <c r="N55" s="21" t="n"/>
      <c r="O55">
        <f>H55</f>
        <v/>
      </c>
      <c r="P55" s="16">
        <f>B55/B25</f>
        <v/>
      </c>
      <c r="Q55" s="16">
        <f>C55/C25</f>
        <v/>
      </c>
      <c r="R55" s="16">
        <f>D55/D25</f>
        <v/>
      </c>
      <c r="S55" s="16">
        <f>E55/E25</f>
        <v/>
      </c>
      <c r="T55" s="16">
        <f>F55/F25</f>
        <v/>
      </c>
      <c r="U55" s="30" t="n"/>
      <c r="V55" s="21" t="n"/>
      <c r="W55" s="21" t="n"/>
    </row>
    <row customHeight="1" ht="18" r="56" spans="1:27">
      <c r="A56" s="7" t="s">
        <v>17</v>
      </c>
      <c r="B56" s="8">
        <f>bkrcast_all!B56</f>
        <v/>
      </c>
      <c r="C56" s="8">
        <f>soundcast!C56</f>
        <v/>
      </c>
      <c r="D56" s="8">
        <f>bkrcast_all!C56</f>
        <v/>
      </c>
      <c r="E56" s="8">
        <f>bkrcast_inbkr!C56</f>
        <v/>
      </c>
      <c r="F56" s="8">
        <f>bkrcast_outbkr!C56</f>
        <v/>
      </c>
      <c r="G56" s="6" t="n"/>
      <c r="H56" s="7" t="s">
        <v>17</v>
      </c>
      <c r="I56" s="25">
        <f>B56/B$56</f>
        <v/>
      </c>
      <c r="J56" s="25">
        <f>C56/C$56</f>
        <v/>
      </c>
      <c r="K56" s="25">
        <f>D56/D$56</f>
        <v/>
      </c>
      <c r="L56" s="25">
        <f>E56/E$56</f>
        <v/>
      </c>
      <c r="M56" s="25">
        <f>F56/F$56</f>
        <v/>
      </c>
      <c r="N56" s="21" t="n"/>
      <c r="O56" s="7">
        <f>H56</f>
        <v/>
      </c>
      <c r="P56" s="18">
        <f>B56/B26</f>
        <v/>
      </c>
      <c r="Q56" s="18">
        <f>C56/C26</f>
        <v/>
      </c>
      <c r="R56" s="18">
        <f>D56/D26</f>
        <v/>
      </c>
      <c r="S56" s="18">
        <f>E56/E26</f>
        <v/>
      </c>
      <c r="T56" s="18">
        <f>F56/F26</f>
        <v/>
      </c>
      <c r="U56" s="30" t="n"/>
    </row>
    <row customHeight="1" ht="18" r="57" spans="1:27"/>
    <row customHeight="1" ht="18" r="58" spans="1:27"/>
    <row customHeight="1" ht="18" r="59" spans="1:27"/>
    <row customHeight="1" ht="18" r="60" spans="1:27">
      <c r="A60" s="1" t="s">
        <v>42</v>
      </c>
      <c r="O60" s="1" t="s">
        <v>43</v>
      </c>
      <c r="W60" s="1" t="s">
        <v>44</v>
      </c>
    </row>
    <row customHeight="1" ht="18" r="61" spans="1:27">
      <c r="B61" s="2" t="n"/>
      <c r="C61" s="2" t="n"/>
      <c r="D61" s="2" t="n"/>
      <c r="E61" s="2" t="n"/>
      <c r="F61" s="2" t="n"/>
      <c r="I61" s="2" t="n"/>
      <c r="J61" s="2" t="n"/>
      <c r="K61" s="2" t="n"/>
      <c r="L61" s="2" t="n"/>
      <c r="M61" s="2" t="n"/>
      <c r="P61" s="2" t="n"/>
      <c r="Q61" s="2" t="n"/>
      <c r="R61" s="2" t="n"/>
      <c r="S61" s="2" t="n"/>
      <c r="T61" s="2" t="n"/>
      <c r="W61" s="2" t="n"/>
      <c r="X61" s="2" t="n"/>
      <c r="Y61" s="2" t="n"/>
      <c r="Z61" s="2" t="n"/>
      <c r="AA61" s="2" t="n"/>
    </row>
    <row customHeight="1" ht="18" r="62" spans="1:27">
      <c r="A62" s="3" t="s">
        <v>45</v>
      </c>
      <c r="B62" s="4" t="s">
        <v>20</v>
      </c>
      <c r="C62" s="4" t="s">
        <v>4</v>
      </c>
      <c r="D62" s="4" t="s">
        <v>5</v>
      </c>
      <c r="E62" s="4" t="s">
        <v>6</v>
      </c>
      <c r="F62" s="4" t="s">
        <v>7</v>
      </c>
      <c r="G62" s="29" t="n"/>
      <c r="H62" s="3">
        <f>A62</f>
        <v/>
      </c>
      <c r="I62" s="4" t="s">
        <v>20</v>
      </c>
      <c r="J62" s="4" t="s">
        <v>4</v>
      </c>
      <c r="K62" s="4" t="s">
        <v>5</v>
      </c>
      <c r="L62" s="4" t="s">
        <v>6</v>
      </c>
      <c r="M62" s="4" t="s">
        <v>7</v>
      </c>
      <c r="N62" s="29" t="n"/>
      <c r="O62" s="3">
        <f>H62</f>
        <v/>
      </c>
      <c r="P62" s="4" t="s">
        <v>20</v>
      </c>
      <c r="Q62" s="4" t="s">
        <v>4</v>
      </c>
      <c r="R62" s="4" t="s">
        <v>5</v>
      </c>
      <c r="S62" s="4" t="s">
        <v>6</v>
      </c>
      <c r="T62" s="4" t="s">
        <v>7</v>
      </c>
      <c r="U62" s="29" t="n"/>
      <c r="V62" s="3">
        <f>O62</f>
        <v/>
      </c>
      <c r="W62" s="4" t="s">
        <v>20</v>
      </c>
      <c r="X62" s="4" t="s">
        <v>4</v>
      </c>
      <c r="Y62" s="4" t="s">
        <v>5</v>
      </c>
      <c r="Z62" s="4" t="s">
        <v>6</v>
      </c>
      <c r="AA62" s="4" t="s">
        <v>7</v>
      </c>
    </row>
    <row customHeight="1" ht="18" r="63" spans="1:27">
      <c r="A63" t="s">
        <v>32</v>
      </c>
      <c r="B63" s="6">
        <f>bkrcast_all!B63</f>
        <v/>
      </c>
      <c r="C63" s="6">
        <f>soundcast!C63</f>
        <v/>
      </c>
      <c r="D63" s="6">
        <f>bkrcast_all!C63</f>
        <v/>
      </c>
      <c r="E63" s="6">
        <f>bkrcast_inbkr!C63</f>
        <v/>
      </c>
      <c r="F63" s="6">
        <f>bkrcast_outbkr!C63</f>
        <v/>
      </c>
      <c r="G63" s="6" t="n"/>
      <c r="H63">
        <f>A63</f>
        <v/>
      </c>
      <c r="I63" s="21">
        <f>B63/B$71</f>
        <v/>
      </c>
      <c r="J63" s="21">
        <f>C63/C$71</f>
        <v/>
      </c>
      <c r="K63" s="21">
        <f>D63/D$71</f>
        <v/>
      </c>
      <c r="L63" s="21">
        <f>E63/E$71</f>
        <v/>
      </c>
      <c r="M63" s="21">
        <f>F63/F$71</f>
        <v/>
      </c>
      <c r="N63" s="21" t="n"/>
      <c r="O63">
        <f>H63</f>
        <v/>
      </c>
      <c r="P63" s="30">
        <f>B63/B$26</f>
        <v/>
      </c>
      <c r="Q63" s="30">
        <f>C63/C$26</f>
        <v/>
      </c>
      <c r="R63" s="30">
        <f>D63/D$26</f>
        <v/>
      </c>
      <c r="S63" s="30">
        <f>E63/E$26</f>
        <v/>
      </c>
      <c r="T63" s="30">
        <f>F63/F$26</f>
        <v/>
      </c>
      <c r="U63" s="30" t="n"/>
      <c r="V63">
        <f>O63</f>
        <v/>
      </c>
      <c r="W63" s="26">
        <f>B63/B33</f>
        <v/>
      </c>
      <c r="X63" s="26">
        <f>C63/C33</f>
        <v/>
      </c>
      <c r="Y63" s="26">
        <f>D63/D33</f>
        <v/>
      </c>
      <c r="Z63" s="26">
        <f>E63/E33</f>
        <v/>
      </c>
      <c r="AA63" s="26">
        <f>F63/F33</f>
        <v/>
      </c>
    </row>
    <row customHeight="1" ht="18" r="64" spans="1:27">
      <c r="A64" t="s">
        <v>33</v>
      </c>
      <c r="B64" s="6">
        <f>bkrcast_all!B64</f>
        <v/>
      </c>
      <c r="C64" s="6">
        <f>soundcast!C64</f>
        <v/>
      </c>
      <c r="D64" s="6">
        <f>bkrcast_all!C64</f>
        <v/>
      </c>
      <c r="E64" s="6">
        <f>bkrcast_inbkr!C64</f>
        <v/>
      </c>
      <c r="F64" s="6">
        <f>bkrcast_outbkr!C64</f>
        <v/>
      </c>
      <c r="G64" s="6" t="n"/>
      <c r="H64">
        <f>A64</f>
        <v/>
      </c>
      <c r="I64" s="21">
        <f>B64/B$71</f>
        <v/>
      </c>
      <c r="J64" s="21">
        <f>C64/C$71</f>
        <v/>
      </c>
      <c r="K64" s="21">
        <f>D64/D$71</f>
        <v/>
      </c>
      <c r="L64" s="21">
        <f>E64/E$71</f>
        <v/>
      </c>
      <c r="M64" s="21">
        <f>F64/F$71</f>
        <v/>
      </c>
      <c r="N64" s="21" t="n"/>
      <c r="O64">
        <f>H64</f>
        <v/>
      </c>
      <c r="P64" s="30">
        <f>B64/B$26</f>
        <v/>
      </c>
      <c r="Q64" s="30">
        <f>C64/C$26</f>
        <v/>
      </c>
      <c r="R64" s="30">
        <f>D64/D$26</f>
        <v/>
      </c>
      <c r="S64" s="30">
        <f>E64/E$26</f>
        <v/>
      </c>
      <c r="T64" s="30">
        <f>F64/F$26</f>
        <v/>
      </c>
      <c r="U64" s="30" t="n"/>
      <c r="V64">
        <f>O64</f>
        <v/>
      </c>
      <c r="W64" s="30">
        <f>B64/B34</f>
        <v/>
      </c>
      <c r="X64" s="30">
        <f>C64/C34</f>
        <v/>
      </c>
      <c r="Y64" s="30">
        <f>D64/D34</f>
        <v/>
      </c>
      <c r="Z64" s="30">
        <f>E64/E34</f>
        <v/>
      </c>
      <c r="AA64" s="30">
        <f>F64/F34</f>
        <v/>
      </c>
    </row>
    <row customHeight="1" ht="18" r="65" spans="1:27">
      <c r="A65" t="s">
        <v>34</v>
      </c>
      <c r="B65" s="6">
        <f>bkrcast_all!B65</f>
        <v/>
      </c>
      <c r="C65" s="6">
        <f>soundcast!C65</f>
        <v/>
      </c>
      <c r="D65" s="6">
        <f>bkrcast_all!C65</f>
        <v/>
      </c>
      <c r="E65" s="6">
        <f>bkrcast_inbkr!C65</f>
        <v/>
      </c>
      <c r="F65" s="6">
        <f>bkrcast_outbkr!C65</f>
        <v/>
      </c>
      <c r="G65" s="6" t="n"/>
      <c r="H65">
        <f>A65</f>
        <v/>
      </c>
      <c r="I65" s="21">
        <f>B65/B$71</f>
        <v/>
      </c>
      <c r="J65" s="21">
        <f>C65/C$71</f>
        <v/>
      </c>
      <c r="K65" s="21">
        <f>D65/D$71</f>
        <v/>
      </c>
      <c r="L65" s="21">
        <f>E65/E$71</f>
        <v/>
      </c>
      <c r="M65" s="21">
        <f>F65/F$71</f>
        <v/>
      </c>
      <c r="N65" s="21" t="n"/>
      <c r="O65">
        <f>H65</f>
        <v/>
      </c>
      <c r="P65" s="30">
        <f>B65/B$26</f>
        <v/>
      </c>
      <c r="Q65" s="30">
        <f>C65/C$26</f>
        <v/>
      </c>
      <c r="R65" s="30">
        <f>D65/D$26</f>
        <v/>
      </c>
      <c r="S65" s="30">
        <f>E65/E$26</f>
        <v/>
      </c>
      <c r="T65" s="30">
        <f>F65/F$26</f>
        <v/>
      </c>
      <c r="U65" s="30" t="n"/>
      <c r="V65">
        <f>O65</f>
        <v/>
      </c>
      <c r="W65" s="30">
        <f>B65/B35</f>
        <v/>
      </c>
      <c r="X65" s="30">
        <f>C65/C35</f>
        <v/>
      </c>
      <c r="Y65" s="30">
        <f>D65/D35</f>
        <v/>
      </c>
      <c r="Z65" s="30">
        <f>E65/E35</f>
        <v/>
      </c>
      <c r="AA65" s="30">
        <f>F65/F35</f>
        <v/>
      </c>
    </row>
    <row customHeight="1" ht="18" r="66" spans="1:27">
      <c r="A66" t="s">
        <v>35</v>
      </c>
      <c r="B66" s="6">
        <f>bkrcast_all!B66</f>
        <v/>
      </c>
      <c r="C66" s="6">
        <f>soundcast!C66</f>
        <v/>
      </c>
      <c r="D66" s="6">
        <f>bkrcast_all!C66</f>
        <v/>
      </c>
      <c r="E66" s="6">
        <f>bkrcast_inbkr!C66</f>
        <v/>
      </c>
      <c r="F66" s="6">
        <f>bkrcast_outbkr!C66</f>
        <v/>
      </c>
      <c r="G66" s="6" t="n"/>
      <c r="H66">
        <f>A66</f>
        <v/>
      </c>
      <c r="I66" s="21">
        <f>B66/B$71</f>
        <v/>
      </c>
      <c r="J66" s="21">
        <f>C66/C$71</f>
        <v/>
      </c>
      <c r="K66" s="21">
        <f>D66/D$71</f>
        <v/>
      </c>
      <c r="L66" s="21">
        <f>E66/E$71</f>
        <v/>
      </c>
      <c r="M66" s="21">
        <f>F66/F$71</f>
        <v/>
      </c>
      <c r="N66" s="21" t="n"/>
      <c r="O66">
        <f>H66</f>
        <v/>
      </c>
      <c r="P66" s="30">
        <f>B66/B$26</f>
        <v/>
      </c>
      <c r="Q66" s="30">
        <f>C66/C$26</f>
        <v/>
      </c>
      <c r="R66" s="30">
        <f>D66/D$26</f>
        <v/>
      </c>
      <c r="S66" s="30">
        <f>E66/E$26</f>
        <v/>
      </c>
      <c r="T66" s="30">
        <f>F66/F$26</f>
        <v/>
      </c>
      <c r="U66" s="30" t="n"/>
      <c r="V66">
        <f>O66</f>
        <v/>
      </c>
      <c r="W66" s="30">
        <f>B66/B36</f>
        <v/>
      </c>
      <c r="X66" s="30">
        <f>C66/C36</f>
        <v/>
      </c>
      <c r="Y66" s="30">
        <f>D66/D36</f>
        <v/>
      </c>
      <c r="Z66" s="30">
        <f>E66/E36</f>
        <v/>
      </c>
      <c r="AA66" s="30">
        <f>F66/F36</f>
        <v/>
      </c>
    </row>
    <row customHeight="1" ht="18" r="67" spans="1:27">
      <c r="A67" t="s">
        <v>36</v>
      </c>
      <c r="B67" s="6">
        <f>bkrcast_all!B67</f>
        <v/>
      </c>
      <c r="C67" s="6">
        <f>soundcast!C67</f>
        <v/>
      </c>
      <c r="D67" s="6">
        <f>bkrcast_all!C67</f>
        <v/>
      </c>
      <c r="E67" s="6">
        <f>bkrcast_inbkr!C67</f>
        <v/>
      </c>
      <c r="F67" s="6">
        <f>bkrcast_outbkr!C67</f>
        <v/>
      </c>
      <c r="G67" s="6" t="n"/>
      <c r="H67">
        <f>A67</f>
        <v/>
      </c>
      <c r="I67" s="21">
        <f>B67/B$71</f>
        <v/>
      </c>
      <c r="J67" s="21">
        <f>C67/C$71</f>
        <v/>
      </c>
      <c r="K67" s="21">
        <f>D67/D$71</f>
        <v/>
      </c>
      <c r="L67" s="21">
        <f>E67/E$71</f>
        <v/>
      </c>
      <c r="M67" s="21">
        <f>F67/F$71</f>
        <v/>
      </c>
      <c r="N67" s="21" t="n"/>
      <c r="O67">
        <f>H67</f>
        <v/>
      </c>
      <c r="P67" s="30">
        <f>B67/B$26</f>
        <v/>
      </c>
      <c r="Q67" s="30">
        <f>C67/C$26</f>
        <v/>
      </c>
      <c r="R67" s="30">
        <f>D67/D$26</f>
        <v/>
      </c>
      <c r="S67" s="30">
        <f>E67/E$26</f>
        <v/>
      </c>
      <c r="T67" s="30">
        <f>F67/F$26</f>
        <v/>
      </c>
      <c r="U67" s="30" t="n"/>
      <c r="V67">
        <f>O67</f>
        <v/>
      </c>
      <c r="W67" s="30">
        <f>B67/B37</f>
        <v/>
      </c>
      <c r="X67" s="30">
        <f>C67/C37</f>
        <v/>
      </c>
      <c r="Y67" s="30">
        <f>D67/D37</f>
        <v/>
      </c>
      <c r="Z67" s="30">
        <f>E67/E37</f>
        <v/>
      </c>
      <c r="AA67" s="30">
        <f>F67/F37</f>
        <v/>
      </c>
    </row>
    <row customHeight="1" ht="18" r="68" spans="1:27">
      <c r="A68" t="s">
        <v>37</v>
      </c>
      <c r="B68" s="6">
        <f>bkrcast_all!B68</f>
        <v/>
      </c>
      <c r="C68" s="6">
        <f>soundcast!C68</f>
        <v/>
      </c>
      <c r="D68" s="6">
        <f>bkrcast_all!C68</f>
        <v/>
      </c>
      <c r="E68" s="6">
        <f>bkrcast_inbkr!C68</f>
        <v/>
      </c>
      <c r="F68" s="6">
        <f>bkrcast_outbkr!C68</f>
        <v/>
      </c>
      <c r="G68" s="6" t="n"/>
      <c r="H68">
        <f>A68</f>
        <v/>
      </c>
      <c r="I68" s="21">
        <f>B68/B$71</f>
        <v/>
      </c>
      <c r="J68" s="21">
        <f>C68/C$71</f>
        <v/>
      </c>
      <c r="K68" s="21">
        <f>D68/D$71</f>
        <v/>
      </c>
      <c r="L68" s="21">
        <f>E68/E$71</f>
        <v/>
      </c>
      <c r="M68" s="21">
        <f>F68/F$71</f>
        <v/>
      </c>
      <c r="N68" s="21" t="n"/>
      <c r="O68">
        <f>H68</f>
        <v/>
      </c>
      <c r="P68" s="30">
        <f>B68/B$26</f>
        <v/>
      </c>
      <c r="Q68" s="30">
        <f>C68/C$26</f>
        <v/>
      </c>
      <c r="R68" s="30">
        <f>D68/D$26</f>
        <v/>
      </c>
      <c r="S68" s="30">
        <f>E68/E$26</f>
        <v/>
      </c>
      <c r="T68" s="30">
        <f>F68/F$26</f>
        <v/>
      </c>
      <c r="U68" s="30" t="n"/>
      <c r="V68">
        <f>O68</f>
        <v/>
      </c>
      <c r="W68" s="30">
        <f>B68/B38</f>
        <v/>
      </c>
      <c r="X68" s="30">
        <f>C68/C38</f>
        <v/>
      </c>
      <c r="Y68" s="30">
        <f>D68/D38</f>
        <v/>
      </c>
      <c r="Z68" s="30">
        <f>E68/E38</f>
        <v/>
      </c>
      <c r="AA68" s="30">
        <f>F68/F38</f>
        <v/>
      </c>
    </row>
    <row customHeight="1" ht="18" r="69" spans="1:27">
      <c r="A69" t="s">
        <v>38</v>
      </c>
      <c r="B69" s="6">
        <f>bkrcast_all!B69</f>
        <v/>
      </c>
      <c r="C69" s="6">
        <f>soundcast!C69</f>
        <v/>
      </c>
      <c r="D69" s="6">
        <f>bkrcast_all!C69</f>
        <v/>
      </c>
      <c r="E69" s="6">
        <f>bkrcast_inbkr!C69</f>
        <v/>
      </c>
      <c r="F69" s="6">
        <f>bkrcast_outbkr!C69</f>
        <v/>
      </c>
      <c r="G69" s="6" t="n"/>
      <c r="H69">
        <f>A69</f>
        <v/>
      </c>
      <c r="I69" s="21">
        <f>B69/B$71</f>
        <v/>
      </c>
      <c r="J69" s="21">
        <f>C69/C$71</f>
        <v/>
      </c>
      <c r="K69" s="21">
        <f>D69/D$71</f>
        <v/>
      </c>
      <c r="L69" s="21">
        <f>E69/E$71</f>
        <v/>
      </c>
      <c r="M69" s="21">
        <f>F69/F$71</f>
        <v/>
      </c>
      <c r="N69" s="21" t="n"/>
      <c r="O69">
        <f>H69</f>
        <v/>
      </c>
      <c r="P69" s="30">
        <f>B69/B$26</f>
        <v/>
      </c>
      <c r="Q69" s="30">
        <f>C69/C$26</f>
        <v/>
      </c>
      <c r="R69" s="30">
        <f>D69/D$26</f>
        <v/>
      </c>
      <c r="S69" s="30">
        <f>E69/E$26</f>
        <v/>
      </c>
      <c r="T69" s="30">
        <f>F69/F$26</f>
        <v/>
      </c>
      <c r="U69" s="30" t="n"/>
      <c r="V69">
        <f>O69</f>
        <v/>
      </c>
      <c r="W69" s="30">
        <f>B69/B39</f>
        <v/>
      </c>
      <c r="X69" s="30">
        <f>C69/C39</f>
        <v/>
      </c>
      <c r="Y69" s="30">
        <f>D69/D39</f>
        <v/>
      </c>
      <c r="Z69" s="30">
        <f>E69/E39</f>
        <v/>
      </c>
      <c r="AA69" s="30">
        <f>F69/F39</f>
        <v/>
      </c>
    </row>
    <row customHeight="1" ht="18" r="70" spans="1:27">
      <c r="A70" s="19" t="s">
        <v>46</v>
      </c>
      <c r="B70" s="6">
        <f>bkrcast_all!B70</f>
        <v/>
      </c>
      <c r="C70" s="6">
        <f>soundcast!C70</f>
        <v/>
      </c>
      <c r="D70" s="6">
        <f>bkrcast_all!C70</f>
        <v/>
      </c>
      <c r="E70" s="6">
        <f>bkrcast_inbkr!C70</f>
        <v/>
      </c>
      <c r="F70" s="6">
        <f>bkrcast_outbkr!C70</f>
        <v/>
      </c>
      <c r="G70" s="6" t="n"/>
      <c r="H70">
        <f>A70</f>
        <v/>
      </c>
      <c r="I70" s="22">
        <f>B70/B$71</f>
        <v/>
      </c>
      <c r="J70" s="22">
        <f>C70/C$71</f>
        <v/>
      </c>
      <c r="K70" s="22">
        <f>D70/D$71</f>
        <v/>
      </c>
      <c r="L70" s="22">
        <f>E70/E$71</f>
        <v/>
      </c>
      <c r="M70" s="22">
        <f>F70/F$71</f>
        <v/>
      </c>
      <c r="N70" s="21" t="n"/>
      <c r="O70">
        <f>H70</f>
        <v/>
      </c>
      <c r="P70" s="16">
        <f>B70/B$26</f>
        <v/>
      </c>
      <c r="Q70" s="16">
        <f>C70/C$26</f>
        <v/>
      </c>
      <c r="R70" s="16">
        <f>D70/D$26</f>
        <v/>
      </c>
      <c r="S70" s="16">
        <f>E70/E$26</f>
        <v/>
      </c>
      <c r="T70" s="16">
        <f>F70/F$26</f>
        <v/>
      </c>
      <c r="U70" s="30" t="n"/>
      <c r="V70">
        <f>O70</f>
        <v/>
      </c>
      <c r="W70" s="16" t="n"/>
      <c r="X70" s="16" t="n"/>
      <c r="Y70" s="16" t="n"/>
      <c r="Z70" s="16" t="n"/>
      <c r="AA70" s="16" t="n"/>
    </row>
    <row customHeight="1" ht="18" r="71" spans="1:27">
      <c r="A71" s="7" t="s">
        <v>17</v>
      </c>
      <c r="B71" s="8">
        <f>bkrcast_all!B71</f>
        <v/>
      </c>
      <c r="C71" s="8">
        <f>soundcast!C71</f>
        <v/>
      </c>
      <c r="D71" s="8">
        <f>bkrcast_all!C71</f>
        <v/>
      </c>
      <c r="E71" s="8">
        <f>bkrcast_inbkr!C71</f>
        <v/>
      </c>
      <c r="F71" s="8">
        <f>bkrcast_outbkr!C71</f>
        <v/>
      </c>
      <c r="G71" s="6" t="n"/>
      <c r="H71" s="7" t="s">
        <v>17</v>
      </c>
      <c r="I71" s="25">
        <f>B71/B$71</f>
        <v/>
      </c>
      <c r="J71" s="25">
        <f>C71/C$71</f>
        <v/>
      </c>
      <c r="K71" s="25">
        <f>D71/D$71</f>
        <v/>
      </c>
      <c r="L71" s="25">
        <f>E71/E$71</f>
        <v/>
      </c>
      <c r="M71" s="25">
        <f>F71/F$71</f>
        <v/>
      </c>
      <c r="N71" s="21" t="n"/>
      <c r="O71" s="7">
        <f>H71</f>
        <v/>
      </c>
      <c r="P71" s="18">
        <f>B71/B$26</f>
        <v/>
      </c>
      <c r="Q71" s="18">
        <f>C71/C$26</f>
        <v/>
      </c>
      <c r="R71" s="18">
        <f>D71/D$26</f>
        <v/>
      </c>
      <c r="S71" s="18">
        <f>E71/E$26</f>
        <v/>
      </c>
      <c r="T71" s="18">
        <f>F71/F$26</f>
        <v/>
      </c>
      <c r="U71" s="30" t="n"/>
      <c r="V71" s="7">
        <f>O71</f>
        <v/>
      </c>
      <c r="W71" s="18">
        <f>B71/B41</f>
        <v/>
      </c>
      <c r="X71" s="18">
        <f>C71/C41</f>
        <v/>
      </c>
      <c r="Y71" s="18">
        <f>D71/D41</f>
        <v/>
      </c>
      <c r="Z71" s="18">
        <f>E71/E41</f>
        <v/>
      </c>
      <c r="AA71" s="18">
        <f>F71/F41</f>
        <v/>
      </c>
    </row>
    <row customHeight="1" ht="18" r="72" spans="1:27"/>
    <row customHeight="1" ht="18" r="73" spans="1:27"/>
    <row customHeight="1" ht="18" r="74" spans="1:27"/>
    <row customHeight="1" ht="18" r="75" spans="1:27">
      <c r="A75" s="1" t="s">
        <v>47</v>
      </c>
      <c r="O75" s="1" t="s">
        <v>48</v>
      </c>
    </row>
    <row customHeight="1" ht="18" r="76" spans="1:27">
      <c r="B76" s="2" t="n"/>
      <c r="C76" s="2" t="n"/>
      <c r="D76" s="2" t="n"/>
      <c r="E76" s="2" t="n"/>
      <c r="F76" s="2" t="n"/>
      <c r="I76" s="2" t="n"/>
      <c r="J76" s="2" t="n"/>
      <c r="K76" s="2" t="n"/>
      <c r="L76" s="2" t="n"/>
      <c r="M76" s="2" t="n"/>
      <c r="P76" s="2" t="n"/>
      <c r="Q76" s="2" t="n"/>
      <c r="R76" s="2" t="n"/>
      <c r="S76" s="2" t="n"/>
      <c r="T76" s="2" t="n"/>
    </row>
    <row customHeight="1" ht="18" r="77" spans="1:27">
      <c r="A77" s="3" t="s">
        <v>19</v>
      </c>
      <c r="B77" s="4" t="s">
        <v>20</v>
      </c>
      <c r="C77" s="4" t="s">
        <v>4</v>
      </c>
      <c r="D77" s="4" t="s">
        <v>5</v>
      </c>
      <c r="E77" s="4" t="s">
        <v>6</v>
      </c>
      <c r="F77" s="4" t="s">
        <v>7</v>
      </c>
      <c r="G77" s="29" t="n"/>
      <c r="H77" s="3" t="s">
        <v>19</v>
      </c>
      <c r="I77" s="4" t="s">
        <v>20</v>
      </c>
      <c r="J77" s="4" t="s">
        <v>4</v>
      </c>
      <c r="K77" s="4" t="s">
        <v>5</v>
      </c>
      <c r="L77" s="4" t="s">
        <v>6</v>
      </c>
      <c r="M77" s="4" t="s">
        <v>7</v>
      </c>
      <c r="N77" s="29" t="n"/>
      <c r="O77" s="3">
        <f>H77</f>
        <v/>
      </c>
      <c r="P77" s="4" t="s">
        <v>20</v>
      </c>
      <c r="Q77" s="4" t="s">
        <v>4</v>
      </c>
      <c r="R77" s="4" t="s">
        <v>5</v>
      </c>
      <c r="S77" s="4" t="s">
        <v>6</v>
      </c>
      <c r="T77" s="4" t="s">
        <v>7</v>
      </c>
      <c r="U77" s="29" t="n"/>
    </row>
    <row customHeight="1" ht="18" r="78" spans="1:27">
      <c r="A78" t="s">
        <v>21</v>
      </c>
      <c r="B78" s="6">
        <f>bkrcast_all!B78</f>
        <v/>
      </c>
      <c r="C78" s="6">
        <f>soundcast!C78</f>
        <v/>
      </c>
      <c r="D78" s="6">
        <f>bkrcast_all!C78</f>
        <v/>
      </c>
      <c r="E78" s="6">
        <f>bkrcast_inbkr!C78</f>
        <v/>
      </c>
      <c r="F78" s="6">
        <f>bkrcast_outbkr!C78</f>
        <v/>
      </c>
      <c r="G78" s="6" t="n"/>
      <c r="H78">
        <f>A78</f>
        <v/>
      </c>
      <c r="I78" s="27">
        <f>B78/B$86</f>
        <v/>
      </c>
      <c r="J78" s="27">
        <f>C78/C$86</f>
        <v/>
      </c>
      <c r="K78" s="27">
        <f>D78/D$86</f>
        <v/>
      </c>
      <c r="L78" s="27">
        <f>E78/E$86</f>
        <v/>
      </c>
      <c r="M78" s="27">
        <f>F78/F$86</f>
        <v/>
      </c>
      <c r="N78" s="21" t="n"/>
      <c r="O78">
        <f>H78</f>
        <v/>
      </c>
      <c r="P78" s="30">
        <f>B78/B18</f>
        <v/>
      </c>
      <c r="Q78" s="30">
        <f>C78/C18</f>
        <v/>
      </c>
      <c r="R78" s="30">
        <f>D78/D18</f>
        <v/>
      </c>
      <c r="S78" s="30">
        <f>E78/E18</f>
        <v/>
      </c>
      <c r="T78" s="30">
        <f>F78/F18</f>
        <v/>
      </c>
      <c r="U78" s="30" t="n"/>
    </row>
    <row customHeight="1" ht="18" r="79" spans="1:27">
      <c r="A79" t="s">
        <v>22</v>
      </c>
      <c r="B79" s="6">
        <f>bkrcast_all!B79</f>
        <v/>
      </c>
      <c r="C79" s="6">
        <f>soundcast!C79</f>
        <v/>
      </c>
      <c r="D79" s="6">
        <f>bkrcast_all!C79</f>
        <v/>
      </c>
      <c r="E79" s="6">
        <f>bkrcast_inbkr!C79</f>
        <v/>
      </c>
      <c r="F79" s="6">
        <f>bkrcast_outbkr!C79</f>
        <v/>
      </c>
      <c r="G79" s="6" t="n"/>
      <c r="H79">
        <f>A79</f>
        <v/>
      </c>
      <c r="I79" s="21">
        <f>B79/B$86</f>
        <v/>
      </c>
      <c r="J79" s="21">
        <f>C79/C$86</f>
        <v/>
      </c>
      <c r="K79" s="21">
        <f>D79/D$86</f>
        <v/>
      </c>
      <c r="L79" s="21">
        <f>E79/E$86</f>
        <v/>
      </c>
      <c r="M79" s="21">
        <f>F79/F$86</f>
        <v/>
      </c>
      <c r="N79" s="21" t="n"/>
      <c r="O79">
        <f>H79</f>
        <v/>
      </c>
      <c r="P79" s="30">
        <f>B79/B19</f>
        <v/>
      </c>
      <c r="Q79" s="30">
        <f>C79/C19</f>
        <v/>
      </c>
      <c r="R79" s="30">
        <f>D79/D19</f>
        <v/>
      </c>
      <c r="S79" s="30">
        <f>E79/E19</f>
        <v/>
      </c>
      <c r="T79" s="30">
        <f>F79/F19</f>
        <v/>
      </c>
      <c r="U79" s="30" t="n"/>
    </row>
    <row customHeight="1" ht="18" r="80" spans="1:27">
      <c r="A80" t="s">
        <v>23</v>
      </c>
      <c r="B80" s="6">
        <f>bkrcast_all!B80</f>
        <v/>
      </c>
      <c r="C80" s="6">
        <f>soundcast!C80</f>
        <v/>
      </c>
      <c r="D80" s="6">
        <f>bkrcast_all!C80</f>
        <v/>
      </c>
      <c r="E80" s="6">
        <f>bkrcast_inbkr!C80</f>
        <v/>
      </c>
      <c r="F80" s="6">
        <f>bkrcast_outbkr!C80</f>
        <v/>
      </c>
      <c r="G80" s="6" t="n"/>
      <c r="H80">
        <f>A80</f>
        <v/>
      </c>
      <c r="I80" s="21">
        <f>B80/B$86</f>
        <v/>
      </c>
      <c r="J80" s="21">
        <f>C80/C$86</f>
        <v/>
      </c>
      <c r="K80" s="21">
        <f>D80/D$86</f>
        <v/>
      </c>
      <c r="L80" s="21">
        <f>E80/E$86</f>
        <v/>
      </c>
      <c r="M80" s="21">
        <f>F80/F$86</f>
        <v/>
      </c>
      <c r="N80" s="21" t="n"/>
      <c r="O80">
        <f>H80</f>
        <v/>
      </c>
      <c r="P80" s="30">
        <f>B80/B20</f>
        <v/>
      </c>
      <c r="Q80" s="30">
        <f>C80/C20</f>
        <v/>
      </c>
      <c r="R80" s="30">
        <f>D80/D20</f>
        <v/>
      </c>
      <c r="S80" s="30">
        <f>E80/E20</f>
        <v/>
      </c>
      <c r="T80" s="30">
        <f>F80/F20</f>
        <v/>
      </c>
      <c r="U80" s="30" t="n"/>
    </row>
    <row customHeight="1" ht="18" r="81" spans="1:27">
      <c r="A81" t="s">
        <v>24</v>
      </c>
      <c r="B81" s="6">
        <f>bkrcast_all!B81</f>
        <v/>
      </c>
      <c r="C81" s="6">
        <f>soundcast!C81</f>
        <v/>
      </c>
      <c r="D81" s="6">
        <f>bkrcast_all!C81</f>
        <v/>
      </c>
      <c r="E81" s="6">
        <f>bkrcast_inbkr!C81</f>
        <v/>
      </c>
      <c r="F81" s="6">
        <f>bkrcast_outbkr!C81</f>
        <v/>
      </c>
      <c r="G81" s="6" t="n"/>
      <c r="H81">
        <f>A81</f>
        <v/>
      </c>
      <c r="I81" s="21">
        <f>B81/B$86</f>
        <v/>
      </c>
      <c r="J81" s="21">
        <f>C81/C$86</f>
        <v/>
      </c>
      <c r="K81" s="21">
        <f>D81/D$86</f>
        <v/>
      </c>
      <c r="L81" s="21">
        <f>E81/E$86</f>
        <v/>
      </c>
      <c r="M81" s="21">
        <f>F81/F$86</f>
        <v/>
      </c>
      <c r="N81" s="21" t="n"/>
      <c r="O81">
        <f>H81</f>
        <v/>
      </c>
      <c r="P81" s="30">
        <f>B81/B21</f>
        <v/>
      </c>
      <c r="Q81" s="30">
        <f>C81/C21</f>
        <v/>
      </c>
      <c r="R81" s="30">
        <f>D81/D21</f>
        <v/>
      </c>
      <c r="S81" s="30">
        <f>E81/E21</f>
        <v/>
      </c>
      <c r="T81" s="30">
        <f>F81/F21</f>
        <v/>
      </c>
      <c r="U81" s="30" t="n"/>
    </row>
    <row customHeight="1" ht="18" r="82" spans="1:27">
      <c r="A82" t="s">
        <v>25</v>
      </c>
      <c r="B82" s="6">
        <f>bkrcast_all!B82</f>
        <v/>
      </c>
      <c r="C82" s="6">
        <f>soundcast!C82</f>
        <v/>
      </c>
      <c r="D82" s="6">
        <f>bkrcast_all!C82</f>
        <v/>
      </c>
      <c r="E82" s="6">
        <f>bkrcast_inbkr!C82</f>
        <v/>
      </c>
      <c r="F82" s="6">
        <f>bkrcast_outbkr!C82</f>
        <v/>
      </c>
      <c r="G82" s="6" t="n"/>
      <c r="H82">
        <f>A82</f>
        <v/>
      </c>
      <c r="I82" s="21">
        <f>B82/B$86</f>
        <v/>
      </c>
      <c r="J82" s="21">
        <f>C82/C$86</f>
        <v/>
      </c>
      <c r="K82" s="21">
        <f>D82/D$86</f>
        <v/>
      </c>
      <c r="L82" s="21">
        <f>E82/E$86</f>
        <v/>
      </c>
      <c r="M82" s="21">
        <f>F82/F$86</f>
        <v/>
      </c>
      <c r="N82" s="21" t="n"/>
      <c r="O82">
        <f>H82</f>
        <v/>
      </c>
      <c r="P82" s="30">
        <f>B82/B22</f>
        <v/>
      </c>
      <c r="Q82" s="30">
        <f>C82/C22</f>
        <v/>
      </c>
      <c r="R82" s="30">
        <f>D82/D22</f>
        <v/>
      </c>
      <c r="S82" s="30">
        <f>E82/E22</f>
        <v/>
      </c>
      <c r="T82" s="30">
        <f>F82/F22</f>
        <v/>
      </c>
      <c r="U82" s="30" t="n"/>
    </row>
    <row customHeight="1" ht="18" r="83" spans="1:27">
      <c r="A83" t="s">
        <v>26</v>
      </c>
      <c r="B83" s="6">
        <f>bkrcast_all!B83</f>
        <v/>
      </c>
      <c r="C83" s="6">
        <f>soundcast!C83</f>
        <v/>
      </c>
      <c r="D83" s="6">
        <f>bkrcast_all!C83</f>
        <v/>
      </c>
      <c r="E83" s="6">
        <f>bkrcast_inbkr!C83</f>
        <v/>
      </c>
      <c r="F83" s="6">
        <f>bkrcast_outbkr!C83</f>
        <v/>
      </c>
      <c r="G83" s="6" t="n"/>
      <c r="H83">
        <f>A83</f>
        <v/>
      </c>
      <c r="I83" s="21">
        <f>B83/B$86</f>
        <v/>
      </c>
      <c r="J83" s="21">
        <f>C83/C$86</f>
        <v/>
      </c>
      <c r="K83" s="21">
        <f>D83/D$86</f>
        <v/>
      </c>
      <c r="L83" s="21">
        <f>E83/E$86</f>
        <v/>
      </c>
      <c r="M83" s="21">
        <f>F83/F$86</f>
        <v/>
      </c>
      <c r="N83" s="21" t="n"/>
      <c r="O83">
        <f>H83</f>
        <v/>
      </c>
      <c r="P83" s="30">
        <f>B83/B23</f>
        <v/>
      </c>
      <c r="Q83" s="30">
        <f>C83/C23</f>
        <v/>
      </c>
      <c r="R83" s="30">
        <f>D83/D23</f>
        <v/>
      </c>
      <c r="S83" s="30">
        <f>E83/E23</f>
        <v/>
      </c>
      <c r="T83" s="30">
        <f>F83/F23</f>
        <v/>
      </c>
      <c r="U83" s="30" t="n"/>
    </row>
    <row customHeight="1" ht="18" r="84" spans="1:27">
      <c r="A84" t="s">
        <v>27</v>
      </c>
      <c r="B84" s="6">
        <f>bkrcast_all!B84</f>
        <v/>
      </c>
      <c r="C84" s="6">
        <f>soundcast!C84</f>
        <v/>
      </c>
      <c r="D84" s="6">
        <f>bkrcast_all!C84</f>
        <v/>
      </c>
      <c r="E84" s="6">
        <f>bkrcast_inbkr!C84</f>
        <v/>
      </c>
      <c r="F84" s="6">
        <f>bkrcast_outbkr!C84</f>
        <v/>
      </c>
      <c r="G84" s="6" t="n"/>
      <c r="H84">
        <f>A84</f>
        <v/>
      </c>
      <c r="I84" s="21">
        <f>B84/B$86</f>
        <v/>
      </c>
      <c r="J84" s="21">
        <f>C84/C$86</f>
        <v/>
      </c>
      <c r="K84" s="21">
        <f>D84/D$86</f>
        <v/>
      </c>
      <c r="L84" s="21">
        <f>E84/E$86</f>
        <v/>
      </c>
      <c r="M84" s="21">
        <f>F84/F$86</f>
        <v/>
      </c>
      <c r="N84" s="21" t="n"/>
      <c r="O84">
        <f>H84</f>
        <v/>
      </c>
      <c r="P84" s="30">
        <f>B84/B24</f>
        <v/>
      </c>
      <c r="Q84" s="30">
        <f>C84/C24</f>
        <v/>
      </c>
      <c r="R84" s="30">
        <f>D84/D24</f>
        <v/>
      </c>
      <c r="S84" s="30">
        <f>E84/E24</f>
        <v/>
      </c>
      <c r="T84" s="30">
        <f>F84/F24</f>
        <v/>
      </c>
      <c r="U84" s="30" t="n"/>
    </row>
    <row customHeight="1" ht="18" r="85" spans="1:27">
      <c r="A85" t="s">
        <v>28</v>
      </c>
      <c r="B85" s="6">
        <f>bkrcast_all!B85</f>
        <v/>
      </c>
      <c r="C85" s="6">
        <f>soundcast!C85</f>
        <v/>
      </c>
      <c r="D85" s="6">
        <f>bkrcast_all!C85</f>
        <v/>
      </c>
      <c r="E85" s="6">
        <f>bkrcast_inbkr!C85</f>
        <v/>
      </c>
      <c r="F85" s="6">
        <f>bkrcast_outbkr!C85</f>
        <v/>
      </c>
      <c r="G85" s="6" t="n"/>
      <c r="H85">
        <f>A85</f>
        <v/>
      </c>
      <c r="I85" s="22">
        <f>B85/B$86</f>
        <v/>
      </c>
      <c r="J85" s="22">
        <f>C85/C$86</f>
        <v/>
      </c>
      <c r="K85" s="22">
        <f>D85/D$86</f>
        <v/>
      </c>
      <c r="L85" s="22">
        <f>E85/E$86</f>
        <v/>
      </c>
      <c r="M85" s="22">
        <f>F85/F$86</f>
        <v/>
      </c>
      <c r="N85" s="21" t="n"/>
      <c r="O85">
        <f>H85</f>
        <v/>
      </c>
      <c r="P85" s="16">
        <f>B85/B25</f>
        <v/>
      </c>
      <c r="Q85" s="16">
        <f>C85/C25</f>
        <v/>
      </c>
      <c r="R85" s="16">
        <f>D85/D25</f>
        <v/>
      </c>
      <c r="S85" s="16">
        <f>E85/E25</f>
        <v/>
      </c>
      <c r="T85" s="16">
        <f>F85/F25</f>
        <v/>
      </c>
      <c r="U85" s="30" t="n"/>
    </row>
    <row customHeight="1" ht="18" r="86" spans="1:27">
      <c r="A86" s="7" t="s">
        <v>17</v>
      </c>
      <c r="B86" s="8">
        <f>bkrcast_all!B86</f>
        <v/>
      </c>
      <c r="C86" s="8">
        <f>soundcast!C86</f>
        <v/>
      </c>
      <c r="D86" s="8">
        <f>bkrcast_all!C86</f>
        <v/>
      </c>
      <c r="E86" s="8">
        <f>bkrcast_inbkr!C86</f>
        <v/>
      </c>
      <c r="F86" s="8">
        <f>bkrcast_outbkr!C86</f>
        <v/>
      </c>
      <c r="G86" s="6" t="n"/>
      <c r="H86" s="7" t="s">
        <v>17</v>
      </c>
      <c r="I86" s="25">
        <f>B86/B$86</f>
        <v/>
      </c>
      <c r="J86" s="25">
        <f>C86/C$86</f>
        <v/>
      </c>
      <c r="K86" s="25">
        <f>D86/D$86</f>
        <v/>
      </c>
      <c r="L86" s="25">
        <f>E86/E$86</f>
        <v/>
      </c>
      <c r="M86" s="25">
        <f>F86/F$86</f>
        <v/>
      </c>
      <c r="N86" s="21" t="n"/>
      <c r="O86" s="7">
        <f>H86</f>
        <v/>
      </c>
      <c r="P86" s="18">
        <f>B86/B26</f>
        <v/>
      </c>
      <c r="Q86" s="18">
        <f>C86/C26</f>
        <v/>
      </c>
      <c r="R86" s="18">
        <f>D86/D26</f>
        <v/>
      </c>
      <c r="S86" s="18">
        <f>E86/E26</f>
        <v/>
      </c>
      <c r="T86" s="18">
        <f>F86/F26</f>
        <v/>
      </c>
      <c r="U86" s="30" t="n"/>
      <c r="V86" s="30" t="n"/>
    </row>
    <row customHeight="1" ht="18" r="87" spans="1:27"/>
    <row customHeight="1" ht="18" r="88" spans="1:27"/>
    <row customHeight="1" ht="18" r="89" spans="1:27"/>
    <row customHeight="1" ht="18" r="90" spans="1:27"/>
    <row customHeight="1" ht="18" r="91" spans="1:27"/>
    <row customHeight="1" ht="18" r="92" spans="1:27"/>
    <row customHeight="1" ht="18" r="93" spans="1:27"/>
    <row customHeight="1" ht="18" r="94" spans="1:27"/>
    <row customHeight="1" ht="18" r="95" spans="1:27"/>
    <row customHeight="1" ht="18" r="96" spans="1:27"/>
    <row customHeight="1" ht="18" r="97" spans="1:27"/>
    <row customHeight="1" ht="18" r="98" spans="1:27"/>
    <row customHeight="1" ht="18" r="99" spans="1:27"/>
    <row customHeight="1" ht="18" r="100" spans="1:27"/>
    <row customHeight="1" ht="18" r="101" spans="1:27"/>
  </sheetData>
  <pageMargins bottom="1" footer="0.5" header="0.5" left="0.75" right="0.75" top="1"/>
  <pageSetup horizontalDpi="4294967292" orientation="portrait" verticalDpi="4294967292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</row>
    <row customHeight="1" ht="18" r="2" spans="1:13">
      <c r="B2" s="2" t="n"/>
      <c r="C2" s="2" t="n"/>
    </row>
    <row customHeight="1" ht="18" r="3" spans="1:13">
      <c r="A3" s="3" t="s">
        <v>2</v>
      </c>
      <c r="B3" s="4" t="s">
        <v>20</v>
      </c>
      <c r="C3" s="4" t="s">
        <v>49</v>
      </c>
    </row>
    <row customHeight="1" ht="18" r="4" spans="1:13">
      <c r="A4" s="5" t="s">
        <v>10</v>
      </c>
      <c r="B4" s="6" t="n">
        <v>420266.7632</v>
      </c>
      <c r="C4" s="6" t="n">
        <v>984095</v>
      </c>
    </row>
    <row customHeight="1" ht="18" r="5" spans="1:13">
      <c r="A5" s="5" t="s">
        <v>11</v>
      </c>
      <c r="B5" s="6" t="n">
        <v>243110.4183</v>
      </c>
      <c r="C5" s="6" t="n">
        <v>2237</v>
      </c>
    </row>
    <row customHeight="1" ht="18" r="6" spans="1:13">
      <c r="A6" s="5" t="s">
        <v>12</v>
      </c>
      <c r="B6" s="6" t="n">
        <v>799227.3633</v>
      </c>
      <c r="C6" s="6" t="n">
        <v>5271</v>
      </c>
    </row>
    <row customHeight="1" ht="18" r="7" spans="1:13">
      <c r="A7" s="5" t="s">
        <v>13</v>
      </c>
      <c r="B7" s="6" t="n">
        <v>832721.3590000001</v>
      </c>
      <c r="C7" s="6" t="n">
        <v>75317</v>
      </c>
    </row>
    <row customHeight="1" ht="18" r="8" spans="1:13">
      <c r="A8" s="5" t="s">
        <v>14</v>
      </c>
      <c r="B8" s="6" t="n">
        <v>690771.3412</v>
      </c>
      <c r="C8" s="6" t="n">
        <v>52803</v>
      </c>
    </row>
    <row customHeight="1" ht="18" r="9" spans="1:13">
      <c r="A9" s="5" t="s">
        <v>15</v>
      </c>
      <c r="B9" s="6" t="n">
        <v>722420.7216</v>
      </c>
      <c r="C9" s="6" t="n">
        <v>13735</v>
      </c>
    </row>
    <row customHeight="1" ht="18" r="10" spans="1:13">
      <c r="A10" s="5" t="s">
        <v>16</v>
      </c>
      <c r="B10" s="6" t="n">
        <v>2597479.8622</v>
      </c>
      <c r="C10" s="6" t="n">
        <v>2656912.428020981</v>
      </c>
    </row>
    <row customHeight="1" ht="18" r="11" spans="1:13">
      <c r="A11" s="7" t="s">
        <v>17</v>
      </c>
      <c r="B11" s="8" t="n">
        <v>6305997.8288</v>
      </c>
      <c r="C11" s="8" t="n">
        <v>3790370.428020981</v>
      </c>
    </row>
    <row customHeight="1" ht="18" r="12" spans="1:13"/>
    <row customHeight="1" ht="18" r="13" spans="1:13"/>
    <row customHeight="1" ht="18" r="14" spans="1:13">
      <c r="I14" s="29" t="n"/>
    </row>
    <row customHeight="1" ht="18" r="15" spans="1:13">
      <c r="A15" s="1" t="s">
        <v>18</v>
      </c>
    </row>
    <row customHeight="1" ht="18" r="16" spans="1:13">
      <c r="B16" s="2" t="n"/>
      <c r="C16" s="2" t="n"/>
      <c r="D16" s="2" t="n"/>
      <c r="E16" s="2" t="n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J17" s="29" t="n"/>
      <c r="K17" s="29" t="n"/>
    </row>
    <row customHeight="1" ht="18" r="18" spans="1:13">
      <c r="A18" s="5" t="s">
        <v>21</v>
      </c>
      <c r="B18" s="6" t="n">
        <v>1412589.7424</v>
      </c>
      <c r="C18" s="6" t="n">
        <v>1411760</v>
      </c>
      <c r="D18" s="6" t="n">
        <v>-829.7424000001047</v>
      </c>
      <c r="E18" s="9" t="n">
        <v>-0.0005873909282325428</v>
      </c>
      <c r="G18" s="6" t="n"/>
      <c r="H18" s="10" t="n"/>
      <c r="J18" s="6" t="n"/>
      <c r="K18" s="10" t="n"/>
    </row>
    <row customHeight="1" ht="18" r="19" spans="1:13">
      <c r="A19" s="5" t="s">
        <v>22</v>
      </c>
      <c r="B19" s="6" t="n">
        <v>340955.6821</v>
      </c>
      <c r="C19" s="6" t="n">
        <v>332809</v>
      </c>
      <c r="D19" s="6" t="n">
        <v>-8146.682099999976</v>
      </c>
      <c r="E19" s="9" t="n">
        <v>-0.02389366867219597</v>
      </c>
      <c r="G19" s="6" t="n"/>
      <c r="H19" s="10" t="n"/>
      <c r="J19" s="6" t="n"/>
      <c r="K19" s="10" t="n"/>
    </row>
    <row customHeight="1" ht="18" r="20" spans="1:13">
      <c r="A20" s="5" t="s">
        <v>23</v>
      </c>
      <c r="B20" s="6" t="n">
        <v>385091.9784</v>
      </c>
      <c r="C20" s="6" t="n">
        <v>391819</v>
      </c>
      <c r="D20" s="6" t="n">
        <v>6727.021599999978</v>
      </c>
      <c r="E20" s="9" t="n">
        <v>0.01746861003947616</v>
      </c>
      <c r="G20" s="6" t="n"/>
      <c r="H20" s="10" t="n"/>
      <c r="J20" s="6" t="n"/>
      <c r="K20" s="10" t="n"/>
    </row>
    <row customHeight="1" ht="18" r="21" spans="1:13">
      <c r="A21" s="5" t="s">
        <v>24</v>
      </c>
      <c r="B21" s="6" t="n">
        <v>592288.6684</v>
      </c>
      <c r="C21" s="6" t="n">
        <v>574329</v>
      </c>
      <c r="D21" s="6" t="n">
        <v>-17959.66839999997</v>
      </c>
      <c r="E21" s="9" t="n">
        <v>-0.03032249198438314</v>
      </c>
      <c r="G21" s="6" t="n"/>
      <c r="H21" s="10" t="n"/>
      <c r="J21" s="6" t="n"/>
      <c r="K21" s="10" t="n"/>
    </row>
    <row customHeight="1" ht="18" r="22" spans="1:13">
      <c r="A22" s="5" t="s">
        <v>52</v>
      </c>
      <c r="B22" s="6" t="n">
        <v>111478.9356</v>
      </c>
      <c r="C22" s="6" t="n">
        <v>174398</v>
      </c>
      <c r="D22" s="6" t="n">
        <v>62919.0644</v>
      </c>
      <c r="E22" s="9" t="n">
        <v>0.56440316783936</v>
      </c>
      <c r="G22" s="6" t="n"/>
      <c r="H22" s="10" t="n"/>
      <c r="J22" s="6" t="n"/>
      <c r="K22" s="10" t="n"/>
    </row>
    <row customHeight="1" ht="18" r="23" spans="1:13">
      <c r="A23" s="5" t="s">
        <v>26</v>
      </c>
      <c r="B23" s="6" t="n">
        <v>78499.5442</v>
      </c>
      <c r="C23" s="6" t="n">
        <v>119864</v>
      </c>
      <c r="D23" s="6" t="n">
        <v>41364.4558</v>
      </c>
      <c r="E23" s="9" t="n">
        <v>0.5269388022765105</v>
      </c>
      <c r="G23" s="6" t="n"/>
      <c r="H23" s="10" t="n"/>
      <c r="J23" s="6" t="n"/>
      <c r="K23" s="10" t="n"/>
    </row>
    <row customHeight="1" ht="18" r="24" spans="1:13">
      <c r="A24" s="5" t="s">
        <v>27</v>
      </c>
      <c r="B24" s="6" t="n">
        <v>515915.9259</v>
      </c>
      <c r="C24" s="6" t="n">
        <v>506232</v>
      </c>
      <c r="D24" s="6" t="n">
        <v>-9683.925899999973</v>
      </c>
      <c r="E24" s="9" t="n">
        <v>-0.01877035659076942</v>
      </c>
      <c r="G24" s="6" t="n"/>
      <c r="H24" s="10" t="n"/>
      <c r="J24" s="6" t="n"/>
      <c r="K24" s="10" t="n"/>
    </row>
    <row customHeight="1" ht="18" r="25" spans="1:13">
      <c r="A25" s="5" t="s">
        <v>28</v>
      </c>
      <c r="B25" s="11" t="n">
        <v>271697.4896</v>
      </c>
      <c r="C25" s="11" t="n">
        <v>234202</v>
      </c>
      <c r="D25" s="11" t="n">
        <v>-37495.48960000003</v>
      </c>
      <c r="E25" s="12" t="n">
        <v>-0.138004549306664</v>
      </c>
      <c r="G25" s="6" t="n"/>
      <c r="H25" s="9" t="n"/>
      <c r="J25" s="6" t="n"/>
      <c r="K25" s="9" t="n"/>
    </row>
    <row customHeight="1" ht="18" r="26" spans="1:13">
      <c r="A26" s="7" t="s">
        <v>17</v>
      </c>
      <c r="B26" s="13" t="n">
        <v>3708517.9666</v>
      </c>
      <c r="C26" s="13" t="n">
        <v>3745413</v>
      </c>
      <c r="D26" s="13" t="n">
        <v>36895.03340000007</v>
      </c>
      <c r="E26" s="14" t="n">
        <v>0.009948727155237634</v>
      </c>
      <c r="G26" s="6" t="n"/>
      <c r="H26" s="9" t="n"/>
      <c r="J26" s="6" t="n"/>
      <c r="K26" s="9" t="n"/>
    </row>
    <row customHeight="1" ht="18" r="27" spans="1:13"/>
    <row customHeight="1" ht="18" r="28" spans="1:13"/>
    <row customHeight="1" ht="18" r="29" spans="1:13"/>
    <row customHeight="1" ht="18" r="30" spans="1:13">
      <c r="A30" s="1" t="s">
        <v>29</v>
      </c>
      <c r="G30" s="1" t="s">
        <v>30</v>
      </c>
    </row>
    <row customHeight="1" ht="18" r="31" spans="1:13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3">
      <c r="A33" s="5" t="s">
        <v>32</v>
      </c>
      <c r="B33" s="6" t="n">
        <v>1727558.953255146</v>
      </c>
      <c r="C33" s="6" t="n">
        <v>1624882</v>
      </c>
      <c r="D33" s="6" t="n">
        <v>-102676.9532551463</v>
      </c>
      <c r="E33" s="9" t="n">
        <v>-0.05943470297304623</v>
      </c>
      <c r="G33" s="30" t="n">
        <v>0.4658354007757408</v>
      </c>
      <c r="H33" s="30" t="n">
        <v>0.4338325306181188</v>
      </c>
      <c r="I33" s="30" t="n">
        <v>-0.03200287015762204</v>
      </c>
      <c r="J33" s="9" t="n">
        <v>-0.06869995303991214</v>
      </c>
      <c r="L33" s="37" t="n"/>
      <c r="M33" s="37" t="n"/>
    </row>
    <row customHeight="1" ht="18" r="34" spans="1:13">
      <c r="A34" s="5" t="s">
        <v>33</v>
      </c>
      <c r="B34" s="6" t="n">
        <v>805076.5250488229</v>
      </c>
      <c r="C34" s="6" t="n">
        <v>798907</v>
      </c>
      <c r="D34" s="6" t="n">
        <v>-6169.525048822863</v>
      </c>
      <c r="E34" s="9" t="n">
        <v>-0.007663277783995403</v>
      </c>
      <c r="G34" s="30" t="n">
        <v>0.2170884790904556</v>
      </c>
      <c r="H34" s="30" t="n">
        <v>0.2133027786254814</v>
      </c>
      <c r="I34" s="30" t="n">
        <v>-0.003785700464974201</v>
      </c>
      <c r="J34" s="9" t="n">
        <v>-0.01743851392222795</v>
      </c>
      <c r="L34" s="37" t="n"/>
      <c r="M34" s="37" t="n"/>
    </row>
    <row customHeight="1" ht="18" r="35" spans="1:13">
      <c r="A35" s="5" t="s">
        <v>34</v>
      </c>
      <c r="B35" s="6" t="n">
        <v>648797.0130975691</v>
      </c>
      <c r="C35" s="6" t="n">
        <v>637577</v>
      </c>
      <c r="D35" s="6" t="n">
        <v>-11220.01309756911</v>
      </c>
      <c r="E35" s="9" t="n">
        <v>-0.01729356466054167</v>
      </c>
      <c r="G35" s="30" t="n">
        <v>0.1749477874829852</v>
      </c>
      <c r="H35" s="30" t="n">
        <v>0.1702287571490781</v>
      </c>
      <c r="I35" s="30" t="n">
        <v>-0.004719030333907082</v>
      </c>
      <c r="J35" s="9" t="n">
        <v>-0.02697393549127358</v>
      </c>
      <c r="L35" s="37" t="n"/>
      <c r="M35" s="37" t="n"/>
    </row>
    <row customHeight="1" ht="18" r="36" spans="1:13">
      <c r="A36" s="5" t="s">
        <v>35</v>
      </c>
      <c r="B36" s="6" t="n">
        <v>718143.1052283818</v>
      </c>
      <c r="C36" s="6" t="n">
        <v>713834</v>
      </c>
      <c r="D36" s="6" t="n">
        <v>-4309.105228381814</v>
      </c>
      <c r="E36" s="9" t="n">
        <v>-0.006000343381437108</v>
      </c>
      <c r="G36" s="30" t="n">
        <v>0.193646926264397</v>
      </c>
      <c r="H36" s="30" t="n">
        <v>0.1905888616288778</v>
      </c>
      <c r="I36" s="30" t="n">
        <v>-0.003058064635519248</v>
      </c>
      <c r="J36" s="9" t="n">
        <v>-0.01579196062912922</v>
      </c>
      <c r="L36" s="37" t="n"/>
      <c r="M36" s="37" t="n"/>
    </row>
    <row customHeight="1" ht="18" r="37" spans="1:13">
      <c r="A37" s="5" t="s">
        <v>36</v>
      </c>
      <c r="B37" s="6" t="n">
        <v>702437.8153073883</v>
      </c>
      <c r="C37" s="6" t="n">
        <v>698546</v>
      </c>
      <c r="D37" s="6" t="n">
        <v>-3891.815307388315</v>
      </c>
      <c r="E37" s="9" t="n">
        <v>-0.005540441050550856</v>
      </c>
      <c r="G37" s="30" t="n">
        <v>0.1894120027552109</v>
      </c>
      <c r="H37" s="30" t="n">
        <v>0.1865070687798649</v>
      </c>
      <c r="I37" s="30" t="n">
        <v>-0.002904933975346025</v>
      </c>
      <c r="J37" s="9" t="n">
        <v>-0.01533658866962224</v>
      </c>
      <c r="L37" s="37" t="n"/>
      <c r="M37" s="37" t="n"/>
    </row>
    <row customHeight="1" ht="18" r="38" spans="1:13">
      <c r="A38" s="5" t="s">
        <v>37</v>
      </c>
      <c r="B38" s="6" t="n">
        <v>225250.543726851</v>
      </c>
      <c r="C38" s="6" t="n">
        <v>226212</v>
      </c>
      <c r="D38" s="6" t="n">
        <v>961.4562731490005</v>
      </c>
      <c r="E38" s="9" t="n">
        <v>0.004268386025806472</v>
      </c>
      <c r="G38" s="30" t="n">
        <v>0.06073869555318956</v>
      </c>
      <c r="H38" s="30" t="n">
        <v>0.0603970777054493</v>
      </c>
      <c r="I38" s="30" t="n">
        <v>-0.0003416178477402554</v>
      </c>
      <c r="J38" s="9" t="n">
        <v>-0.005624385651171859</v>
      </c>
      <c r="L38" s="37" t="n"/>
      <c r="M38" s="37" t="n"/>
    </row>
    <row customHeight="1" ht="18" r="39" spans="1:13">
      <c r="A39" s="5" t="s">
        <v>38</v>
      </c>
      <c r="B39" s="6" t="n">
        <v>1090010.600626743</v>
      </c>
      <c r="C39" s="6" t="n">
        <v>1096444</v>
      </c>
      <c r="D39" s="6" t="n">
        <v>6433.399373256834</v>
      </c>
      <c r="E39" s="9" t="n">
        <v>0.005902143859479628</v>
      </c>
      <c r="G39" s="30" t="n">
        <v>0.2939208089171195</v>
      </c>
      <c r="H39" s="30" t="n">
        <v>0.2927431500878541</v>
      </c>
      <c r="I39" s="30" t="n">
        <v>-0.001177658829265404</v>
      </c>
      <c r="J39" s="9" t="n">
        <v>-0.004006721516602397</v>
      </c>
      <c r="L39" s="37" t="n"/>
      <c r="M39" s="37" t="n"/>
    </row>
    <row customHeight="1" ht="18" r="40" spans="1:13">
      <c r="A40" s="5" t="s">
        <v>39</v>
      </c>
      <c r="B40" s="11" t="n">
        <v>184043.1653974242</v>
      </c>
      <c r="C40" s="11" t="n">
        <v>179461</v>
      </c>
      <c r="D40" s="11" t="n">
        <v>-4582.165397424193</v>
      </c>
      <c r="E40" s="12" t="n">
        <v>-0.02489723205710698</v>
      </c>
      <c r="G40" s="30" t="n">
        <v>0.04962714676185228</v>
      </c>
      <c r="H40" s="30" t="n">
        <v>0.04791487614316499</v>
      </c>
      <c r="I40" s="16" t="n">
        <v>-0.001712270618687291</v>
      </c>
      <c r="J40" s="12" t="n">
        <v>-0.03450270125147493</v>
      </c>
      <c r="L40" s="37" t="n"/>
      <c r="M40" s="37" t="n"/>
    </row>
    <row customHeight="1" ht="18" r="41" spans="1:13">
      <c r="A41" s="7" t="s">
        <v>17</v>
      </c>
      <c r="B41" s="13" t="n">
        <v>6101317.721688327</v>
      </c>
      <c r="C41" s="13" t="n">
        <v>5975863</v>
      </c>
      <c r="D41" s="13" t="n">
        <v>-125454.7216883274</v>
      </c>
      <c r="E41" s="14" t="n">
        <v>-0.02056190603586731</v>
      </c>
      <c r="G41" s="17" t="n">
        <v>1.645217247600951</v>
      </c>
      <c r="H41" s="17" t="n">
        <v>1.595515100737889</v>
      </c>
      <c r="I41" s="18" t="n">
        <v>-0.04970214686306185</v>
      </c>
      <c r="J41" s="14" t="n">
        <v>-0.03021008133456983</v>
      </c>
    </row>
    <row customHeight="1" ht="18" r="42" spans="1:13">
      <c r="B42" s="6" t="n"/>
      <c r="C42" s="6" t="n"/>
      <c r="D42" s="6" t="n"/>
    </row>
    <row customHeight="1" ht="18" r="43" spans="1:13">
      <c r="B43" s="6" t="n"/>
      <c r="C43" s="6" t="n"/>
      <c r="D43" s="6" t="n"/>
    </row>
    <row customHeight="1" ht="18" r="44" spans="1:13">
      <c r="B44" s="6" t="n"/>
      <c r="C44" s="6" t="n"/>
      <c r="D44" s="6" t="n"/>
    </row>
    <row customHeight="1" ht="18" r="45" spans="1:13">
      <c r="A45" s="1" t="s">
        <v>40</v>
      </c>
      <c r="G45" s="1" t="s">
        <v>41</v>
      </c>
    </row>
    <row customHeight="1" ht="18" r="46" spans="1:13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3">
      <c r="A48" s="5" t="s">
        <v>21</v>
      </c>
      <c r="B48" s="6" t="n">
        <v>2431438.022820987</v>
      </c>
      <c r="C48" s="6" t="n">
        <v>2234745</v>
      </c>
      <c r="D48" s="6" t="n">
        <v>-196693.0228209868</v>
      </c>
      <c r="E48" s="9" t="n">
        <v>-0.08089575838448924</v>
      </c>
      <c r="G48" s="30" t="n">
        <v>1.721262692089181</v>
      </c>
      <c r="H48" s="30" t="n">
        <v>1.582949651498838</v>
      </c>
      <c r="I48" s="30" t="n">
        <v>-0.1383130405903426</v>
      </c>
      <c r="J48" s="9" t="n">
        <v>-0.08035556758769066</v>
      </c>
      <c r="L48" s="10" t="n"/>
      <c r="M48" s="10" t="n"/>
    </row>
    <row customHeight="1" ht="18" r="49" spans="1:13">
      <c r="A49" s="5" t="s">
        <v>22</v>
      </c>
      <c r="B49" s="6" t="n">
        <v>625338.6677078081</v>
      </c>
      <c r="C49" s="6" t="n">
        <v>605201</v>
      </c>
      <c r="D49" s="6" t="n">
        <v>-20137.66770780808</v>
      </c>
      <c r="E49" s="9" t="n">
        <v>-0.03220281864485228</v>
      </c>
      <c r="G49" s="30" t="n">
        <v>1.834076100026397</v>
      </c>
      <c r="H49" s="30" t="n">
        <v>1.818463442995832</v>
      </c>
      <c r="I49" s="30" t="n">
        <v>-0.01561265703056502</v>
      </c>
      <c r="J49" s="9" t="n">
        <v>-0.008512545924534055</v>
      </c>
      <c r="L49" s="10" t="n"/>
      <c r="M49" s="10" t="n"/>
    </row>
    <row customHeight="1" ht="18" r="50" spans="1:13">
      <c r="A50" s="5" t="s">
        <v>23</v>
      </c>
      <c r="B50" s="6" t="n">
        <v>547910.2446145164</v>
      </c>
      <c r="C50" s="6" t="n">
        <v>604714</v>
      </c>
      <c r="D50" s="6" t="n">
        <v>56803.75538548362</v>
      </c>
      <c r="E50" s="9" t="n">
        <v>0.1036734683167825</v>
      </c>
      <c r="G50" s="30" t="n">
        <v>1.422803577708895</v>
      </c>
      <c r="H50" s="30" t="n">
        <v>1.543350373514301</v>
      </c>
      <c r="I50" s="30" t="n">
        <v>0.1205467958054067</v>
      </c>
      <c r="J50" s="9" t="n">
        <v>0.08472483320538191</v>
      </c>
      <c r="L50" s="10" t="n"/>
      <c r="M50" s="10" t="n"/>
    </row>
    <row customHeight="1" ht="18" r="51" spans="1:13">
      <c r="A51" s="5" t="s">
        <v>24</v>
      </c>
      <c r="B51" s="6" t="n">
        <v>1052457.407851551</v>
      </c>
      <c r="C51" s="6" t="n">
        <v>905752</v>
      </c>
      <c r="D51" s="6" t="n">
        <v>-146705.4078515514</v>
      </c>
      <c r="E51" s="9" t="n">
        <v>-0.1393932018123475</v>
      </c>
      <c r="G51" s="30" t="n">
        <v>1.776933215174696</v>
      </c>
      <c r="H51" s="30" t="n">
        <v>1.577061231454445</v>
      </c>
      <c r="I51" s="30" t="n">
        <v>-0.1998719837202512</v>
      </c>
      <c r="J51" s="9" t="n">
        <v>-0.1124814269964564</v>
      </c>
      <c r="L51" s="10" t="n"/>
      <c r="M51" s="10" t="n"/>
    </row>
    <row customHeight="1" ht="18" r="52" spans="1:13">
      <c r="A52" s="5" t="s">
        <v>52</v>
      </c>
      <c r="B52" s="6" t="n">
        <v>199289.4263048723</v>
      </c>
      <c r="C52" s="6" t="n">
        <v>307054</v>
      </c>
      <c r="D52" s="6" t="n">
        <v>107764.5736951277</v>
      </c>
      <c r="E52" s="9" t="n">
        <v>0.5407440610033661</v>
      </c>
      <c r="G52" s="30" t="n">
        <v>1.787686841754096</v>
      </c>
      <c r="H52" s="30" t="n">
        <v>1.760650924895928</v>
      </c>
      <c r="I52" s="30" t="n">
        <v>-0.02703591685816864</v>
      </c>
      <c r="J52" s="9" t="n">
        <v>-0.01512340764987716</v>
      </c>
      <c r="L52" s="10" t="n"/>
      <c r="M52" s="10" t="n"/>
    </row>
    <row customHeight="1" ht="18" r="53" spans="1:13">
      <c r="A53" s="5" t="s">
        <v>26</v>
      </c>
      <c r="B53" s="6" t="n">
        <v>108113.223138592</v>
      </c>
      <c r="C53" s="6" t="n">
        <v>176328</v>
      </c>
      <c r="D53" s="6" t="n">
        <v>68214.77686140801</v>
      </c>
      <c r="E53" s="9" t="n">
        <v>0.6309568328562589</v>
      </c>
      <c r="G53" s="30" t="n">
        <v>1.377246508121661</v>
      </c>
      <c r="H53" s="30" t="n">
        <v>1.471067209504105</v>
      </c>
      <c r="I53" s="30" t="n">
        <v>0.09382070138244369</v>
      </c>
      <c r="J53" s="9" t="n">
        <v>0.06812193810561901</v>
      </c>
      <c r="L53" s="10" t="n"/>
      <c r="M53" s="10" t="n"/>
    </row>
    <row customHeight="1" ht="18" r="54" spans="1:13">
      <c r="A54" s="5" t="s">
        <v>27</v>
      </c>
      <c r="B54" s="6" t="n">
        <v>772435.58325</v>
      </c>
      <c r="C54" s="6" t="n">
        <v>789836</v>
      </c>
      <c r="D54" s="6" t="n">
        <v>17400.41674999997</v>
      </c>
      <c r="E54" s="9" t="n">
        <v>0.02252668976847005</v>
      </c>
      <c r="G54" s="30" t="n">
        <v>1.497212131807153</v>
      </c>
      <c r="H54" s="30" t="n">
        <v>1.560225351222364</v>
      </c>
      <c r="I54" s="30" t="n">
        <v>0.06301321941521176</v>
      </c>
      <c r="J54" s="9" t="n">
        <v>0.04208703501430627</v>
      </c>
      <c r="L54" s="10" t="n"/>
      <c r="M54" s="10" t="n"/>
    </row>
    <row customHeight="1" ht="18" r="55" spans="1:13">
      <c r="A55" s="5" t="s">
        <v>28</v>
      </c>
      <c r="B55" s="11" t="n">
        <v>364335.1460000001</v>
      </c>
      <c r="C55" s="11" t="n">
        <v>352233</v>
      </c>
      <c r="D55" s="11" t="n">
        <v>-12102.14600000007</v>
      </c>
      <c r="E55" s="12" t="n">
        <v>-0.03321706986786299</v>
      </c>
      <c r="G55" s="16" t="n">
        <v>1.340958823492935</v>
      </c>
      <c r="H55" s="16" t="n">
        <v>1.503970931076592</v>
      </c>
      <c r="I55" s="16" t="n">
        <v>0.1630121075836568</v>
      </c>
      <c r="J55" s="12" t="n">
        <v>0.1215638427726231</v>
      </c>
      <c r="L55" s="10" t="n"/>
      <c r="M55" s="10" t="n"/>
    </row>
    <row customHeight="1" ht="18" r="56" spans="1:13">
      <c r="A56" s="7" t="s">
        <v>17</v>
      </c>
      <c r="B56" s="13" t="n">
        <v>6101317.721688327</v>
      </c>
      <c r="C56" s="13" t="n">
        <v>5975863</v>
      </c>
      <c r="D56" s="13" t="n">
        <v>-125454.7216883274</v>
      </c>
      <c r="E56" s="14" t="n">
        <v>-0.02056190603586731</v>
      </c>
      <c r="G56" s="18" t="n">
        <v>1.645217247600951</v>
      </c>
      <c r="H56" s="18" t="n">
        <v>1.595515100737889</v>
      </c>
      <c r="I56" s="18" t="n">
        <v>-0.04970214686306185</v>
      </c>
      <c r="J56" s="14" t="n">
        <v>-0.03021008133456983</v>
      </c>
    </row>
    <row customHeight="1" ht="18" r="57" spans="1:13"/>
    <row customHeight="1" ht="18" r="58" spans="1:13"/>
    <row customHeight="1" ht="18" r="59" spans="1:13"/>
    <row customHeight="1" ht="18" r="60" spans="1:13">
      <c r="A60" s="1" t="s">
        <v>42</v>
      </c>
      <c r="G60" s="1" t="s">
        <v>43</v>
      </c>
      <c r="L60" s="1" t="s">
        <v>44</v>
      </c>
    </row>
    <row customHeight="1" ht="18" r="61" spans="1:13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2298251.40394728</v>
      </c>
      <c r="C63" s="6" t="n">
        <v>2273638</v>
      </c>
      <c r="D63" s="6" t="n">
        <v>-24613.40394727979</v>
      </c>
      <c r="E63" s="9" t="n">
        <v>-0.01070962206528229</v>
      </c>
      <c r="G63" s="30" t="n">
        <v>0.6197223323834496</v>
      </c>
      <c r="H63" s="30" t="n">
        <v>0.6070460053403991</v>
      </c>
      <c r="I63" s="30" t="n">
        <v>-0.01267632704305055</v>
      </c>
      <c r="J63" s="9" t="n">
        <v>-0.02045484950380511</v>
      </c>
      <c r="L63" s="30" t="n">
        <v>1.330346150918212</v>
      </c>
      <c r="M63" s="30" t="n">
        <v>1.366072714262783</v>
      </c>
    </row>
    <row customHeight="1" ht="18" r="64" spans="1:13">
      <c r="A64" s="5" t="s">
        <v>33</v>
      </c>
      <c r="B64" s="6" t="n">
        <v>874992.3497899399</v>
      </c>
      <c r="C64" s="6" t="n">
        <v>834614</v>
      </c>
      <c r="D64" s="6" t="n">
        <v>-40378.34978993994</v>
      </c>
      <c r="E64" s="9" t="n">
        <v>-0.04614708894270173</v>
      </c>
      <c r="G64" s="30" t="n">
        <v>0.2359412459829985</v>
      </c>
      <c r="H64" s="30" t="n">
        <v>0.2228363067036933</v>
      </c>
      <c r="I64" s="30" t="n">
        <v>-0.0131049392793052</v>
      </c>
      <c r="J64" s="9" t="n">
        <v>-0.05554323164102269</v>
      </c>
      <c r="L64" s="30" t="n">
        <v>1.086843700649298</v>
      </c>
      <c r="M64" s="30" t="n">
        <v>1.039630692878362</v>
      </c>
    </row>
    <row customHeight="1" ht="18" r="65" spans="1:13">
      <c r="A65" s="5" t="s">
        <v>34</v>
      </c>
      <c r="B65" s="6" t="n">
        <v>1245809.413276674</v>
      </c>
      <c r="C65" s="6" t="n">
        <v>1244467</v>
      </c>
      <c r="D65" s="6" t="n">
        <v>-1342.41327667376</v>
      </c>
      <c r="E65" s="9" t="n">
        <v>-0.001077543051423093</v>
      </c>
      <c r="G65" s="30" t="n">
        <v>0.3359318802003384</v>
      </c>
      <c r="H65" s="30" t="n">
        <v>0.3322642923490681</v>
      </c>
      <c r="I65" s="30" t="n">
        <v>-0.00366758785127036</v>
      </c>
      <c r="J65" s="9" t="n">
        <v>-0.01091765345129832</v>
      </c>
      <c r="L65" s="30" t="n">
        <v>1.920183644694621</v>
      </c>
      <c r="M65" s="30" t="n">
        <v>1.887906822747875</v>
      </c>
    </row>
    <row customHeight="1" ht="18" r="66" spans="1:13">
      <c r="A66" s="5" t="s">
        <v>35</v>
      </c>
      <c r="B66" s="6" t="n">
        <v>1846226.214474478</v>
      </c>
      <c r="C66" s="6" t="n">
        <v>1668490</v>
      </c>
      <c r="D66" s="6" t="n">
        <v>-177736.2144744778</v>
      </c>
      <c r="E66" s="9" t="n">
        <v>-0.09627000910344556</v>
      </c>
      <c r="G66" s="30" t="n">
        <v>0.4978339679360144</v>
      </c>
      <c r="H66" s="30" t="n">
        <v>0.4454755723868102</v>
      </c>
      <c r="I66" s="30" t="n">
        <v>-0.05235839554920418</v>
      </c>
      <c r="J66" s="9" t="n">
        <v>-0.105172404700062</v>
      </c>
      <c r="L66" s="30" t="n">
        <v>2.570833307502613</v>
      </c>
      <c r="M66" s="30" t="n">
        <v>2.259126553801849</v>
      </c>
    </row>
    <row customHeight="1" ht="18" r="67" spans="1:13">
      <c r="A67" s="5" t="s">
        <v>36</v>
      </c>
      <c r="B67" s="6" t="n">
        <v>2042144.375058298</v>
      </c>
      <c r="C67" s="6" t="n">
        <v>1719600</v>
      </c>
      <c r="D67" s="6" t="n">
        <v>-322544.3750582975</v>
      </c>
      <c r="E67" s="9" t="n">
        <v>-0.1579439627274589</v>
      </c>
      <c r="G67" s="30" t="n">
        <v>0.5506632011629574</v>
      </c>
      <c r="H67" s="30" t="n">
        <v>0.4591215975381086</v>
      </c>
      <c r="I67" s="30" t="n">
        <v>-0.09154160362484881</v>
      </c>
      <c r="J67" s="9" t="n">
        <v>-0.166238825168488</v>
      </c>
      <c r="L67" s="30" t="n">
        <v>2.907224426926177</v>
      </c>
      <c r="M67" s="30" t="n">
        <v>2.10885892716426</v>
      </c>
    </row>
    <row customHeight="1" ht="18" r="68" spans="1:13">
      <c r="A68" s="5" t="s">
        <v>37</v>
      </c>
      <c r="B68" s="6" t="n">
        <v>828105.0150248591</v>
      </c>
      <c r="C68" s="6" t="n">
        <v>690921</v>
      </c>
      <c r="D68" s="6" t="n">
        <v>-137184.0150248591</v>
      </c>
      <c r="E68" s="9" t="n">
        <v>-0.165660166930327</v>
      </c>
      <c r="G68" s="30" t="n">
        <v>0.2232980998024051</v>
      </c>
      <c r="H68" s="30" t="n">
        <v>0.1844712452271619</v>
      </c>
      <c r="I68" s="30" t="n">
        <v>-0.03882685457524324</v>
      </c>
      <c r="J68" s="9" t="n">
        <v>-0.1738790191658632</v>
      </c>
      <c r="L68" s="30" t="n">
        <v>3.676372990375804</v>
      </c>
      <c r="M68" s="30" t="n">
        <v>2.993997398993785</v>
      </c>
    </row>
    <row customHeight="1" ht="18" r="69" spans="1:13">
      <c r="A69" s="5" t="s">
        <v>38</v>
      </c>
      <c r="B69" s="6" t="n">
        <v>1716147.065760338</v>
      </c>
      <c r="C69" s="6" t="n">
        <v>1499855</v>
      </c>
      <c r="D69" s="6" t="n">
        <v>-216292.0657603382</v>
      </c>
      <c r="E69" s="9" t="n">
        <v>-0.1260335259580508</v>
      </c>
      <c r="G69" s="30" t="n">
        <v>0.4627581910662054</v>
      </c>
      <c r="H69" s="30" t="n">
        <v>0.4004511651986042</v>
      </c>
      <c r="I69" s="30" t="n">
        <v>-0.06230702586760112</v>
      </c>
      <c r="J69" s="9" t="n">
        <v>-0.1346427293356911</v>
      </c>
      <c r="L69" s="30" t="n">
        <v>1.57443153743053</v>
      </c>
      <c r="M69" s="30" t="n">
        <v>1.363108536297328</v>
      </c>
    </row>
    <row customHeight="1" ht="18" r="70" spans="1:13">
      <c r="A70" s="19" t="s">
        <v>46</v>
      </c>
      <c r="B70" s="11" t="n">
        <v>5897768.195587067</v>
      </c>
      <c r="C70" s="11" t="n">
        <v>5794943</v>
      </c>
      <c r="D70" s="11" t="n">
        <v>-102825.1955870669</v>
      </c>
      <c r="E70" s="12" t="n">
        <v>-0.01743459426974506</v>
      </c>
      <c r="G70" s="30" t="n">
        <v>1.590330220509674</v>
      </c>
      <c r="H70" s="30" t="n">
        <v>1.547210681438869</v>
      </c>
      <c r="I70" s="16" t="n">
        <v>-0.04311953907080501</v>
      </c>
      <c r="J70" s="12" t="n">
        <v>-0.02711357585658274</v>
      </c>
      <c r="L70" s="30" t="n"/>
      <c r="M70" s="30" t="n"/>
    </row>
    <row customHeight="1" ht="18" r="71" spans="1:13">
      <c r="A71" s="7" t="s">
        <v>17</v>
      </c>
      <c r="B71" s="8" t="n">
        <v>16749444.03291893</v>
      </c>
      <c r="C71" s="8" t="n">
        <v>15726528</v>
      </c>
      <c r="D71" s="8" t="n">
        <v>-1022916.032918934</v>
      </c>
      <c r="E71" s="20" t="n">
        <v>-0.06107164099945768</v>
      </c>
      <c r="G71" s="17" t="n">
        <v>4.516479139044043</v>
      </c>
      <c r="H71" s="17" t="n">
        <v>4.198876866182714</v>
      </c>
      <c r="I71" s="18" t="n">
        <v>-0.317602272861329</v>
      </c>
      <c r="J71" s="14" t="n">
        <v>-0.070320766040016</v>
      </c>
      <c r="L71" s="17" t="n">
        <v>2.74521747546104</v>
      </c>
      <c r="M71" s="17" t="n">
        <v>2.576001096654113</v>
      </c>
    </row>
    <row customHeight="1" ht="18" r="72" spans="1:13"/>
    <row customHeight="1" ht="18" r="73" spans="1:13"/>
    <row customHeight="1" ht="18" r="74" spans="1:13"/>
    <row customHeight="1" ht="18" r="75" spans="1:13">
      <c r="A75" s="1" t="s">
        <v>47</v>
      </c>
      <c r="G75" s="1" t="s">
        <v>48</v>
      </c>
    </row>
    <row customHeight="1" ht="18" r="76" spans="1:13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3">
      <c r="A78" s="5" t="s">
        <v>21</v>
      </c>
      <c r="B78" s="6" t="n">
        <v>6681016.697459168</v>
      </c>
      <c r="C78" s="6" t="n">
        <v>5977666</v>
      </c>
      <c r="D78" s="6" t="n">
        <v>-703350.6974591678</v>
      </c>
      <c r="E78" s="9" t="n">
        <v>-0.1052759975478966</v>
      </c>
      <c r="G78" s="30" t="n">
        <v>4.729622831685067</v>
      </c>
      <c r="H78" s="30" t="n">
        <v>4.234194197313991</v>
      </c>
      <c r="I78" s="30" t="n">
        <v>-0.4954286343710752</v>
      </c>
      <c r="J78" s="9" t="n">
        <v>-0.1047501358992223</v>
      </c>
    </row>
    <row customHeight="1" ht="18" r="79" spans="1:13">
      <c r="A79" s="5" t="s">
        <v>22</v>
      </c>
      <c r="B79" s="6" t="n">
        <v>1763383.021988167</v>
      </c>
      <c r="C79" s="6" t="n">
        <v>1604402</v>
      </c>
      <c r="D79" s="6" t="n">
        <v>-158981.0219881674</v>
      </c>
      <c r="E79" s="9" t="n">
        <v>-0.09015682923436598</v>
      </c>
      <c r="G79" s="30" t="n">
        <v>5.171883369496037</v>
      </c>
      <c r="H79" s="30" t="n">
        <v>4.820789101256276</v>
      </c>
      <c r="I79" s="30" t="n">
        <v>-0.3510942682397609</v>
      </c>
      <c r="J79" s="9" t="n">
        <v>-0.06788518672144235</v>
      </c>
    </row>
    <row customHeight="1" ht="18" r="80" spans="1:13">
      <c r="A80" s="5" t="s">
        <v>23</v>
      </c>
      <c r="B80" s="6" t="n">
        <v>1620215.64436939</v>
      </c>
      <c r="C80" s="6" t="n">
        <v>1611935</v>
      </c>
      <c r="D80" s="6" t="n">
        <v>-8280.644369390095</v>
      </c>
      <c r="E80" s="9" t="n">
        <v>-0.00511082854814245</v>
      </c>
      <c r="G80" s="30" t="n">
        <v>4.20734716703564</v>
      </c>
      <c r="H80" s="30" t="n">
        <v>4.113978648304447</v>
      </c>
      <c r="I80" s="30" t="n">
        <v>-0.09336851873119301</v>
      </c>
      <c r="J80" s="9" t="n">
        <v>-0.02219177905325493</v>
      </c>
    </row>
    <row customHeight="1" ht="18" r="81" spans="1:13">
      <c r="A81" s="5" t="s">
        <v>24</v>
      </c>
      <c r="B81" s="6" t="n">
        <v>2927381.509703874</v>
      </c>
      <c r="C81" s="6" t="n">
        <v>2343894</v>
      </c>
      <c r="D81" s="6" t="n">
        <v>-583487.5097038737</v>
      </c>
      <c r="E81" s="9" t="n">
        <v>-0.199320624172043</v>
      </c>
      <c r="G81" s="30" t="n">
        <v>4.94249116332389</v>
      </c>
      <c r="H81" s="30" t="n">
        <v>4.081099857398808</v>
      </c>
      <c r="I81" s="30" t="n">
        <v>-0.861391305925082</v>
      </c>
      <c r="J81" s="9" t="n">
        <v>-0.1742828216501626</v>
      </c>
    </row>
    <row customHeight="1" ht="18" r="82" spans="1:13">
      <c r="A82" s="5" t="s">
        <v>52</v>
      </c>
      <c r="B82" s="6" t="n">
        <v>601583.1677461506</v>
      </c>
      <c r="C82" s="6" t="n">
        <v>820858</v>
      </c>
      <c r="D82" s="6" t="n">
        <v>219274.8322538494</v>
      </c>
      <c r="E82" s="9" t="n">
        <v>0.3644962891421465</v>
      </c>
      <c r="G82" s="30" t="n">
        <v>5.396384209342511</v>
      </c>
      <c r="H82" s="30" t="n">
        <v>4.706808564318398</v>
      </c>
      <c r="I82" s="30" t="n">
        <v>-0.6895756450241128</v>
      </c>
      <c r="J82" s="9" t="n">
        <v>-0.1277847570286568</v>
      </c>
    </row>
    <row customHeight="1" ht="18" r="83" spans="1:13">
      <c r="A83" s="5" t="s">
        <v>26</v>
      </c>
      <c r="B83" s="6" t="n">
        <v>254816.918402184</v>
      </c>
      <c r="C83" s="6" t="n">
        <v>440648</v>
      </c>
      <c r="D83" s="6" t="n">
        <v>185831.081597816</v>
      </c>
      <c r="E83" s="9" t="n">
        <v>0.7292729335362031</v>
      </c>
      <c r="G83" s="30" t="n">
        <v>3.246094241680756</v>
      </c>
      <c r="H83" s="30" t="n">
        <v>3.676233064139358</v>
      </c>
      <c r="I83" s="30" t="n">
        <v>0.4301388224586025</v>
      </c>
      <c r="J83" s="9" t="n">
        <v>0.1325096532736172</v>
      </c>
    </row>
    <row customHeight="1" ht="18" r="84" spans="1:13">
      <c r="A84" s="5" t="s">
        <v>27</v>
      </c>
      <c r="B84" s="6" t="n">
        <v>1903241.35775</v>
      </c>
      <c r="C84" s="6" t="n">
        <v>1985534</v>
      </c>
      <c r="D84" s="6" t="n">
        <v>82292.64225000003</v>
      </c>
      <c r="E84" s="9" t="n">
        <v>0.04323815364504578</v>
      </c>
      <c r="G84" s="30" t="n">
        <v>3.689053317030003</v>
      </c>
      <c r="H84" s="30" t="n">
        <v>3.922181924493118</v>
      </c>
      <c r="I84" s="30" t="n">
        <v>0.2331286074631151</v>
      </c>
      <c r="J84" s="9" t="n">
        <v>0.06319469723761087</v>
      </c>
    </row>
    <row customHeight="1" ht="18" r="85" spans="1:13">
      <c r="A85" s="5" t="s">
        <v>28</v>
      </c>
      <c r="B85" s="11" t="n">
        <v>997805.7154999999</v>
      </c>
      <c r="C85" s="11" t="n">
        <v>941591</v>
      </c>
      <c r="D85" s="11" t="n">
        <v>-56214.71549999993</v>
      </c>
      <c r="E85" s="12" t="n">
        <v>-0.05633833784148126</v>
      </c>
      <c r="G85" s="30" t="n">
        <v>3.672487798724217</v>
      </c>
      <c r="H85" s="30" t="n">
        <v>4.020422541225097</v>
      </c>
      <c r="I85" s="16" t="n">
        <v>0.3479347425008799</v>
      </c>
      <c r="J85" s="12" t="n">
        <v>0.09474088453656639</v>
      </c>
    </row>
    <row customHeight="1" ht="18" r="86" spans="1:13">
      <c r="A86" s="7" t="s">
        <v>17</v>
      </c>
      <c r="B86" s="13" t="n">
        <v>16749444.03291893</v>
      </c>
      <c r="C86" s="13" t="n">
        <v>15726528</v>
      </c>
      <c r="D86" s="13" t="n">
        <v>-1022916.032918934</v>
      </c>
      <c r="E86" s="14" t="n">
        <v>-0.06107164099945767</v>
      </c>
      <c r="G86" s="17" t="n">
        <v>4.516479139044043</v>
      </c>
      <c r="H86" s="17" t="n">
        <v>4.198876866182714</v>
      </c>
      <c r="I86" s="18" t="n">
        <v>-0.317602272861329</v>
      </c>
      <c r="J86" s="14" t="n">
        <v>-0.070320766040016</v>
      </c>
      <c r="K86" s="30" t="n"/>
      <c r="L86" s="30" t="n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86"/>
  <sheetViews>
    <sheetView topLeftCell="A70"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7">
      <c r="A1" s="1" t="s">
        <v>0</v>
      </c>
    </row>
    <row customHeight="1" ht="18" r="2" spans="1:17">
      <c r="B2" s="2" t="n"/>
      <c r="C2" s="2" t="n"/>
    </row>
    <row customHeight="1" ht="18" r="3" spans="1:17">
      <c r="A3" s="3" t="s">
        <v>2</v>
      </c>
      <c r="B3" s="4" t="s">
        <v>20</v>
      </c>
      <c r="C3" s="4" t="s">
        <v>49</v>
      </c>
      <c r="H3" t="s">
        <v>53</v>
      </c>
      <c r="J3" t="n">
        <v>1</v>
      </c>
      <c r="K3" t="n">
        <v>2</v>
      </c>
      <c r="L3" t="n">
        <v>3</v>
      </c>
      <c r="M3" t="n">
        <v>4</v>
      </c>
      <c r="N3" t="n">
        <v>5</v>
      </c>
      <c r="O3" t="n">
        <v>6</v>
      </c>
      <c r="P3" t="n">
        <v>7</v>
      </c>
    </row>
    <row customHeight="1" ht="18" r="4" spans="1:17">
      <c r="A4" s="5" t="s">
        <v>10</v>
      </c>
      <c r="B4" s="6" t="n">
        <v>151396.6479</v>
      </c>
      <c r="C4" s="6" t="n">
        <v>160952</v>
      </c>
      <c r="I4" t="s">
        <v>19</v>
      </c>
      <c r="J4" t="s">
        <v>10</v>
      </c>
      <c r="K4" t="s">
        <v>11</v>
      </c>
      <c r="L4" t="s">
        <v>12</v>
      </c>
      <c r="M4" t="s">
        <v>13</v>
      </c>
      <c r="N4" t="s">
        <v>14</v>
      </c>
      <c r="O4" t="s">
        <v>15</v>
      </c>
      <c r="P4" t="s">
        <v>16</v>
      </c>
      <c r="Q4" t="s">
        <v>54</v>
      </c>
    </row>
    <row customHeight="1" ht="18" r="5" spans="1:17">
      <c r="A5" s="5" t="s">
        <v>11</v>
      </c>
      <c r="B5" s="6" t="n">
        <v>8845.852500000001</v>
      </c>
      <c r="C5" s="6" t="n">
        <v>13870</v>
      </c>
      <c r="H5" t="n">
        <v>1</v>
      </c>
      <c r="I5" t="s">
        <v>21</v>
      </c>
      <c r="J5" t="n">
        <v>67380.1915</v>
      </c>
      <c r="K5" t="n">
        <v>5546.4424</v>
      </c>
      <c r="L5" t="n">
        <v>57225.7406</v>
      </c>
      <c r="M5" t="n">
        <v>46626.6078</v>
      </c>
      <c r="N5" t="n">
        <v>276040.1714</v>
      </c>
      <c r="O5" t="n">
        <v>31451.6111</v>
      </c>
      <c r="P5" t="n">
        <v>928318.9776</v>
      </c>
      <c r="Q5" t="n">
        <v>1412589.7424</v>
      </c>
    </row>
    <row customHeight="1" ht="18" r="6" spans="1:17">
      <c r="A6" s="5" t="s">
        <v>12</v>
      </c>
      <c r="B6" s="6" t="n">
        <v>131529.915</v>
      </c>
      <c r="C6" s="6" t="n">
        <v>144136</v>
      </c>
      <c r="H6" t="n">
        <v>2</v>
      </c>
      <c r="I6" t="s">
        <v>22</v>
      </c>
      <c r="J6" t="n">
        <v>13951.5644</v>
      </c>
      <c r="K6" t="n">
        <v>378.6098</v>
      </c>
      <c r="L6" t="n">
        <v>13224.0567</v>
      </c>
      <c r="M6" t="n">
        <v>10086.3342</v>
      </c>
      <c r="N6" t="n">
        <v>63855.7581</v>
      </c>
      <c r="O6" t="n">
        <v>4319.1906</v>
      </c>
      <c r="P6" t="n">
        <v>235140.1683</v>
      </c>
      <c r="Q6" t="n">
        <v>340955.6821</v>
      </c>
    </row>
    <row customHeight="1" ht="18" r="7" spans="1:17">
      <c r="A7" s="5" t="s">
        <v>13</v>
      </c>
      <c r="B7" s="6" t="n">
        <v>123832.1304</v>
      </c>
      <c r="C7" s="6" t="n">
        <v>115370</v>
      </c>
      <c r="H7" t="n">
        <v>3</v>
      </c>
      <c r="I7" t="s">
        <v>23</v>
      </c>
      <c r="J7" t="n">
        <v>17397.1078</v>
      </c>
      <c r="K7" t="n">
        <v>1382.6706</v>
      </c>
      <c r="L7" t="n">
        <v>13957.9494</v>
      </c>
      <c r="M7" t="n">
        <v>9612.5879</v>
      </c>
      <c r="N7" t="n">
        <v>61542.4756</v>
      </c>
      <c r="O7" t="n">
        <v>5003.9998</v>
      </c>
      <c r="P7" t="n">
        <v>276195.1873</v>
      </c>
      <c r="Q7" t="n">
        <v>385091.9784</v>
      </c>
    </row>
    <row customHeight="1" ht="18" r="8" spans="1:17">
      <c r="A8" s="5" t="s">
        <v>14</v>
      </c>
      <c r="B8" s="6" t="n">
        <v>636827.6733</v>
      </c>
      <c r="C8" s="6" t="n">
        <v>678374</v>
      </c>
      <c r="H8" t="n">
        <v>4</v>
      </c>
      <c r="I8" t="s">
        <v>24</v>
      </c>
      <c r="J8" t="n">
        <v>17253.852</v>
      </c>
      <c r="K8" t="n">
        <v>2143.4193</v>
      </c>
      <c r="L8" t="n">
        <v>16102.5137</v>
      </c>
      <c r="M8" t="n">
        <v>22962.7524</v>
      </c>
      <c r="N8" t="n">
        <v>87610.8027</v>
      </c>
      <c r="O8" t="n">
        <v>8520.9486</v>
      </c>
      <c r="P8" t="n">
        <v>437694.3797</v>
      </c>
      <c r="Q8" t="n">
        <v>592288.6684</v>
      </c>
    </row>
    <row customHeight="1" ht="18" r="9" spans="1:17">
      <c r="A9" s="5" t="s">
        <v>15</v>
      </c>
      <c r="B9" s="6" t="n">
        <v>54534.6622</v>
      </c>
      <c r="C9" s="6" t="n">
        <v>74216</v>
      </c>
      <c r="H9" t="n">
        <v>5</v>
      </c>
      <c r="I9" t="s">
        <v>52</v>
      </c>
      <c r="J9" t="n">
        <v>2080.6143</v>
      </c>
      <c r="K9" t="n">
        <v>294.9111</v>
      </c>
      <c r="L9" t="n">
        <v>1471.8118</v>
      </c>
      <c r="M9" t="n">
        <v>3498.526</v>
      </c>
      <c r="N9" t="n">
        <v>33894.0267</v>
      </c>
      <c r="O9" t="n">
        <v>2274.6166</v>
      </c>
      <c r="P9" t="n">
        <v>67964.42909999999</v>
      </c>
      <c r="Q9" t="n">
        <v>111478.9356</v>
      </c>
    </row>
    <row customHeight="1" ht="18" r="10" spans="1:17">
      <c r="A10" s="5" t="s">
        <v>16</v>
      </c>
      <c r="B10" s="6" t="n">
        <v>2601551.0853</v>
      </c>
      <c r="C10" s="6" t="n">
        <v>2739941</v>
      </c>
      <c r="H10" t="n">
        <v>6</v>
      </c>
      <c r="I10" t="s">
        <v>26</v>
      </c>
      <c r="J10" t="n">
        <v>1905.2952</v>
      </c>
      <c r="K10" t="n">
        <v>0</v>
      </c>
      <c r="L10" t="n">
        <v>2170.0193</v>
      </c>
      <c r="M10" t="n">
        <v>3936.452</v>
      </c>
      <c r="N10" t="n">
        <v>4756.9449</v>
      </c>
      <c r="O10" t="n">
        <v>178.0578</v>
      </c>
      <c r="P10" t="n">
        <v>65552.77499999999</v>
      </c>
      <c r="Q10" t="n">
        <v>78499.54419999999</v>
      </c>
    </row>
    <row customHeight="1" ht="18" r="11" spans="1:17">
      <c r="A11" s="7" t="s">
        <v>17</v>
      </c>
      <c r="B11" s="8" t="n">
        <v>3708517.9666</v>
      </c>
      <c r="C11" s="8" t="n">
        <v>3926859</v>
      </c>
      <c r="H11" t="n">
        <v>7</v>
      </c>
      <c r="I11" t="s">
        <v>27</v>
      </c>
      <c r="J11" t="n">
        <v>21927.494</v>
      </c>
      <c r="K11" t="n">
        <v>164.3246</v>
      </c>
      <c r="L11" t="n">
        <v>15498.8351</v>
      </c>
      <c r="M11" t="n">
        <v>22665.7465</v>
      </c>
      <c r="N11" t="n">
        <v>73459.6531</v>
      </c>
      <c r="O11" t="n">
        <v>686.4745</v>
      </c>
      <c r="P11" t="n">
        <v>381513.3981</v>
      </c>
      <c r="Q11" t="n">
        <v>515915.9259</v>
      </c>
    </row>
    <row customHeight="1" ht="18" r="12" spans="1:17">
      <c r="H12" t="n">
        <v>8</v>
      </c>
      <c r="I12" t="s">
        <v>28</v>
      </c>
      <c r="J12" t="n">
        <v>9636.1661</v>
      </c>
      <c r="K12" t="n">
        <v>367.029</v>
      </c>
      <c r="L12" t="n">
        <v>12903.3161</v>
      </c>
      <c r="M12" t="n">
        <v>6513.8216</v>
      </c>
      <c r="N12" t="n">
        <v>36361.084</v>
      </c>
      <c r="O12" t="n">
        <v>815.5257</v>
      </c>
      <c r="P12" t="n">
        <v>205100.5471</v>
      </c>
      <c r="Q12" t="n">
        <v>271697.4896</v>
      </c>
    </row>
    <row customHeight="1" ht="18" r="13" spans="1:17">
      <c r="I13" t="s">
        <v>54</v>
      </c>
      <c r="J13" t="n">
        <v>151532.2853</v>
      </c>
      <c r="K13" t="n">
        <v>10277.4068</v>
      </c>
      <c r="L13" t="n">
        <v>132554.2427</v>
      </c>
      <c r="M13" t="n">
        <v>125902.8284</v>
      </c>
      <c r="N13" t="n">
        <v>637520.9164999999</v>
      </c>
      <c r="O13" t="n">
        <v>53250.42469999999</v>
      </c>
      <c r="P13" t="n">
        <v>2597479.8622</v>
      </c>
      <c r="Q13" t="n">
        <v>3708517.966599999</v>
      </c>
    </row>
    <row customHeight="1" ht="18" r="14" spans="1:17">
      <c r="I14" s="29" t="n"/>
    </row>
    <row customHeight="1" ht="18" r="15" spans="1:17">
      <c r="A15" s="1" t="s">
        <v>18</v>
      </c>
    </row>
    <row customHeight="1" ht="18" r="16" spans="1:17">
      <c r="B16" s="2" t="n"/>
      <c r="C16" s="2" t="n"/>
      <c r="D16" s="2" t="n"/>
      <c r="E16" s="2" t="n"/>
      <c r="H16" t="s">
        <v>55</v>
      </c>
      <c r="J16" t="n">
        <v>1</v>
      </c>
      <c r="K16" t="n">
        <v>2</v>
      </c>
      <c r="L16" t="n">
        <v>3</v>
      </c>
      <c r="M16" t="n">
        <v>4</v>
      </c>
      <c r="N16" t="n">
        <v>5</v>
      </c>
      <c r="O16" t="n">
        <v>6</v>
      </c>
      <c r="P16" t="n">
        <v>7</v>
      </c>
    </row>
    <row customHeight="1" ht="18" r="17" spans="1:17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I17" t="s">
        <v>19</v>
      </c>
      <c r="J17" s="29" t="s">
        <v>10</v>
      </c>
      <c r="K17" s="29" t="s">
        <v>11</v>
      </c>
      <c r="L17" t="s">
        <v>12</v>
      </c>
      <c r="M17" t="s">
        <v>13</v>
      </c>
      <c r="N17" t="s">
        <v>14</v>
      </c>
      <c r="O17" t="s">
        <v>15</v>
      </c>
      <c r="P17" t="s">
        <v>16</v>
      </c>
      <c r="Q17" t="s">
        <v>54</v>
      </c>
    </row>
    <row customHeight="1" ht="18" r="18" spans="1:17">
      <c r="A18" s="5" t="s">
        <v>21</v>
      </c>
      <c r="B18" s="6" t="n">
        <v>1412589.7424</v>
      </c>
      <c r="C18" s="6" t="n">
        <v>1603284</v>
      </c>
      <c r="D18" s="6" t="n">
        <v>190694.2575999999</v>
      </c>
      <c r="E18" s="9" t="n">
        <v>0.1349962072328297</v>
      </c>
      <c r="G18" s="6" t="n"/>
      <c r="H18" s="10" t="n">
        <v>1</v>
      </c>
      <c r="I18" t="s">
        <v>21</v>
      </c>
      <c r="J18" s="6" t="n">
        <v>60013.25</v>
      </c>
      <c r="K18" s="10" t="n">
        <v>4984</v>
      </c>
      <c r="L18" t="n">
        <v>56217.75</v>
      </c>
      <c r="M18" t="n">
        <v>44430.5</v>
      </c>
      <c r="N18" t="n">
        <v>268946.819776</v>
      </c>
      <c r="O18" t="n">
        <v>31260.5924581</v>
      </c>
      <c r="P18" t="n">
        <v>944369.46702</v>
      </c>
      <c r="Q18" t="n">
        <v>1410222.3792541</v>
      </c>
    </row>
    <row customHeight="1" ht="18" r="19" spans="1:17">
      <c r="A19" s="5" t="s">
        <v>22</v>
      </c>
      <c r="B19" s="6" t="n">
        <v>340955.6821</v>
      </c>
      <c r="C19" s="6" t="n">
        <v>380663</v>
      </c>
      <c r="D19" s="6" t="n">
        <v>39707.31790000002</v>
      </c>
      <c r="E19" s="9" t="n">
        <v>0.1164588830297133</v>
      </c>
      <c r="G19" s="6" t="n"/>
      <c r="H19" s="10" t="n">
        <v>2</v>
      </c>
      <c r="I19" t="s">
        <v>22</v>
      </c>
      <c r="J19" s="6" t="n">
        <v>12191.25</v>
      </c>
      <c r="K19" s="10" t="n">
        <v>542</v>
      </c>
      <c r="L19" t="n">
        <v>12070.75</v>
      </c>
      <c r="M19" t="n">
        <v>8310.5</v>
      </c>
      <c r="N19" t="n">
        <v>62381.7091932</v>
      </c>
      <c r="O19" t="n">
        <v>5142.67130944</v>
      </c>
      <c r="P19" t="n">
        <v>229948.913597</v>
      </c>
      <c r="Q19" t="n">
        <v>330587.79409964</v>
      </c>
    </row>
    <row customHeight="1" ht="18" r="20" spans="1:17">
      <c r="A20" s="5" t="s">
        <v>23</v>
      </c>
      <c r="B20" s="6" t="n">
        <v>385091.9784</v>
      </c>
      <c r="C20" s="6" t="n">
        <v>394750</v>
      </c>
      <c r="D20" s="6" t="n">
        <v>9658.021599999978</v>
      </c>
      <c r="E20" s="9" t="n">
        <v>0.02507977870670696</v>
      </c>
      <c r="G20" s="6" t="n"/>
      <c r="H20" s="10" t="n">
        <v>3</v>
      </c>
      <c r="I20" t="s">
        <v>23</v>
      </c>
      <c r="J20" s="6" t="n">
        <v>17578</v>
      </c>
      <c r="K20" s="10" t="n">
        <v>1200</v>
      </c>
      <c r="L20" t="n">
        <v>13382</v>
      </c>
      <c r="M20" t="n">
        <v>9822.75</v>
      </c>
      <c r="N20" t="n">
        <v>63195.2517185</v>
      </c>
      <c r="O20" t="n">
        <v>5554.49277396</v>
      </c>
      <c r="P20" t="n">
        <v>282974.684858</v>
      </c>
      <c r="Q20" t="n">
        <v>393707.17935046</v>
      </c>
    </row>
    <row customHeight="1" ht="18" r="21" spans="1:17">
      <c r="A21" s="5" t="s">
        <v>24</v>
      </c>
      <c r="B21" s="6" t="n">
        <v>592288.6684</v>
      </c>
      <c r="C21" s="6" t="n">
        <v>408482</v>
      </c>
      <c r="D21" s="6" t="n">
        <v>-183806.6684</v>
      </c>
      <c r="E21" s="9" t="n">
        <v>-0.3103329140105494</v>
      </c>
      <c r="G21" s="6" t="n"/>
      <c r="H21" s="10" t="n">
        <v>4</v>
      </c>
      <c r="I21" t="s">
        <v>24</v>
      </c>
      <c r="J21" s="6" t="n">
        <v>21311.25</v>
      </c>
      <c r="K21" s="10" t="n">
        <v>1558.25</v>
      </c>
      <c r="L21" t="n">
        <v>18011.25</v>
      </c>
      <c r="M21" t="n">
        <v>16276</v>
      </c>
      <c r="N21" t="n">
        <v>75460.01859000001</v>
      </c>
      <c r="O21" t="n">
        <v>7014.57355207</v>
      </c>
      <c r="P21" t="n">
        <v>434271.235862</v>
      </c>
      <c r="Q21" t="n">
        <v>573902.57800407</v>
      </c>
    </row>
    <row customHeight="1" ht="18" r="22" spans="1:17">
      <c r="A22" s="5" t="s">
        <v>52</v>
      </c>
      <c r="B22" s="6" t="n">
        <v>111478.9356</v>
      </c>
      <c r="C22" s="6" t="n">
        <v>223224</v>
      </c>
      <c r="D22" s="6" t="n">
        <v>111745.0644</v>
      </c>
      <c r="E22" s="9" t="n">
        <v>1.002387256377787</v>
      </c>
      <c r="G22" s="6" t="n"/>
      <c r="H22" s="10" t="n">
        <v>5</v>
      </c>
      <c r="I22" t="s">
        <v>52</v>
      </c>
      <c r="J22" s="6" t="n">
        <v>7125.5</v>
      </c>
      <c r="K22" s="10" t="n">
        <v>375.75</v>
      </c>
      <c r="L22" t="n">
        <v>5958.25</v>
      </c>
      <c r="M22" t="n">
        <v>4049.5</v>
      </c>
      <c r="N22" t="n">
        <v>44363.5588828</v>
      </c>
      <c r="O22" t="n">
        <v>3672.00727627</v>
      </c>
      <c r="P22" t="n">
        <v>110021.567021</v>
      </c>
      <c r="Q22" t="n">
        <v>175566.13318007</v>
      </c>
    </row>
    <row customHeight="1" ht="18" r="23" spans="1:17">
      <c r="A23" s="5" t="s">
        <v>26</v>
      </c>
      <c r="B23" s="6" t="n">
        <v>78499.5442</v>
      </c>
      <c r="C23" s="6" t="n">
        <v>93807</v>
      </c>
      <c r="D23" s="6" t="n">
        <v>15307.4558</v>
      </c>
      <c r="E23" s="9" t="n">
        <v>0.1950005691880182</v>
      </c>
      <c r="G23" s="6" t="n"/>
      <c r="H23" s="10" t="n">
        <v>6</v>
      </c>
      <c r="I23" t="s">
        <v>26</v>
      </c>
      <c r="J23" s="6" t="n">
        <v>5102.75</v>
      </c>
      <c r="K23" s="10" t="n">
        <v>141.5</v>
      </c>
      <c r="L23" t="n">
        <v>4245</v>
      </c>
      <c r="M23" t="n">
        <v>3558.5</v>
      </c>
      <c r="N23" t="n">
        <v>14046.6172179</v>
      </c>
      <c r="O23" t="n">
        <v>349.852824317</v>
      </c>
      <c r="P23" t="n">
        <v>92096.1569321</v>
      </c>
      <c r="Q23" t="n">
        <v>119540.376974317</v>
      </c>
    </row>
    <row customHeight="1" ht="18" r="24" spans="1:17">
      <c r="A24" s="5" t="s">
        <v>27</v>
      </c>
      <c r="B24" s="6" t="n">
        <v>515915.9259</v>
      </c>
      <c r="C24" s="6" t="n">
        <v>555871</v>
      </c>
      <c r="D24" s="6" t="n">
        <v>39955.07410000003</v>
      </c>
      <c r="E24" s="9" t="n">
        <v>0.07744493258334599</v>
      </c>
      <c r="G24" s="6" t="n"/>
      <c r="H24" s="10" t="n">
        <v>7</v>
      </c>
      <c r="I24" t="s">
        <v>27</v>
      </c>
      <c r="J24" s="6" t="n">
        <v>21597.75</v>
      </c>
      <c r="K24" s="10" t="n">
        <v>504.5</v>
      </c>
      <c r="L24" t="n">
        <v>17436.25</v>
      </c>
      <c r="M24" t="n">
        <v>15664.5</v>
      </c>
      <c r="N24" t="n">
        <v>61354.2891692</v>
      </c>
      <c r="O24" t="n">
        <v>1149.3870875</v>
      </c>
      <c r="P24" t="n">
        <v>386181.27956</v>
      </c>
      <c r="Q24" t="n">
        <v>503887.9558167</v>
      </c>
    </row>
    <row customHeight="1" ht="18" r="25" spans="1:17">
      <c r="A25" s="5" t="s">
        <v>28</v>
      </c>
      <c r="B25" s="11" t="n">
        <v>271697.4896</v>
      </c>
      <c r="C25" s="11" t="n">
        <v>266778</v>
      </c>
      <c r="D25" s="11" t="n">
        <v>-4919.48960000003</v>
      </c>
      <c r="E25" s="12" t="n">
        <v>-0.01810649633621064</v>
      </c>
      <c r="G25" s="6" t="n"/>
      <c r="H25" s="9" t="n">
        <v>8</v>
      </c>
      <c r="I25" t="s">
        <v>28</v>
      </c>
      <c r="J25" s="6" t="n">
        <v>8021.75</v>
      </c>
      <c r="K25" s="9" t="n">
        <v>395</v>
      </c>
      <c r="L25" t="n">
        <v>8520.25</v>
      </c>
      <c r="M25" t="n">
        <v>6819.75</v>
      </c>
      <c r="N25" t="n">
        <v>33527.2673185</v>
      </c>
      <c r="O25" t="n">
        <v>727.2812949630001</v>
      </c>
      <c r="P25" t="n">
        <v>177049.123171</v>
      </c>
      <c r="Q25" t="n">
        <v>235060.421784463</v>
      </c>
    </row>
    <row customHeight="1" ht="18" r="26" spans="1:17">
      <c r="A26" s="7" t="s">
        <v>17</v>
      </c>
      <c r="B26" s="13" t="n">
        <v>3708517.9666</v>
      </c>
      <c r="C26" s="13" t="n">
        <v>3926859</v>
      </c>
      <c r="D26" s="13" t="n">
        <v>218341.0334000001</v>
      </c>
      <c r="E26" s="14" t="n">
        <v>0.05887554957706648</v>
      </c>
      <c r="G26" s="6" t="n"/>
      <c r="H26" s="9" t="n"/>
      <c r="I26" t="s">
        <v>17</v>
      </c>
      <c r="J26" s="6" t="n">
        <v>152941.5</v>
      </c>
      <c r="K26" s="9" t="n">
        <v>9701</v>
      </c>
      <c r="L26" t="n">
        <v>135841.5</v>
      </c>
      <c r="M26" t="n">
        <v>108932</v>
      </c>
      <c r="N26" t="n">
        <v>623275.5318660999</v>
      </c>
      <c r="O26" t="n">
        <v>54870.85857662001</v>
      </c>
      <c r="P26" t="n">
        <v>2656912.4280211</v>
      </c>
      <c r="Q26" t="n">
        <v>3742474.81846382</v>
      </c>
    </row>
    <row customHeight="1" ht="18" r="27" spans="1:17"/>
    <row customHeight="1" ht="18" r="28" spans="1:17"/>
    <row customHeight="1" ht="18" r="29" spans="1:17"/>
    <row customHeight="1" ht="18" r="30" spans="1:17">
      <c r="A30" s="1" t="s">
        <v>29</v>
      </c>
      <c r="G30" s="1" t="s">
        <v>30</v>
      </c>
    </row>
    <row customHeight="1" ht="18" r="31" spans="1:17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7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7">
      <c r="A33" s="5" t="s">
        <v>32</v>
      </c>
      <c r="B33" s="6" t="n">
        <v>1727558.953255146</v>
      </c>
      <c r="C33" s="6" t="n">
        <v>2018491</v>
      </c>
      <c r="D33" s="6" t="n">
        <v>290932.0467448537</v>
      </c>
      <c r="E33" s="9" t="n">
        <v>0.1684064362588994</v>
      </c>
      <c r="G33" s="30" t="n">
        <v>0.4658354007757408</v>
      </c>
      <c r="H33" s="30" t="n">
        <v>0.514021766506004</v>
      </c>
      <c r="I33" s="30" t="n">
        <v>0.04818636573026314</v>
      </c>
      <c r="J33" s="9" t="n">
        <v>0.1034407553612712</v>
      </c>
      <c r="L33" s="37" t="n"/>
      <c r="M33" s="37" t="n"/>
    </row>
    <row customHeight="1" ht="18" r="34" spans="1:17">
      <c r="A34" s="5" t="s">
        <v>33</v>
      </c>
      <c r="B34" s="6" t="n">
        <v>805076.5250488229</v>
      </c>
      <c r="C34" s="6" t="n">
        <v>690457</v>
      </c>
      <c r="D34" s="6" t="n">
        <v>-114619.5250488229</v>
      </c>
      <c r="E34" s="9" t="n">
        <v>-0.1423709690726256</v>
      </c>
      <c r="G34" s="30" t="n">
        <v>0.2170884790904556</v>
      </c>
      <c r="H34" s="30" t="n">
        <v>0.1758293333170353</v>
      </c>
      <c r="I34" s="30" t="n">
        <v>-0.04125914577342024</v>
      </c>
      <c r="J34" s="9" t="n">
        <v>-0.1900568189812991</v>
      </c>
      <c r="L34" s="37" t="n"/>
      <c r="M34" s="37" t="n"/>
    </row>
    <row customHeight="1" ht="18" r="35" spans="1:17">
      <c r="A35" s="5" t="s">
        <v>34</v>
      </c>
      <c r="B35" s="6" t="n">
        <v>648797.0130975691</v>
      </c>
      <c r="C35" s="6" t="n">
        <v>683568</v>
      </c>
      <c r="D35" s="6" t="n">
        <v>34770.98690243089</v>
      </c>
      <c r="E35" s="9" t="n">
        <v>0.05359301322369353</v>
      </c>
      <c r="G35" s="30" t="n">
        <v>0.1749477874829852</v>
      </c>
      <c r="H35" s="30" t="n">
        <v>0.1740750049849001</v>
      </c>
      <c r="I35" s="30" t="n">
        <v>-0.0008727824980850341</v>
      </c>
      <c r="J35" s="9" t="n">
        <v>-0.004988817010160348</v>
      </c>
      <c r="L35" s="37" t="n"/>
      <c r="M35" s="37" t="n"/>
    </row>
    <row customHeight="1" ht="18" r="36" spans="1:17">
      <c r="A36" s="5" t="s">
        <v>35</v>
      </c>
      <c r="B36" s="6" t="n">
        <v>718143.1052283818</v>
      </c>
      <c r="C36" s="6" t="n">
        <v>724488</v>
      </c>
      <c r="D36" s="6" t="n">
        <v>6344.894771618186</v>
      </c>
      <c r="E36" s="9" t="n">
        <v>0.00883513985642235</v>
      </c>
      <c r="G36" s="30" t="n">
        <v>0.193646926264397</v>
      </c>
      <c r="H36" s="30" t="n">
        <v>0.1844955472045215</v>
      </c>
      <c r="I36" s="30" t="n">
        <v>-0.009151379059875564</v>
      </c>
      <c r="J36" s="9" t="n">
        <v>-0.04725806516226688</v>
      </c>
      <c r="L36" s="37" t="n"/>
      <c r="M36" s="37" t="n"/>
    </row>
    <row customHeight="1" ht="18" r="37" spans="1:17">
      <c r="A37" s="5" t="s">
        <v>36</v>
      </c>
      <c r="B37" s="6" t="n">
        <v>702437.8153073883</v>
      </c>
      <c r="C37" s="6" t="n">
        <v>727826</v>
      </c>
      <c r="D37" s="6" t="n">
        <v>25388.18469261169</v>
      </c>
      <c r="E37" s="9" t="n">
        <v>0.03614296403091818</v>
      </c>
      <c r="G37" s="30" t="n">
        <v>0.1894120027552109</v>
      </c>
      <c r="H37" s="30" t="n">
        <v>0.1853455904579207</v>
      </c>
      <c r="I37" s="30" t="n">
        <v>-0.004066412297290184</v>
      </c>
      <c r="J37" s="9" t="n">
        <v>-0.02146860937078769</v>
      </c>
      <c r="L37" s="37" t="n"/>
      <c r="M37" s="37" t="n"/>
    </row>
    <row customHeight="1" ht="18" r="38" spans="1:17">
      <c r="A38" s="5" t="s">
        <v>37</v>
      </c>
      <c r="B38" s="6" t="n">
        <v>225250.543726851</v>
      </c>
      <c r="C38" s="6" t="n">
        <v>232954</v>
      </c>
      <c r="D38" s="6" t="n">
        <v>7703.456273149</v>
      </c>
      <c r="E38" s="9" t="n">
        <v>0.03419950134500257</v>
      </c>
      <c r="G38" s="30" t="n">
        <v>0.06073869555318956</v>
      </c>
      <c r="H38" s="30" t="n">
        <v>0.05932324027931739</v>
      </c>
      <c r="I38" s="30" t="n">
        <v>-0.001415455273872171</v>
      </c>
      <c r="J38" s="9" t="n">
        <v>-0.02330401173388126</v>
      </c>
      <c r="L38" s="37" t="n"/>
      <c r="M38" s="37" t="n"/>
    </row>
    <row customHeight="1" ht="18" r="39" spans="1:17">
      <c r="A39" s="5" t="s">
        <v>38</v>
      </c>
      <c r="B39" s="6" t="n">
        <v>1090010.600626743</v>
      </c>
      <c r="C39" s="6" t="n">
        <v>1125581</v>
      </c>
      <c r="D39" s="6" t="n">
        <v>35570.39937325683</v>
      </c>
      <c r="E39" s="9" t="n">
        <v>0.03263307655247048</v>
      </c>
      <c r="G39" s="30" t="n">
        <v>0.2939208089171195</v>
      </c>
      <c r="H39" s="30" t="n">
        <v>0.286636469503998</v>
      </c>
      <c r="I39" s="30" t="n">
        <v>-0.007284339413121566</v>
      </c>
      <c r="J39" s="9" t="n">
        <v>-0.02478334024718754</v>
      </c>
      <c r="L39" s="37" t="n"/>
      <c r="M39" s="37" t="n"/>
    </row>
    <row customHeight="1" ht="18" r="40" spans="1:17">
      <c r="A40" s="5" t="s">
        <v>39</v>
      </c>
      <c r="B40" s="11" t="n">
        <v>184043.1653974242</v>
      </c>
      <c r="C40" s="11" t="n">
        <v>224555</v>
      </c>
      <c r="D40" s="11" t="n">
        <v>40511.83460257581</v>
      </c>
      <c r="E40" s="12" t="n">
        <v>0.2201213748692827</v>
      </c>
      <c r="G40" s="30" t="n">
        <v>0.04962714676185228</v>
      </c>
      <c r="H40" s="30" t="n">
        <v>0.05718438069714242</v>
      </c>
      <c r="I40" s="16" t="n">
        <v>0.00755723393529014</v>
      </c>
      <c r="J40" s="12" t="n">
        <v>0.1522802423350134</v>
      </c>
      <c r="L40" s="37" t="n"/>
      <c r="M40" s="37" t="n"/>
    </row>
    <row customHeight="1" ht="18" r="41" spans="1:17">
      <c r="A41" s="7" t="s">
        <v>17</v>
      </c>
      <c r="B41" s="13" t="n">
        <v>6101317.721688327</v>
      </c>
      <c r="C41" s="13" t="n">
        <v>6427920</v>
      </c>
      <c r="D41" s="13" t="n">
        <v>326602.2783116726</v>
      </c>
      <c r="E41" s="14" t="n">
        <v>0.05352979359699642</v>
      </c>
      <c r="G41" s="17" t="n">
        <v>1.645217247600951</v>
      </c>
      <c r="H41" s="17" t="n">
        <v>1.636911332950839</v>
      </c>
      <c r="I41" s="18" t="n">
        <v>-0.008305914650111657</v>
      </c>
      <c r="J41" s="14" t="n">
        <v>-0.00504852150208327</v>
      </c>
    </row>
    <row customHeight="1" ht="18" r="42" spans="1:17">
      <c r="B42" s="6" t="n"/>
      <c r="C42" s="6" t="n"/>
      <c r="D42" s="6" t="n"/>
    </row>
    <row customHeight="1" ht="18" r="43" spans="1:17">
      <c r="B43" s="6" t="n"/>
      <c r="C43" s="6" t="n"/>
      <c r="D43" s="6" t="n"/>
    </row>
    <row customHeight="1" ht="18" r="44" spans="1:17">
      <c r="B44" s="6" t="n"/>
      <c r="C44" s="6" t="n"/>
      <c r="D44" s="6" t="n"/>
    </row>
    <row customHeight="1" ht="18" r="45" spans="1:17">
      <c r="A45" s="1" t="s">
        <v>40</v>
      </c>
      <c r="G45" s="1" t="s">
        <v>41</v>
      </c>
    </row>
    <row customHeight="1" ht="18" r="46" spans="1:17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7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7">
      <c r="A48" s="5" t="s">
        <v>21</v>
      </c>
      <c r="B48" s="6" t="n">
        <v>2431438.022820987</v>
      </c>
      <c r="C48" s="6" t="n">
        <v>2774457</v>
      </c>
      <c r="D48" s="6" t="n">
        <v>343018.9771790132</v>
      </c>
      <c r="E48" s="9" t="n">
        <v>0.1410765867603888</v>
      </c>
      <c r="G48" s="30" t="n">
        <v>1.721262692089181</v>
      </c>
      <c r="H48" s="30" t="n">
        <v>1.730483806986161</v>
      </c>
      <c r="I48" s="30" t="n">
        <v>0.009221114896980076</v>
      </c>
      <c r="J48" s="9" t="n">
        <v>0.005357180481143153</v>
      </c>
      <c r="L48" s="10" t="n"/>
      <c r="M48" s="10" t="n"/>
    </row>
    <row customHeight="1" ht="18" r="49" spans="1:17">
      <c r="A49" s="5" t="s">
        <v>22</v>
      </c>
      <c r="B49" s="6" t="n">
        <v>625338.6677078081</v>
      </c>
      <c r="C49" s="6" t="n">
        <v>666701</v>
      </c>
      <c r="D49" s="6" t="n">
        <v>41362.33229219192</v>
      </c>
      <c r="E49" s="9" t="n">
        <v>0.06614389038791797</v>
      </c>
      <c r="G49" s="30" t="n">
        <v>1.834076100026397</v>
      </c>
      <c r="H49" s="30" t="n">
        <v>1.751420547833648</v>
      </c>
      <c r="I49" s="30" t="n">
        <v>-0.08265555219274923</v>
      </c>
      <c r="J49" s="9" t="n">
        <v>-0.04506658812661022</v>
      </c>
      <c r="L49" s="10" t="n"/>
      <c r="M49" s="10" t="n"/>
    </row>
    <row customHeight="1" ht="18" r="50" spans="1:17">
      <c r="A50" s="5" t="s">
        <v>23</v>
      </c>
      <c r="B50" s="6" t="n">
        <v>547910.2446145164</v>
      </c>
      <c r="C50" s="6" t="n">
        <v>553019</v>
      </c>
      <c r="D50" s="6" t="n">
        <v>5108.755385483615</v>
      </c>
      <c r="E50" s="9" t="n">
        <v>0.009324073487762385</v>
      </c>
      <c r="G50" s="30" t="n">
        <v>1.422803577708895</v>
      </c>
      <c r="H50" s="30" t="n">
        <v>1.400934768841039</v>
      </c>
      <c r="I50" s="30" t="n">
        <v>-0.0218688088678558</v>
      </c>
      <c r="J50" s="9" t="n">
        <v>-0.01537022341697412</v>
      </c>
      <c r="L50" s="10" t="n"/>
      <c r="M50" s="10" t="n"/>
    </row>
    <row customHeight="1" ht="18" r="51" spans="1:17">
      <c r="A51" s="5" t="s">
        <v>24</v>
      </c>
      <c r="B51" s="6" t="n">
        <v>1052457.407851551</v>
      </c>
      <c r="C51" s="6" t="n">
        <v>690599</v>
      </c>
      <c r="D51" s="6" t="n">
        <v>-361858.4078515514</v>
      </c>
      <c r="E51" s="9" t="n">
        <v>-0.3438223771831642</v>
      </c>
      <c r="G51" s="30" t="n">
        <v>1.776933215174696</v>
      </c>
      <c r="H51" s="30" t="n">
        <v>1.690647323505075</v>
      </c>
      <c r="I51" s="30" t="n">
        <v>-0.0862858916696212</v>
      </c>
      <c r="J51" s="9" t="n">
        <v>-0.04855888276090227</v>
      </c>
      <c r="L51" s="10" t="n"/>
      <c r="M51" s="10" t="n"/>
    </row>
    <row customHeight="1" ht="18" r="52" spans="1:17">
      <c r="A52" s="5" t="s">
        <v>52</v>
      </c>
      <c r="B52" s="6" t="n">
        <v>199289.4263048723</v>
      </c>
      <c r="C52" s="6" t="n">
        <v>405201</v>
      </c>
      <c r="D52" s="6" t="n">
        <v>205911.5736951277</v>
      </c>
      <c r="E52" s="9" t="n">
        <v>1.033228794487696</v>
      </c>
      <c r="G52" s="30" t="n">
        <v>1.787686841754096</v>
      </c>
      <c r="H52" s="30" t="n">
        <v>1.815221481561123</v>
      </c>
      <c r="I52" s="30" t="n">
        <v>0.0275346398070262</v>
      </c>
      <c r="J52" s="9" t="n">
        <v>0.01540238433483626</v>
      </c>
      <c r="L52" s="10" t="n"/>
      <c r="M52" s="10" t="n"/>
    </row>
    <row customHeight="1" ht="18" r="53" spans="1:17">
      <c r="A53" s="5" t="s">
        <v>26</v>
      </c>
      <c r="B53" s="6" t="n">
        <v>108113.223138592</v>
      </c>
      <c r="C53" s="6" t="n">
        <v>123633</v>
      </c>
      <c r="D53" s="6" t="n">
        <v>15519.77686140801</v>
      </c>
      <c r="E53" s="9" t="n">
        <v>0.1435511439846074</v>
      </c>
      <c r="G53" s="30" t="n">
        <v>1.377246508121661</v>
      </c>
      <c r="H53" s="30" t="n">
        <v>1.317950685982922</v>
      </c>
      <c r="I53" s="30" t="n">
        <v>-0.05929582213873852</v>
      </c>
      <c r="J53" s="9" t="n">
        <v>-0.04305389179719782</v>
      </c>
      <c r="L53" s="10" t="n"/>
      <c r="M53" s="10" t="n"/>
    </row>
    <row customHeight="1" ht="18" r="54" spans="1:17">
      <c r="A54" s="5" t="s">
        <v>27</v>
      </c>
      <c r="B54" s="6" t="n">
        <v>772435.58325</v>
      </c>
      <c r="C54" s="6" t="n">
        <v>798006</v>
      </c>
      <c r="D54" s="6" t="n">
        <v>25570.41674999997</v>
      </c>
      <c r="E54" s="9" t="n">
        <v>0.03310362353118586</v>
      </c>
      <c r="G54" s="30" t="n">
        <v>1.497212131807153</v>
      </c>
      <c r="H54" s="30" t="n">
        <v>1.435595668779267</v>
      </c>
      <c r="I54" s="30" t="n">
        <v>-0.0616164630278857</v>
      </c>
      <c r="J54" s="9" t="n">
        <v>-0.04115413021233932</v>
      </c>
      <c r="L54" s="10" t="n"/>
      <c r="M54" s="10" t="n"/>
    </row>
    <row customHeight="1" ht="18" r="55" spans="1:17">
      <c r="A55" s="5" t="s">
        <v>28</v>
      </c>
      <c r="B55" s="11" t="n">
        <v>364335.1460000001</v>
      </c>
      <c r="C55" s="11" t="n">
        <v>416304</v>
      </c>
      <c r="D55" s="11" t="n">
        <v>51968.85399999993</v>
      </c>
      <c r="E55" s="12" t="n">
        <v>0.1426402436618067</v>
      </c>
      <c r="G55" s="16" t="n">
        <v>1.340958823492935</v>
      </c>
      <c r="H55" s="16" t="n">
        <v>1.560488496052898</v>
      </c>
      <c r="I55" s="16" t="n">
        <v>0.2195296725599627</v>
      </c>
      <c r="J55" s="12" t="n">
        <v>0.1637109721148118</v>
      </c>
      <c r="L55" s="10" t="n"/>
      <c r="M55" s="10" t="n"/>
    </row>
    <row customHeight="1" ht="18" r="56" spans="1:17">
      <c r="A56" s="7" t="s">
        <v>17</v>
      </c>
      <c r="B56" s="13" t="n">
        <v>6101317.721688327</v>
      </c>
      <c r="C56" s="13" t="n">
        <v>6427920</v>
      </c>
      <c r="D56" s="13" t="n">
        <v>326602.2783116726</v>
      </c>
      <c r="E56" s="14" t="n">
        <v>0.05352979359699642</v>
      </c>
      <c r="G56" s="18" t="n">
        <v>1.645217247600951</v>
      </c>
      <c r="H56" s="18" t="n">
        <v>1.636911332950839</v>
      </c>
      <c r="I56" s="18" t="n">
        <v>-0.008305914650111657</v>
      </c>
      <c r="J56" s="14" t="n">
        <v>-0.00504852150208327</v>
      </c>
    </row>
    <row customHeight="1" ht="18" r="57" spans="1:17"/>
    <row customHeight="1" ht="18" r="58" spans="1:17"/>
    <row customHeight="1" ht="18" r="59" spans="1:17"/>
    <row customHeight="1" ht="18" r="60" spans="1:17">
      <c r="A60" s="1" t="s">
        <v>42</v>
      </c>
      <c r="G60" s="1" t="s">
        <v>43</v>
      </c>
      <c r="L60" s="1" t="s">
        <v>44</v>
      </c>
    </row>
    <row customHeight="1" ht="18" r="61" spans="1:17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7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7">
      <c r="A63" s="5" t="s">
        <v>32</v>
      </c>
      <c r="B63" s="6" t="n">
        <v>2298251.40394728</v>
      </c>
      <c r="C63" s="6" t="n">
        <v>2718523</v>
      </c>
      <c r="D63" s="6" t="n">
        <v>420271.5960527202</v>
      </c>
      <c r="E63" s="9" t="n">
        <v>0.1828658062955592</v>
      </c>
      <c r="G63" s="30" t="n">
        <v>0.6197223323834496</v>
      </c>
      <c r="H63" s="30" t="n">
        <v>0.6922894353986226</v>
      </c>
      <c r="I63" s="30" t="n">
        <v>0.072567103015173</v>
      </c>
      <c r="J63" s="9" t="n">
        <v>0.1170961561705872</v>
      </c>
      <c r="L63" s="30" t="n">
        <v>1.330346150918212</v>
      </c>
      <c r="M63" s="30" t="n">
        <v>1.346809572101139</v>
      </c>
    </row>
    <row customHeight="1" ht="18" r="64" spans="1:17">
      <c r="A64" s="5" t="s">
        <v>33</v>
      </c>
      <c r="B64" s="6" t="n">
        <v>874992.3497899399</v>
      </c>
      <c r="C64" s="6" t="n">
        <v>754781</v>
      </c>
      <c r="D64" s="6" t="n">
        <v>-120211.3497899399</v>
      </c>
      <c r="E64" s="9" t="n">
        <v>-0.1373856009355958</v>
      </c>
      <c r="G64" s="30" t="n">
        <v>0.2359412459829985</v>
      </c>
      <c r="H64" s="30" t="n">
        <v>0.1922098552558164</v>
      </c>
      <c r="I64" s="30" t="n">
        <v>-0.04373139072718207</v>
      </c>
      <c r="J64" s="9" t="n">
        <v>-0.1853486470539928</v>
      </c>
      <c r="L64" s="30" t="n">
        <v>1.086843700649298</v>
      </c>
      <c r="M64" s="30" t="n">
        <v>1.093161485798536</v>
      </c>
    </row>
    <row customHeight="1" ht="18" r="65" spans="1:17">
      <c r="A65" s="5" t="s">
        <v>34</v>
      </c>
      <c r="B65" s="6" t="n">
        <v>1245809.413276674</v>
      </c>
      <c r="C65" s="6" t="n">
        <v>1392892</v>
      </c>
      <c r="D65" s="6" t="n">
        <v>147082.5867233262</v>
      </c>
      <c r="E65" s="9" t="n">
        <v>0.1180618681765103</v>
      </c>
      <c r="G65" s="30" t="n">
        <v>0.3359318802003384</v>
      </c>
      <c r="H65" s="30" t="n">
        <v>0.354708941675777</v>
      </c>
      <c r="I65" s="30" t="n">
        <v>0.01877706147543856</v>
      </c>
      <c r="J65" s="9" t="n">
        <v>0.05589544363649129</v>
      </c>
      <c r="L65" s="30" t="n">
        <v>1.920183644694621</v>
      </c>
      <c r="M65" s="30" t="n">
        <v>2.037678767876788</v>
      </c>
    </row>
    <row customHeight="1" ht="18" r="66" spans="1:17">
      <c r="A66" s="5" t="s">
        <v>35</v>
      </c>
      <c r="B66" s="6" t="n">
        <v>1846226.214474478</v>
      </c>
      <c r="C66" s="6" t="n">
        <v>1929735</v>
      </c>
      <c r="D66" s="6" t="n">
        <v>83508.78552552219</v>
      </c>
      <c r="E66" s="9" t="n">
        <v>0.04523215241491558</v>
      </c>
      <c r="G66" s="30" t="n">
        <v>0.4978339679360144</v>
      </c>
      <c r="H66" s="30" t="n">
        <v>0.4914194780102876</v>
      </c>
      <c r="I66" s="30" t="n">
        <v>-0.006414489925726796</v>
      </c>
      <c r="J66" s="9" t="n">
        <v>-0.0128847976210238</v>
      </c>
      <c r="L66" s="30" t="n">
        <v>2.570833307502613</v>
      </c>
      <c r="M66" s="30" t="n">
        <v>2.663584490012257</v>
      </c>
    </row>
    <row customHeight="1" ht="18" r="67" spans="1:17">
      <c r="A67" s="5" t="s">
        <v>36</v>
      </c>
      <c r="B67" s="6" t="n">
        <v>2042144.375058298</v>
      </c>
      <c r="C67" s="6" t="n">
        <v>2141029</v>
      </c>
      <c r="D67" s="6" t="n">
        <v>98884.62494170247</v>
      </c>
      <c r="E67" s="9" t="n">
        <v>0.04842195593486361</v>
      </c>
      <c r="G67" s="30" t="n">
        <v>0.5506632011629574</v>
      </c>
      <c r="H67" s="30" t="n">
        <v>0.5452268594314184</v>
      </c>
      <c r="I67" s="30" t="n">
        <v>-0.005436341731539063</v>
      </c>
      <c r="J67" s="9" t="n">
        <v>-0.009872353409593988</v>
      </c>
      <c r="L67" s="30" t="n">
        <v>2.907224426926177</v>
      </c>
      <c r="M67" s="30" t="n">
        <v>2.941676994226642</v>
      </c>
    </row>
    <row customHeight="1" ht="18" r="68" spans="1:17">
      <c r="A68" s="5" t="s">
        <v>37</v>
      </c>
      <c r="B68" s="6" t="n">
        <v>828105.0150248591</v>
      </c>
      <c r="C68" s="6" t="n">
        <v>877302</v>
      </c>
      <c r="D68" s="6" t="n">
        <v>49196.98497514089</v>
      </c>
      <c r="E68" s="9" t="n">
        <v>0.05940911367825014</v>
      </c>
      <c r="G68" s="30" t="n">
        <v>0.2232980998024051</v>
      </c>
      <c r="H68" s="30" t="n">
        <v>0.2234106190214622</v>
      </c>
      <c r="I68" s="30" t="n">
        <v>0.0001125192190571112</v>
      </c>
      <c r="J68" s="9" t="n">
        <v>0.0005038968945847664</v>
      </c>
      <c r="L68" s="30" t="n">
        <v>3.676372990375804</v>
      </c>
      <c r="M68" s="30" t="n">
        <v>3.765988134996609</v>
      </c>
    </row>
    <row customHeight="1" ht="18" r="69" spans="1:17">
      <c r="A69" s="5" t="s">
        <v>38</v>
      </c>
      <c r="B69" s="6" t="n">
        <v>1716147.065760338</v>
      </c>
      <c r="C69" s="6" t="n">
        <v>1790684</v>
      </c>
      <c r="D69" s="6" t="n">
        <v>74536.93423966179</v>
      </c>
      <c r="E69" s="9" t="n">
        <v>0.04343271956511386</v>
      </c>
      <c r="G69" s="30" t="n">
        <v>0.4627581910662054</v>
      </c>
      <c r="H69" s="30" t="n">
        <v>0.4560092430107626</v>
      </c>
      <c r="I69" s="30" t="n">
        <v>-0.006748948055442794</v>
      </c>
      <c r="J69" s="9" t="n">
        <v>-0.01458417848832252</v>
      </c>
      <c r="L69" s="30" t="n">
        <v>1.57443153743053</v>
      </c>
      <c r="M69" s="30" t="n">
        <v>1.590897500935073</v>
      </c>
    </row>
    <row customHeight="1" ht="18" r="70" spans="1:17">
      <c r="A70" s="19" t="s">
        <v>46</v>
      </c>
      <c r="B70" s="11" t="n">
        <v>5897768.195587067</v>
      </c>
      <c r="C70" s="11" t="n">
        <v>6200328</v>
      </c>
      <c r="D70" s="11" t="n">
        <v>302559.8044129331</v>
      </c>
      <c r="E70" s="12" t="n">
        <v>0.05130072840762371</v>
      </c>
      <c r="G70" s="30" t="n">
        <v>1.590330220509674</v>
      </c>
      <c r="H70" s="30" t="n">
        <v>1.578953560593849</v>
      </c>
      <c r="I70" s="16" t="n">
        <v>-0.01137665991582559</v>
      </c>
      <c r="J70" s="12" t="n">
        <v>-0.007153646311380264</v>
      </c>
      <c r="L70" s="30" t="n"/>
      <c r="M70" s="30" t="n"/>
    </row>
    <row customHeight="1" ht="18" r="71" spans="1:17">
      <c r="A71" s="7" t="s">
        <v>17</v>
      </c>
      <c r="B71" s="8" t="n">
        <v>16749444.03291893</v>
      </c>
      <c r="C71" s="8" t="n">
        <v>17805274</v>
      </c>
      <c r="D71" s="8" t="n">
        <v>1055829.967081066</v>
      </c>
      <c r="E71" s="20" t="n">
        <v>0.06303671721914857</v>
      </c>
      <c r="G71" s="17" t="n">
        <v>4.516479139044043</v>
      </c>
      <c r="H71" s="17" t="n">
        <v>4.534227992397995</v>
      </c>
      <c r="I71" s="18" t="n">
        <v>0.01774885335395204</v>
      </c>
      <c r="J71" s="14" t="n">
        <v>0.003929798590348136</v>
      </c>
      <c r="L71" s="17" t="n">
        <v>2.74521747546104</v>
      </c>
      <c r="M71" s="17" t="n">
        <v>2.769989981206984</v>
      </c>
    </row>
    <row customHeight="1" ht="18" r="72" spans="1:17"/>
    <row customHeight="1" ht="18" r="73" spans="1:17"/>
    <row customHeight="1" ht="18" r="74" spans="1:17"/>
    <row customHeight="1" ht="18" r="75" spans="1:17">
      <c r="A75" s="1" t="s">
        <v>47</v>
      </c>
      <c r="G75" s="1" t="s">
        <v>48</v>
      </c>
    </row>
    <row customHeight="1" ht="18" r="76" spans="1:17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7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7">
      <c r="A78" s="5" t="s">
        <v>21</v>
      </c>
      <c r="B78" s="6" t="n">
        <v>6681016.697459168</v>
      </c>
      <c r="C78" s="6" t="n">
        <v>8069622</v>
      </c>
      <c r="D78" s="6" t="n">
        <v>1388605.302540832</v>
      </c>
      <c r="E78" s="9" t="n">
        <v>0.2078434114779159</v>
      </c>
      <c r="G78" s="30" t="n">
        <v>4.729622831685067</v>
      </c>
      <c r="H78" s="30" t="n">
        <v>5.033183141601862</v>
      </c>
      <c r="I78" s="30" t="n">
        <v>0.3035603099167954</v>
      </c>
      <c r="J78" s="9" t="n">
        <v>0.06418277328229219</v>
      </c>
    </row>
    <row customHeight="1" ht="18" r="79" spans="1:17">
      <c r="A79" s="5" t="s">
        <v>22</v>
      </c>
      <c r="B79" s="6" t="n">
        <v>1763383.021988167</v>
      </c>
      <c r="C79" s="6" t="n">
        <v>1824553</v>
      </c>
      <c r="D79" s="6" t="n">
        <v>61169.97801183257</v>
      </c>
      <c r="E79" s="9" t="n">
        <v>0.03468899113186712</v>
      </c>
      <c r="G79" s="30" t="n">
        <v>5.171883369496037</v>
      </c>
      <c r="H79" s="30" t="n">
        <v>4.793092577949525</v>
      </c>
      <c r="I79" s="30" t="n">
        <v>-0.3787907915465114</v>
      </c>
      <c r="J79" s="9" t="n">
        <v>-0.07324039706321178</v>
      </c>
    </row>
    <row customHeight="1" ht="18" r="80" spans="1:17">
      <c r="A80" s="5" t="s">
        <v>23</v>
      </c>
      <c r="B80" s="6" t="n">
        <v>1620215.64436939</v>
      </c>
      <c r="C80" s="6" t="n">
        <v>1522002</v>
      </c>
      <c r="D80" s="6" t="n">
        <v>-98213.64436939009</v>
      </c>
      <c r="E80" s="9" t="n">
        <v>-0.06061763735630153</v>
      </c>
      <c r="G80" s="30" t="n">
        <v>4.20734716703564</v>
      </c>
      <c r="H80" s="30" t="n">
        <v>3.855609879670677</v>
      </c>
      <c r="I80" s="30" t="n">
        <v>-0.3517372873649625</v>
      </c>
      <c r="J80" s="9" t="n">
        <v>-0.08360072829758547</v>
      </c>
    </row>
    <row customHeight="1" ht="18" r="81" spans="1:17">
      <c r="A81" s="5" t="s">
        <v>24</v>
      </c>
      <c r="B81" s="6" t="n">
        <v>2927381.509703874</v>
      </c>
      <c r="C81" s="6" t="n">
        <v>1867901</v>
      </c>
      <c r="D81" s="6" t="n">
        <v>-1059480.509703874</v>
      </c>
      <c r="E81" s="9" t="n">
        <v>-0.3619208860177053</v>
      </c>
      <c r="G81" s="30" t="n">
        <v>4.94249116332389</v>
      </c>
      <c r="H81" s="30" t="n">
        <v>4.572786560974535</v>
      </c>
      <c r="I81" s="30" t="n">
        <v>-0.3697046023493549</v>
      </c>
      <c r="J81" s="9" t="n">
        <v>-0.07480126724206902</v>
      </c>
    </row>
    <row customHeight="1" ht="18" r="82" spans="1:17">
      <c r="A82" s="5" t="s">
        <v>52</v>
      </c>
      <c r="B82" s="6" t="n">
        <v>601583.1677461506</v>
      </c>
      <c r="C82" s="6" t="n">
        <v>1147815</v>
      </c>
      <c r="D82" s="6" t="n">
        <v>546231.8322538494</v>
      </c>
      <c r="E82" s="9" t="n">
        <v>0.9079905514981799</v>
      </c>
      <c r="G82" s="30" t="n">
        <v>5.396384209342511</v>
      </c>
      <c r="H82" s="30" t="n">
        <v>5.141987420707451</v>
      </c>
      <c r="I82" s="30" t="n">
        <v>-0.2543967886350602</v>
      </c>
      <c r="J82" s="9" t="n">
        <v>-0.04714208232146162</v>
      </c>
    </row>
    <row customHeight="1" ht="18" r="83" spans="1:17">
      <c r="A83" s="5" t="s">
        <v>26</v>
      </c>
      <c r="B83" s="6" t="n">
        <v>254816.918402184</v>
      </c>
      <c r="C83" s="6" t="n">
        <v>311300</v>
      </c>
      <c r="D83" s="6" t="n">
        <v>56483.08159781602</v>
      </c>
      <c r="E83" s="9" t="n">
        <v>0.2216614263762006</v>
      </c>
      <c r="G83" s="30" t="n">
        <v>3.246094241680756</v>
      </c>
      <c r="H83" s="30" t="n">
        <v>3.318515675802446</v>
      </c>
      <c r="I83" s="30" t="n">
        <v>0.07242143412169</v>
      </c>
      <c r="J83" s="9" t="n">
        <v>0.022310330116661</v>
      </c>
    </row>
    <row customHeight="1" ht="18" r="84" spans="1:17">
      <c r="A84" s="5" t="s">
        <v>27</v>
      </c>
      <c r="B84" s="6" t="n">
        <v>1903241.35775</v>
      </c>
      <c r="C84" s="6" t="n">
        <v>1958229</v>
      </c>
      <c r="D84" s="6" t="n">
        <v>54987.64225000003</v>
      </c>
      <c r="E84" s="9" t="n">
        <v>0.02889157595598179</v>
      </c>
      <c r="G84" s="30" t="n">
        <v>3.689053317030003</v>
      </c>
      <c r="H84" s="30" t="n">
        <v>3.52281194737628</v>
      </c>
      <c r="I84" s="30" t="n">
        <v>-0.166241369653723</v>
      </c>
      <c r="J84" s="9" t="n">
        <v>-0.04506342288041564</v>
      </c>
    </row>
    <row customHeight="1" ht="18" r="85" spans="1:17">
      <c r="A85" s="5" t="s">
        <v>28</v>
      </c>
      <c r="B85" s="11" t="n">
        <v>997805.7154999999</v>
      </c>
      <c r="C85" s="11" t="n">
        <v>1103852</v>
      </c>
      <c r="D85" s="11" t="n">
        <v>106046.2845000001</v>
      </c>
      <c r="E85" s="12" t="n">
        <v>0.1062794919418359</v>
      </c>
      <c r="G85" s="30" t="n">
        <v>3.672487798724217</v>
      </c>
      <c r="H85" s="30" t="n">
        <v>4.137717502942522</v>
      </c>
      <c r="I85" s="16" t="n">
        <v>0.4652297042183049</v>
      </c>
      <c r="J85" s="12" t="n">
        <v>0.1266797140564826</v>
      </c>
    </row>
    <row customHeight="1" ht="18" r="86" spans="1:17">
      <c r="A86" s="7" t="s">
        <v>17</v>
      </c>
      <c r="B86" s="13" t="n">
        <v>16749444.03291893</v>
      </c>
      <c r="C86" s="13" t="n">
        <v>17805274</v>
      </c>
      <c r="D86" s="13" t="n">
        <v>1055829.967081066</v>
      </c>
      <c r="E86" s="14" t="n">
        <v>0.06303671721914858</v>
      </c>
      <c r="G86" s="17" t="n">
        <v>4.516479139044043</v>
      </c>
      <c r="H86" s="17" t="n">
        <v>4.534227992397995</v>
      </c>
      <c r="I86" s="18" t="n">
        <v>0.01774885335395204</v>
      </c>
      <c r="J86" s="14" t="n">
        <v>0.003929798590348136</v>
      </c>
      <c r="K86" s="30" t="n"/>
      <c r="L86" s="30" t="n"/>
    </row>
    <row customHeight="1" ht="18" r="87" spans="1:17"/>
    <row customHeight="1" ht="18" r="88" spans="1:17"/>
    <row customHeight="1" ht="18" r="89" spans="1:17"/>
    <row customHeight="1" ht="18" r="90" spans="1:17"/>
    <row customHeight="1" ht="18" r="91" spans="1:17"/>
    <row customHeight="1" ht="18" r="92" spans="1:17"/>
    <row customHeight="1" ht="18" r="93" spans="1:17"/>
    <row customHeight="1" ht="18" r="94" spans="1:17"/>
    <row customHeight="1" ht="18" r="95" spans="1:17"/>
    <row customHeight="1" ht="18" r="96" spans="1:17"/>
    <row customHeight="1" ht="18" r="97" spans="1:17"/>
    <row customHeight="1" ht="18" r="98" spans="1:17"/>
    <row customHeight="1" ht="18" r="99" spans="1:17"/>
    <row customHeight="1" ht="18" r="100" spans="1:17"/>
    <row customHeight="1" ht="18" r="101" spans="1:17"/>
  </sheetData>
  <pageMargins bottom="1" footer="0.5" header="0.5" left="0.75" right="0.75" top="1"/>
  <pageSetup horizontalDpi="4294967292" orientation="portrait" verticalDpi="4294967292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</row>
    <row customHeight="1" ht="18" r="2" spans="1:13">
      <c r="B2" s="2" t="n"/>
      <c r="C2" s="2" t="n"/>
    </row>
    <row customHeight="1" ht="18" r="3" spans="1:13">
      <c r="A3" s="3" t="s">
        <v>2</v>
      </c>
      <c r="B3" s="4" t="s">
        <v>20</v>
      </c>
      <c r="C3" s="4" t="s">
        <v>49</v>
      </c>
    </row>
    <row customHeight="1" ht="18" r="4" spans="1:13">
      <c r="A4" s="5" t="s">
        <v>10</v>
      </c>
      <c r="B4" s="6" t="n">
        <v>151396.6479</v>
      </c>
      <c r="C4" s="6" t="n">
        <v>159549</v>
      </c>
    </row>
    <row customHeight="1" ht="18" r="5" spans="1:13">
      <c r="A5" s="5" t="s">
        <v>11</v>
      </c>
      <c r="B5" s="6" t="n">
        <v>8845.852500000001</v>
      </c>
      <c r="C5" s="6" t="n">
        <v>14491</v>
      </c>
    </row>
    <row customHeight="1" ht="18" r="6" spans="1:13">
      <c r="A6" s="5" t="s">
        <v>12</v>
      </c>
      <c r="B6" s="6" t="n">
        <v>131529.915</v>
      </c>
      <c r="C6" s="6" t="n">
        <v>143414</v>
      </c>
    </row>
    <row customHeight="1" ht="18" r="7" spans="1:13">
      <c r="A7" s="5" t="s">
        <v>13</v>
      </c>
      <c r="B7" s="6" t="n">
        <v>123832.1304</v>
      </c>
      <c r="C7" s="6" t="n">
        <v>114848</v>
      </c>
    </row>
    <row customHeight="1" ht="18" r="8" spans="1:13">
      <c r="A8" s="5" t="s">
        <v>14</v>
      </c>
      <c r="B8" s="6" t="n">
        <v>0</v>
      </c>
      <c r="C8" s="6" t="n">
        <v>152576</v>
      </c>
    </row>
    <row customHeight="1" ht="18" r="9" spans="1:13">
      <c r="A9" s="5" t="s">
        <v>15</v>
      </c>
      <c r="B9" s="6" t="n">
        <v>0</v>
      </c>
      <c r="C9" s="6" t="n">
        <v>10929</v>
      </c>
    </row>
    <row customHeight="1" ht="18" r="10" spans="1:13">
      <c r="A10" s="5" t="s">
        <v>16</v>
      </c>
      <c r="B10" s="6" t="n">
        <v>0</v>
      </c>
      <c r="C10" s="6" t="n">
        <v>559314</v>
      </c>
    </row>
    <row customHeight="1" ht="18" r="11" spans="1:13">
      <c r="A11" s="7" t="s">
        <v>17</v>
      </c>
      <c r="B11" s="8" t="n">
        <v>415604.5458000001</v>
      </c>
      <c r="C11" s="8" t="n">
        <v>1155121</v>
      </c>
    </row>
    <row customHeight="1" ht="18" r="12" spans="1:13"/>
    <row customHeight="1" ht="18" r="13" spans="1:13"/>
    <row customHeight="1" ht="18" r="14" spans="1:13">
      <c r="I14" s="29" t="n"/>
    </row>
    <row customHeight="1" ht="18" r="15" spans="1:13">
      <c r="A15" s="1" t="s">
        <v>18</v>
      </c>
    </row>
    <row customHeight="1" ht="18" r="16" spans="1:13">
      <c r="B16" s="2" t="n"/>
      <c r="C16" s="2" t="n"/>
      <c r="D16" s="2" t="n"/>
      <c r="E16" s="2" t="n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J17" s="29" t="n"/>
      <c r="K17" s="29" t="n"/>
    </row>
    <row customHeight="1" ht="18" r="18" spans="1:13">
      <c r="A18" s="5" t="s">
        <v>21</v>
      </c>
      <c r="B18" s="6" t="n">
        <v>174034.4896</v>
      </c>
      <c r="C18" s="6" t="n">
        <v>501551</v>
      </c>
      <c r="D18" s="6" t="n">
        <v>327516.5104</v>
      </c>
      <c r="E18" s="9" t="n">
        <v>1.881905771394867</v>
      </c>
      <c r="G18" s="6" t="n"/>
      <c r="H18" s="10" t="n"/>
      <c r="J18" s="6" t="n"/>
      <c r="K18" s="10" t="n"/>
    </row>
    <row customHeight="1" ht="18" r="19" spans="1:13">
      <c r="A19" s="5" t="s">
        <v>22</v>
      </c>
      <c r="B19" s="6" t="n">
        <v>35722.8404</v>
      </c>
      <c r="C19" s="6" t="n">
        <v>106109</v>
      </c>
      <c r="D19" s="6" t="n">
        <v>70386.1596</v>
      </c>
      <c r="E19" s="9" t="n">
        <v>1.970340510773046</v>
      </c>
      <c r="G19" s="6" t="n"/>
      <c r="H19" s="10" t="n"/>
      <c r="J19" s="6" t="n"/>
      <c r="K19" s="10" t="n"/>
    </row>
    <row customHeight="1" ht="18" r="20" spans="1:13">
      <c r="A20" s="5" t="s">
        <v>23</v>
      </c>
      <c r="B20" s="6" t="n">
        <v>42350.3157</v>
      </c>
      <c r="C20" s="6" t="n">
        <v>81174</v>
      </c>
      <c r="D20" s="6" t="n">
        <v>38823.6843</v>
      </c>
      <c r="E20" s="9" t="n">
        <v>0.9167271520481252</v>
      </c>
      <c r="G20" s="6" t="n"/>
      <c r="H20" s="10" t="n"/>
      <c r="J20" s="6" t="n"/>
      <c r="K20" s="10" t="n"/>
    </row>
    <row customHeight="1" ht="18" r="21" spans="1:13">
      <c r="A21" s="5" t="s">
        <v>24</v>
      </c>
      <c r="B21" s="6" t="n">
        <v>58462.5374</v>
      </c>
      <c r="C21" s="6" t="n">
        <v>102273</v>
      </c>
      <c r="D21" s="6" t="n">
        <v>43810.4626</v>
      </c>
      <c r="E21" s="9" t="n">
        <v>0.7493766871637699</v>
      </c>
      <c r="G21" s="6" t="n"/>
      <c r="H21" s="10" t="n"/>
      <c r="J21" s="6" t="n"/>
      <c r="K21" s="10" t="n"/>
    </row>
    <row customHeight="1" ht="18" r="22" spans="1:13">
      <c r="A22" s="5" t="s">
        <v>52</v>
      </c>
      <c r="B22" s="6" t="n">
        <v>7345.8632</v>
      </c>
      <c r="C22" s="6" t="n">
        <v>69769</v>
      </c>
      <c r="D22" s="6" t="n">
        <v>62423.1368</v>
      </c>
      <c r="E22" s="9" t="n">
        <v>8.497726557173022</v>
      </c>
      <c r="G22" s="6" t="n"/>
      <c r="H22" s="10" t="n"/>
      <c r="J22" s="6" t="n"/>
      <c r="K22" s="10" t="n"/>
    </row>
    <row customHeight="1" ht="18" r="23" spans="1:13">
      <c r="A23" s="5" t="s">
        <v>26</v>
      </c>
      <c r="B23" s="6" t="n">
        <v>8011.7665</v>
      </c>
      <c r="C23" s="6" t="n">
        <v>30115</v>
      </c>
      <c r="D23" s="6" t="n">
        <v>22103.2335</v>
      </c>
      <c r="E23" s="9" t="n">
        <v>2.758846441668015</v>
      </c>
      <c r="G23" s="6" t="n"/>
      <c r="H23" s="10" t="n"/>
      <c r="J23" s="6" t="n"/>
      <c r="K23" s="10" t="n"/>
    </row>
    <row customHeight="1" ht="18" r="24" spans="1:13">
      <c r="A24" s="5" t="s">
        <v>27</v>
      </c>
      <c r="B24" s="6" t="n">
        <v>60256.4002</v>
      </c>
      <c r="C24" s="6" t="n">
        <v>178835</v>
      </c>
      <c r="D24" s="6" t="n">
        <v>118578.5998</v>
      </c>
      <c r="E24" s="9" t="n">
        <v>1.967900495323649</v>
      </c>
      <c r="G24" s="6" t="n"/>
      <c r="H24" s="10" t="n"/>
      <c r="J24" s="6" t="n"/>
      <c r="K24" s="10" t="n"/>
    </row>
    <row customHeight="1" ht="18" r="25" spans="1:13">
      <c r="A25" s="5" t="s">
        <v>28</v>
      </c>
      <c r="B25" s="11" t="n">
        <v>29420.3328</v>
      </c>
      <c r="C25" s="11" t="n">
        <v>85295</v>
      </c>
      <c r="D25" s="11" t="n">
        <v>55874.6672</v>
      </c>
      <c r="E25" s="12" t="n">
        <v>1.899185423218598</v>
      </c>
      <c r="G25" s="6" t="n"/>
      <c r="H25" s="9" t="n"/>
      <c r="J25" s="6" t="n"/>
      <c r="K25" s="9" t="n"/>
    </row>
    <row customHeight="1" ht="18" r="26" spans="1:13">
      <c r="A26" s="7" t="s">
        <v>17</v>
      </c>
      <c r="B26" s="13" t="n">
        <v>415604.5458000001</v>
      </c>
      <c r="C26" s="13" t="n">
        <v>1155121</v>
      </c>
      <c r="D26" s="13" t="n">
        <v>739516.4541999999</v>
      </c>
      <c r="E26" s="14" t="n">
        <v>1.779375277949618</v>
      </c>
      <c r="G26" s="6" t="n"/>
      <c r="H26" s="9" t="n"/>
      <c r="J26" s="6" t="n"/>
      <c r="K26" s="9" t="n"/>
    </row>
    <row customHeight="1" ht="18" r="27" spans="1:13"/>
    <row customHeight="1" ht="18" r="28" spans="1:13"/>
    <row customHeight="1" ht="18" r="29" spans="1:13"/>
    <row customHeight="1" ht="18" r="30" spans="1:13">
      <c r="A30" s="1" t="s">
        <v>29</v>
      </c>
      <c r="G30" s="1" t="s">
        <v>30</v>
      </c>
    </row>
    <row customHeight="1" ht="18" r="31" spans="1:13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3">
      <c r="A33" s="5" t="s">
        <v>32</v>
      </c>
      <c r="B33" s="6" t="n">
        <v>206337.4681264991</v>
      </c>
      <c r="C33" s="6" t="n">
        <v>635173</v>
      </c>
      <c r="D33" s="6" t="n">
        <v>428835.5318735009</v>
      </c>
      <c r="E33" s="9" t="n">
        <v>2.078321187941471</v>
      </c>
      <c r="G33" s="30" t="n">
        <v>0.4964754842354254</v>
      </c>
      <c r="H33" s="30" t="n">
        <v>0.5498757273047585</v>
      </c>
      <c r="I33" s="30" t="n">
        <v>0.05340024306933311</v>
      </c>
      <c r="J33" s="9" t="n">
        <v>0.1075586705989516</v>
      </c>
      <c r="L33" s="37" t="n"/>
      <c r="M33" s="37" t="n"/>
    </row>
    <row customHeight="1" ht="18" r="34" spans="1:13">
      <c r="A34" s="5" t="s">
        <v>33</v>
      </c>
      <c r="B34" s="6" t="n">
        <v>98905.77528047978</v>
      </c>
      <c r="C34" s="6" t="n">
        <v>231312</v>
      </c>
      <c r="D34" s="6" t="n">
        <v>132406.2247195202</v>
      </c>
      <c r="E34" s="9" t="n">
        <v>1.33871075115724</v>
      </c>
      <c r="G34" s="30" t="n">
        <v>0.2379804943906361</v>
      </c>
      <c r="H34" s="30" t="n">
        <v>0.2002491513876035</v>
      </c>
      <c r="I34" s="30" t="n">
        <v>-0.03773134300303255</v>
      </c>
      <c r="J34" s="9" t="n">
        <v>-0.158548048652668</v>
      </c>
      <c r="L34" s="37" t="n"/>
      <c r="M34" s="37" t="n"/>
    </row>
    <row customHeight="1" ht="18" r="35" spans="1:13">
      <c r="A35" s="5" t="s">
        <v>34</v>
      </c>
      <c r="B35" s="6" t="n">
        <v>100972.3972377748</v>
      </c>
      <c r="C35" s="6" t="n">
        <v>212242</v>
      </c>
      <c r="D35" s="6" t="n">
        <v>111269.6027622252</v>
      </c>
      <c r="E35" s="9" t="n">
        <v>1.101980400645555</v>
      </c>
      <c r="G35" s="30" t="n">
        <v>0.2429530626124705</v>
      </c>
      <c r="H35" s="30" t="n">
        <v>0.1837400584008082</v>
      </c>
      <c r="I35" s="30" t="n">
        <v>-0.05921300421166231</v>
      </c>
      <c r="J35" s="9" t="n">
        <v>-0.2437219912971904</v>
      </c>
      <c r="L35" s="37" t="n"/>
      <c r="M35" s="37" t="n"/>
    </row>
    <row customHeight="1" ht="18" r="36" spans="1:13">
      <c r="A36" s="5" t="s">
        <v>35</v>
      </c>
      <c r="B36" s="6" t="n">
        <v>80348.13949780811</v>
      </c>
      <c r="C36" s="6" t="n">
        <v>199299</v>
      </c>
      <c r="D36" s="6" t="n">
        <v>118950.8605021919</v>
      </c>
      <c r="E36" s="9" t="n">
        <v>1.480443246672026</v>
      </c>
      <c r="G36" s="30" t="n">
        <v>0.1933283461641292</v>
      </c>
      <c r="H36" s="30" t="n">
        <v>0.1725351716400273</v>
      </c>
      <c r="I36" s="30" t="n">
        <v>-0.0207931745241019</v>
      </c>
      <c r="J36" s="9" t="n">
        <v>-0.1075536771335601</v>
      </c>
      <c r="L36" s="37" t="n"/>
      <c r="M36" s="37" t="n"/>
    </row>
    <row customHeight="1" ht="18" r="37" spans="1:13">
      <c r="A37" s="5" t="s">
        <v>36</v>
      </c>
      <c r="B37" s="6" t="n">
        <v>60205.388111098</v>
      </c>
      <c r="C37" s="6" t="n">
        <v>165928</v>
      </c>
      <c r="D37" s="6" t="n">
        <v>105722.611888902</v>
      </c>
      <c r="E37" s="9" t="n">
        <v>1.756032395203737</v>
      </c>
      <c r="G37" s="30" t="n">
        <v>0.1448621982591846</v>
      </c>
      <c r="H37" s="30" t="n">
        <v>0.143645557478394</v>
      </c>
      <c r="I37" s="30" t="n">
        <v>-0.001216640780790618</v>
      </c>
      <c r="J37" s="9" t="n">
        <v>-0.008398607748681458</v>
      </c>
      <c r="L37" s="37" t="n"/>
      <c r="M37" s="37" t="n"/>
    </row>
    <row customHeight="1" ht="18" r="38" spans="1:13">
      <c r="A38" s="5" t="s">
        <v>37</v>
      </c>
      <c r="B38" s="6" t="n">
        <v>28661.4413651768</v>
      </c>
      <c r="C38" s="6" t="n">
        <v>73398</v>
      </c>
      <c r="D38" s="6" t="n">
        <v>44736.5586348232</v>
      </c>
      <c r="E38" s="9" t="n">
        <v>1.560862137560793</v>
      </c>
      <c r="G38" s="30" t="n">
        <v>0.06896325282007248</v>
      </c>
      <c r="H38" s="30" t="n">
        <v>0.06354139523045638</v>
      </c>
      <c r="I38" s="30" t="n">
        <v>-0.005421857589616108</v>
      </c>
      <c r="J38" s="9" t="n">
        <v>-0.07861951645120224</v>
      </c>
      <c r="L38" s="37" t="n"/>
      <c r="M38" s="37" t="n"/>
    </row>
    <row customHeight="1" ht="18" r="39" spans="1:13">
      <c r="A39" s="5" t="s">
        <v>38</v>
      </c>
      <c r="B39" s="6" t="n">
        <v>120009.561827411</v>
      </c>
      <c r="C39" s="6" t="n">
        <v>347776</v>
      </c>
      <c r="D39" s="6" t="n">
        <v>227766.438172589</v>
      </c>
      <c r="E39" s="9" t="n">
        <v>1.89790242297648</v>
      </c>
      <c r="G39" s="30" t="n">
        <v>0.2887590211420902</v>
      </c>
      <c r="H39" s="30" t="n">
        <v>0.3010732209006676</v>
      </c>
      <c r="I39" s="30" t="n">
        <v>0.01231419975857739</v>
      </c>
      <c r="J39" s="9" t="n">
        <v>0.04264524692552522</v>
      </c>
      <c r="L39" s="37" t="n"/>
      <c r="M39" s="37" t="n"/>
    </row>
    <row customHeight="1" ht="18" r="40" spans="1:13">
      <c r="A40" s="5" t="s">
        <v>39</v>
      </c>
      <c r="B40" s="11" t="n">
        <v>22362.4894044785</v>
      </c>
      <c r="C40" s="11" t="n">
        <v>79556</v>
      </c>
      <c r="D40" s="11" t="n">
        <v>57193.5105955215</v>
      </c>
      <c r="E40" s="12" t="n">
        <v>2.55756456989388</v>
      </c>
      <c r="G40" s="30" t="n">
        <v>0.05380713380175568</v>
      </c>
      <c r="H40" s="30" t="n">
        <v>0.06887243847181378</v>
      </c>
      <c r="I40" s="16" t="n">
        <v>0.0150653046700581</v>
      </c>
      <c r="J40" s="12" t="n">
        <v>0.2799871244873209</v>
      </c>
      <c r="L40" s="37" t="n"/>
      <c r="M40" s="37" t="n"/>
    </row>
    <row customHeight="1" ht="18" r="41" spans="1:13">
      <c r="A41" s="7" t="s">
        <v>17</v>
      </c>
      <c r="B41" s="13" t="n">
        <v>717802.6608507262</v>
      </c>
      <c r="C41" s="13" t="n">
        <v>1944684</v>
      </c>
      <c r="D41" s="13" t="n">
        <v>1226881.339149274</v>
      </c>
      <c r="E41" s="14" t="n">
        <v>1.709218154325588</v>
      </c>
      <c r="G41" s="17" t="n">
        <v>1.727128993425765</v>
      </c>
      <c r="H41" s="17" t="n">
        <v>1.683532720814529</v>
      </c>
      <c r="I41" s="18" t="n">
        <v>-0.04359627261123511</v>
      </c>
      <c r="J41" s="14" t="n">
        <v>-0.0252420478013989</v>
      </c>
    </row>
    <row customHeight="1" ht="18" r="42" spans="1:13">
      <c r="B42" s="6" t="n"/>
      <c r="C42" s="6" t="n"/>
      <c r="D42" s="6" t="n"/>
    </row>
    <row customHeight="1" ht="18" r="43" spans="1:13">
      <c r="B43" s="6" t="n"/>
      <c r="C43" s="6" t="n"/>
      <c r="D43" s="6" t="n"/>
    </row>
    <row customHeight="1" ht="18" r="44" spans="1:13">
      <c r="B44" s="6" t="n"/>
      <c r="C44" s="6" t="n"/>
      <c r="D44" s="6" t="n"/>
    </row>
    <row customHeight="1" ht="18" r="45" spans="1:13">
      <c r="A45" s="1" t="s">
        <v>40</v>
      </c>
      <c r="G45" s="1" t="s">
        <v>41</v>
      </c>
    </row>
    <row customHeight="1" ht="18" r="46" spans="1:13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3">
      <c r="A48" s="5" t="s">
        <v>21</v>
      </c>
      <c r="B48" s="6" t="n">
        <v>294861.2578418003</v>
      </c>
      <c r="C48" s="6" t="n">
        <v>880641</v>
      </c>
      <c r="D48" s="6" t="n">
        <v>585779.7421581997</v>
      </c>
      <c r="E48" s="9" t="n">
        <v>1.986628377175559</v>
      </c>
      <c r="G48" s="30" t="n">
        <v>1.694269098725821</v>
      </c>
      <c r="H48" s="30" t="n">
        <v>1.755835398593563</v>
      </c>
      <c r="I48" s="30" t="n">
        <v>0.06156629986774176</v>
      </c>
      <c r="J48" s="9" t="n">
        <v>0.03633797010996827</v>
      </c>
      <c r="L48" s="10" t="n"/>
      <c r="M48" s="10" t="n"/>
    </row>
    <row customHeight="1" ht="18" r="49" spans="1:13">
      <c r="A49" s="5" t="s">
        <v>22</v>
      </c>
      <c r="B49" s="6" t="n">
        <v>61309.23682390329</v>
      </c>
      <c r="C49" s="6" t="n">
        <v>192445</v>
      </c>
      <c r="D49" s="6" t="n">
        <v>131135.7631760967</v>
      </c>
      <c r="E49" s="9" t="n">
        <v>2.138923430946532</v>
      </c>
      <c r="G49" s="30" t="n">
        <v>1.71624753623744</v>
      </c>
      <c r="H49" s="30" t="n">
        <v>1.813653884213403</v>
      </c>
      <c r="I49" s="30" t="n">
        <v>0.09740634797596281</v>
      </c>
      <c r="J49" s="9" t="n">
        <v>0.05675541897033599</v>
      </c>
      <c r="L49" s="10" t="n"/>
      <c r="M49" s="10" t="n"/>
    </row>
    <row customHeight="1" ht="18" r="50" spans="1:13">
      <c r="A50" s="5" t="s">
        <v>23</v>
      </c>
      <c r="B50" s="6" t="n">
        <v>58140.0172433999</v>
      </c>
      <c r="C50" s="6" t="n">
        <v>127299</v>
      </c>
      <c r="D50" s="6" t="n">
        <v>69158.9827566001</v>
      </c>
      <c r="E50" s="9" t="n">
        <v>1.189524634419524</v>
      </c>
      <c r="G50" s="30" t="n">
        <v>1.372835509781097</v>
      </c>
      <c r="H50" s="30" t="n">
        <v>1.568223815507428</v>
      </c>
      <c r="I50" s="30" t="n">
        <v>0.1953883057263315</v>
      </c>
      <c r="J50" s="9" t="n">
        <v>0.1423246298148908</v>
      </c>
      <c r="L50" s="10" t="n"/>
      <c r="M50" s="10" t="n"/>
    </row>
    <row customHeight="1" ht="18" r="51" spans="1:13">
      <c r="A51" s="5" t="s">
        <v>24</v>
      </c>
      <c r="B51" s="6" t="n">
        <v>129573.2008051121</v>
      </c>
      <c r="C51" s="6" t="n">
        <v>184390</v>
      </c>
      <c r="D51" s="6" t="n">
        <v>54816.79919488792</v>
      </c>
      <c r="E51" s="9" t="n">
        <v>0.4230566108908319</v>
      </c>
      <c r="G51" s="30" t="n">
        <v>2.216345827047734</v>
      </c>
      <c r="H51" s="30" t="n">
        <v>1.802919636658747</v>
      </c>
      <c r="I51" s="30" t="n">
        <v>-0.4134261903889871</v>
      </c>
      <c r="J51" s="9" t="n">
        <v>-0.1865350548383003</v>
      </c>
      <c r="L51" s="10" t="n"/>
      <c r="M51" s="10" t="n"/>
    </row>
    <row customHeight="1" ht="18" r="52" spans="1:13">
      <c r="A52" s="5" t="s">
        <v>52</v>
      </c>
      <c r="B52" s="6" t="n">
        <v>11948.3596365105</v>
      </c>
      <c r="C52" s="6" t="n">
        <v>130037</v>
      </c>
      <c r="D52" s="6" t="n">
        <v>118088.6403634895</v>
      </c>
      <c r="E52" s="9" t="n">
        <v>9.883251254226316</v>
      </c>
      <c r="G52" s="30" t="n">
        <v>1.626542628306841</v>
      </c>
      <c r="H52" s="30" t="n">
        <v>1.863822041307744</v>
      </c>
      <c r="I52" s="30" t="n">
        <v>0.2372794130009033</v>
      </c>
      <c r="J52" s="9" t="n">
        <v>0.1458796153703642</v>
      </c>
      <c r="L52" s="10" t="n"/>
      <c r="M52" s="10" t="n"/>
    </row>
    <row customHeight="1" ht="18" r="53" spans="1:13">
      <c r="A53" s="5" t="s">
        <v>26</v>
      </c>
      <c r="B53" s="6" t="n">
        <v>12439.88875</v>
      </c>
      <c r="C53" s="6" t="n">
        <v>41281</v>
      </c>
      <c r="D53" s="6" t="n">
        <v>28841.11125</v>
      </c>
      <c r="E53" s="9" t="n">
        <v>2.318438036674564</v>
      </c>
      <c r="G53" s="30" t="n">
        <v>1.552702359710558</v>
      </c>
      <c r="H53" s="30" t="n">
        <v>1.370778681720073</v>
      </c>
      <c r="I53" s="30" t="n">
        <v>-0.1819236779904851</v>
      </c>
      <c r="J53" s="9" t="n">
        <v>-0.117165841123857</v>
      </c>
      <c r="L53" s="10" t="n"/>
      <c r="M53" s="10" t="n"/>
    </row>
    <row customHeight="1" ht="18" r="54" spans="1:13">
      <c r="A54" s="5" t="s">
        <v>27</v>
      </c>
      <c r="B54" s="6" t="n">
        <v>103440.646625</v>
      </c>
      <c r="C54" s="6" t="n">
        <v>260546</v>
      </c>
      <c r="D54" s="6" t="n">
        <v>157105.353375</v>
      </c>
      <c r="E54" s="9" t="n">
        <v>1.518797092834782</v>
      </c>
      <c r="G54" s="30" t="n">
        <v>1.716674847512713</v>
      </c>
      <c r="H54" s="30" t="n">
        <v>1.456907204965471</v>
      </c>
      <c r="I54" s="30" t="n">
        <v>-0.2597676425472417</v>
      </c>
      <c r="J54" s="9" t="n">
        <v>-0.1513202357007902</v>
      </c>
      <c r="L54" s="10" t="n"/>
      <c r="M54" s="10" t="n"/>
    </row>
    <row customHeight="1" ht="18" r="55" spans="1:13">
      <c r="A55" s="5" t="s">
        <v>28</v>
      </c>
      <c r="B55" s="11" t="n">
        <v>46090.053125</v>
      </c>
      <c r="C55" s="11" t="n">
        <v>128045</v>
      </c>
      <c r="D55" s="11" t="n">
        <v>81954.94687499999</v>
      </c>
      <c r="E55" s="12" t="n">
        <v>1.778148240635164</v>
      </c>
      <c r="G55" s="16" t="n">
        <v>1.566605430275758</v>
      </c>
      <c r="H55" s="16" t="n">
        <v>1.501201711706431</v>
      </c>
      <c r="I55" s="16" t="n">
        <v>-0.06540371856932747</v>
      </c>
      <c r="J55" s="12" t="n">
        <v>-0.04174868623927528</v>
      </c>
      <c r="L55" s="10" t="n"/>
      <c r="M55" s="10" t="n"/>
    </row>
    <row customHeight="1" ht="18" r="56" spans="1:13">
      <c r="A56" s="7" t="s">
        <v>17</v>
      </c>
      <c r="B56" s="13" t="n">
        <v>717802.660850726</v>
      </c>
      <c r="C56" s="13" t="n">
        <v>1944684</v>
      </c>
      <c r="D56" s="13" t="n">
        <v>1226881.339149274</v>
      </c>
      <c r="E56" s="14" t="n">
        <v>1.709218154325588</v>
      </c>
      <c r="G56" s="18" t="n">
        <v>1.727128993425764</v>
      </c>
      <c r="H56" s="18" t="n">
        <v>1.683532720814529</v>
      </c>
      <c r="I56" s="18" t="n">
        <v>-0.04359627261123444</v>
      </c>
      <c r="J56" s="14" t="n">
        <v>-0.02524204780139852</v>
      </c>
    </row>
    <row customHeight="1" ht="18" r="57" spans="1:13"/>
    <row customHeight="1" ht="18" r="58" spans="1:13"/>
    <row customHeight="1" ht="18" r="59" spans="1:13"/>
    <row customHeight="1" ht="18" r="60" spans="1:13">
      <c r="A60" s="1" t="s">
        <v>42</v>
      </c>
      <c r="G60" s="1" t="s">
        <v>43</v>
      </c>
      <c r="L60" s="1" t="s">
        <v>44</v>
      </c>
    </row>
    <row customHeight="1" ht="18" r="61" spans="1:13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258588.1951378488</v>
      </c>
      <c r="C63" s="6" t="n">
        <v>489287</v>
      </c>
      <c r="D63" s="6" t="n">
        <v>230698.8048621512</v>
      </c>
      <c r="E63" s="9" t="n">
        <v>0.8921474730861931</v>
      </c>
      <c r="G63" s="30" t="n">
        <v>0.6221977063318462</v>
      </c>
      <c r="H63" s="30" t="n">
        <v>0.4235807331006882</v>
      </c>
      <c r="I63" s="30" t="n">
        <v>-0.1986169732311581</v>
      </c>
      <c r="J63" s="9" t="n">
        <v>-0.3192184272135948</v>
      </c>
      <c r="L63" s="30" t="n">
        <v>1.253229466687632</v>
      </c>
      <c r="M63" s="30" t="n">
        <v>0.770320841723436</v>
      </c>
    </row>
    <row customHeight="1" ht="18" r="64" spans="1:13">
      <c r="A64" s="5" t="s">
        <v>33</v>
      </c>
      <c r="B64" s="6" t="n">
        <v>104446.2581821878</v>
      </c>
      <c r="C64" s="6" t="n">
        <v>114896</v>
      </c>
      <c r="D64" s="6" t="n">
        <v>10449.7418178122</v>
      </c>
      <c r="E64" s="9" t="n">
        <v>0.1000489821242279</v>
      </c>
      <c r="G64" s="30" t="n">
        <v>0.2513116356346355</v>
      </c>
      <c r="H64" s="30" t="n">
        <v>0.09946663596281255</v>
      </c>
      <c r="I64" s="30" t="n">
        <v>-0.1518449996718229</v>
      </c>
      <c r="J64" s="9" t="n">
        <v>-0.6042099852972181</v>
      </c>
      <c r="L64" s="30" t="n">
        <v>1.056017789517307</v>
      </c>
      <c r="M64" s="30" t="n">
        <v>0.496714394411012</v>
      </c>
    </row>
    <row customHeight="1" ht="18" r="65" spans="1:13">
      <c r="A65" s="5" t="s">
        <v>34</v>
      </c>
      <c r="B65" s="6" t="n">
        <v>185546.8744579908</v>
      </c>
      <c r="C65" s="6" t="n">
        <v>215268</v>
      </c>
      <c r="D65" s="6" t="n">
        <v>29721.12554200922</v>
      </c>
      <c r="E65" s="9" t="n">
        <v>0.1601812244416885</v>
      </c>
      <c r="G65" s="30" t="n">
        <v>0.4464505413453318</v>
      </c>
      <c r="H65" s="30" t="n">
        <v>0.1863596973823521</v>
      </c>
      <c r="I65" s="30" t="n">
        <v>-0.2600908439629797</v>
      </c>
      <c r="J65" s="9" t="n">
        <v>-0.5825748204475757</v>
      </c>
      <c r="L65" s="30" t="n">
        <v>1.837599973199169</v>
      </c>
      <c r="M65" s="30" t="n">
        <v>1.014257310051733</v>
      </c>
    </row>
    <row customHeight="1" ht="18" r="66" spans="1:13">
      <c r="A66" s="5" t="s">
        <v>35</v>
      </c>
      <c r="B66" s="6" t="n">
        <v>173118.5883234489</v>
      </c>
      <c r="C66" s="6" t="n">
        <v>287489</v>
      </c>
      <c r="D66" s="6" t="n">
        <v>114370.4116765511</v>
      </c>
      <c r="E66" s="9" t="n">
        <v>0.6606477836040651</v>
      </c>
      <c r="G66" s="30" t="n">
        <v>0.4165464263395188</v>
      </c>
      <c r="H66" s="30" t="n">
        <v>0.2488821517399476</v>
      </c>
      <c r="I66" s="30" t="n">
        <v>-0.1676642745995712</v>
      </c>
      <c r="J66" s="9" t="n">
        <v>-0.4025104142002922</v>
      </c>
      <c r="L66" s="30" t="n">
        <v>2.154606060644025</v>
      </c>
      <c r="M66" s="30" t="n">
        <v>1.442500965885428</v>
      </c>
    </row>
    <row customHeight="1" ht="18" r="67" spans="1:13">
      <c r="A67" s="5" t="s">
        <v>36</v>
      </c>
      <c r="B67" s="6" t="n">
        <v>194291.1655982758</v>
      </c>
      <c r="C67" s="6" t="n">
        <v>305896</v>
      </c>
      <c r="D67" s="6" t="n">
        <v>111604.8344017242</v>
      </c>
      <c r="E67" s="9" t="n">
        <v>0.5744205304346304</v>
      </c>
      <c r="G67" s="30" t="n">
        <v>0.4674904727624752</v>
      </c>
      <c r="H67" s="30" t="n">
        <v>0.264817278882472</v>
      </c>
      <c r="I67" s="30" t="n">
        <v>-0.2026731938800032</v>
      </c>
      <c r="J67" s="9" t="n">
        <v>-0.4335343834546513</v>
      </c>
      <c r="L67" s="30" t="n">
        <v>3.227139159700243</v>
      </c>
      <c r="M67" s="30" t="n">
        <v>1.843546598524661</v>
      </c>
    </row>
    <row customHeight="1" ht="18" r="68" spans="1:13">
      <c r="A68" s="5" t="s">
        <v>37</v>
      </c>
      <c r="B68" s="6" t="n">
        <v>93465.6306103575</v>
      </c>
      <c r="C68" s="6" t="n">
        <v>153894</v>
      </c>
      <c r="D68" s="6" t="n">
        <v>60428.3693896425</v>
      </c>
      <c r="E68" s="9" t="n">
        <v>0.6465303769420677</v>
      </c>
      <c r="G68" s="30" t="n">
        <v>0.2248907803220604</v>
      </c>
      <c r="H68" s="30" t="n">
        <v>0.1332276012642831</v>
      </c>
      <c r="I68" s="30" t="n">
        <v>-0.09166317905777727</v>
      </c>
      <c r="J68" s="9" t="n">
        <v>-0.4075897594668343</v>
      </c>
      <c r="L68" s="30" t="n">
        <v>3.261023387467065</v>
      </c>
      <c r="M68" s="30" t="n">
        <v>2.096705632306057</v>
      </c>
    </row>
    <row customHeight="1" ht="18" r="69" spans="1:13">
      <c r="A69" s="5" t="s">
        <v>38</v>
      </c>
      <c r="B69" s="6" t="n">
        <v>198718.7533229267</v>
      </c>
      <c r="C69" s="6" t="n">
        <v>276482</v>
      </c>
      <c r="D69" s="6" t="n">
        <v>77763.2466770733</v>
      </c>
      <c r="E69" s="9" t="n">
        <v>0.3913231407541321</v>
      </c>
      <c r="G69" s="30" t="n">
        <v>0.4781438396936</v>
      </c>
      <c r="H69" s="30" t="n">
        <v>0.2393532798728445</v>
      </c>
      <c r="I69" s="30" t="n">
        <v>-0.2387905598207555</v>
      </c>
      <c r="J69" s="9" t="n">
        <v>-0.499411557772605</v>
      </c>
      <c r="L69" s="30" t="n">
        <v>1.655857669147309</v>
      </c>
      <c r="M69" s="30" t="n">
        <v>0.7950002300331248</v>
      </c>
    </row>
    <row customHeight="1" ht="18" r="70" spans="1:13">
      <c r="A70" s="19" t="s">
        <v>46</v>
      </c>
      <c r="B70" s="11" t="n">
        <v>694210.2253689019</v>
      </c>
      <c r="C70" s="11" t="n">
        <v>938168</v>
      </c>
      <c r="D70" s="11" t="n">
        <v>243957.7746310981</v>
      </c>
      <c r="E70" s="12" t="n">
        <v>0.3514177200450476</v>
      </c>
      <c r="G70" s="30" t="n">
        <v>1.670362445224491</v>
      </c>
      <c r="H70" s="30" t="n">
        <v>0.8121815809772309</v>
      </c>
      <c r="I70" s="16" t="n">
        <v>-0.8581808642472596</v>
      </c>
      <c r="J70" s="12" t="n">
        <v>-0.5137692521169699</v>
      </c>
      <c r="L70" s="30" t="n"/>
      <c r="M70" s="30" t="n"/>
    </row>
    <row customHeight="1" ht="18" r="71" spans="1:13">
      <c r="A71" s="7" t="s">
        <v>17</v>
      </c>
      <c r="B71" s="8" t="n">
        <v>1902385.691001938</v>
      </c>
      <c r="C71" s="8" t="n">
        <v>2781380</v>
      </c>
      <c r="D71" s="8" t="n">
        <v>878994.3089980618</v>
      </c>
      <c r="E71" s="20" t="n">
        <v>0.4620484232800962</v>
      </c>
      <c r="G71" s="17" t="n">
        <v>4.577393847653958</v>
      </c>
      <c r="H71" s="17" t="n">
        <v>2.407868959182631</v>
      </c>
      <c r="I71" s="18" t="n">
        <v>-2.169524888471327</v>
      </c>
      <c r="J71" s="14" t="n">
        <v>-0.4739650903282594</v>
      </c>
      <c r="L71" s="17" t="n">
        <v>2.650290664494426</v>
      </c>
      <c r="M71" s="17" t="n">
        <v>1.430247793471844</v>
      </c>
    </row>
    <row customHeight="1" ht="18" r="72" spans="1:13"/>
    <row customHeight="1" ht="18" r="73" spans="1:13"/>
    <row customHeight="1" ht="18" r="74" spans="1:13"/>
    <row customHeight="1" ht="18" r="75" spans="1:13">
      <c r="A75" s="1" t="s">
        <v>47</v>
      </c>
      <c r="G75" s="1" t="s">
        <v>48</v>
      </c>
    </row>
    <row customHeight="1" ht="18" r="76" spans="1:13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3">
      <c r="A78" s="5" t="s">
        <v>21</v>
      </c>
      <c r="B78" s="6" t="n">
        <v>789271.7818863874</v>
      </c>
      <c r="C78" s="6" t="n">
        <v>1356554</v>
      </c>
      <c r="D78" s="6" t="n">
        <v>567282.2181136126</v>
      </c>
      <c r="E78" s="9" t="n">
        <v>0.718741289290475</v>
      </c>
      <c r="G78" s="30" t="n">
        <v>4.535145784611117</v>
      </c>
      <c r="H78" s="30" t="n">
        <v>2.704717964872964</v>
      </c>
      <c r="I78" s="30" t="n">
        <v>-1.830427819738153</v>
      </c>
      <c r="J78" s="9" t="n">
        <v>-0.4036094773290976</v>
      </c>
    </row>
    <row customHeight="1" ht="18" r="79" spans="1:13">
      <c r="A79" s="5" t="s">
        <v>22</v>
      </c>
      <c r="B79" s="6" t="n">
        <v>171567.4532406697</v>
      </c>
      <c r="C79" s="6" t="n">
        <v>272601</v>
      </c>
      <c r="D79" s="6" t="n">
        <v>101033.5467593303</v>
      </c>
      <c r="E79" s="9" t="n">
        <v>0.5888852742810342</v>
      </c>
      <c r="G79" s="30" t="n">
        <v>4.802738285074042</v>
      </c>
      <c r="H79" s="30" t="n">
        <v>2.569065771989181</v>
      </c>
      <c r="I79" s="30" t="n">
        <v>-2.233672513084862</v>
      </c>
      <c r="J79" s="9" t="n">
        <v>-0.4650831214406733</v>
      </c>
    </row>
    <row customHeight="1" ht="18" r="80" spans="1:13">
      <c r="A80" s="5" t="s">
        <v>23</v>
      </c>
      <c r="B80" s="6" t="n">
        <v>168036.1803033074</v>
      </c>
      <c r="C80" s="6" t="n">
        <v>226754</v>
      </c>
      <c r="D80" s="6" t="n">
        <v>58717.8196966926</v>
      </c>
      <c r="E80" s="9" t="n">
        <v>0.3494355774494886</v>
      </c>
      <c r="G80" s="30" t="n">
        <v>3.967766887350674</v>
      </c>
      <c r="H80" s="30" t="n">
        <v>2.793431394288812</v>
      </c>
      <c r="I80" s="30" t="n">
        <v>-1.174335493061863</v>
      </c>
      <c r="J80" s="9" t="n">
        <v>-0.295968872769635</v>
      </c>
    </row>
    <row customHeight="1" ht="18" r="81" spans="1:13">
      <c r="A81" s="5" t="s">
        <v>24</v>
      </c>
      <c r="B81" s="6" t="n">
        <v>350100.6962353232</v>
      </c>
      <c r="C81" s="6" t="n">
        <v>258935</v>
      </c>
      <c r="D81" s="6" t="n">
        <v>-91165.69623532321</v>
      </c>
      <c r="E81" s="9" t="n">
        <v>-0.2603985002476127</v>
      </c>
      <c r="G81" s="30" t="n">
        <v>5.988462215383132</v>
      </c>
      <c r="H81" s="30" t="n">
        <v>2.531802137416522</v>
      </c>
      <c r="I81" s="30" t="n">
        <v>-3.456660077966609</v>
      </c>
      <c r="J81" s="9" t="n">
        <v>-0.5772199863075296</v>
      </c>
    </row>
    <row customHeight="1" ht="18" r="82" spans="1:13">
      <c r="A82" s="5" t="s">
        <v>52</v>
      </c>
      <c r="B82" s="6" t="n">
        <v>35356.16283625049</v>
      </c>
      <c r="C82" s="6" t="n">
        <v>185245</v>
      </c>
      <c r="D82" s="6" t="n">
        <v>149888.8371637495</v>
      </c>
      <c r="E82" s="9" t="n">
        <v>4.239397749635581</v>
      </c>
      <c r="G82" s="30" t="n">
        <v>4.813071231199962</v>
      </c>
      <c r="H82" s="30" t="n">
        <v>2.65511903567487</v>
      </c>
      <c r="I82" s="30" t="n">
        <v>-2.157952195525092</v>
      </c>
      <c r="J82" s="9" t="n">
        <v>-0.4483524327536467</v>
      </c>
    </row>
    <row customHeight="1" ht="18" r="83" spans="1:13">
      <c r="A83" s="5" t="s">
        <v>26</v>
      </c>
      <c r="B83" s="6" t="n">
        <v>34067.36025</v>
      </c>
      <c r="C83" s="6" t="n">
        <v>50071</v>
      </c>
      <c r="D83" s="6" t="n">
        <v>16003.63975</v>
      </c>
      <c r="E83" s="9" t="n">
        <v>0.4697645967447684</v>
      </c>
      <c r="G83" s="30" t="n">
        <v>4.252165892503233</v>
      </c>
      <c r="H83" s="30" t="n">
        <v>1.662659804084343</v>
      </c>
      <c r="I83" s="30" t="n">
        <v>-2.589506088418889</v>
      </c>
      <c r="J83" s="9" t="n">
        <v>-0.6089851981044082</v>
      </c>
    </row>
    <row customHeight="1" ht="18" r="84" spans="1:13">
      <c r="A84" s="5" t="s">
        <v>27</v>
      </c>
      <c r="B84" s="6" t="n">
        <v>244830.970625</v>
      </c>
      <c r="C84" s="6" t="n">
        <v>279397</v>
      </c>
      <c r="D84" s="6" t="n">
        <v>34566.02937499998</v>
      </c>
      <c r="E84" s="9" t="n">
        <v>0.1411832387330755</v>
      </c>
      <c r="G84" s="30" t="n">
        <v>4.063152956571741</v>
      </c>
      <c r="H84" s="30" t="n">
        <v>1.562317219783599</v>
      </c>
      <c r="I84" s="30" t="n">
        <v>-2.500835736788141</v>
      </c>
      <c r="J84" s="9" t="n">
        <v>-0.6154914086468961</v>
      </c>
    </row>
    <row customHeight="1" ht="18" r="85" spans="1:13">
      <c r="A85" s="5" t="s">
        <v>28</v>
      </c>
      <c r="B85" s="11" t="n">
        <v>109155.085625</v>
      </c>
      <c r="C85" s="11" t="n">
        <v>151823</v>
      </c>
      <c r="D85" s="11" t="n">
        <v>42667.91437499999</v>
      </c>
      <c r="E85" s="12" t="n">
        <v>0.3908925922295981</v>
      </c>
      <c r="G85" s="30" t="n">
        <v>3.71019207590337</v>
      </c>
      <c r="H85" s="30" t="n">
        <v>1.779975379565039</v>
      </c>
      <c r="I85" s="16" t="n">
        <v>-1.930216696338331</v>
      </c>
      <c r="J85" s="12" t="n">
        <v>-0.5202471076563753</v>
      </c>
    </row>
    <row customHeight="1" ht="18" r="86" spans="1:13">
      <c r="A86" s="7" t="s">
        <v>17</v>
      </c>
      <c r="B86" s="13" t="n">
        <v>1902385.691001938</v>
      </c>
      <c r="C86" s="13" t="n">
        <v>2781380</v>
      </c>
      <c r="D86" s="13" t="n">
        <v>878994.3089980618</v>
      </c>
      <c r="E86" s="14" t="n">
        <v>0.4620484232800963</v>
      </c>
      <c r="G86" s="17" t="n">
        <v>4.577393847653958</v>
      </c>
      <c r="H86" s="17" t="n">
        <v>2.407868959182631</v>
      </c>
      <c r="I86" s="18" t="n">
        <v>-2.169524888471326</v>
      </c>
      <c r="J86" s="14" t="n">
        <v>-0.4739650903282593</v>
      </c>
      <c r="K86" s="30" t="n"/>
      <c r="L86" s="30" t="n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  <c r="B1" s="5" t="s"/>
      <c r="C1" s="5" t="s"/>
      <c r="D1" s="5" t="s"/>
      <c r="E1" s="5" t="s"/>
      <c r="F1" s="5" t="s"/>
      <c r="G1" s="5" t="s"/>
      <c r="H1" s="5" t="s"/>
      <c r="I1" s="5" t="s"/>
      <c r="J1" s="5" t="s"/>
      <c r="K1" s="5" t="s"/>
      <c r="L1" s="5" t="s"/>
      <c r="M1" s="5" t="s"/>
    </row>
    <row customHeight="1" ht="18" r="2" spans="1:13">
      <c r="A2" s="5" t="s"/>
      <c r="B2" s="2" t="s"/>
      <c r="C2" s="2" t="s"/>
      <c r="D2" s="5" t="s"/>
      <c r="E2" s="5" t="s"/>
      <c r="F2" s="5" t="s"/>
      <c r="G2" s="5" t="s"/>
      <c r="H2" s="5" t="s"/>
      <c r="I2" s="5" t="s"/>
      <c r="J2" s="5" t="s"/>
      <c r="K2" s="5" t="s"/>
      <c r="L2" s="5" t="s"/>
      <c r="M2" s="5" t="s"/>
    </row>
    <row customHeight="1" ht="18" r="3" spans="1:13">
      <c r="A3" s="3" t="s">
        <v>2</v>
      </c>
      <c r="B3" s="4" t="s">
        <v>20</v>
      </c>
      <c r="C3" s="4" t="s">
        <v>49</v>
      </c>
      <c r="D3" s="5" t="s"/>
      <c r="E3" s="5" t="s"/>
      <c r="F3" s="5" t="s"/>
      <c r="G3" s="5" t="s"/>
      <c r="H3" s="5" t="s"/>
      <c r="I3" s="5" t="s"/>
      <c r="J3" s="5" t="s"/>
      <c r="K3" s="5" t="s"/>
      <c r="L3" s="5" t="s"/>
      <c r="M3" s="5" t="s"/>
    </row>
    <row customHeight="1" ht="18" r="4" spans="1:13">
      <c r="A4" s="5" t="s">
        <v>10</v>
      </c>
      <c r="B4" s="6" t="n">
        <v>0</v>
      </c>
      <c r="C4" s="6" t="n">
        <v>620</v>
      </c>
      <c r="D4" s="5" t="s"/>
      <c r="E4" s="5" t="s"/>
      <c r="F4" s="5" t="s"/>
      <c r="G4" s="5" t="s"/>
      <c r="H4" s="5" t="s"/>
      <c r="I4" s="5" t="s"/>
      <c r="J4" s="5" t="s"/>
      <c r="K4" s="5" t="s"/>
      <c r="L4" s="5" t="s"/>
      <c r="M4" s="5" t="s"/>
    </row>
    <row customHeight="1" ht="18" r="5" spans="1:13">
      <c r="A5" s="5" t="s">
        <v>11</v>
      </c>
      <c r="B5" s="6" t="n">
        <v>0</v>
      </c>
      <c r="C5" s="6" t="n">
        <v>168</v>
      </c>
      <c r="D5" s="5" t="s"/>
      <c r="E5" s="5" t="s"/>
      <c r="F5" s="5" t="s"/>
      <c r="G5" s="5" t="s"/>
      <c r="H5" s="5" t="s"/>
      <c r="I5" s="5" t="s"/>
      <c r="J5" s="5" t="s"/>
      <c r="K5" s="5" t="s"/>
      <c r="L5" s="5" t="s"/>
      <c r="M5" s="5" t="s"/>
    </row>
    <row customHeight="1" ht="18" r="6" spans="1:13">
      <c r="A6" s="5" t="s">
        <v>12</v>
      </c>
      <c r="B6" s="6" t="n">
        <v>0</v>
      </c>
      <c r="C6" s="6" t="n">
        <v>756</v>
      </c>
      <c r="D6" s="5" t="s"/>
      <c r="E6" s="5" t="s"/>
      <c r="F6" s="5" t="s"/>
      <c r="G6" s="5" t="s"/>
      <c r="H6" s="5" t="s"/>
      <c r="I6" s="5" t="s"/>
      <c r="J6" s="5" t="s"/>
      <c r="K6" s="5" t="s"/>
      <c r="L6" s="5" t="s"/>
      <c r="M6" s="5" t="s"/>
    </row>
    <row customHeight="1" ht="18" r="7" spans="1:13">
      <c r="A7" s="5" t="s">
        <v>13</v>
      </c>
      <c r="B7" s="6" t="n">
        <v>0</v>
      </c>
      <c r="C7" s="6" t="n">
        <v>502</v>
      </c>
      <c r="D7" s="5" t="s"/>
      <c r="E7" s="5" t="s"/>
      <c r="F7" s="5" t="s"/>
      <c r="G7" s="5" t="s"/>
      <c r="H7" s="5" t="s"/>
      <c r="I7" s="5" t="s"/>
      <c r="J7" s="5" t="s"/>
      <c r="K7" s="5" t="s"/>
      <c r="L7" s="5" t="s"/>
      <c r="M7" s="5" t="s"/>
    </row>
    <row customHeight="1" ht="18" r="8" spans="1:13">
      <c r="A8" s="5" t="s">
        <v>14</v>
      </c>
      <c r="B8" s="6" t="n">
        <v>636827.6733</v>
      </c>
      <c r="C8" s="6" t="n">
        <v>525803</v>
      </c>
      <c r="D8" s="5" t="s"/>
      <c r="E8" s="5" t="s"/>
      <c r="F8" s="5" t="s"/>
      <c r="G8" s="5" t="s"/>
      <c r="H8" s="5" t="s"/>
      <c r="I8" s="5" t="s"/>
      <c r="J8" s="5" t="s"/>
      <c r="K8" s="5" t="s"/>
      <c r="L8" s="5" t="s"/>
      <c r="M8" s="5" t="s"/>
    </row>
    <row customHeight="1" ht="18" r="9" spans="1:13">
      <c r="A9" s="5" t="s">
        <v>15</v>
      </c>
      <c r="B9" s="6" t="n">
        <v>54534.6622</v>
      </c>
      <c r="C9" s="6" t="n">
        <v>63262</v>
      </c>
      <c r="D9" s="5" t="s"/>
      <c r="E9" s="5" t="s"/>
      <c r="F9" s="5" t="s"/>
      <c r="G9" s="5" t="s"/>
      <c r="H9" s="5" t="s"/>
      <c r="I9" s="5" t="s"/>
      <c r="J9" s="5" t="s"/>
      <c r="K9" s="5" t="s"/>
      <c r="L9" s="5" t="s"/>
      <c r="M9" s="5" t="s"/>
    </row>
    <row customHeight="1" ht="18" r="10" spans="1:13">
      <c r="A10" s="5" t="s">
        <v>16</v>
      </c>
      <c r="B10" s="6" t="n">
        <v>2601551.0853</v>
      </c>
      <c r="C10" s="6" t="n">
        <v>2180627</v>
      </c>
      <c r="D10" s="5" t="s"/>
      <c r="E10" s="5" t="s"/>
      <c r="F10" s="5" t="s"/>
      <c r="G10" s="5" t="s"/>
      <c r="H10" s="5" t="s"/>
      <c r="I10" s="5" t="s"/>
      <c r="J10" s="5" t="s"/>
      <c r="K10" s="5" t="s"/>
      <c r="L10" s="5" t="s"/>
      <c r="M10" s="5" t="s"/>
    </row>
    <row customHeight="1" ht="18" r="11" spans="1:13">
      <c r="A11" s="7" t="s">
        <v>17</v>
      </c>
      <c r="B11" s="8" t="n">
        <v>3292913.4208</v>
      </c>
      <c r="C11" s="8" t="n">
        <v>2771738</v>
      </c>
      <c r="D11" s="5" t="s"/>
      <c r="E11" s="5" t="s"/>
      <c r="F11" s="5" t="s"/>
      <c r="G11" s="5" t="s"/>
      <c r="H11" s="5" t="s"/>
      <c r="I11" s="5" t="s"/>
      <c r="J11" s="5" t="s"/>
      <c r="K11" s="5" t="s"/>
      <c r="L11" s="5" t="s"/>
      <c r="M11" s="5" t="s"/>
    </row>
    <row customHeight="1" ht="18" r="12" spans="1:13">
      <c r="A12" s="5" t="s"/>
      <c r="B12" s="5" t="s"/>
      <c r="C12" s="5" t="s"/>
      <c r="D12" s="5" t="s"/>
      <c r="E12" s="5" t="s"/>
      <c r="F12" s="5" t="s"/>
      <c r="G12" s="5" t="s"/>
      <c r="H12" s="5" t="s"/>
      <c r="I12" s="5" t="s"/>
      <c r="J12" s="5" t="s"/>
      <c r="K12" s="5" t="s"/>
      <c r="L12" s="5" t="s"/>
      <c r="M12" s="5" t="s"/>
    </row>
    <row customHeight="1" ht="18" r="13" spans="1:13">
      <c r="A13" s="5" t="s"/>
      <c r="B13" s="5" t="s"/>
      <c r="C13" s="5" t="s"/>
      <c r="D13" s="5" t="s"/>
      <c r="E13" s="5" t="s"/>
      <c r="F13" s="5" t="s"/>
      <c r="G13" s="5" t="s"/>
      <c r="H13" s="5" t="s"/>
      <c r="I13" s="5" t="s"/>
      <c r="J13" s="5" t="s"/>
      <c r="K13" s="5" t="s"/>
      <c r="L13" s="5" t="s"/>
      <c r="M13" s="5" t="s"/>
    </row>
    <row customHeight="1" ht="18" r="14" spans="1:13">
      <c r="A14" s="5" t="s"/>
      <c r="B14" s="5" t="s"/>
      <c r="C14" s="5" t="s"/>
      <c r="D14" s="5" t="s"/>
      <c r="E14" s="5" t="s"/>
      <c r="F14" s="5" t="s"/>
      <c r="G14" s="5" t="s"/>
      <c r="H14" s="5" t="s"/>
      <c r="I14" s="29" t="s"/>
      <c r="J14" s="5" t="s"/>
      <c r="K14" s="5" t="s"/>
      <c r="L14" s="5" t="s"/>
      <c r="M14" s="5" t="s"/>
    </row>
    <row customHeight="1" ht="18" r="15" spans="1:13">
      <c r="A15" s="1" t="s">
        <v>18</v>
      </c>
      <c r="B15" s="5" t="s"/>
      <c r="C15" s="5" t="s"/>
      <c r="D15" s="5" t="s"/>
      <c r="E15" s="5" t="s"/>
      <c r="F15" s="5" t="s"/>
      <c r="G15" s="5" t="s"/>
      <c r="H15" s="5" t="s"/>
      <c r="I15" s="5" t="s"/>
      <c r="J15" s="5" t="s"/>
      <c r="K15" s="5" t="s"/>
      <c r="L15" s="5" t="s"/>
      <c r="M15" s="5" t="s"/>
    </row>
    <row customHeight="1" ht="18" r="16" spans="1:13">
      <c r="A16" s="5" t="s"/>
      <c r="B16" s="2" t="s"/>
      <c r="C16" s="2" t="s"/>
      <c r="D16" s="2" t="s"/>
      <c r="E16" s="2" t="s"/>
      <c r="F16" s="5" t="s"/>
      <c r="G16" s="5" t="s"/>
      <c r="H16" s="5" t="s"/>
      <c r="I16" s="5" t="s"/>
      <c r="J16" s="5" t="s"/>
      <c r="K16" s="5" t="s"/>
      <c r="L16" s="5" t="s"/>
      <c r="M16" s="5" t="s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F17" s="5" t="s"/>
      <c r="G17" s="29" t="s"/>
      <c r="H17" s="29" t="s"/>
      <c r="I17" s="5" t="s"/>
      <c r="J17" s="29" t="s"/>
      <c r="K17" s="29" t="s"/>
      <c r="L17" s="5" t="s"/>
      <c r="M17" s="5" t="s"/>
    </row>
    <row customHeight="1" ht="18" r="18" spans="1:13">
      <c r="A18" s="5" t="s">
        <v>21</v>
      </c>
      <c r="B18" s="6" t="n">
        <v>1238555.2528</v>
      </c>
      <c r="C18" s="6" t="n">
        <v>1101733</v>
      </c>
      <c r="D18" s="6" t="n">
        <v>-136822.2527999999</v>
      </c>
      <c r="E18" s="9" t="n">
        <v>-0.110469236225583</v>
      </c>
      <c r="F18" s="5" t="s"/>
      <c r="G18" s="6" t="s"/>
      <c r="H18" s="10" t="s"/>
      <c r="I18" s="5" t="s"/>
      <c r="J18" s="6" t="s"/>
      <c r="K18" s="10" t="s"/>
      <c r="L18" s="5" t="s"/>
      <c r="M18" s="5" t="s"/>
    </row>
    <row customHeight="1" ht="18" r="19" spans="1:13">
      <c r="A19" s="5" t="s">
        <v>22</v>
      </c>
      <c r="B19" s="6" t="n">
        <v>305232.8417</v>
      </c>
      <c r="C19" s="6" t="n">
        <v>274554</v>
      </c>
      <c r="D19" s="6" t="n">
        <v>-30678.84169999999</v>
      </c>
      <c r="E19" s="9" t="n">
        <v>-0.1005096356248352</v>
      </c>
      <c r="F19" s="5" t="s"/>
      <c r="G19" s="6" t="s"/>
      <c r="H19" s="10" t="s"/>
      <c r="I19" s="5" t="s"/>
      <c r="J19" s="6" t="s"/>
      <c r="K19" s="10" t="s"/>
      <c r="L19" s="5" t="s"/>
      <c r="M19" s="5" t="s"/>
    </row>
    <row customHeight="1" ht="18" r="20" spans="1:13">
      <c r="A20" s="5" t="s">
        <v>23</v>
      </c>
      <c r="B20" s="6" t="n">
        <v>342741.6627</v>
      </c>
      <c r="C20" s="6" t="n">
        <v>313576</v>
      </c>
      <c r="D20" s="6" t="n">
        <v>-29165.66269999999</v>
      </c>
      <c r="E20" s="9" t="n">
        <v>-0.0850951777214448</v>
      </c>
      <c r="F20" s="5" t="s"/>
      <c r="G20" s="6" t="s"/>
      <c r="H20" s="10" t="s"/>
      <c r="I20" s="5" t="s"/>
      <c r="J20" s="6" t="s"/>
      <c r="K20" s="10" t="s"/>
      <c r="L20" s="5" t="s"/>
      <c r="M20" s="5" t="s"/>
    </row>
    <row customHeight="1" ht="18" r="21" spans="1:13">
      <c r="A21" s="5" t="s">
        <v>24</v>
      </c>
      <c r="B21" s="6" t="n">
        <v>533826.1310000001</v>
      </c>
      <c r="C21" s="6" t="n">
        <v>306209</v>
      </c>
      <c r="D21" s="6" t="n">
        <v>-227617.1310000001</v>
      </c>
      <c r="E21" s="9" t="n">
        <v>-0.4263881398492275</v>
      </c>
      <c r="F21" s="5" t="s"/>
      <c r="G21" s="6" t="s"/>
      <c r="H21" s="10" t="s"/>
      <c r="I21" s="5" t="s"/>
      <c r="J21" s="6" t="s"/>
      <c r="K21" s="10" t="s"/>
      <c r="L21" s="5" t="s"/>
      <c r="M21" s="5" t="s"/>
    </row>
    <row customHeight="1" ht="18" r="22" spans="1:13">
      <c r="A22" s="5" t="s">
        <v>52</v>
      </c>
      <c r="B22" s="6" t="n">
        <v>104133.0724</v>
      </c>
      <c r="C22" s="6" t="n">
        <v>153455</v>
      </c>
      <c r="D22" s="6" t="n">
        <v>49321.9276</v>
      </c>
      <c r="E22" s="9" t="n">
        <v>0.4736432572597368</v>
      </c>
      <c r="F22" s="5" t="s"/>
      <c r="G22" s="6" t="s"/>
      <c r="H22" s="10" t="s"/>
      <c r="I22" s="5" t="s"/>
      <c r="J22" s="6" t="s"/>
      <c r="K22" s="10" t="s"/>
      <c r="L22" s="5" t="s"/>
      <c r="M22" s="5" t="s"/>
    </row>
    <row customHeight="1" ht="18" r="23" spans="1:13">
      <c r="A23" s="5" t="s">
        <v>26</v>
      </c>
      <c r="B23" s="6" t="n">
        <v>70487.77770000001</v>
      </c>
      <c r="C23" s="6" t="n">
        <v>63692</v>
      </c>
      <c r="D23" s="6" t="n">
        <v>-6795.777700000006</v>
      </c>
      <c r="E23" s="9" t="n">
        <v>-0.0964107242665987</v>
      </c>
      <c r="F23" s="5" t="s"/>
      <c r="G23" s="6" t="s"/>
      <c r="H23" s="10" t="s"/>
      <c r="I23" s="5" t="s"/>
      <c r="J23" s="6" t="s"/>
      <c r="K23" s="10" t="s"/>
      <c r="L23" s="5" t="s"/>
      <c r="M23" s="5" t="s"/>
    </row>
    <row customHeight="1" ht="18" r="24" spans="1:13">
      <c r="A24" s="5" t="s">
        <v>27</v>
      </c>
      <c r="B24" s="6" t="n">
        <v>455659.5257</v>
      </c>
      <c r="C24" s="6" t="n">
        <v>377036</v>
      </c>
      <c r="D24" s="6" t="n">
        <v>-78623.5257</v>
      </c>
      <c r="E24" s="9" t="n">
        <v>-0.1725488468154283</v>
      </c>
      <c r="F24" s="5" t="s"/>
      <c r="G24" s="6" t="s"/>
      <c r="H24" s="10" t="s"/>
      <c r="I24" s="5" t="s"/>
      <c r="J24" s="6" t="s"/>
      <c r="K24" s="10" t="s"/>
      <c r="L24" s="5" t="s"/>
      <c r="M24" s="5" t="s"/>
    </row>
    <row customHeight="1" ht="18" r="25" spans="1:13">
      <c r="A25" s="5" t="s">
        <v>28</v>
      </c>
      <c r="B25" s="11" t="n">
        <v>242277.1568</v>
      </c>
      <c r="C25" s="11" t="n">
        <v>181483</v>
      </c>
      <c r="D25" s="11" t="n">
        <v>-60794.1568</v>
      </c>
      <c r="E25" s="12" t="n">
        <v>-0.2509281419799128</v>
      </c>
      <c r="F25" s="5" t="s"/>
      <c r="G25" s="6" t="s"/>
      <c r="H25" s="9" t="s"/>
      <c r="I25" s="5" t="s"/>
      <c r="J25" s="6" t="s"/>
      <c r="K25" s="9" t="s"/>
      <c r="L25" s="5" t="s"/>
      <c r="M25" s="5" t="s"/>
    </row>
    <row customHeight="1" ht="18" r="26" spans="1:13">
      <c r="A26" s="7" t="s">
        <v>17</v>
      </c>
      <c r="B26" s="13" t="n">
        <v>3292913.4208</v>
      </c>
      <c r="C26" s="13" t="n">
        <v>2771738</v>
      </c>
      <c r="D26" s="13" t="n">
        <v>-521175.4208</v>
      </c>
      <c r="E26" s="14" t="n">
        <v>-0.15827182625208</v>
      </c>
      <c r="F26" s="5" t="s"/>
      <c r="G26" s="6" t="s"/>
      <c r="H26" s="9" t="s"/>
      <c r="I26" s="5" t="s"/>
      <c r="J26" s="6" t="s"/>
      <c r="K26" s="9" t="s"/>
      <c r="L26" s="5" t="s"/>
      <c r="M26" s="5" t="s"/>
    </row>
    <row customHeight="1" ht="18" r="27" spans="1:13">
      <c r="A27" s="5" t="s"/>
      <c r="B27" s="5" t="s"/>
      <c r="C27" s="5" t="s"/>
      <c r="D27" s="5" t="s"/>
      <c r="E27" s="5" t="s"/>
      <c r="F27" s="5" t="s"/>
      <c r="G27" s="5" t="s"/>
      <c r="H27" s="5" t="s"/>
      <c r="I27" s="5" t="s"/>
      <c r="J27" s="5" t="s"/>
      <c r="K27" s="5" t="s"/>
      <c r="L27" s="5" t="s"/>
      <c r="M27" s="5" t="s"/>
    </row>
    <row customHeight="1" ht="18" r="28" spans="1:13">
      <c r="A28" s="5" t="s"/>
      <c r="B28" s="5" t="s"/>
      <c r="C28" s="5" t="s"/>
      <c r="D28" s="5" t="s"/>
      <c r="E28" s="5" t="s"/>
      <c r="F28" s="5" t="s"/>
      <c r="G28" s="5" t="s"/>
      <c r="H28" s="5" t="s"/>
      <c r="I28" s="5" t="s"/>
      <c r="J28" s="5" t="s"/>
      <c r="K28" s="5" t="s"/>
      <c r="L28" s="5" t="s"/>
      <c r="M28" s="5" t="s"/>
    </row>
    <row customHeight="1" ht="18" r="29" spans="1:13">
      <c r="A29" s="5" t="s"/>
      <c r="B29" s="5" t="s"/>
      <c r="C29" s="5" t="s"/>
      <c r="D29" s="5" t="s"/>
      <c r="E29" s="5" t="s"/>
      <c r="F29" s="5" t="s"/>
      <c r="G29" s="5" t="s"/>
      <c r="H29" s="5" t="s"/>
      <c r="I29" s="5" t="s"/>
      <c r="J29" s="5" t="s"/>
      <c r="K29" s="5" t="s"/>
      <c r="L29" s="5" t="s"/>
      <c r="M29" s="5" t="s"/>
    </row>
    <row customHeight="1" ht="18" r="30" spans="1:13">
      <c r="A30" s="1" t="s">
        <v>29</v>
      </c>
      <c r="B30" s="5" t="s"/>
      <c r="C30" s="5" t="s"/>
      <c r="D30" s="5" t="s"/>
      <c r="E30" s="5" t="s"/>
      <c r="F30" s="5" t="s"/>
      <c r="G30" s="1" t="s">
        <v>30</v>
      </c>
      <c r="H30" s="5" t="s"/>
      <c r="I30" s="5" t="s"/>
      <c r="J30" s="5" t="s"/>
      <c r="K30" s="5" t="s"/>
      <c r="L30" s="5" t="s"/>
      <c r="M30" s="5" t="s"/>
    </row>
    <row customHeight="1" ht="18" r="31" spans="1:13">
      <c r="A31" s="5" t="s"/>
      <c r="B31" s="2" t="s"/>
      <c r="C31" s="2" t="s"/>
      <c r="D31" s="2" t="s"/>
      <c r="E31" s="2" t="s"/>
      <c r="F31" s="5" t="s"/>
      <c r="G31" s="2" t="s"/>
      <c r="H31" s="2" t="s"/>
      <c r="I31" s="2" t="s"/>
      <c r="J31" s="2" t="s"/>
      <c r="K31" s="5" t="s"/>
      <c r="L31" s="5" t="s"/>
      <c r="M31" s="5" t="s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F32" s="5" t="s"/>
      <c r="G32" s="4" t="s">
        <v>20</v>
      </c>
      <c r="H32" s="4" t="s">
        <v>49</v>
      </c>
      <c r="I32" s="4" t="s">
        <v>50</v>
      </c>
      <c r="J32" s="4" t="s">
        <v>51</v>
      </c>
      <c r="K32" s="5" t="s"/>
      <c r="L32" s="5" t="s"/>
      <c r="M32" s="5" t="s"/>
    </row>
    <row customHeight="1" ht="18" r="33" spans="1:13">
      <c r="A33" s="5" t="s">
        <v>32</v>
      </c>
      <c r="B33" s="6" t="n">
        <v>1521221.485128647</v>
      </c>
      <c r="C33" s="6" t="n">
        <v>1384063</v>
      </c>
      <c r="D33" s="6" t="n">
        <v>-137158.4851286472</v>
      </c>
      <c r="E33" s="9" t="n">
        <v>-0.09016338940088525</v>
      </c>
      <c r="F33" s="5" t="s"/>
      <c r="G33" s="30" t="n">
        <v>0.4619682605439024</v>
      </c>
      <c r="H33" s="30" t="n">
        <v>0.4993484232636707</v>
      </c>
      <c r="I33" s="30" t="n">
        <v>0.0373801627197683</v>
      </c>
      <c r="J33" s="9" t="n">
        <v>0.08091500198684307</v>
      </c>
      <c r="K33" s="5" t="s"/>
      <c r="L33" s="37" t="s"/>
      <c r="M33" s="37" t="s"/>
    </row>
    <row customHeight="1" ht="18" r="34" spans="1:13">
      <c r="A34" s="5" t="s">
        <v>33</v>
      </c>
      <c r="B34" s="6" t="n">
        <v>706170.7497683431</v>
      </c>
      <c r="C34" s="6" t="n">
        <v>461103</v>
      </c>
      <c r="D34" s="6" t="n">
        <v>-245067.7497683431</v>
      </c>
      <c r="E34" s="9" t="n">
        <v>-0.3470375257665893</v>
      </c>
      <c r="F34" s="5" t="s"/>
      <c r="G34" s="30" t="n">
        <v>0.2144516601340772</v>
      </c>
      <c r="H34" s="30" t="n">
        <v>0.1663587972600585</v>
      </c>
      <c r="I34" s="30" t="n">
        <v>-0.0480928628740187</v>
      </c>
      <c r="J34" s="9" t="n">
        <v>-0.2242596902441818</v>
      </c>
      <c r="K34" s="5" t="s"/>
      <c r="L34" s="37" t="s"/>
      <c r="M34" s="37" t="s"/>
    </row>
    <row customHeight="1" ht="18" r="35" spans="1:13">
      <c r="A35" s="5" t="s">
        <v>34</v>
      </c>
      <c r="B35" s="6" t="n">
        <v>547824.6158597942</v>
      </c>
      <c r="C35" s="6" t="n">
        <v>471330</v>
      </c>
      <c r="D35" s="6" t="n">
        <v>-76494.6158597942</v>
      </c>
      <c r="E35" s="9" t="n">
        <v>-0.1396334039129261</v>
      </c>
      <c r="F35" s="5" t="s"/>
      <c r="G35" s="30" t="n">
        <v>0.1663647189748167</v>
      </c>
      <c r="H35" s="30" t="n">
        <v>0.1700485399413653</v>
      </c>
      <c r="I35" s="30" t="n">
        <v>0.003683820966548651</v>
      </c>
      <c r="J35" s="9" t="n">
        <v>0.02214304204190244</v>
      </c>
      <c r="K35" s="5" t="s"/>
      <c r="L35" s="37" t="s"/>
      <c r="M35" s="37" t="s"/>
    </row>
    <row customHeight="1" ht="18" r="36" spans="1:13">
      <c r="A36" s="5" t="s">
        <v>35</v>
      </c>
      <c r="B36" s="6" t="n">
        <v>637794.9657305737</v>
      </c>
      <c r="C36" s="6" t="n">
        <v>523626</v>
      </c>
      <c r="D36" s="6" t="n">
        <v>-114168.9657305737</v>
      </c>
      <c r="E36" s="9" t="n">
        <v>-0.1790057492846417</v>
      </c>
      <c r="F36" s="5" t="s"/>
      <c r="G36" s="30" t="n">
        <v>0.1936871348338166</v>
      </c>
      <c r="H36" s="30" t="n">
        <v>0.1889161241069683</v>
      </c>
      <c r="I36" s="30" t="n">
        <v>-0.004771010726848324</v>
      </c>
      <c r="J36" s="9" t="n">
        <v>-0.02463256390746782</v>
      </c>
      <c r="K36" s="5" t="s"/>
      <c r="L36" s="37" t="s"/>
      <c r="M36" s="37" t="s"/>
    </row>
    <row customHeight="1" ht="18" r="37" spans="1:13">
      <c r="A37" s="5" t="s">
        <v>36</v>
      </c>
      <c r="B37" s="6" t="n">
        <v>642232.4271962903</v>
      </c>
      <c r="C37" s="6" t="n">
        <v>559649</v>
      </c>
      <c r="D37" s="6" t="n">
        <v>-82583.42719629034</v>
      </c>
      <c r="E37" s="9" t="n">
        <v>-0.1285880682743068</v>
      </c>
      <c r="F37" s="5" t="s"/>
      <c r="G37" s="30" t="n">
        <v>0.1950347139829333</v>
      </c>
      <c r="H37" s="30" t="n">
        <v>0.2019126627408507</v>
      </c>
      <c r="I37" s="30" t="n">
        <v>0.006877948757917418</v>
      </c>
      <c r="J37" s="9" t="n">
        <v>0.03526525415634101</v>
      </c>
      <c r="K37" s="5" t="s"/>
      <c r="L37" s="37" t="s"/>
      <c r="M37" s="37" t="s"/>
    </row>
    <row customHeight="1" ht="18" r="38" spans="1:13">
      <c r="A38" s="5" t="s">
        <v>37</v>
      </c>
      <c r="B38" s="6" t="n">
        <v>196589.1023616742</v>
      </c>
      <c r="C38" s="6" t="n">
        <v>160374</v>
      </c>
      <c r="D38" s="6" t="n">
        <v>-36215.10236167419</v>
      </c>
      <c r="E38" s="9" t="n">
        <v>-0.1842172425969348</v>
      </c>
      <c r="F38" s="5" t="s"/>
      <c r="G38" s="30" t="n">
        <v>0.05970065933707837</v>
      </c>
      <c r="H38" s="30" t="n">
        <v>0.05786044712739805</v>
      </c>
      <c r="I38" s="30" t="n">
        <v>-0.001840212209680323</v>
      </c>
      <c r="J38" s="9" t="n">
        <v>-0.03082398469487957</v>
      </c>
      <c r="K38" s="5" t="s"/>
      <c r="L38" s="37" t="s"/>
      <c r="M38" s="37" t="s"/>
    </row>
    <row customHeight="1" ht="18" r="39" spans="1:13">
      <c r="A39" s="5" t="s">
        <v>38</v>
      </c>
      <c r="B39" s="6" t="n">
        <v>970001.0387993322</v>
      </c>
      <c r="C39" s="6" t="n">
        <v>779167</v>
      </c>
      <c r="D39" s="6" t="n">
        <v>-190834.0387993322</v>
      </c>
      <c r="E39" s="9" t="n">
        <v>-0.1967359117837097</v>
      </c>
      <c r="F39" s="5" t="s"/>
      <c r="G39" s="30" t="n">
        <v>0.2945722874680605</v>
      </c>
      <c r="H39" s="30" t="n">
        <v>0.2811113460218823</v>
      </c>
      <c r="I39" s="30" t="n">
        <v>-0.01346094144617821</v>
      </c>
      <c r="J39" s="9" t="n">
        <v>-0.04569656420119877</v>
      </c>
      <c r="K39" s="5" t="s"/>
      <c r="L39" s="37" t="s"/>
      <c r="M39" s="37" t="s"/>
    </row>
    <row customHeight="1" ht="18" r="40" spans="1:13">
      <c r="A40" s="5" t="s">
        <v>39</v>
      </c>
      <c r="B40" s="11" t="n">
        <v>161680.6759929457</v>
      </c>
      <c r="C40" s="11" t="n">
        <v>145765</v>
      </c>
      <c r="D40" s="11" t="n">
        <v>-15915.67599294573</v>
      </c>
      <c r="E40" s="12" t="n">
        <v>-0.09843895007984843</v>
      </c>
      <c r="F40" s="5" t="s"/>
      <c r="G40" s="30" t="n">
        <v>0.04909958305361884</v>
      </c>
      <c r="H40" s="30" t="n">
        <v>0.05258974693856346</v>
      </c>
      <c r="I40" s="16" t="n">
        <v>0.003490163884944615</v>
      </c>
      <c r="J40" s="12" t="n">
        <v>0.07108337113847193</v>
      </c>
      <c r="K40" s="5" t="s"/>
      <c r="L40" s="37" t="s"/>
      <c r="M40" s="37" t="s"/>
    </row>
    <row customHeight="1" ht="18" r="41" spans="1:13">
      <c r="A41" s="7" t="s">
        <v>17</v>
      </c>
      <c r="B41" s="13" t="n">
        <v>5383515.060837602</v>
      </c>
      <c r="C41" s="13" t="n">
        <v>4485077</v>
      </c>
      <c r="D41" s="13" t="n">
        <v>-898438.0608376022</v>
      </c>
      <c r="E41" s="14" t="n">
        <v>-0.1668868853685007</v>
      </c>
      <c r="F41" s="5" t="s"/>
      <c r="G41" s="17" t="n">
        <v>1.634879018328304</v>
      </c>
      <c r="H41" s="17" t="n">
        <v>1.618146087400757</v>
      </c>
      <c r="I41" s="18" t="n">
        <v>-0.01673293092754702</v>
      </c>
      <c r="J41" s="14" t="n">
        <v>-0.01023496585371605</v>
      </c>
      <c r="K41" s="5" t="s"/>
      <c r="L41" s="5" t="s"/>
      <c r="M41" s="5" t="s"/>
    </row>
    <row customHeight="1" ht="18" r="42" spans="1:13">
      <c r="A42" s="5" t="s"/>
      <c r="B42" s="6" t="s"/>
      <c r="C42" s="6" t="s"/>
      <c r="D42" s="6" t="s"/>
      <c r="E42" s="5" t="s"/>
      <c r="F42" s="5" t="s"/>
      <c r="G42" s="5" t="s"/>
      <c r="H42" s="5" t="s"/>
      <c r="I42" s="5" t="s"/>
      <c r="J42" s="5" t="s"/>
      <c r="K42" s="5" t="s"/>
      <c r="L42" s="5" t="s"/>
      <c r="M42" s="5" t="s"/>
    </row>
    <row customHeight="1" ht="18" r="43" spans="1:13">
      <c r="A43" s="5" t="s"/>
      <c r="B43" s="6" t="s"/>
      <c r="C43" s="6" t="s"/>
      <c r="D43" s="6" t="s"/>
      <c r="E43" s="5" t="s"/>
      <c r="F43" s="5" t="s"/>
      <c r="G43" s="5" t="s"/>
      <c r="H43" s="5" t="s"/>
      <c r="I43" s="5" t="s"/>
      <c r="J43" s="5" t="s"/>
      <c r="K43" s="5" t="s"/>
      <c r="L43" s="5" t="s"/>
      <c r="M43" s="5" t="s"/>
    </row>
    <row customHeight="1" ht="18" r="44" spans="1:13">
      <c r="A44" s="5" t="s"/>
      <c r="B44" s="6" t="s"/>
      <c r="C44" s="6" t="s"/>
      <c r="D44" s="6" t="s"/>
      <c r="E44" s="5" t="s"/>
      <c r="F44" s="5" t="s"/>
      <c r="G44" s="5" t="s"/>
      <c r="H44" s="5" t="s"/>
      <c r="I44" s="5" t="s"/>
      <c r="J44" s="5" t="s"/>
      <c r="K44" s="5" t="s"/>
      <c r="L44" s="5" t="s"/>
      <c r="M44" s="5" t="s"/>
    </row>
    <row customHeight="1" ht="18" r="45" spans="1:13">
      <c r="A45" s="1" t="s">
        <v>40</v>
      </c>
      <c r="B45" s="5" t="s"/>
      <c r="C45" s="5" t="s"/>
      <c r="D45" s="5" t="s"/>
      <c r="E45" s="5" t="s"/>
      <c r="F45" s="5" t="s"/>
      <c r="G45" s="1" t="s">
        <v>41</v>
      </c>
      <c r="H45" s="5" t="s"/>
      <c r="I45" s="5" t="s"/>
      <c r="J45" s="5" t="s"/>
      <c r="K45" s="5" t="s"/>
      <c r="L45" s="5" t="s"/>
      <c r="M45" s="5" t="s"/>
    </row>
    <row customHeight="1" ht="18" r="46" spans="1:13">
      <c r="A46" s="5" t="s"/>
      <c r="B46" s="2" t="s"/>
      <c r="C46" s="2" t="s"/>
      <c r="D46" s="2" t="s"/>
      <c r="E46" s="2" t="s"/>
      <c r="F46" s="5" t="s"/>
      <c r="G46" s="2" t="s"/>
      <c r="H46" s="2" t="s"/>
      <c r="I46" s="2" t="s"/>
      <c r="J46" s="2" t="s"/>
      <c r="K46" s="5" t="s"/>
      <c r="L46" s="5" t="s"/>
      <c r="M46" s="5" t="s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F47" s="5" t="s"/>
      <c r="G47" s="4" t="s">
        <v>20</v>
      </c>
      <c r="H47" s="4" t="s">
        <v>49</v>
      </c>
      <c r="I47" s="4" t="s">
        <v>50</v>
      </c>
      <c r="J47" s="4" t="s">
        <v>51</v>
      </c>
      <c r="K47" s="5" t="s"/>
      <c r="L47" s="5" t="s"/>
      <c r="M47" s="5" t="s"/>
    </row>
    <row customHeight="1" ht="18" r="48" spans="1:13">
      <c r="A48" s="5" t="s">
        <v>21</v>
      </c>
      <c r="B48" s="6" t="n">
        <v>2136576.764979186</v>
      </c>
      <c r="C48" s="6" t="n">
        <v>1893814</v>
      </c>
      <c r="D48" s="6" t="n">
        <v>-242762.7649791865</v>
      </c>
      <c r="E48" s="9" t="n">
        <v>-0.1136222994456983</v>
      </c>
      <c r="F48" s="5" t="s"/>
      <c r="G48" s="30" t="n">
        <v>1.725055672848693</v>
      </c>
      <c r="H48" s="30" t="n">
        <v>1.718940977532669</v>
      </c>
      <c r="I48" s="30" t="n">
        <v>-0.006114695316023822</v>
      </c>
      <c r="J48" s="9" t="n">
        <v>-0.003544636507832957</v>
      </c>
      <c r="K48" s="5" t="s"/>
      <c r="L48" s="10" t="s"/>
      <c r="M48" s="10" t="s"/>
    </row>
    <row customHeight="1" ht="18" r="49" spans="1:13">
      <c r="A49" s="5" t="s">
        <v>22</v>
      </c>
      <c r="B49" s="6" t="n">
        <v>564029.4308839047</v>
      </c>
      <c r="C49" s="6" t="n">
        <v>473646</v>
      </c>
      <c r="D49" s="6" t="n">
        <v>-90383.43088390469</v>
      </c>
      <c r="E49" s="9" t="n">
        <v>-0.1602459480567575</v>
      </c>
      <c r="F49" s="5" t="s"/>
      <c r="G49" s="30" t="n">
        <v>1.847866133088865</v>
      </c>
      <c r="H49" s="30" t="n">
        <v>1.725146965624249</v>
      </c>
      <c r="I49" s="30" t="n">
        <v>-0.1227191674646162</v>
      </c>
      <c r="J49" s="9" t="n">
        <v>-0.06641128665499199</v>
      </c>
      <c r="K49" s="5" t="s"/>
      <c r="L49" s="10" t="s"/>
      <c r="M49" s="10" t="s"/>
    </row>
    <row customHeight="1" ht="18" r="50" spans="1:13">
      <c r="A50" s="5" t="s">
        <v>23</v>
      </c>
      <c r="B50" s="6" t="n">
        <v>489770.2273711165</v>
      </c>
      <c r="C50" s="6" t="n">
        <v>427535</v>
      </c>
      <c r="D50" s="6" t="n">
        <v>-62235.22737111652</v>
      </c>
      <c r="E50" s="9" t="n">
        <v>-0.1270702543622739</v>
      </c>
      <c r="F50" s="5" t="s"/>
      <c r="G50" s="30" t="n">
        <v>1.428977800693608</v>
      </c>
      <c r="H50" s="30" t="n">
        <v>1.363417480929663</v>
      </c>
      <c r="I50" s="30" t="n">
        <v>-0.06556031976394516</v>
      </c>
      <c r="J50" s="9" t="n">
        <v>-0.04587917302292799</v>
      </c>
      <c r="K50" s="5" t="s"/>
      <c r="L50" s="10" t="s"/>
      <c r="M50" s="10" t="s"/>
    </row>
    <row customHeight="1" ht="18" r="51" spans="1:13">
      <c r="A51" s="5" t="s">
        <v>24</v>
      </c>
      <c r="B51" s="6" t="n">
        <v>922884.2070464392</v>
      </c>
      <c r="C51" s="6" t="n">
        <v>507358</v>
      </c>
      <c r="D51" s="6" t="n">
        <v>-415526.2070464392</v>
      </c>
      <c r="E51" s="9" t="n">
        <v>-0.450247391681208</v>
      </c>
      <c r="F51" s="5" t="s"/>
      <c r="G51" s="30" t="n">
        <v>1.728810474896814</v>
      </c>
      <c r="H51" s="30" t="n">
        <v>1.656901005522372</v>
      </c>
      <c r="I51" s="30" t="n">
        <v>-0.07190946937444243</v>
      </c>
      <c r="J51" s="9" t="n">
        <v>-0.04159476727993241</v>
      </c>
      <c r="K51" s="5" t="s"/>
      <c r="L51" s="10" t="s"/>
      <c r="M51" s="10" t="s"/>
    </row>
    <row customHeight="1" ht="18" r="52" spans="1:13">
      <c r="A52" s="5" t="s">
        <v>52</v>
      </c>
      <c r="B52" s="6" t="n">
        <v>187341.0666683618</v>
      </c>
      <c r="C52" s="6" t="n">
        <v>275701</v>
      </c>
      <c r="D52" s="6" t="n">
        <v>88359.9333316382</v>
      </c>
      <c r="E52" s="9" t="n">
        <v>0.4716527716160401</v>
      </c>
      <c r="F52" s="5" t="s"/>
      <c r="G52" s="30" t="n">
        <v>1.799054443997772</v>
      </c>
      <c r="H52" s="30" t="n">
        <v>1.796624417581701</v>
      </c>
      <c r="I52" s="30" t="n">
        <v>-0.002430026416071041</v>
      </c>
      <c r="J52" s="9" t="n">
        <v>-0.001350724223037493</v>
      </c>
      <c r="K52" s="5" t="s"/>
      <c r="L52" s="10" t="s"/>
      <c r="M52" s="10" t="s"/>
    </row>
    <row customHeight="1" ht="18" r="53" spans="1:13">
      <c r="A53" s="5" t="s">
        <v>26</v>
      </c>
      <c r="B53" s="6" t="n">
        <v>95673.334388592</v>
      </c>
      <c r="C53" s="6" t="n">
        <v>82308</v>
      </c>
      <c r="D53" s="6" t="n">
        <v>-13365.334388592</v>
      </c>
      <c r="E53" s="9" t="n">
        <v>-0.1396975915390033</v>
      </c>
      <c r="F53" s="5" t="s"/>
      <c r="G53" s="30" t="n">
        <v>1.357303883175083</v>
      </c>
      <c r="H53" s="30" t="n">
        <v>1.292281605225146</v>
      </c>
      <c r="I53" s="30" t="n">
        <v>-0.06502227794993654</v>
      </c>
      <c r="J53" s="9" t="n">
        <v>-0.04790546815340476</v>
      </c>
      <c r="K53" s="5" t="s"/>
      <c r="L53" s="10" t="s"/>
      <c r="M53" s="10" t="s"/>
    </row>
    <row customHeight="1" ht="18" r="54" spans="1:13">
      <c r="A54" s="5" t="s">
        <v>27</v>
      </c>
      <c r="B54" s="6" t="n">
        <v>668994.9366249999</v>
      </c>
      <c r="C54" s="6" t="n">
        <v>536423</v>
      </c>
      <c r="D54" s="6" t="n">
        <v>-132571.9366249999</v>
      </c>
      <c r="E54" s="9" t="n">
        <v>-0.1981658296157061</v>
      </c>
      <c r="F54" s="5" t="s"/>
      <c r="G54" s="30" t="n">
        <v>1.468190389737308</v>
      </c>
      <c r="H54" s="30" t="n">
        <v>1.42273682088713</v>
      </c>
      <c r="I54" s="30" t="n">
        <v>-0.04545356885017782</v>
      </c>
      <c r="J54" s="9" t="n">
        <v>-0.03095890639790285</v>
      </c>
      <c r="K54" s="5" t="s"/>
      <c r="L54" s="10" t="s"/>
      <c r="M54" s="10" t="s"/>
    </row>
    <row customHeight="1" ht="18" r="55" spans="1:13">
      <c r="A55" s="5" t="s">
        <v>28</v>
      </c>
      <c r="B55" s="11" t="n">
        <v>318245.092875</v>
      </c>
      <c r="C55" s="11" t="n">
        <v>288292</v>
      </c>
      <c r="D55" s="11" t="n">
        <v>-29953.09287500003</v>
      </c>
      <c r="E55" s="12" t="n">
        <v>-0.09411957496156893</v>
      </c>
      <c r="F55" s="5" t="s"/>
      <c r="G55" s="16" t="n">
        <v>1.313557980778649</v>
      </c>
      <c r="H55" s="16" t="n">
        <v>1.588534463283062</v>
      </c>
      <c r="I55" s="16" t="n">
        <v>0.2749764825044136</v>
      </c>
      <c r="J55" s="12" t="n">
        <v>0.2093371488188238</v>
      </c>
      <c r="K55" s="5" t="s"/>
      <c r="L55" s="10" t="s"/>
      <c r="M55" s="10" t="s"/>
    </row>
    <row customHeight="1" ht="18" r="56" spans="1:13">
      <c r="A56" s="7" t="s">
        <v>17</v>
      </c>
      <c r="B56" s="13" t="n">
        <v>5383515.060837601</v>
      </c>
      <c r="C56" s="13" t="n">
        <v>4485077</v>
      </c>
      <c r="D56" s="13" t="n">
        <v>-898438.0608376013</v>
      </c>
      <c r="E56" s="14" t="n">
        <v>-0.1668868853685006</v>
      </c>
      <c r="F56" s="5" t="s"/>
      <c r="G56" s="18" t="n">
        <v>1.634879018328304</v>
      </c>
      <c r="H56" s="18" t="n">
        <v>1.618146087400757</v>
      </c>
      <c r="I56" s="18" t="n">
        <v>-0.0167329309275468</v>
      </c>
      <c r="J56" s="14" t="n">
        <v>-0.01023496585371592</v>
      </c>
      <c r="K56" s="5" t="s"/>
      <c r="L56" s="5" t="s"/>
      <c r="M56" s="5" t="s"/>
    </row>
    <row customHeight="1" ht="18" r="57" spans="1:13">
      <c r="A57" s="5" t="s"/>
      <c r="B57" s="5" t="s"/>
      <c r="C57" s="5" t="s"/>
      <c r="D57" s="5" t="s"/>
      <c r="E57" s="5" t="s"/>
      <c r="F57" s="5" t="s"/>
      <c r="G57" s="5" t="s"/>
      <c r="H57" s="5" t="s"/>
      <c r="I57" s="5" t="s"/>
      <c r="J57" s="5" t="s"/>
      <c r="K57" s="5" t="s"/>
      <c r="L57" s="5" t="s"/>
      <c r="M57" s="5" t="s"/>
    </row>
    <row customHeight="1" ht="18" r="58" spans="1:13">
      <c r="A58" s="5" t="s"/>
      <c r="B58" s="5" t="s"/>
      <c r="C58" s="5" t="s"/>
      <c r="D58" s="5" t="s"/>
      <c r="E58" s="5" t="s"/>
      <c r="F58" s="5" t="s"/>
      <c r="G58" s="5" t="s"/>
      <c r="H58" s="5" t="s"/>
      <c r="I58" s="5" t="s"/>
      <c r="J58" s="5" t="s"/>
      <c r="K58" s="5" t="s"/>
      <c r="L58" s="5" t="s"/>
      <c r="M58" s="5" t="s"/>
    </row>
    <row customHeight="1" ht="18" r="59" spans="1:13">
      <c r="A59" s="5" t="s"/>
      <c r="B59" s="5" t="s"/>
      <c r="C59" s="5" t="s"/>
      <c r="D59" s="5" t="s"/>
      <c r="E59" s="5" t="s"/>
      <c r="F59" s="5" t="s"/>
      <c r="G59" s="5" t="s"/>
      <c r="H59" s="5" t="s"/>
      <c r="I59" s="5" t="s"/>
      <c r="J59" s="5" t="s"/>
      <c r="K59" s="5" t="s"/>
      <c r="L59" s="5" t="s"/>
      <c r="M59" s="5" t="s"/>
    </row>
    <row customHeight="1" ht="18" r="60" spans="1:13">
      <c r="A60" s="1" t="s">
        <v>42</v>
      </c>
      <c r="B60" s="5" t="s"/>
      <c r="C60" s="5" t="s"/>
      <c r="D60" s="5" t="s"/>
      <c r="E60" s="5" t="s"/>
      <c r="F60" s="5" t="s"/>
      <c r="G60" s="1" t="s">
        <v>43</v>
      </c>
      <c r="H60" s="5" t="s"/>
      <c r="I60" s="5" t="s"/>
      <c r="J60" s="5" t="s"/>
      <c r="K60" s="5" t="s"/>
      <c r="L60" s="1" t="s">
        <v>44</v>
      </c>
      <c r="M60" s="5" t="s"/>
    </row>
    <row customHeight="1" ht="18" r="61" spans="1:13">
      <c r="A61" s="5" t="s"/>
      <c r="B61" s="2" t="s"/>
      <c r="C61" s="2" t="s"/>
      <c r="D61" s="2" t="s"/>
      <c r="E61" s="2" t="s"/>
      <c r="F61" s="5" t="s"/>
      <c r="G61" s="2" t="s"/>
      <c r="H61" s="2" t="s"/>
      <c r="I61" s="2" t="s"/>
      <c r="J61" s="2" t="s"/>
      <c r="K61" s="5" t="s"/>
      <c r="L61" s="5" t="s"/>
      <c r="M61" s="5" t="s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F62" s="5" t="s"/>
      <c r="G62" s="4" t="s">
        <v>20</v>
      </c>
      <c r="H62" s="4" t="s">
        <v>49</v>
      </c>
      <c r="I62" s="4" t="s">
        <v>50</v>
      </c>
      <c r="J62" s="4" t="s">
        <v>51</v>
      </c>
      <c r="K62" s="5" t="s"/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2039663.208809431</v>
      </c>
      <c r="C63" s="6" t="n">
        <v>1804209</v>
      </c>
      <c r="D63" s="6" t="n">
        <v>-235454.2088094312</v>
      </c>
      <c r="E63" s="9" t="n">
        <v>-0.1154377878624716</v>
      </c>
      <c r="F63" s="5" t="s"/>
      <c r="G63" s="30" t="n">
        <v>0.6194099109699347</v>
      </c>
      <c r="H63" s="30" t="n">
        <v>0.6509305713599193</v>
      </c>
      <c r="I63" s="30" t="n">
        <v>0.03152066038998458</v>
      </c>
      <c r="J63" s="9" t="n">
        <v>0.05088820800530353</v>
      </c>
      <c r="K63" s="5" t="s"/>
      <c r="L63" s="30" t="n">
        <v>1.340806206557713</v>
      </c>
      <c r="M63" s="30" t="n">
        <v>1.303559881305981</v>
      </c>
    </row>
    <row customHeight="1" ht="18" r="64" spans="1:13">
      <c r="A64" s="5" t="s">
        <v>33</v>
      </c>
      <c r="B64" s="6" t="n">
        <v>770546.0916077521</v>
      </c>
      <c r="C64" s="6" t="n">
        <v>503110</v>
      </c>
      <c r="D64" s="6" t="n">
        <v>-267436.0916077521</v>
      </c>
      <c r="E64" s="9" t="n">
        <v>-0.3470734515695797</v>
      </c>
      <c r="F64" s="5" t="s"/>
      <c r="G64" s="30" t="n">
        <v>0.234001321365003</v>
      </c>
      <c r="H64" s="30" t="n">
        <v>0.1815142701077808</v>
      </c>
      <c r="I64" s="30" t="n">
        <v>-0.05248705125722222</v>
      </c>
      <c r="J64" s="9" t="n">
        <v>-0.2243023712475161</v>
      </c>
      <c r="K64" s="5" t="s"/>
      <c r="L64" s="30" t="n">
        <v>1.091161155939307</v>
      </c>
      <c r="M64" s="30" t="n">
        <v>1.091101120573928</v>
      </c>
    </row>
    <row customHeight="1" ht="18" r="65" spans="1:13">
      <c r="A65" s="5" t="s">
        <v>34</v>
      </c>
      <c r="B65" s="6" t="n">
        <v>1060262.538818683</v>
      </c>
      <c r="C65" s="6" t="n">
        <v>931823</v>
      </c>
      <c r="D65" s="6" t="n">
        <v>-128439.538818683</v>
      </c>
      <c r="E65" s="9" t="n">
        <v>-0.1211393726706472</v>
      </c>
      <c r="F65" s="5" t="s"/>
      <c r="G65" s="30" t="n">
        <v>0.3219831205161466</v>
      </c>
      <c r="H65" s="30" t="n">
        <v>0.3361872586802938</v>
      </c>
      <c r="I65" s="30" t="n">
        <v>0.01420413816414712</v>
      </c>
      <c r="J65" s="9" t="n">
        <v>0.04411454284118231</v>
      </c>
      <c r="K65" s="5" t="s"/>
      <c r="L65" s="30" t="n">
        <v>1.935405069658348</v>
      </c>
      <c r="M65" s="30" t="n">
        <v>1.977007616744107</v>
      </c>
    </row>
    <row customHeight="1" ht="18" r="66" spans="1:13">
      <c r="A66" s="5" t="s">
        <v>35</v>
      </c>
      <c r="B66" s="6" t="n">
        <v>1673107.626151029</v>
      </c>
      <c r="C66" s="6" t="n">
        <v>1367477</v>
      </c>
      <c r="D66" s="6" t="n">
        <v>-305630.6261510288</v>
      </c>
      <c r="E66" s="9" t="n">
        <v>-0.1826724242803971</v>
      </c>
      <c r="F66" s="5" t="s"/>
      <c r="G66" s="30" t="n">
        <v>0.5080934152664585</v>
      </c>
      <c r="H66" s="30" t="n">
        <v>0.4933644521956981</v>
      </c>
      <c r="I66" s="30" t="n">
        <v>-0.01472896307076033</v>
      </c>
      <c r="J66" s="9" t="n">
        <v>-0.02898869111113365</v>
      </c>
      <c r="K66" s="5" t="s"/>
      <c r="L66" s="30" t="n">
        <v>2.623268787069427</v>
      </c>
      <c r="M66" s="30" t="n">
        <v>2.611552902262302</v>
      </c>
    </row>
    <row customHeight="1" ht="18" r="67" spans="1:13">
      <c r="A67" s="5" t="s">
        <v>36</v>
      </c>
      <c r="B67" s="6" t="n">
        <v>1847853.209460022</v>
      </c>
      <c r="C67" s="6" t="n">
        <v>1546164</v>
      </c>
      <c r="D67" s="6" t="n">
        <v>-301689.2094600217</v>
      </c>
      <c r="E67" s="9" t="n">
        <v>-0.1632647051808737</v>
      </c>
      <c r="F67" s="5" t="s"/>
      <c r="G67" s="30" t="n">
        <v>0.5611605813222666</v>
      </c>
      <c r="H67" s="30" t="n">
        <v>0.5578319451549894</v>
      </c>
      <c r="I67" s="30" t="n">
        <v>-0.003328636167277299</v>
      </c>
      <c r="J67" s="9" t="n">
        <v>-0.005931699905638436</v>
      </c>
      <c r="K67" s="5" t="s"/>
      <c r="L67" s="30" t="n">
        <v>2.877234364398185</v>
      </c>
      <c r="M67" s="30" t="n">
        <v>2.762738788061803</v>
      </c>
    </row>
    <row customHeight="1" ht="18" r="68" spans="1:13">
      <c r="A68" s="5" t="s">
        <v>37</v>
      </c>
      <c r="B68" s="6" t="n">
        <v>734639.3844145016</v>
      </c>
      <c r="C68" s="6" t="n">
        <v>591464</v>
      </c>
      <c r="D68" s="6" t="n">
        <v>-143175.3844145016</v>
      </c>
      <c r="E68" s="9" t="n">
        <v>-0.1948920619449372</v>
      </c>
      <c r="F68" s="5" t="s"/>
      <c r="G68" s="30" t="n">
        <v>0.2230970847195928</v>
      </c>
      <c r="H68" s="30" t="n">
        <v>0.2133910203633965</v>
      </c>
      <c r="I68" s="30" t="n">
        <v>-0.009706064356196226</v>
      </c>
      <c r="J68" s="9" t="n">
        <v>-0.04350601160205937</v>
      </c>
      <c r="K68" s="5" t="s"/>
      <c r="L68" s="30" t="n">
        <v>3.736928322013247</v>
      </c>
      <c r="M68" s="30" t="n">
        <v>3.688029231670969</v>
      </c>
    </row>
    <row customHeight="1" ht="18" r="69" spans="1:13">
      <c r="A69" s="5" t="s">
        <v>38</v>
      </c>
      <c r="B69" s="6" t="n">
        <v>1517428.312437411</v>
      </c>
      <c r="C69" s="6" t="n">
        <v>1225974</v>
      </c>
      <c r="D69" s="6" t="n">
        <v>-291454.3124374114</v>
      </c>
      <c r="E69" s="9" t="n">
        <v>-0.1920712234301565</v>
      </c>
      <c r="F69" s="5" t="s"/>
      <c r="G69" s="30" t="n">
        <v>0.4608163405853405</v>
      </c>
      <c r="H69" s="30" t="n">
        <v>0.4423123686293582</v>
      </c>
      <c r="I69" s="30" t="n">
        <v>-0.0185039719559823</v>
      </c>
      <c r="J69" s="9" t="n">
        <v>-0.04015476519881672</v>
      </c>
      <c r="K69" s="5" t="s"/>
      <c r="L69" s="30" t="n">
        <v>1.564357409674205</v>
      </c>
      <c r="M69" s="30" t="n">
        <v>1.573441893714698</v>
      </c>
    </row>
    <row customHeight="1" ht="18" r="70" spans="1:13">
      <c r="A70" s="19" t="s">
        <v>46</v>
      </c>
      <c r="B70" s="11" t="n">
        <v>5203557.970218165</v>
      </c>
      <c r="C70" s="11" t="n">
        <v>4310427</v>
      </c>
      <c r="D70" s="11" t="n">
        <v>-893130.9702181648</v>
      </c>
      <c r="E70" s="12" t="n">
        <v>-0.1716385164400733</v>
      </c>
      <c r="F70" s="5" t="s"/>
      <c r="G70" s="30" t="n">
        <v>1.580229208988429</v>
      </c>
      <c r="H70" s="30" t="n">
        <v>1.555135081309994</v>
      </c>
      <c r="I70" s="16" t="n">
        <v>-0.02509412767843466</v>
      </c>
      <c r="J70" s="12" t="n">
        <v>-0.01588005558668193</v>
      </c>
      <c r="K70" s="5" t="s"/>
      <c r="L70" s="30" t="s"/>
      <c r="M70" s="30" t="s"/>
    </row>
    <row customHeight="1" ht="18" r="71" spans="1:13">
      <c r="A71" s="7" t="s">
        <v>17</v>
      </c>
      <c r="B71" s="8" t="n">
        <v>14847058.341917</v>
      </c>
      <c r="C71" s="8" t="n">
        <v>12280648</v>
      </c>
      <c r="D71" s="8" t="n">
        <v>-2566410.341916995</v>
      </c>
      <c r="E71" s="20" t="n">
        <v>-0.1728564866396039</v>
      </c>
      <c r="F71" s="5" t="s"/>
      <c r="G71" s="17" t="n">
        <v>4.508790983733172</v>
      </c>
      <c r="H71" s="17" t="n">
        <v>4.43066696780143</v>
      </c>
      <c r="I71" s="18" t="n">
        <v>-0.07812401593174201</v>
      </c>
      <c r="J71" s="14" t="n">
        <v>-0.01732704315050266</v>
      </c>
      <c r="K71" s="5" t="s"/>
      <c r="L71" s="17" t="n">
        <v>2.757874395099583</v>
      </c>
      <c r="M71" s="17" t="n">
        <v>2.738113080332846</v>
      </c>
    </row>
    <row customHeight="1" ht="18" r="72" spans="1:13">
      <c r="A72" s="5" t="s"/>
      <c r="B72" s="5" t="s"/>
      <c r="C72" s="5" t="s"/>
      <c r="D72" s="5" t="s"/>
      <c r="E72" s="5" t="s"/>
      <c r="F72" s="5" t="s"/>
      <c r="G72" s="5" t="s"/>
      <c r="H72" s="5" t="s"/>
      <c r="I72" s="5" t="s"/>
      <c r="J72" s="5" t="s"/>
      <c r="K72" s="5" t="s"/>
      <c r="L72" s="5" t="s"/>
      <c r="M72" s="5" t="s"/>
    </row>
    <row customHeight="1" ht="18" r="73" spans="1:13">
      <c r="A73" s="5" t="s"/>
      <c r="B73" s="5" t="s"/>
      <c r="C73" s="5" t="s"/>
      <c r="D73" s="5" t="s"/>
      <c r="E73" s="5" t="s"/>
      <c r="F73" s="5" t="s"/>
      <c r="G73" s="5" t="s"/>
      <c r="H73" s="5" t="s"/>
      <c r="I73" s="5" t="s"/>
      <c r="J73" s="5" t="s"/>
      <c r="K73" s="5" t="s"/>
      <c r="L73" s="5" t="s"/>
      <c r="M73" s="5" t="s"/>
    </row>
    <row customHeight="1" ht="18" r="74" spans="1:13">
      <c r="A74" s="5" t="s"/>
      <c r="B74" s="5" t="s"/>
      <c r="C74" s="5" t="s"/>
      <c r="D74" s="5" t="s"/>
      <c r="E74" s="5" t="s"/>
      <c r="F74" s="5" t="s"/>
      <c r="G74" s="5" t="s"/>
      <c r="H74" s="5" t="s"/>
      <c r="I74" s="5" t="s"/>
      <c r="J74" s="5" t="s"/>
      <c r="K74" s="5" t="s"/>
      <c r="L74" s="5" t="s"/>
      <c r="M74" s="5" t="s"/>
    </row>
    <row customHeight="1" ht="18" r="75" spans="1:13">
      <c r="A75" s="1" t="s">
        <v>47</v>
      </c>
      <c r="B75" s="5" t="s"/>
      <c r="C75" s="5" t="s"/>
      <c r="D75" s="5" t="s"/>
      <c r="E75" s="5" t="s"/>
      <c r="F75" s="5" t="s"/>
      <c r="G75" s="1" t="s">
        <v>48</v>
      </c>
      <c r="H75" s="5" t="s"/>
      <c r="I75" s="5" t="s"/>
      <c r="J75" s="5" t="s"/>
      <c r="K75" s="5" t="s"/>
      <c r="L75" s="5" t="s"/>
      <c r="M75" s="5" t="s"/>
    </row>
    <row customHeight="1" ht="18" r="76" spans="1:13">
      <c r="A76" s="5" t="s"/>
      <c r="B76" s="2" t="s"/>
      <c r="C76" s="2" t="s"/>
      <c r="D76" s="2" t="s"/>
      <c r="E76" s="2" t="s"/>
      <c r="F76" s="5" t="s"/>
      <c r="G76" s="2" t="s"/>
      <c r="H76" s="2" t="s"/>
      <c r="I76" s="2" t="s"/>
      <c r="J76" s="2" t="s"/>
      <c r="K76" s="5" t="s"/>
      <c r="L76" s="5" t="s"/>
      <c r="M76" s="5" t="s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F77" s="5" t="s"/>
      <c r="G77" s="4" t="s">
        <v>20</v>
      </c>
      <c r="H77" s="4" t="s">
        <v>49</v>
      </c>
      <c r="I77" s="4" t="s">
        <v>50</v>
      </c>
      <c r="J77" s="4" t="s">
        <v>51</v>
      </c>
      <c r="K77" s="5" t="s"/>
      <c r="L77" s="5" t="s"/>
      <c r="M77" s="5" t="s"/>
    </row>
    <row customHeight="1" ht="18" r="78" spans="1:13">
      <c r="A78" s="5" t="s">
        <v>21</v>
      </c>
      <c r="B78" s="6" t="n">
        <v>5891744.915572781</v>
      </c>
      <c r="C78" s="6" t="n">
        <v>5411660</v>
      </c>
      <c r="D78" s="6" t="n">
        <v>-480084.9155727811</v>
      </c>
      <c r="E78" s="9" t="n">
        <v>-0.08148433485364301</v>
      </c>
      <c r="F78" s="5" t="s"/>
      <c r="G78" s="30" t="n">
        <v>4.756949600959119</v>
      </c>
      <c r="H78" s="30" t="n">
        <v>4.91195235143179</v>
      </c>
      <c r="I78" s="30" t="n">
        <v>0.1550027504726703</v>
      </c>
      <c r="J78" s="9" t="n">
        <v>0.03258448448590204</v>
      </c>
      <c r="K78" s="5" t="s"/>
      <c r="L78" s="5" t="s"/>
      <c r="M78" s="5" t="s"/>
    </row>
    <row customHeight="1" ht="18" r="79" spans="1:13">
      <c r="A79" s="5" t="s">
        <v>22</v>
      </c>
      <c r="B79" s="6" t="n">
        <v>1591815.568747498</v>
      </c>
      <c r="C79" s="6" t="n">
        <v>1282210</v>
      </c>
      <c r="D79" s="6" t="n">
        <v>-309605.5687474979</v>
      </c>
      <c r="E79" s="9" t="n">
        <v>-0.1944983921668184</v>
      </c>
      <c r="F79" s="5" t="s"/>
      <c r="G79" s="30" t="n">
        <v>5.215086161377169</v>
      </c>
      <c r="H79" s="30" t="n">
        <v>4.67015596203297</v>
      </c>
      <c r="I79" s="30" t="n">
        <v>-0.5449301993441988</v>
      </c>
      <c r="J79" s="9" t="n">
        <v>-0.1044911210441626</v>
      </c>
      <c r="K79" s="5" t="s"/>
      <c r="L79" s="5" t="s"/>
      <c r="M79" s="5" t="s"/>
    </row>
    <row customHeight="1" ht="18" r="80" spans="1:13">
      <c r="A80" s="5" t="s">
        <v>23</v>
      </c>
      <c r="B80" s="6" t="n">
        <v>1452179.464066083</v>
      </c>
      <c r="C80" s="6" t="n">
        <v>1174130</v>
      </c>
      <c r="D80" s="6" t="n">
        <v>-278049.4640660828</v>
      </c>
      <c r="E80" s="9" t="n">
        <v>-0.1914704559225401</v>
      </c>
      <c r="F80" s="5" t="s"/>
      <c r="G80" s="30" t="n">
        <v>4.236950514350419</v>
      </c>
      <c r="H80" s="30" t="n">
        <v>3.744323545169273</v>
      </c>
      <c r="I80" s="30" t="n">
        <v>-0.492626969181146</v>
      </c>
      <c r="J80" s="9" t="n">
        <v>-0.1162692288976786</v>
      </c>
      <c r="K80" s="5" t="s"/>
      <c r="L80" s="5" t="s"/>
      <c r="M80" s="5" t="s"/>
    </row>
    <row customHeight="1" ht="18" r="81" spans="1:13">
      <c r="A81" s="5" t="s">
        <v>24</v>
      </c>
      <c r="B81" s="6" t="n">
        <v>2577280.81346855</v>
      </c>
      <c r="C81" s="6" t="n">
        <v>1369483</v>
      </c>
      <c r="D81" s="6" t="n">
        <v>-1207797.81346855</v>
      </c>
      <c r="E81" s="9" t="n">
        <v>-0.4686326019100241</v>
      </c>
      <c r="F81" s="5" t="s"/>
      <c r="G81" s="30" t="n">
        <v>4.827940529326673</v>
      </c>
      <c r="H81" s="30" t="n">
        <v>4.472379975768185</v>
      </c>
      <c r="I81" s="30" t="n">
        <v>-0.3555605535584885</v>
      </c>
      <c r="J81" s="9" t="n">
        <v>-0.07364642364558634</v>
      </c>
      <c r="K81" s="5" t="s"/>
      <c r="L81" s="5" t="s"/>
      <c r="M81" s="5" t="s"/>
    </row>
    <row customHeight="1" ht="18" r="82" spans="1:13">
      <c r="A82" s="5" t="s">
        <v>52</v>
      </c>
      <c r="B82" s="6" t="n">
        <v>566227.0049099</v>
      </c>
      <c r="C82" s="6" t="n">
        <v>770961</v>
      </c>
      <c r="D82" s="6" t="n">
        <v>204733.9950901</v>
      </c>
      <c r="E82" s="9" t="n">
        <v>0.3615758226202545</v>
      </c>
      <c r="F82" s="5" t="s"/>
      <c r="G82" s="30" t="n">
        <v>5.437532878458506</v>
      </c>
      <c r="H82" s="30" t="n">
        <v>5.024020071030595</v>
      </c>
      <c r="I82" s="30" t="n">
        <v>-0.4135128074279111</v>
      </c>
      <c r="J82" s="9" t="n">
        <v>-0.07604787256847602</v>
      </c>
      <c r="K82" s="5" t="s"/>
      <c r="L82" s="5" t="s"/>
      <c r="M82" s="5" t="s"/>
    </row>
    <row customHeight="1" ht="18" r="83" spans="1:13">
      <c r="A83" s="5" t="s">
        <v>26</v>
      </c>
      <c r="B83" s="6" t="n">
        <v>220749.558152184</v>
      </c>
      <c r="C83" s="6" t="n">
        <v>206355</v>
      </c>
      <c r="D83" s="6" t="n">
        <v>-14394.55815218401</v>
      </c>
      <c r="E83" s="9" t="n">
        <v>-0.06520764196619794</v>
      </c>
      <c r="F83" s="5" t="s"/>
      <c r="G83" s="30" t="n">
        <v>3.131742343923889</v>
      </c>
      <c r="H83" s="30" t="n">
        <v>3.239888840042706</v>
      </c>
      <c r="I83" s="30" t="n">
        <v>0.1081464961188172</v>
      </c>
      <c r="J83" s="9" t="n">
        <v>0.03453237343379788</v>
      </c>
      <c r="K83" s="5" t="s"/>
      <c r="L83" s="5" t="s"/>
      <c r="M83" s="5" t="s"/>
    </row>
    <row customHeight="1" ht="18" r="84" spans="1:13">
      <c r="A84" s="5" t="s">
        <v>27</v>
      </c>
      <c r="B84" s="6" t="n">
        <v>1658410.387125</v>
      </c>
      <c r="C84" s="6" t="n">
        <v>1308735</v>
      </c>
      <c r="D84" s="6" t="n">
        <v>-349675.3871249999</v>
      </c>
      <c r="E84" s="9" t="n">
        <v>-0.2108497328765487</v>
      </c>
      <c r="F84" s="5" t="s"/>
      <c r="G84" s="30" t="n">
        <v>3.639582393405015</v>
      </c>
      <c r="H84" s="30" t="n">
        <v>3.471114164164695</v>
      </c>
      <c r="I84" s="30" t="n">
        <v>-0.1684682292403199</v>
      </c>
      <c r="J84" s="9" t="n">
        <v>-0.04628779102393373</v>
      </c>
      <c r="K84" s="5" t="s"/>
      <c r="L84" s="5" t="s"/>
      <c r="M84" s="5" t="s"/>
    </row>
    <row customHeight="1" ht="18" r="85" spans="1:13">
      <c r="A85" s="5" t="s">
        <v>28</v>
      </c>
      <c r="B85" s="11" t="n">
        <v>888650.6298750001</v>
      </c>
      <c r="C85" s="11" t="n">
        <v>757114</v>
      </c>
      <c r="D85" s="11" t="n">
        <v>-131536.6298750001</v>
      </c>
      <c r="E85" s="12" t="n">
        <v>-0.1480183836627701</v>
      </c>
      <c r="F85" s="5" t="s"/>
      <c r="G85" s="30" t="n">
        <v>3.667909272224876</v>
      </c>
      <c r="H85" s="30" t="n">
        <v>4.171817746014778</v>
      </c>
      <c r="I85" s="16" t="n">
        <v>0.503908473789902</v>
      </c>
      <c r="J85" s="12" t="n">
        <v>0.1373830256941557</v>
      </c>
      <c r="K85" s="5" t="s"/>
      <c r="L85" s="5" t="s"/>
      <c r="M85" s="5" t="s"/>
    </row>
    <row customHeight="1" ht="18" r="86" spans="1:13">
      <c r="A86" s="7" t="s">
        <v>17</v>
      </c>
      <c r="B86" s="13" t="n">
        <v>14847058.341917</v>
      </c>
      <c r="C86" s="13" t="n">
        <v>12280648</v>
      </c>
      <c r="D86" s="13" t="n">
        <v>-2566410.341916996</v>
      </c>
      <c r="E86" s="14" t="n">
        <v>-0.172856486639604</v>
      </c>
      <c r="F86" s="5" t="s"/>
      <c r="G86" s="17" t="n">
        <v>4.508790983733173</v>
      </c>
      <c r="H86" s="17" t="n">
        <v>4.43066696780143</v>
      </c>
      <c r="I86" s="18" t="n">
        <v>-0.0781240159317429</v>
      </c>
      <c r="J86" s="14" t="n">
        <v>-0.01732704315050285</v>
      </c>
      <c r="K86" s="30" t="s"/>
      <c r="L86" s="30" t="s"/>
      <c r="M86" s="5" t="s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Joe Castiglione</dc:creator>
  <dcterms:created xmlns:dcterms="http://purl.org/dc/terms/" xmlns:xsi="http://www.w3.org/2001/XMLSchema-instance" xsi:type="dcterms:W3CDTF">2008-04-30T13:33:45Z</dcterms:created>
  <dcterms:modified xmlns:dcterms="http://purl.org/dc/terms/" xmlns:xsi="http://www.w3.org/2001/XMLSchema-instance" xsi:type="dcterms:W3CDTF">2017-07-19T19:25:50Z</dcterms:modified>
  <cp:lastModifiedBy>Nagendra Dhakar</cp:lastModifiedBy>
</cp:coreProperties>
</file>