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Calibration" sheetId="3" state="visible" r:id="rId3"/>
    <sheet xmlns:r="http://schemas.openxmlformats.org/officeDocument/2006/relationships" name="bkrcast_all" sheetId="4" state="visible" r:id="rId4"/>
    <sheet xmlns:r="http://schemas.openxmlformats.org/officeDocument/2006/relationships" name="bkrcast_inbkr" sheetId="5" state="visible" r:id="rId5"/>
    <sheet xmlns:r="http://schemas.openxmlformats.org/officeDocument/2006/relationships" name="bkrcast_outbkr" sheetId="6" state="visible" r:id="rId6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0.0000000000000"/>
    <numFmt numFmtId="165" formatCode="0.0%"/>
    <numFmt numFmtId="166" formatCode="0.00000000000"/>
    <numFmt numFmtId="167" formatCode="0.000000000"/>
    <numFmt numFmtId="168" formatCode="_(* #,##0_);_(* \(#,##0\);_(* &quot;-&quot;??_);_(@_)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</fonts>
  <fills count="6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3" fillId="0" borderId="0"/>
    <xf numFmtId="0" fontId="3" fillId="0" borderId="0"/>
    <xf numFmtId="0" fontId="4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</cellStyleXfs>
  <cellXfs count="68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1" fillId="0" borderId="1" pivotButton="0" quotePrefix="0" xfId="0"/>
    <xf numFmtId="2" fontId="0" fillId="0" borderId="0" pivotButton="0" quotePrefix="0" xfId="0"/>
    <xf numFmtId="0" fontId="1" fillId="0" borderId="0" pivotButton="0" quotePrefix="0" xfId="0"/>
    <xf numFmtId="10" fontId="0" fillId="0" borderId="0" pivotButton="0" quotePrefix="0" xfId="0"/>
    <xf numFmtId="0" fontId="2" fillId="0" borderId="0" pivotButton="0" quotePrefix="0" xfId="1"/>
    <xf numFmtId="0" fontId="2" fillId="0" borderId="1" pivotButton="0" quotePrefix="0" xfId="1"/>
    <xf numFmtId="1" fontId="0" fillId="0" borderId="0" applyAlignment="1" pivotButton="0" quotePrefix="0" xfId="0">
      <alignment horizontal="right"/>
    </xf>
    <xf numFmtId="0" fontId="4" fillId="0" borderId="0" pivotButton="0" quotePrefix="0" xfId="0"/>
    <xf numFmtId="164" fontId="0" fillId="0" borderId="0" pivotButton="0" quotePrefix="0" xfId="0"/>
    <xf numFmtId="0" fontId="1" fillId="0" borderId="0" applyAlignment="1" pivotButton="0" quotePrefix="0" xfId="0">
      <alignment horizontal="right"/>
    </xf>
    <xf numFmtId="0" fontId="0" fillId="0" borderId="2" applyAlignment="1" pivotButton="0" quotePrefix="0" xfId="0">
      <alignment horizontal="center" vertical="top"/>
    </xf>
    <xf numFmtId="1" fontId="0" fillId="0" borderId="2" applyAlignment="1" pivotButton="0" quotePrefix="0" xfId="0">
      <alignment horizontal="center" vertical="top"/>
    </xf>
    <xf numFmtId="0" fontId="0" fillId="0" borderId="0" applyAlignment="1" pivotButton="0" quotePrefix="0" xfId="0">
      <alignment horizontal="center" vertical="top"/>
    </xf>
    <xf numFmtId="0" fontId="0" fillId="0" borderId="0" applyAlignment="1" pivotButton="0" quotePrefix="0" xfId="0">
      <alignment horizontal="left" vertical="top"/>
    </xf>
    <xf numFmtId="3" fontId="0" fillId="0" borderId="0" applyAlignment="1" pivotButton="0" quotePrefix="0" xfId="0">
      <alignment horizontal="right" vertical="top"/>
    </xf>
    <xf numFmtId="3" fontId="0" fillId="0" borderId="0" pivotButton="0" quotePrefix="0" xfId="0"/>
    <xf numFmtId="3" fontId="0" fillId="0" borderId="0" applyAlignment="1" pivotButton="0" quotePrefix="0" xfId="0">
      <alignment horizontal="right"/>
    </xf>
    <xf numFmtId="3" fontId="0" fillId="0" borderId="3" pivotButton="0" quotePrefix="0" xfId="0"/>
    <xf numFmtId="3" fontId="0" fillId="0" borderId="3" applyAlignment="1" pivotButton="0" quotePrefix="0" xfId="0">
      <alignment horizontal="right"/>
    </xf>
    <xf numFmtId="1" fontId="0" fillId="0" borderId="0" pivotButton="0" quotePrefix="0" xfId="0"/>
    <xf numFmtId="3" fontId="0" fillId="0" borderId="4" pivotButton="0" quotePrefix="0" xfId="0"/>
    <xf numFmtId="3" fontId="0" fillId="0" borderId="4" applyAlignment="1" pivotButton="0" quotePrefix="0" xfId="0">
      <alignment horizontal="right"/>
    </xf>
    <xf numFmtId="3" fontId="4" fillId="0" borderId="0" pivotButton="0" quotePrefix="0" xfId="0"/>
    <xf numFmtId="165" fontId="0" fillId="0" borderId="0" applyAlignment="1" pivotButton="0" quotePrefix="0" xfId="0">
      <alignment horizontal="right" vertical="top"/>
    </xf>
    <xf numFmtId="165" fontId="0" fillId="0" borderId="0" applyAlignment="1" pivotButton="0" quotePrefix="0" xfId="0">
      <alignment horizontal="right"/>
    </xf>
    <xf numFmtId="9" fontId="0" fillId="0" borderId="0" pivotButton="0" quotePrefix="0" xfId="0"/>
    <xf numFmtId="165" fontId="0" fillId="0" borderId="4" applyAlignment="1" pivotButton="0" quotePrefix="0" xfId="0">
      <alignment horizontal="right"/>
    </xf>
    <xf numFmtId="0" fontId="5" fillId="0" borderId="0" pivotButton="0" quotePrefix="0" xfId="0"/>
    <xf numFmtId="0" fontId="6" fillId="0" borderId="0" pivotButton="0" quotePrefix="0" xfId="0"/>
    <xf numFmtId="0" fontId="5" fillId="0" borderId="2" applyAlignment="1" pivotButton="0" quotePrefix="0" xfId="0">
      <alignment horizontal="left"/>
    </xf>
    <xf numFmtId="1" fontId="5" fillId="0" borderId="2" applyAlignment="1" pivotButton="0" quotePrefix="0" xfId="0">
      <alignment horizontal="right"/>
    </xf>
    <xf numFmtId="164" fontId="6" fillId="0" borderId="0" applyAlignment="1" pivotButton="0" quotePrefix="0" xfId="0">
      <alignment horizontal="right"/>
    </xf>
    <xf numFmtId="3" fontId="0" fillId="0" borderId="1" pivotButton="0" quotePrefix="0" xfId="0"/>
    <xf numFmtId="164" fontId="6" fillId="0" borderId="1" applyAlignment="1" pivotButton="0" quotePrefix="0" xfId="0">
      <alignment horizontal="right"/>
    </xf>
    <xf numFmtId="1" fontId="6" fillId="0" borderId="0" applyAlignment="1" pivotButton="0" quotePrefix="0" xfId="0">
      <alignment horizontal="right"/>
    </xf>
    <xf numFmtId="1" fontId="5" fillId="0" borderId="0" applyAlignment="1" pivotButton="0" quotePrefix="0" xfId="0">
      <alignment horizontal="right"/>
    </xf>
    <xf numFmtId="166" fontId="0" fillId="0" borderId="0" applyAlignment="1" pivotButton="0" quotePrefix="0" xfId="0">
      <alignment horizontal="right"/>
    </xf>
    <xf numFmtId="167" fontId="0" fillId="0" borderId="0" applyAlignment="1" pivotButton="0" quotePrefix="0" xfId="0">
      <alignment horizontal="right"/>
    </xf>
    <xf numFmtId="164" fontId="5" fillId="0" borderId="0" applyAlignment="1" pivotButton="0" quotePrefix="0" xfId="0">
      <alignment horizontal="right"/>
    </xf>
    <xf numFmtId="164" fontId="5" fillId="0" borderId="2" applyAlignment="1" pivotButton="0" quotePrefix="0" xfId="0">
      <alignment horizontal="right"/>
    </xf>
    <xf numFmtId="0" fontId="0" fillId="0" borderId="0" pivotButton="0" quotePrefix="0" xfId="0"/>
    <xf numFmtId="11" fontId="0" fillId="0" borderId="0" pivotButton="0" quotePrefix="0" xfId="0"/>
    <xf numFmtId="166" fontId="0" fillId="0" borderId="0" pivotButton="0" quotePrefix="0" xfId="0"/>
    <xf numFmtId="166" fontId="0" fillId="3" borderId="0" pivotButton="0" quotePrefix="0" xfId="0"/>
    <xf numFmtId="0" fontId="0" fillId="4" borderId="0" pivotButton="0" quotePrefix="0" xfId="0"/>
    <xf numFmtId="164" fontId="0" fillId="4" borderId="0" pivotButton="0" quotePrefix="0" xfId="0"/>
    <xf numFmtId="166" fontId="0" fillId="4" borderId="0" pivotButton="0" quotePrefix="0" xfId="0"/>
    <xf numFmtId="11" fontId="0" fillId="4" borderId="0" pivotButton="0" quotePrefix="0" xfId="0"/>
    <xf numFmtId="168" fontId="0" fillId="0" borderId="0" pivotButton="0" quotePrefix="0" xfId="7"/>
    <xf numFmtId="168" fontId="0" fillId="0" borderId="1" pivotButton="0" quotePrefix="0" xfId="7"/>
    <xf numFmtId="168" fontId="2" fillId="0" borderId="0" pivotButton="0" quotePrefix="0" xfId="7"/>
    <xf numFmtId="168" fontId="2" fillId="0" borderId="1" pivotButton="0" quotePrefix="0" xfId="7"/>
    <xf numFmtId="0" fontId="0" fillId="5" borderId="0" pivotButton="0" quotePrefix="0" xfId="0"/>
    <xf numFmtId="0" fontId="0" fillId="5" borderId="0" pivotButton="0" quotePrefix="0" xfId="0"/>
    <xf numFmtId="0" fontId="0" fillId="5" borderId="2" applyAlignment="1" pivotButton="0" quotePrefix="0" xfId="0">
      <alignment horizontal="center" vertical="top"/>
    </xf>
    <xf numFmtId="2" fontId="0" fillId="5" borderId="0" pivotButton="0" quotePrefix="0" xfId="0"/>
    <xf numFmtId="164" fontId="0" fillId="0" borderId="0" pivotButton="0" quotePrefix="0" xfId="0"/>
    <xf numFmtId="165" fontId="0" fillId="0" borderId="0" applyAlignment="1" pivotButton="0" quotePrefix="0" xfId="0">
      <alignment horizontal="right" vertical="top"/>
    </xf>
    <xf numFmtId="165" fontId="0" fillId="0" borderId="0" applyAlignment="1" pivotButton="0" quotePrefix="0" xfId="0">
      <alignment horizontal="right"/>
    </xf>
    <xf numFmtId="165" fontId="0" fillId="0" borderId="4" applyAlignment="1" pivotButton="0" quotePrefix="0" xfId="0">
      <alignment horizontal="right"/>
    </xf>
    <xf numFmtId="164" fontId="6" fillId="0" borderId="0" applyAlignment="1" pivotButton="0" quotePrefix="0" xfId="0">
      <alignment horizontal="right"/>
    </xf>
    <xf numFmtId="164" fontId="6" fillId="0" borderId="1" applyAlignment="1" pivotButton="0" quotePrefix="0" xfId="0">
      <alignment horizontal="right"/>
    </xf>
    <xf numFmtId="164" fontId="5" fillId="0" borderId="0" applyAlignment="1" pivotButton="0" quotePrefix="0" xfId="0">
      <alignment horizontal="right"/>
    </xf>
    <xf numFmtId="164" fontId="0" fillId="4" borderId="0" pivotButton="0" quotePrefix="0" xfId="0"/>
    <xf numFmtId="164" fontId="5" fillId="0" borderId="2" applyAlignment="1" pivotButton="0" quotePrefix="0" xfId="0">
      <alignment horizontal="right"/>
    </xf>
  </cellXfs>
  <cellStyles count="8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" xfId="6"/>
    <cellStyle name="XLConnect.Numeric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2" sqref="L12"/>
    </sheetView>
  </sheetViews>
  <sheetFormatPr baseColWidth="10" defaultRowHeight="15"/>
  <cols>
    <col collapsed="1" width="13.5703125" customWidth="1" style="43" min="1" max="1"/>
    <col collapsed="1" width="10.5703125" bestFit="1" customWidth="1" style="43" min="2" max="2"/>
    <col collapsed="1" width="10.5703125" bestFit="1" customWidth="1" style="43" min="6" max="6"/>
    <col width="12.140625" bestFit="1" customWidth="1" style="43" min="7" max="7"/>
    <col width="15.7109375" bestFit="1" customWidth="1" style="43" min="8" max="8"/>
    <col width="17.42578125" bestFit="1" customWidth="1" style="43" min="9" max="9"/>
    <col width="10.28515625" bestFit="1" customWidth="1" style="43" min="10" max="10"/>
    <col width="7.140625" customWidth="1" style="43" min="13" max="13"/>
    <col collapsed="1" width="10.28515625" bestFit="1" customWidth="1" style="43" min="15" max="15"/>
    <col width="12.140625" bestFit="1" customWidth="1" style="43" min="16" max="16"/>
    <col width="15.7109375" bestFit="1" customWidth="1" style="43" min="17" max="17"/>
    <col width="17.42578125" bestFit="1" customWidth="1" style="43" min="18" max="18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43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M9" s="5" t="inlineStr">
        <is>
          <t>Table X. Average Half Tour Length (miles)</t>
        </is>
      </c>
      <c r="N9" s="56" t="n"/>
      <c r="O9" s="56" t="n"/>
      <c r="P9" s="56" t="n"/>
      <c r="Q9" s="56" t="n"/>
      <c r="R9" s="56" t="n"/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BKRCast (all)</t>
        </is>
      </c>
      <c r="H10" s="13" t="inlineStr">
        <is>
          <t>BKRCast (In BKR)</t>
        </is>
      </c>
      <c r="I10" s="13" t="inlineStr">
        <is>
          <t>BKRCast (Out BKR)</t>
        </is>
      </c>
      <c r="J10" s="13" t="inlineStr">
        <is>
          <t>SoundCast</t>
        </is>
      </c>
      <c r="K10">
        <f>C10</f>
        <v/>
      </c>
      <c r="M10" s="2" t="n"/>
      <c r="N10" s="57" t="inlineStr">
        <is>
          <t>Survey</t>
        </is>
      </c>
      <c r="O10" s="57" t="inlineStr">
        <is>
          <t>SoundCast</t>
        </is>
      </c>
      <c r="P10" s="57" t="inlineStr">
        <is>
          <t>BKRCast (all)</t>
        </is>
      </c>
      <c r="Q10" s="57" t="inlineStr">
        <is>
          <t>BKRCast (In BKR)</t>
        </is>
      </c>
      <c r="R10" s="57" t="inlineStr">
        <is>
          <t>BKRCast (Out BKR)</t>
        </is>
      </c>
    </row>
    <row r="11">
      <c r="A11" t="n">
        <v>0</v>
      </c>
      <c r="B11" s="51" t="n">
        <v>152642.2821318882</v>
      </c>
      <c r="C11" s="6">
        <f>bkrcast_all!C11</f>
        <v/>
      </c>
      <c r="E11" s="7" t="n">
        <v>0</v>
      </c>
      <c r="F11" s="53" t="n">
        <v>85259.73644739889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58">
        <f>bkrcast_all!K11</f>
        <v/>
      </c>
      <c r="O11" s="58">
        <f>soundcast!L11</f>
        <v/>
      </c>
      <c r="P11" s="58">
        <f>bkrcast_all!L11</f>
        <v/>
      </c>
      <c r="Q11" s="58">
        <f>bkrcast_inbkr!L11</f>
        <v/>
      </c>
      <c r="R11" s="58">
        <f>bkrcast_outbkr!L11</f>
        <v/>
      </c>
    </row>
    <row r="12">
      <c r="A12" t="n">
        <v>1</v>
      </c>
      <c r="B12" s="51" t="n">
        <v>146146.3700137102</v>
      </c>
      <c r="C12" s="6">
        <f>bkrcast_all!C12</f>
        <v/>
      </c>
      <c r="E12" s="7" t="n">
        <v>1</v>
      </c>
      <c r="F12" s="53" t="n">
        <v>67507.35558155157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>
      <c r="A13" t="n">
        <v>2</v>
      </c>
      <c r="B13" s="51" t="n">
        <v>78427.50252064339</v>
      </c>
      <c r="C13" s="6">
        <f>bkrcast_all!C13</f>
        <v/>
      </c>
      <c r="E13" s="7" t="n">
        <v>2</v>
      </c>
      <c r="F13" s="53" t="n">
        <v>44311.84521824855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>
      <c r="A14" t="n">
        <v>3</v>
      </c>
      <c r="B14" s="51" t="n">
        <v>86881.0158613698</v>
      </c>
      <c r="C14" s="6">
        <f>bkrcast_all!C14</f>
        <v/>
      </c>
      <c r="E14" s="7" t="n">
        <v>3</v>
      </c>
      <c r="F14" s="53" t="n">
        <v>26271.93992718177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>
      <c r="A15" t="n">
        <v>4</v>
      </c>
      <c r="B15" s="51" t="n">
        <v>51899.8668991346</v>
      </c>
      <c r="C15" s="6">
        <f>bkrcast_all!C15</f>
        <v/>
      </c>
      <c r="E15" s="7" t="n">
        <v>4</v>
      </c>
      <c r="F15" s="53" t="n">
        <v>88577.58509610697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>
      <c r="A16" t="n">
        <v>5</v>
      </c>
      <c r="B16" s="51" t="n">
        <v>27983.7526913103</v>
      </c>
      <c r="C16" s="6">
        <f>bkrcast_all!C16</f>
        <v/>
      </c>
      <c r="E16" s="7" t="n">
        <v>5</v>
      </c>
      <c r="F16" s="53" t="n">
        <v>53377.65505251385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>
      <c r="A17" t="n">
        <v>6</v>
      </c>
      <c r="B17" s="51" t="n">
        <v>43675.7413606373</v>
      </c>
      <c r="C17" s="6">
        <f>bkrcast_all!C17</f>
        <v/>
      </c>
      <c r="E17" s="7" t="n">
        <v>6</v>
      </c>
      <c r="F17" s="53" t="n">
        <v>45569.01956826076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>
      <c r="A18" t="n">
        <v>7</v>
      </c>
      <c r="B18" s="51" t="n">
        <v>16235.238001708</v>
      </c>
      <c r="C18" s="6">
        <f>bkrcast_all!C18</f>
        <v/>
      </c>
      <c r="E18" s="7" t="n">
        <v>7</v>
      </c>
      <c r="F18" s="53" t="n">
        <v>21250.47813271184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>
      <c r="A19" t="n">
        <v>8</v>
      </c>
      <c r="B19" s="51" t="n">
        <v>23402.2025406013</v>
      </c>
      <c r="C19" s="6">
        <f>bkrcast_all!C19</f>
        <v/>
      </c>
      <c r="E19" s="7" t="n">
        <v>8</v>
      </c>
      <c r="F19" s="53" t="n">
        <v>44661.3838211097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>
      <c r="A20" t="n">
        <v>9</v>
      </c>
      <c r="B20" s="51" t="n">
        <v>12172.9083220832</v>
      </c>
      <c r="C20" s="6">
        <f>bkrcast_all!C20</f>
        <v/>
      </c>
      <c r="E20" s="7" t="n">
        <v>9</v>
      </c>
      <c r="F20" s="53" t="n">
        <v>12333.76263623407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>
      <c r="A21" t="n">
        <v>10</v>
      </c>
      <c r="B21" s="51" t="n">
        <v>10733.8565016207</v>
      </c>
      <c r="C21" s="6">
        <f>bkrcast_all!C21</f>
        <v/>
      </c>
      <c r="E21" s="7" t="n">
        <v>10</v>
      </c>
      <c r="F21" s="53" t="n">
        <v>10971.42925146757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>
      <c r="A22" t="n">
        <v>11</v>
      </c>
      <c r="B22" s="51" t="n">
        <v>9316.351632199599</v>
      </c>
      <c r="C22" s="6">
        <f>bkrcast_all!C22</f>
        <v/>
      </c>
      <c r="E22" s="7" t="n">
        <v>11</v>
      </c>
      <c r="F22" s="53" t="n">
        <v>10785.87747001465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>
      <c r="A23" t="n">
        <v>12</v>
      </c>
      <c r="B23" s="51" t="n">
        <v>3390.1781913226</v>
      </c>
      <c r="C23" s="6">
        <f>bkrcast_all!C23</f>
        <v/>
      </c>
      <c r="E23" s="7" t="n">
        <v>12</v>
      </c>
      <c r="F23" s="53" t="n">
        <v>8920.518791559593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>
      <c r="A24" t="n">
        <v>13</v>
      </c>
      <c r="B24" s="51" t="n">
        <v>4169.2549910703</v>
      </c>
      <c r="C24" s="6">
        <f>bkrcast_all!C24</f>
        <v/>
      </c>
      <c r="E24" s="7" t="n">
        <v>13</v>
      </c>
      <c r="F24" s="53" t="n">
        <v>5584.823312771182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>
      <c r="A25" t="n">
        <v>14</v>
      </c>
      <c r="B25" s="51" t="n">
        <v>819.7723071688</v>
      </c>
      <c r="C25" s="6">
        <f>bkrcast_all!C25</f>
        <v/>
      </c>
      <c r="E25" s="7" t="n">
        <v>14</v>
      </c>
      <c r="F25" s="53" t="n">
        <v>11610.71693758703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>
      <c r="A26" t="n">
        <v>15</v>
      </c>
      <c r="B26" s="51" t="n">
        <v>4193.165592133</v>
      </c>
      <c r="C26" s="6">
        <f>bkrcast_all!C26</f>
        <v/>
      </c>
      <c r="E26" s="7" t="n">
        <v>15</v>
      </c>
      <c r="F26" s="53" t="n">
        <v>13861.69937442831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>
      <c r="A27" t="n">
        <v>16</v>
      </c>
      <c r="B27" s="51" t="n">
        <v>1986.737699898</v>
      </c>
      <c r="C27" s="6">
        <f>bkrcast_all!C27</f>
        <v/>
      </c>
      <c r="E27" s="7" t="n">
        <v>16</v>
      </c>
      <c r="F27" s="53" t="n">
        <v>4330.541907280776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>
      <c r="A28" t="n">
        <v>17</v>
      </c>
      <c r="B28" s="51" t="n">
        <v>6548.621351460701</v>
      </c>
      <c r="C28" s="6">
        <f>bkrcast_all!C28</f>
        <v/>
      </c>
      <c r="E28" s="7" t="n">
        <v>17</v>
      </c>
      <c r="F28" s="53" t="n">
        <v>4366.869687752816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>
      <c r="A29" t="n">
        <v>18</v>
      </c>
      <c r="B29" s="51" t="n">
        <v>2183.8650011188</v>
      </c>
      <c r="C29" s="6">
        <f>bkrcast_all!C29</f>
        <v/>
      </c>
      <c r="E29" s="7" t="n">
        <v>18</v>
      </c>
      <c r="F29" s="53" t="n">
        <v>3337.741339048763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>
      <c r="A30" t="n">
        <v>19</v>
      </c>
      <c r="B30" s="51" t="n">
        <v>8370.2466042984</v>
      </c>
      <c r="C30" s="6">
        <f>bkrcast_all!C30</f>
        <v/>
      </c>
      <c r="E30" s="7" t="n">
        <v>19</v>
      </c>
      <c r="F30" s="53" t="n">
        <v>2528.997233943027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>
      <c r="A31" t="n">
        <v>20</v>
      </c>
      <c r="B31" s="51" t="n">
        <v>543.3468191730001</v>
      </c>
      <c r="C31" s="6">
        <f>bkrcast_all!C31</f>
        <v/>
      </c>
      <c r="E31" s="7" t="n">
        <v>20</v>
      </c>
      <c r="F31" s="53" t="n">
        <v>2171.977398231951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>
      <c r="A32" t="n">
        <v>21</v>
      </c>
      <c r="B32" s="51" t="n">
        <v>351.3506239057</v>
      </c>
      <c r="C32" s="6">
        <f>bkrcast_all!C32</f>
        <v/>
      </c>
      <c r="E32" s="7" t="n">
        <v>21</v>
      </c>
      <c r="F32" s="53" t="n">
        <v>2581.618550581085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>
      <c r="A33" t="n">
        <v>22</v>
      </c>
      <c r="B33" s="51" t="n">
        <v>413.6218219552</v>
      </c>
      <c r="C33" s="6">
        <f>bkrcast_all!C33</f>
        <v/>
      </c>
      <c r="E33" s="7" t="n">
        <v>22</v>
      </c>
      <c r="F33" s="53" t="n">
        <v>1521.360949971481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>
      <c r="A34" t="n">
        <v>23</v>
      </c>
      <c r="B34" s="51" t="n">
        <v>1566.3955479703</v>
      </c>
      <c r="C34" s="6">
        <f>bkrcast_all!C34</f>
        <v/>
      </c>
      <c r="E34" s="7" t="n">
        <v>23</v>
      </c>
      <c r="F34" s="53" t="n">
        <v>2147.056206902513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>
      <c r="A35" t="n">
        <v>24</v>
      </c>
      <c r="B35" s="51" t="n">
        <v>0</v>
      </c>
      <c r="C35" s="6">
        <f>bkrcast_all!C35</f>
        <v/>
      </c>
      <c r="E35" s="7" t="n">
        <v>24</v>
      </c>
      <c r="F35" s="53" t="n">
        <v>1630.874504667364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>
      <c r="A36" t="n">
        <v>25</v>
      </c>
      <c r="B36" s="51" t="n">
        <v>185.1255473239</v>
      </c>
      <c r="C36" s="6">
        <f>bkrcast_all!C36</f>
        <v/>
      </c>
      <c r="E36" s="7" t="n">
        <v>25</v>
      </c>
      <c r="F36" s="53" t="n">
        <v>1024.187361072491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>
      <c r="A37" t="n">
        <v>26</v>
      </c>
      <c r="B37" s="51" t="n">
        <v>965.0827584359999</v>
      </c>
      <c r="C37" s="6">
        <f>bkrcast_all!C37</f>
        <v/>
      </c>
      <c r="E37" s="7" t="n">
        <v>26</v>
      </c>
      <c r="F37" s="53" t="n">
        <v>851.9768316765897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>
      <c r="A38" t="n">
        <v>27</v>
      </c>
      <c r="B38" s="51" t="n">
        <v>841.954010442</v>
      </c>
      <c r="C38" s="6">
        <f>bkrcast_all!C38</f>
        <v/>
      </c>
      <c r="E38" s="7" t="n">
        <v>27</v>
      </c>
      <c r="F38" s="53" t="n">
        <v>1938.224850753525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>
      <c r="A39" t="n">
        <v>28</v>
      </c>
      <c r="B39" s="51" t="n">
        <v>0</v>
      </c>
      <c r="C39" s="6">
        <f>bkrcast_all!C39</f>
        <v/>
      </c>
      <c r="E39" s="7" t="n">
        <v>28</v>
      </c>
      <c r="F39" s="53" t="n">
        <v>775.213611978294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>
      <c r="A40" t="n">
        <v>29</v>
      </c>
      <c r="B40" s="51" t="n">
        <v>347.945167462</v>
      </c>
      <c r="C40" s="6">
        <f>bkrcast_all!C40</f>
        <v/>
      </c>
      <c r="E40" s="7" t="n">
        <v>29</v>
      </c>
      <c r="F40" s="53" t="n">
        <v>1075.718289257354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>
      <c r="A41" t="n">
        <v>30</v>
      </c>
      <c r="B41" s="51" t="n">
        <v>0</v>
      </c>
      <c r="C41" s="6">
        <f>bkrcast_all!C41</f>
        <v/>
      </c>
      <c r="E41" s="7" t="n">
        <v>30</v>
      </c>
      <c r="F41" s="53" t="n">
        <v>591.7152654816092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>
      <c r="A42" t="n">
        <v>31</v>
      </c>
      <c r="B42" s="51" t="n">
        <v>464.442048857</v>
      </c>
      <c r="C42" s="6">
        <f>bkrcast_all!C42</f>
        <v/>
      </c>
      <c r="E42" s="7" t="n">
        <v>31</v>
      </c>
      <c r="F42" s="53" t="n">
        <v>538.4100628060313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>
      <c r="A43" t="n">
        <v>32</v>
      </c>
      <c r="B43" s="51" t="n">
        <v>0</v>
      </c>
      <c r="C43" s="6">
        <f>bkrcast_all!C43</f>
        <v/>
      </c>
      <c r="E43" s="7" t="n">
        <v>32</v>
      </c>
      <c r="F43" s="53" t="n">
        <v>443.1363796109733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>
      <c r="A44" t="n">
        <v>33</v>
      </c>
      <c r="B44" s="51" t="n">
        <v>0</v>
      </c>
      <c r="C44" s="6">
        <f>bkrcast_all!C44</f>
        <v/>
      </c>
      <c r="E44" s="7" t="n">
        <v>33</v>
      </c>
      <c r="F44" s="53" t="n">
        <v>346.6381113752682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>
      <c r="A45" t="n">
        <v>34</v>
      </c>
      <c r="B45" s="51" t="n">
        <v>0</v>
      </c>
      <c r="C45" s="6">
        <f>bkrcast_all!C45</f>
        <v/>
      </c>
      <c r="E45" s="7" t="n">
        <v>34</v>
      </c>
      <c r="F45" s="53" t="n">
        <v>198.5837497646895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>
      <c r="A46" t="n">
        <v>35</v>
      </c>
      <c r="B46" s="51" t="n">
        <v>0</v>
      </c>
      <c r="C46" s="6">
        <f>bkrcast_all!C46</f>
        <v/>
      </c>
      <c r="E46" s="7" t="n">
        <v>35</v>
      </c>
      <c r="F46" s="53" t="n">
        <v>127.6744701431996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>
      <c r="A47" t="n">
        <v>36</v>
      </c>
      <c r="B47" s="51" t="n">
        <v>889.701534148</v>
      </c>
      <c r="C47" s="6">
        <f>bkrcast_all!C47</f>
        <v/>
      </c>
      <c r="E47" s="7" t="n">
        <v>36</v>
      </c>
      <c r="F47" s="53" t="n">
        <v>394.3513793424881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>
      <c r="A48" t="n">
        <v>37</v>
      </c>
      <c r="B48" s="51" t="n">
        <v>0</v>
      </c>
      <c r="C48" s="6">
        <f>bkrcast_all!C48</f>
        <v/>
      </c>
      <c r="E48" s="7" t="n">
        <v>37</v>
      </c>
      <c r="F48" s="53" t="n">
        <v>170.6148286421287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>
      <c r="A49" t="n">
        <v>38</v>
      </c>
      <c r="B49" s="51" t="n">
        <v>0</v>
      </c>
      <c r="C49" s="6">
        <f>bkrcast_all!C49</f>
        <v/>
      </c>
      <c r="E49" s="7" t="n">
        <v>38</v>
      </c>
      <c r="F49" s="53" t="n">
        <v>126.9908657482744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>
      <c r="A50" t="n">
        <v>39</v>
      </c>
      <c r="B50" s="51" t="n">
        <v>0</v>
      </c>
      <c r="C50" s="6">
        <f>bkrcast_all!C50</f>
        <v/>
      </c>
      <c r="E50" s="7" t="n">
        <v>39</v>
      </c>
      <c r="F50" s="53" t="n">
        <v>79.08393502268601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>
      <c r="A51" t="n">
        <v>40</v>
      </c>
      <c r="B51" s="51" t="n">
        <v>183.053312801</v>
      </c>
      <c r="C51" s="6">
        <f>bkrcast_all!C51</f>
        <v/>
      </c>
      <c r="E51" s="7" t="n">
        <v>40</v>
      </c>
      <c r="F51" s="53" t="n">
        <v>80.68133994221387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>
      <c r="A52" t="n">
        <v>41</v>
      </c>
      <c r="B52" s="51" t="n">
        <v>0</v>
      </c>
      <c r="C52" s="6">
        <f>bkrcast_all!C52</f>
        <v/>
      </c>
      <c r="E52" s="7" t="n">
        <v>41</v>
      </c>
      <c r="F52" s="53" t="n">
        <v>53.77077664399093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>
      <c r="A53" t="n">
        <v>42</v>
      </c>
      <c r="B53" s="51" t="n">
        <v>0</v>
      </c>
      <c r="C53" s="6">
        <f>bkrcast_all!C53</f>
        <v/>
      </c>
      <c r="E53" s="7" t="n">
        <v>42</v>
      </c>
      <c r="F53" s="53" t="n">
        <v>31.0592469790745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>
      <c r="A54" t="n">
        <v>43</v>
      </c>
      <c r="B54" s="51" t="n">
        <v>353.042135169</v>
      </c>
      <c r="C54" s="6">
        <f>bkrcast_all!C54</f>
        <v/>
      </c>
      <c r="E54" s="7" t="n">
        <v>43</v>
      </c>
      <c r="F54" s="53" t="n">
        <v>41.56975308641973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>
      <c r="A55" t="n">
        <v>44</v>
      </c>
      <c r="B55" s="51" t="n">
        <v>0</v>
      </c>
      <c r="C55" s="6">
        <f>bkrcast_all!C55</f>
        <v/>
      </c>
      <c r="E55" s="7" t="n">
        <v>44</v>
      </c>
      <c r="F55" s="53" t="n">
        <v>25.35090153377828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>
      <c r="A56" t="n">
        <v>45</v>
      </c>
      <c r="B56" s="51" t="n">
        <v>250.40304101</v>
      </c>
      <c r="C56" s="6">
        <f>bkrcast_all!C56</f>
        <v/>
      </c>
      <c r="E56" s="7" t="n">
        <v>45</v>
      </c>
      <c r="F56" s="53" t="n">
        <v>30.56258043758047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>
      <c r="A57" t="n">
        <v>46</v>
      </c>
      <c r="B57" s="51" t="n">
        <v>0</v>
      </c>
      <c r="C57" s="6">
        <f>bkrcast_all!C57</f>
        <v/>
      </c>
      <c r="E57" s="7" t="n">
        <v>46</v>
      </c>
      <c r="F57" s="53" t="n">
        <v>5.5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>
      <c r="A58" t="n">
        <v>47</v>
      </c>
      <c r="B58" s="51" t="n">
        <v>0</v>
      </c>
      <c r="C58" s="6">
        <f>bkrcast_all!C58</f>
        <v/>
      </c>
      <c r="E58" s="7" t="n">
        <v>47</v>
      </c>
      <c r="F58" s="53" t="n">
        <v>27.12821152938523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>
      <c r="A59" t="n">
        <v>48</v>
      </c>
      <c r="B59" s="51" t="n">
        <v>0</v>
      </c>
      <c r="C59" s="6">
        <f>bkrcast_all!C59</f>
        <v/>
      </c>
      <c r="E59" s="7" t="n">
        <v>48</v>
      </c>
      <c r="F59" s="53" t="n">
        <v>50.40289812336493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>
      <c r="A60" t="n">
        <v>49</v>
      </c>
      <c r="B60" s="51" t="n">
        <v>0</v>
      </c>
      <c r="C60" s="6">
        <f>bkrcast_all!C60</f>
        <v/>
      </c>
      <c r="E60" s="7" t="n">
        <v>49</v>
      </c>
      <c r="F60" s="53" t="n">
        <v>10.21932515337423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>
      <c r="A61" t="n">
        <v>50</v>
      </c>
      <c r="B61" s="51" t="n">
        <v>444.572467296</v>
      </c>
      <c r="C61" s="6">
        <f>bkrcast_all!C61</f>
        <v/>
      </c>
      <c r="E61" s="7" t="n">
        <v>50</v>
      </c>
      <c r="F61" s="53" t="n">
        <v>40.51250148181798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>
      <c r="A62" t="n">
        <v>51</v>
      </c>
      <c r="B62" s="51" t="n">
        <v>0</v>
      </c>
      <c r="C62" s="6">
        <f>bkrcast_all!C62</f>
        <v/>
      </c>
      <c r="E62" s="7" t="n">
        <v>51</v>
      </c>
      <c r="F62" s="53" t="n">
        <v>1.99667774086379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>
      <c r="A63" t="n">
        <v>52</v>
      </c>
      <c r="B63" s="51" t="n">
        <v>0</v>
      </c>
      <c r="C63" s="6">
        <f>bkrcast_all!C63</f>
        <v/>
      </c>
      <c r="E63" s="7" t="n">
        <v>52</v>
      </c>
      <c r="F63" s="53" t="n">
        <v>10.3008474576271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>
      <c r="A64" t="n">
        <v>53</v>
      </c>
      <c r="B64" s="51" t="n">
        <v>0</v>
      </c>
      <c r="C64" s="6">
        <f>bkrcast_all!C64</f>
        <v/>
      </c>
      <c r="E64" s="7" t="n">
        <v>53</v>
      </c>
      <c r="F64" s="53" t="n">
        <v>0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>
      <c r="A65" t="n">
        <v>54</v>
      </c>
      <c r="B65" s="51" t="n">
        <v>0</v>
      </c>
      <c r="C65" s="6">
        <f>bkrcast_all!C65</f>
        <v/>
      </c>
      <c r="E65" s="7" t="n">
        <v>54</v>
      </c>
      <c r="F65" s="53" t="n">
        <v>10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>
      <c r="A66" t="n">
        <v>55</v>
      </c>
      <c r="B66" s="51" t="n">
        <v>0</v>
      </c>
      <c r="C66" s="6">
        <f>bkrcast_all!C66</f>
        <v/>
      </c>
      <c r="E66" s="7" t="n">
        <v>55</v>
      </c>
      <c r="F66" s="53" t="n">
        <v>0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>
      <c r="A67" t="n">
        <v>56</v>
      </c>
      <c r="B67" s="51" t="n">
        <v>0</v>
      </c>
      <c r="C67" s="6">
        <f>bkrcast_all!C67</f>
        <v/>
      </c>
      <c r="E67" s="7" t="n">
        <v>56</v>
      </c>
      <c r="F67" s="53" t="n">
        <v>0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>
      <c r="A68" t="n">
        <v>57</v>
      </c>
      <c r="B68" s="51" t="n">
        <v>0</v>
      </c>
      <c r="C68" s="6">
        <f>bkrcast_all!C68</f>
        <v/>
      </c>
      <c r="E68" s="7" t="n">
        <v>57</v>
      </c>
      <c r="F68" s="53" t="n">
        <v>0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>
      <c r="A69" t="n">
        <v>58</v>
      </c>
      <c r="B69" s="51" t="n">
        <v>0</v>
      </c>
      <c r="C69" s="6">
        <f>bkrcast_all!C69</f>
        <v/>
      </c>
      <c r="E69" s="7" t="n">
        <v>58</v>
      </c>
      <c r="F69" s="53" t="n">
        <v>10.0117647058824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>
      <c r="A70" t="n">
        <v>59</v>
      </c>
      <c r="B70" s="51" t="n">
        <v>0</v>
      </c>
      <c r="C70" s="6">
        <f>bkrcast_all!C70</f>
        <v/>
      </c>
      <c r="E70" s="7" t="n">
        <v>59</v>
      </c>
      <c r="F70" s="53" t="n">
        <v>0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>
      <c r="A71" t="n">
        <v>60</v>
      </c>
      <c r="B71" s="51" t="n">
        <v>0</v>
      </c>
      <c r="C71" s="6">
        <f>bkrcast_all!C71</f>
        <v/>
      </c>
      <c r="E71" s="7" t="n">
        <v>60</v>
      </c>
      <c r="F71" s="53" t="n">
        <v>0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>
      <c r="A72" t="n">
        <v>61</v>
      </c>
      <c r="B72" s="51" t="n">
        <v>0</v>
      </c>
      <c r="C72" s="6">
        <f>bkrcast_all!C72</f>
        <v/>
      </c>
      <c r="E72" s="7" t="n">
        <v>61</v>
      </c>
      <c r="F72" s="53" t="n">
        <v>9.92982456140351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>
      <c r="A73" t="n">
        <v>62</v>
      </c>
      <c r="B73" s="51" t="n">
        <v>0</v>
      </c>
      <c r="C73" s="6">
        <f>bkrcast_all!C73</f>
        <v/>
      </c>
      <c r="E73" s="7" t="n">
        <v>62</v>
      </c>
      <c r="F73" s="5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>
      <c r="A74" t="n">
        <v>63</v>
      </c>
      <c r="B74" s="51" t="n">
        <v>0</v>
      </c>
      <c r="C74" s="6">
        <f>bkrcast_all!C74</f>
        <v/>
      </c>
      <c r="E74" s="7" t="n">
        <v>63</v>
      </c>
      <c r="F74" s="53" t="n">
        <v>0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>
      <c r="A75" t="n">
        <v>64</v>
      </c>
      <c r="B75" s="51" t="n">
        <v>0</v>
      </c>
      <c r="C75" s="6">
        <f>bkrcast_all!C75</f>
        <v/>
      </c>
      <c r="E75" s="7" t="n">
        <v>64</v>
      </c>
      <c r="F75" s="5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>
      <c r="A76" t="n">
        <v>65</v>
      </c>
      <c r="B76" s="51" t="n">
        <v>0</v>
      </c>
      <c r="C76" s="6">
        <f>bkrcast_all!C76</f>
        <v/>
      </c>
      <c r="E76" s="7" t="n">
        <v>65</v>
      </c>
      <c r="F76" s="53" t="n">
        <v>0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>
      <c r="A77" t="n">
        <v>66</v>
      </c>
      <c r="B77" s="51" t="n">
        <v>0</v>
      </c>
      <c r="C77" s="6">
        <f>bkrcast_all!C77</f>
        <v/>
      </c>
      <c r="E77" s="7" t="n">
        <v>66</v>
      </c>
      <c r="F77" s="5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>
      <c r="A78" t="n">
        <v>67</v>
      </c>
      <c r="B78" s="51" t="n">
        <v>0</v>
      </c>
      <c r="C78" s="6">
        <f>bkrcast_all!C78</f>
        <v/>
      </c>
      <c r="E78" s="7" t="n">
        <v>67</v>
      </c>
      <c r="F78" s="5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>
      <c r="A79" t="n">
        <v>68</v>
      </c>
      <c r="B79" s="51" t="n">
        <v>143.175005361</v>
      </c>
      <c r="C79" s="6">
        <f>bkrcast_all!C79</f>
        <v/>
      </c>
      <c r="E79" s="7" t="n">
        <v>68</v>
      </c>
      <c r="F79" s="5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>
      <c r="A80" t="n">
        <v>69</v>
      </c>
      <c r="B80" s="51" t="n">
        <v>0</v>
      </c>
      <c r="C80" s="6">
        <f>bkrcast_all!C80</f>
        <v/>
      </c>
      <c r="E80" s="7" t="n">
        <v>69</v>
      </c>
      <c r="F80" s="53" t="n">
        <v>10.0508474576271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>
      <c r="A81" t="n">
        <v>70</v>
      </c>
      <c r="B81" s="51" t="n">
        <v>0</v>
      </c>
      <c r="C81" s="6">
        <f>bkrcast_all!C81</f>
        <v/>
      </c>
      <c r="E81" s="7" t="n">
        <v>70</v>
      </c>
      <c r="F81" s="5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>
      <c r="A82" t="n">
        <v>71</v>
      </c>
      <c r="B82" s="51" t="n">
        <v>0</v>
      </c>
      <c r="C82" s="6">
        <f>bkrcast_all!C82</f>
        <v/>
      </c>
      <c r="E82" s="7" t="n">
        <v>71</v>
      </c>
      <c r="F82" s="5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>
      <c r="A83" t="n">
        <v>72</v>
      </c>
      <c r="B83" s="51" t="n">
        <v>0</v>
      </c>
      <c r="C83" s="6">
        <f>bkrcast_all!C83</f>
        <v/>
      </c>
      <c r="E83" s="7" t="n">
        <v>72</v>
      </c>
      <c r="F83" s="5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>
      <c r="A84" t="n">
        <v>73</v>
      </c>
      <c r="B84" s="51" t="n">
        <v>0</v>
      </c>
      <c r="C84" s="6">
        <f>bkrcast_all!C84</f>
        <v/>
      </c>
      <c r="E84" s="7" t="n">
        <v>73</v>
      </c>
      <c r="F84" s="5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>
      <c r="A85" t="n">
        <v>74</v>
      </c>
      <c r="B85" s="51" t="n">
        <v>0</v>
      </c>
      <c r="C85" s="6">
        <f>bkrcast_all!C85</f>
        <v/>
      </c>
      <c r="E85" s="7" t="n">
        <v>74</v>
      </c>
      <c r="F85" s="5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>
      <c r="A86" t="n">
        <v>75</v>
      </c>
      <c r="B86" s="51" t="n">
        <v>0</v>
      </c>
      <c r="C86" s="6">
        <f>bkrcast_all!C86</f>
        <v/>
      </c>
      <c r="E86" s="7" t="n">
        <v>75</v>
      </c>
      <c r="F86" s="5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>
      <c r="A87" t="n">
        <v>76</v>
      </c>
      <c r="B87" s="51" t="n">
        <v>0</v>
      </c>
      <c r="C87" s="6">
        <f>bkrcast_all!C87</f>
        <v/>
      </c>
      <c r="E87" s="7" t="n">
        <v>76</v>
      </c>
      <c r="F87" s="5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>
      <c r="A88" t="n">
        <v>77</v>
      </c>
      <c r="B88" s="51" t="n">
        <v>0</v>
      </c>
      <c r="C88" s="6">
        <f>bkrcast_all!C88</f>
        <v/>
      </c>
      <c r="E88" s="7" t="n">
        <v>77</v>
      </c>
      <c r="F88" s="5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>
      <c r="A89" t="n">
        <v>78</v>
      </c>
      <c r="B89" s="51" t="n">
        <v>0</v>
      </c>
      <c r="C89" s="6">
        <f>bkrcast_all!C89</f>
        <v/>
      </c>
      <c r="E89" s="7" t="n">
        <v>78</v>
      </c>
      <c r="F89" s="5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>
      <c r="A90" t="n">
        <v>79</v>
      </c>
      <c r="B90" s="51" t="n">
        <v>0</v>
      </c>
      <c r="C90" s="6">
        <f>bkrcast_all!C90</f>
        <v/>
      </c>
      <c r="E90" s="7" t="n">
        <v>79</v>
      </c>
      <c r="F90" s="5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>
      <c r="A91" t="n">
        <v>80</v>
      </c>
      <c r="B91" s="51" t="n">
        <v>0</v>
      </c>
      <c r="C91" s="6">
        <f>bkrcast_all!C91</f>
        <v/>
      </c>
      <c r="E91" s="7" t="n">
        <v>80</v>
      </c>
      <c r="F91" s="5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>
      <c r="A92" t="n">
        <v>81</v>
      </c>
      <c r="B92" s="51" t="n">
        <v>0</v>
      </c>
      <c r="C92" s="6">
        <f>bkrcast_all!C92</f>
        <v/>
      </c>
      <c r="E92" s="7" t="n">
        <v>81</v>
      </c>
      <c r="F92" s="5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>
      <c r="A93" t="n">
        <v>82</v>
      </c>
      <c r="B93" s="51" t="n">
        <v>0</v>
      </c>
      <c r="C93" s="6">
        <f>bkrcast_all!C93</f>
        <v/>
      </c>
      <c r="E93" s="7" t="n">
        <v>82</v>
      </c>
      <c r="F93" s="5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>
      <c r="A94" t="n">
        <v>83</v>
      </c>
      <c r="B94" s="51" t="n">
        <v>0</v>
      </c>
      <c r="C94" s="6">
        <f>bkrcast_all!C94</f>
        <v/>
      </c>
      <c r="E94" s="7" t="n">
        <v>83</v>
      </c>
      <c r="F94" s="5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>
      <c r="A95" t="n">
        <v>84</v>
      </c>
      <c r="B95" s="51" t="n">
        <v>0</v>
      </c>
      <c r="C95" s="6">
        <f>bkrcast_all!C95</f>
        <v/>
      </c>
      <c r="E95" s="7" t="n">
        <v>84</v>
      </c>
      <c r="F95" s="5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>
      <c r="A96" t="n">
        <v>85</v>
      </c>
      <c r="B96" s="51" t="n">
        <v>0</v>
      </c>
      <c r="C96" s="6">
        <f>bkrcast_all!C96</f>
        <v/>
      </c>
      <c r="E96" s="7" t="n">
        <v>85</v>
      </c>
      <c r="F96" s="5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>
      <c r="A97" t="n">
        <v>86</v>
      </c>
      <c r="B97" s="51" t="n">
        <v>0</v>
      </c>
      <c r="C97" s="6">
        <f>bkrcast_all!C97</f>
        <v/>
      </c>
      <c r="E97" s="7" t="n">
        <v>86</v>
      </c>
      <c r="F97" s="5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>
      <c r="A98" t="n">
        <v>87</v>
      </c>
      <c r="B98" s="51" t="n">
        <v>0</v>
      </c>
      <c r="C98" s="6">
        <f>bkrcast_all!C98</f>
        <v/>
      </c>
      <c r="E98" s="7" t="n">
        <v>87</v>
      </c>
      <c r="F98" s="5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>
      <c r="A99" t="n">
        <v>88</v>
      </c>
      <c r="B99" s="51" t="n">
        <v>0</v>
      </c>
      <c r="C99" s="6">
        <f>bkrcast_all!C99</f>
        <v/>
      </c>
      <c r="E99" s="7" t="n">
        <v>88</v>
      </c>
      <c r="F99" s="5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>
      <c r="A100" t="n">
        <v>89</v>
      </c>
      <c r="B100" s="51" t="n">
        <v>0</v>
      </c>
      <c r="C100" s="6">
        <f>bkrcast_all!C100</f>
        <v/>
      </c>
      <c r="E100" s="7" t="n">
        <v>89</v>
      </c>
      <c r="F100" s="5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r="101" ht="15.75" customHeight="1" s="43">
      <c r="A101" s="1" t="n">
        <v>90</v>
      </c>
      <c r="B101" s="52" t="n">
        <v>0</v>
      </c>
      <c r="C101" s="6">
        <f>bkrcast_all!C101</f>
        <v/>
      </c>
      <c r="E101" s="8" t="n">
        <v>90</v>
      </c>
      <c r="F101" s="5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>
      <c r="B102" s="51" t="n">
        <v>699122.1420566869</v>
      </c>
      <c r="C102" s="6">
        <f>bkrcast_all!C102</f>
        <v/>
      </c>
      <c r="F102" s="5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/>
  <cols>
    <col collapsed="1" width="13.5703125" customWidth="1" style="43" min="1" max="1"/>
    <col collapsed="1" width="10.5703125" customWidth="1" style="43" min="2" max="2"/>
    <col collapsed="1" width="10.5703125" customWidth="1" style="43" min="6" max="6"/>
    <col collapsed="1" width="15.7109375" customWidth="1" style="43" min="12" max="1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43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DaySim</t>
        </is>
      </c>
      <c r="J10" s="2" t="n"/>
      <c r="K10" s="13" t="inlineStr">
        <is>
          <t>Survey</t>
        </is>
      </c>
      <c r="L10" s="13" t="inlineStr">
        <is>
          <t>DaySim</t>
        </is>
      </c>
    </row>
    <row r="11">
      <c r="A11" t="n">
        <v>0</v>
      </c>
      <c r="B11" s="51" t="n">
        <v>152642.2821318882</v>
      </c>
      <c r="C11" s="6" t="n">
        <v>0.2183342122205472</v>
      </c>
      <c r="E11" s="7" t="n">
        <v>0</v>
      </c>
      <c r="F11" s="53" t="n">
        <v>109489</v>
      </c>
      <c r="G11" s="6" t="n">
        <v>0.1567384252432911</v>
      </c>
      <c r="K11" s="4" t="n">
        <v>4.138864212050381</v>
      </c>
      <c r="L11" s="4" t="n">
        <v>4.959258325078091</v>
      </c>
    </row>
    <row r="12">
      <c r="A12" t="n">
        <v>1</v>
      </c>
      <c r="B12" s="51" t="n">
        <v>146146.3700137102</v>
      </c>
      <c r="C12" s="6" t="n">
        <v>0.2090426854222852</v>
      </c>
      <c r="E12" s="7" t="n">
        <v>1</v>
      </c>
      <c r="F12" s="53" t="n">
        <v>119440</v>
      </c>
      <c r="G12" s="6" t="n">
        <v>0.1709837290600762</v>
      </c>
      <c r="K12" s="4" t="n"/>
      <c r="L12" s="7" t="n"/>
    </row>
    <row r="13">
      <c r="A13" t="n">
        <v>2</v>
      </c>
      <c r="B13" s="51" t="n">
        <v>78427.50252064339</v>
      </c>
      <c r="C13" s="6" t="n">
        <v>0.1121799722862794</v>
      </c>
      <c r="E13" s="7" t="n">
        <v>2</v>
      </c>
      <c r="F13" s="53" t="n">
        <v>101425</v>
      </c>
      <c r="G13" s="6" t="n">
        <v>0.1451944467508224</v>
      </c>
    </row>
    <row r="14">
      <c r="A14" t="n">
        <v>3</v>
      </c>
      <c r="B14" s="51" t="n">
        <v>86881.0158613698</v>
      </c>
      <c r="C14" s="6" t="n">
        <v>0.1242715837976209</v>
      </c>
      <c r="E14" s="7" t="n">
        <v>3</v>
      </c>
      <c r="F14" s="53" t="n">
        <v>75242</v>
      </c>
      <c r="G14" s="6" t="n">
        <v>0.1077123052740979</v>
      </c>
    </row>
    <row r="15">
      <c r="A15" t="n">
        <v>4</v>
      </c>
      <c r="B15" s="51" t="n">
        <v>51899.8668991346</v>
      </c>
      <c r="C15" s="6" t="n">
        <v>0.0742357647927655</v>
      </c>
      <c r="E15" s="7" t="n">
        <v>4</v>
      </c>
      <c r="F15" s="53" t="n">
        <v>59669</v>
      </c>
      <c r="G15" s="6" t="n">
        <v>0.08541885573748902</v>
      </c>
    </row>
    <row r="16">
      <c r="A16" t="n">
        <v>5</v>
      </c>
      <c r="B16" s="51" t="n">
        <v>27983.7526913103</v>
      </c>
      <c r="C16" s="6" t="n">
        <v>0.04002698671363393</v>
      </c>
      <c r="E16" s="7" t="n">
        <v>5</v>
      </c>
      <c r="F16" s="53" t="n">
        <v>48058</v>
      </c>
      <c r="G16" s="6" t="n">
        <v>0.06879718730047842</v>
      </c>
    </row>
    <row r="17">
      <c r="A17" t="n">
        <v>6</v>
      </c>
      <c r="B17" s="51" t="n">
        <v>43675.7413606373</v>
      </c>
      <c r="C17" s="6" t="n">
        <v>0.0624722616167633</v>
      </c>
      <c r="E17" s="7" t="n">
        <v>6</v>
      </c>
      <c r="F17" s="53" t="n">
        <v>36625</v>
      </c>
      <c r="G17" s="6" t="n">
        <v>0.05243033386491369</v>
      </c>
    </row>
    <row r="18">
      <c r="A18" t="n">
        <v>7</v>
      </c>
      <c r="B18" s="51" t="n">
        <v>16235.238001708</v>
      </c>
      <c r="C18" s="6" t="n">
        <v>0.02322231985665188</v>
      </c>
      <c r="E18" s="7" t="n">
        <v>7</v>
      </c>
      <c r="F18" s="53" t="n">
        <v>27188</v>
      </c>
      <c r="G18" s="6" t="n">
        <v>0.03892084415342726</v>
      </c>
    </row>
    <row r="19">
      <c r="A19" t="n">
        <v>8</v>
      </c>
      <c r="B19" s="51" t="n">
        <v>23402.2025406013</v>
      </c>
      <c r="C19" s="6" t="n">
        <v>0.03347369670163269</v>
      </c>
      <c r="E19" s="7" t="n">
        <v>8</v>
      </c>
      <c r="F19" s="53" t="n">
        <v>20284</v>
      </c>
      <c r="G19" s="6" t="n">
        <v>0.02903745780521254</v>
      </c>
    </row>
    <row r="20">
      <c r="A20" t="n">
        <v>9</v>
      </c>
      <c r="B20" s="51" t="n">
        <v>12172.9083220832</v>
      </c>
      <c r="C20" s="6" t="n">
        <v>0.01741170475057874</v>
      </c>
      <c r="E20" s="7" t="n">
        <v>9</v>
      </c>
      <c r="F20" s="53" t="n">
        <v>14608</v>
      </c>
      <c r="G20" s="6" t="n">
        <v>0.02091200865798387</v>
      </c>
    </row>
    <row r="21">
      <c r="A21" t="n">
        <v>10</v>
      </c>
      <c r="B21" s="51" t="n">
        <v>10733.8565016207</v>
      </c>
      <c r="C21" s="6" t="n">
        <v>0.01535333506966851</v>
      </c>
      <c r="E21" s="7" t="n">
        <v>10</v>
      </c>
      <c r="F21" s="53" t="n">
        <v>11708</v>
      </c>
      <c r="G21" s="6" t="n">
        <v>0.01676052829734907</v>
      </c>
    </row>
    <row r="22">
      <c r="A22" t="n">
        <v>11</v>
      </c>
      <c r="B22" s="51" t="n">
        <v>9316.351632199599</v>
      </c>
      <c r="C22" s="6" t="n">
        <v>0.01332578539823189</v>
      </c>
      <c r="E22" s="7" t="n">
        <v>11</v>
      </c>
      <c r="F22" s="53" t="n">
        <v>10147</v>
      </c>
      <c r="G22" s="6" t="n">
        <v>0.01452588662736599</v>
      </c>
    </row>
    <row r="23">
      <c r="A23" t="n">
        <v>12</v>
      </c>
      <c r="B23" s="51" t="n">
        <v>3390.1781913226</v>
      </c>
      <c r="C23" s="6" t="n">
        <v>0.004849192991298099</v>
      </c>
      <c r="E23" s="7" t="n">
        <v>12</v>
      </c>
      <c r="F23" s="53" t="n">
        <v>8986</v>
      </c>
      <c r="G23" s="6" t="n">
        <v>0.01286386293816012</v>
      </c>
    </row>
    <row r="24">
      <c r="A24" t="n">
        <v>13</v>
      </c>
      <c r="B24" s="51" t="n">
        <v>4169.2549910703</v>
      </c>
      <c r="C24" s="6" t="n">
        <v>0.005963557353233198</v>
      </c>
      <c r="E24" s="7" t="n">
        <v>13</v>
      </c>
      <c r="F24" s="53" t="n">
        <v>7777</v>
      </c>
      <c r="G24" s="6" t="n">
        <v>0.01113312509126099</v>
      </c>
    </row>
    <row r="25">
      <c r="A25" t="n">
        <v>14</v>
      </c>
      <c r="B25" s="51" t="n">
        <v>819.7723071688</v>
      </c>
      <c r="C25" s="6" t="n">
        <v>0.001172573800562492</v>
      </c>
      <c r="E25" s="7" t="n">
        <v>14</v>
      </c>
      <c r="F25" s="53" t="n">
        <v>7240</v>
      </c>
      <c r="G25" s="6" t="n">
        <v>0.01036438545206758</v>
      </c>
    </row>
    <row r="26">
      <c r="A26" t="n">
        <v>15</v>
      </c>
      <c r="B26" s="51" t="n">
        <v>4193.165592133</v>
      </c>
      <c r="C26" s="6" t="n">
        <v>0.005997758245501264</v>
      </c>
      <c r="E26" s="7" t="n">
        <v>15</v>
      </c>
      <c r="F26" s="53" t="n">
        <v>6114</v>
      </c>
      <c r="G26" s="6" t="n">
        <v>0.008752465836179722</v>
      </c>
    </row>
    <row r="27">
      <c r="A27" t="n">
        <v>16</v>
      </c>
      <c r="B27" s="51" t="n">
        <v>1986.737699898</v>
      </c>
      <c r="C27" s="6" t="n">
        <v>0.002841760517058419</v>
      </c>
      <c r="E27" s="7" t="n">
        <v>16</v>
      </c>
      <c r="F27" s="53" t="n">
        <v>5106</v>
      </c>
      <c r="G27" s="6" t="n">
        <v>0.007309468524621142</v>
      </c>
    </row>
    <row r="28">
      <c r="A28" t="n">
        <v>17</v>
      </c>
      <c r="B28" s="51" t="n">
        <v>6548.621351460701</v>
      </c>
      <c r="C28" s="6" t="n">
        <v>0.009366920252584017</v>
      </c>
      <c r="E28" s="7" t="n">
        <v>17</v>
      </c>
      <c r="F28" s="53" t="n">
        <v>4380</v>
      </c>
      <c r="G28" s="6" t="n">
        <v>0.006270166889510497</v>
      </c>
    </row>
    <row r="29">
      <c r="A29" t="n">
        <v>18</v>
      </c>
      <c r="B29" s="51" t="n">
        <v>2183.8650011188</v>
      </c>
      <c r="C29" s="6" t="n">
        <v>0.003123724553615591</v>
      </c>
      <c r="E29" s="7" t="n">
        <v>18</v>
      </c>
      <c r="F29" s="53" t="n">
        <v>3611</v>
      </c>
      <c r="G29" s="6" t="n">
        <v>0.005169308821466303</v>
      </c>
    </row>
    <row r="30">
      <c r="A30" t="n">
        <v>19</v>
      </c>
      <c r="B30" s="51" t="n">
        <v>8370.2466042984</v>
      </c>
      <c r="C30" s="6" t="n">
        <v>0.01197250966715873</v>
      </c>
      <c r="E30" s="7" t="n">
        <v>19</v>
      </c>
      <c r="F30" s="53" t="n">
        <v>3097</v>
      </c>
      <c r="G30" s="6" t="n">
        <v>0.004433494716167582</v>
      </c>
    </row>
    <row r="31">
      <c r="A31" t="n">
        <v>20</v>
      </c>
      <c r="B31" s="51" t="n">
        <v>543.3468191730001</v>
      </c>
      <c r="C31" s="6" t="n">
        <v>0.000777184395239686</v>
      </c>
      <c r="E31" s="7" t="n">
        <v>20</v>
      </c>
      <c r="F31" s="53" t="n">
        <v>2645</v>
      </c>
      <c r="G31" s="6" t="n">
        <v>0.00378643639788933</v>
      </c>
    </row>
    <row r="32">
      <c r="A32" t="n">
        <v>21</v>
      </c>
      <c r="B32" s="51" t="n">
        <v>351.3506239057</v>
      </c>
      <c r="C32" s="6" t="n">
        <v>0.0005025597142040045</v>
      </c>
      <c r="E32" s="7" t="n">
        <v>21</v>
      </c>
      <c r="F32" s="53" t="n">
        <v>2318</v>
      </c>
      <c r="G32" s="6" t="n">
        <v>0.003318321198603957</v>
      </c>
    </row>
    <row r="33">
      <c r="A33" t="n">
        <v>22</v>
      </c>
      <c r="B33" s="51" t="n">
        <v>413.6218219552</v>
      </c>
      <c r="C33" s="6" t="n">
        <v>0.0005916302704108352</v>
      </c>
      <c r="E33" s="7" t="n">
        <v>22</v>
      </c>
      <c r="F33" s="53" t="n">
        <v>1927</v>
      </c>
      <c r="G33" s="6" t="n">
        <v>0.00275858712239423</v>
      </c>
    </row>
    <row r="34">
      <c r="A34" t="n">
        <v>23</v>
      </c>
      <c r="B34" s="51" t="n">
        <v>1566.3955479703</v>
      </c>
      <c r="C34" s="6" t="n">
        <v>0.002240517720354638</v>
      </c>
      <c r="E34" s="7" t="n">
        <v>23</v>
      </c>
      <c r="F34" s="53" t="n">
        <v>1666</v>
      </c>
      <c r="G34" s="6" t="n">
        <v>0.002384953889937098</v>
      </c>
    </row>
    <row r="35">
      <c r="A35" t="n">
        <v>24</v>
      </c>
      <c r="B35" s="51" t="n">
        <v>0</v>
      </c>
      <c r="C35" s="6" t="n">
        <v>0</v>
      </c>
      <c r="E35" s="7" t="n">
        <v>24</v>
      </c>
      <c r="F35" s="53" t="n">
        <v>1420</v>
      </c>
      <c r="G35" s="6" t="n">
        <v>0.002032793831759111</v>
      </c>
    </row>
    <row r="36">
      <c r="A36" t="n">
        <v>25</v>
      </c>
      <c r="B36" s="51" t="n">
        <v>185.1255473239</v>
      </c>
      <c r="C36" s="6" t="n">
        <v>0.0002647971451444739</v>
      </c>
      <c r="E36" s="7" t="n">
        <v>25</v>
      </c>
      <c r="F36" s="53" t="n">
        <v>1107</v>
      </c>
      <c r="G36" s="6" t="n">
        <v>0.001584720261800941</v>
      </c>
    </row>
    <row r="37">
      <c r="A37" t="n">
        <v>26</v>
      </c>
      <c r="B37" s="51" t="n">
        <v>965.0827584359999</v>
      </c>
      <c r="C37" s="6" t="n">
        <v>0.001380420816878874</v>
      </c>
      <c r="E37" s="7" t="n">
        <v>26</v>
      </c>
      <c r="F37" s="53" t="n">
        <v>966</v>
      </c>
      <c r="G37" s="6" t="n">
        <v>0.001382872423576973</v>
      </c>
    </row>
    <row r="38">
      <c r="A38" t="n">
        <v>27</v>
      </c>
      <c r="B38" s="51" t="n">
        <v>841.954010442</v>
      </c>
      <c r="C38" s="6" t="n">
        <v>0.001204301737554941</v>
      </c>
      <c r="E38" s="7" t="n">
        <v>27</v>
      </c>
      <c r="F38" s="53" t="n">
        <v>801</v>
      </c>
      <c r="G38" s="6" t="n">
        <v>0.001146667506506372</v>
      </c>
    </row>
    <row r="39">
      <c r="A39" t="n">
        <v>28</v>
      </c>
      <c r="B39" s="51" t="n">
        <v>0</v>
      </c>
      <c r="C39" s="6" t="n">
        <v>0</v>
      </c>
      <c r="E39" s="7" t="n">
        <v>28</v>
      </c>
      <c r="F39" s="53" t="n">
        <v>943</v>
      </c>
      <c r="G39" s="6" t="n">
        <v>0.001349946889682283</v>
      </c>
    </row>
    <row r="40">
      <c r="A40" t="n">
        <v>29</v>
      </c>
      <c r="B40" s="51" t="n">
        <v>347.945167462</v>
      </c>
      <c r="C40" s="6" t="n">
        <v>0.0004976886677318075</v>
      </c>
      <c r="E40" s="7" t="n">
        <v>29</v>
      </c>
      <c r="F40" s="53" t="n">
        <v>547</v>
      </c>
      <c r="G40" s="6" t="n">
        <v>0.0007830550887128406</v>
      </c>
    </row>
    <row r="41">
      <c r="A41" t="n">
        <v>30</v>
      </c>
      <c r="B41" s="51" t="n">
        <v>0</v>
      </c>
      <c r="C41" s="6" t="n">
        <v>0</v>
      </c>
      <c r="E41" s="7" t="n">
        <v>30</v>
      </c>
      <c r="F41" s="53" t="n">
        <v>712</v>
      </c>
      <c r="G41" s="6" t="n">
        <v>0.001019260005783442</v>
      </c>
    </row>
    <row r="42">
      <c r="A42" t="n">
        <v>31</v>
      </c>
      <c r="B42" s="51" t="n">
        <v>464.442048857</v>
      </c>
      <c r="C42" s="6" t="n">
        <v>0.0006643217556959333</v>
      </c>
      <c r="E42" s="7" t="n">
        <v>31</v>
      </c>
      <c r="F42" s="53" t="n">
        <v>418</v>
      </c>
      <c r="G42" s="6" t="n">
        <v>0.000598385789912189</v>
      </c>
    </row>
    <row r="43">
      <c r="A43" t="n">
        <v>32</v>
      </c>
      <c r="B43" s="51" t="n">
        <v>0</v>
      </c>
      <c r="C43" s="6" t="n">
        <v>0</v>
      </c>
      <c r="E43" s="7" t="n">
        <v>32</v>
      </c>
      <c r="F43" s="53" t="n">
        <v>376</v>
      </c>
      <c r="G43" s="6" t="n">
        <v>0.0005382609019305815</v>
      </c>
    </row>
    <row r="44">
      <c r="A44" t="n">
        <v>33</v>
      </c>
      <c r="B44" s="51" t="n">
        <v>0</v>
      </c>
      <c r="C44" s="6" t="n">
        <v>0</v>
      </c>
      <c r="E44" s="7" t="n">
        <v>33</v>
      </c>
      <c r="F44" s="53" t="n">
        <v>290</v>
      </c>
      <c r="G44" s="6" t="n">
        <v>0.0004151480360634804</v>
      </c>
    </row>
    <row r="45">
      <c r="A45" t="n">
        <v>34</v>
      </c>
      <c r="B45" s="51" t="n">
        <v>0</v>
      </c>
      <c r="C45" s="6" t="n">
        <v>0</v>
      </c>
      <c r="E45" s="7" t="n">
        <v>34</v>
      </c>
      <c r="F45" s="53" t="n">
        <v>309</v>
      </c>
      <c r="G45" s="6" t="n">
        <v>0.0004423473901503981</v>
      </c>
    </row>
    <row r="46">
      <c r="A46" t="n">
        <v>35</v>
      </c>
      <c r="B46" s="51" t="n">
        <v>0</v>
      </c>
      <c r="C46" s="6" t="n">
        <v>0</v>
      </c>
      <c r="E46" s="7" t="n">
        <v>35</v>
      </c>
      <c r="F46" s="53" t="n">
        <v>352</v>
      </c>
      <c r="G46" s="6" t="n">
        <v>0.0005039038230839486</v>
      </c>
    </row>
    <row r="47">
      <c r="A47" t="n">
        <v>36</v>
      </c>
      <c r="B47" s="51" t="n">
        <v>889.701534148</v>
      </c>
      <c r="C47" s="6" t="n">
        <v>0.001272598135042132</v>
      </c>
      <c r="E47" s="7" t="n">
        <v>36</v>
      </c>
      <c r="F47" s="53" t="n">
        <v>258</v>
      </c>
      <c r="G47" s="6" t="n">
        <v>0.0003693385976013033</v>
      </c>
    </row>
    <row r="48">
      <c r="A48" t="n">
        <v>37</v>
      </c>
      <c r="B48" s="51" t="n">
        <v>0</v>
      </c>
      <c r="C48" s="6" t="n">
        <v>0</v>
      </c>
      <c r="E48" s="7" t="n">
        <v>37</v>
      </c>
      <c r="F48" s="53" t="n">
        <v>161</v>
      </c>
      <c r="G48" s="6" t="n">
        <v>0.0002304787372628288</v>
      </c>
    </row>
    <row r="49">
      <c r="A49" t="n">
        <v>38</v>
      </c>
      <c r="B49" s="51" t="n">
        <v>0</v>
      </c>
      <c r="C49" s="6" t="n">
        <v>0</v>
      </c>
      <c r="E49" s="7" t="n">
        <v>38</v>
      </c>
      <c r="F49" s="53" t="n">
        <v>176</v>
      </c>
      <c r="G49" s="6" t="n">
        <v>0.0002519519115419743</v>
      </c>
    </row>
    <row r="50">
      <c r="A50" t="n">
        <v>39</v>
      </c>
      <c r="B50" s="51" t="n">
        <v>0</v>
      </c>
      <c r="C50" s="6" t="n">
        <v>0</v>
      </c>
      <c r="E50" s="7" t="n">
        <v>39</v>
      </c>
      <c r="F50" s="53" t="n">
        <v>167</v>
      </c>
      <c r="G50" s="6" t="n">
        <v>0.000239068006974487</v>
      </c>
    </row>
    <row r="51">
      <c r="A51" t="n">
        <v>40</v>
      </c>
      <c r="B51" s="51" t="n">
        <v>183.053312801</v>
      </c>
      <c r="C51" s="6" t="n">
        <v>0.0002618330929449485</v>
      </c>
      <c r="E51" s="7" t="n">
        <v>40</v>
      </c>
      <c r="F51" s="53" t="n">
        <v>100</v>
      </c>
      <c r="G51" s="6" t="n">
        <v>0.0001431544951943036</v>
      </c>
    </row>
    <row r="52">
      <c r="A52" t="n">
        <v>41</v>
      </c>
      <c r="B52" s="51" t="n">
        <v>0</v>
      </c>
      <c r="C52" s="6" t="n">
        <v>0</v>
      </c>
      <c r="E52" s="7" t="n">
        <v>41</v>
      </c>
      <c r="F52" s="53" t="n">
        <v>147</v>
      </c>
      <c r="G52" s="6" t="n">
        <v>0.0002104371079356263</v>
      </c>
    </row>
    <row r="53">
      <c r="A53" t="n">
        <v>42</v>
      </c>
      <c r="B53" s="51" t="n">
        <v>0</v>
      </c>
      <c r="C53" s="6" t="n">
        <v>0</v>
      </c>
      <c r="E53" s="7" t="n">
        <v>42</v>
      </c>
      <c r="F53" s="53" t="n">
        <v>105</v>
      </c>
      <c r="G53" s="6" t="n">
        <v>0.0001503122199540188</v>
      </c>
    </row>
    <row r="54">
      <c r="A54" t="n">
        <v>43</v>
      </c>
      <c r="B54" s="51" t="n">
        <v>353.042135169</v>
      </c>
      <c r="C54" s="6" t="n">
        <v>0.0005049791930926632</v>
      </c>
      <c r="E54" s="7" t="n">
        <v>43</v>
      </c>
      <c r="F54" s="53" t="n">
        <v>69</v>
      </c>
      <c r="G54" s="6" t="n">
        <v>9.877660168406947e-05</v>
      </c>
    </row>
    <row r="55">
      <c r="A55" t="n">
        <v>44</v>
      </c>
      <c r="B55" s="51" t="n">
        <v>0</v>
      </c>
      <c r="C55" s="6" t="n">
        <v>0</v>
      </c>
      <c r="E55" s="7" t="n">
        <v>44</v>
      </c>
      <c r="F55" s="53" t="n">
        <v>39</v>
      </c>
      <c r="G55" s="6" t="n">
        <v>5.58302531257784e-05</v>
      </c>
    </row>
    <row r="56">
      <c r="A56" t="n">
        <v>45</v>
      </c>
      <c r="B56" s="51" t="n">
        <v>250.40304101</v>
      </c>
      <c r="C56" s="6" t="n">
        <v>0.0003581678020858573</v>
      </c>
      <c r="E56" s="7" t="n">
        <v>45</v>
      </c>
      <c r="F56" s="53" t="n">
        <v>35</v>
      </c>
      <c r="G56" s="6" t="n">
        <v>5.010407331800626e-05</v>
      </c>
    </row>
    <row r="57">
      <c r="A57" t="n">
        <v>46</v>
      </c>
      <c r="B57" s="51" t="n">
        <v>0</v>
      </c>
      <c r="C57" s="6" t="n">
        <v>0</v>
      </c>
      <c r="E57" s="7" t="n">
        <v>46</v>
      </c>
      <c r="F57" s="53" t="n">
        <v>31</v>
      </c>
      <c r="G57" s="6" t="n">
        <v>4.437789351023412e-05</v>
      </c>
    </row>
    <row r="58">
      <c r="A58" t="n">
        <v>47</v>
      </c>
      <c r="B58" s="51" t="n">
        <v>0</v>
      </c>
      <c r="C58" s="6" t="n">
        <v>0</v>
      </c>
      <c r="E58" s="7" t="n">
        <v>47</v>
      </c>
      <c r="F58" s="53" t="n">
        <v>47</v>
      </c>
      <c r="G58" s="6" t="n">
        <v>6.728261274132268e-05</v>
      </c>
    </row>
    <row r="59">
      <c r="A59" t="n">
        <v>48</v>
      </c>
      <c r="B59" s="51" t="n">
        <v>0</v>
      </c>
      <c r="C59" s="6" t="n">
        <v>0</v>
      </c>
      <c r="E59" s="7" t="n">
        <v>48</v>
      </c>
      <c r="F59" s="53" t="n">
        <v>30</v>
      </c>
      <c r="G59" s="6" t="n">
        <v>4.294634855829108e-05</v>
      </c>
    </row>
    <row r="60">
      <c r="A60" t="n">
        <v>49</v>
      </c>
      <c r="B60" s="51" t="n">
        <v>0</v>
      </c>
      <c r="C60" s="6" t="n">
        <v>0</v>
      </c>
      <c r="E60" s="7" t="n">
        <v>49</v>
      </c>
      <c r="F60" s="53" t="n">
        <v>20</v>
      </c>
      <c r="G60" s="6" t="n">
        <v>2.863089903886072e-05</v>
      </c>
    </row>
    <row r="61">
      <c r="A61" t="n">
        <v>50</v>
      </c>
      <c r="B61" s="51" t="n">
        <v>444.572467296</v>
      </c>
      <c r="C61" s="6" t="n">
        <v>0.0006359009971964995</v>
      </c>
      <c r="E61" s="7" t="n">
        <v>50</v>
      </c>
      <c r="F61" s="53" t="n">
        <v>28</v>
      </c>
      <c r="G61" s="6" t="n">
        <v>4.008325865440501e-05</v>
      </c>
    </row>
    <row r="62">
      <c r="A62" t="n">
        <v>51</v>
      </c>
      <c r="B62" s="51" t="n">
        <v>0</v>
      </c>
      <c r="C62" s="6" t="n">
        <v>0</v>
      </c>
      <c r="E62" s="7" t="n">
        <v>51</v>
      </c>
      <c r="F62" s="53" t="n">
        <v>13</v>
      </c>
      <c r="G62" s="6" t="n">
        <v>1.861008437525947e-05</v>
      </c>
    </row>
    <row r="63">
      <c r="A63" t="n">
        <v>52</v>
      </c>
      <c r="B63" s="51" t="n">
        <v>0</v>
      </c>
      <c r="C63" s="6" t="n">
        <v>0</v>
      </c>
      <c r="E63" s="7" t="n">
        <v>52</v>
      </c>
      <c r="F63" s="53" t="n">
        <v>21</v>
      </c>
      <c r="G63" s="6" t="n">
        <v>3.006244399080376e-05</v>
      </c>
    </row>
    <row r="64">
      <c r="A64" t="n">
        <v>53</v>
      </c>
      <c r="B64" s="51" t="n">
        <v>0</v>
      </c>
      <c r="C64" s="6" t="n">
        <v>0</v>
      </c>
      <c r="E64" s="7" t="n">
        <v>53</v>
      </c>
      <c r="F64" s="53" t="n">
        <v>17</v>
      </c>
      <c r="G64" s="6" t="n">
        <v>2.433626418303161e-05</v>
      </c>
    </row>
    <row r="65">
      <c r="A65" t="n">
        <v>54</v>
      </c>
      <c r="B65" s="51" t="n">
        <v>0</v>
      </c>
      <c r="C65" s="6" t="n">
        <v>0</v>
      </c>
      <c r="E65" s="7" t="n">
        <v>54</v>
      </c>
      <c r="F65" s="53" t="n">
        <v>8</v>
      </c>
      <c r="G65" s="6" t="n">
        <v>1.145235961554429e-05</v>
      </c>
    </row>
    <row r="66">
      <c r="A66" t="n">
        <v>55</v>
      </c>
      <c r="B66" s="51" t="n">
        <v>0</v>
      </c>
      <c r="C66" s="6" t="n">
        <v>0</v>
      </c>
      <c r="E66" s="7" t="n">
        <v>55</v>
      </c>
      <c r="F66" s="53" t="n">
        <v>20</v>
      </c>
      <c r="G66" s="6" t="n">
        <v>2.863089903886072e-05</v>
      </c>
    </row>
    <row r="67">
      <c r="A67" t="n">
        <v>56</v>
      </c>
      <c r="B67" s="51" t="n">
        <v>0</v>
      </c>
      <c r="C67" s="6" t="n">
        <v>0</v>
      </c>
      <c r="E67" s="7" t="n">
        <v>56</v>
      </c>
      <c r="F67" s="53" t="n">
        <v>9</v>
      </c>
      <c r="G67" s="6" t="n">
        <v>1.288390456748732e-05</v>
      </c>
    </row>
    <row r="68">
      <c r="A68" t="n">
        <v>57</v>
      </c>
      <c r="B68" s="51" t="n">
        <v>0</v>
      </c>
      <c r="C68" s="6" t="n">
        <v>0</v>
      </c>
      <c r="E68" s="7" t="n">
        <v>57</v>
      </c>
      <c r="F68" s="53" t="n">
        <v>7</v>
      </c>
      <c r="G68" s="6" t="n">
        <v>1.002081466360125e-05</v>
      </c>
    </row>
    <row r="69">
      <c r="A69" t="n">
        <v>58</v>
      </c>
      <c r="B69" s="51" t="n">
        <v>0</v>
      </c>
      <c r="C69" s="6" t="n">
        <v>0</v>
      </c>
      <c r="E69" s="7" t="n">
        <v>58</v>
      </c>
      <c r="F69" s="53" t="n">
        <v>9</v>
      </c>
      <c r="G69" s="6" t="n">
        <v>1.288390456748732e-05</v>
      </c>
    </row>
    <row r="70">
      <c r="A70" t="n">
        <v>59</v>
      </c>
      <c r="B70" s="51" t="n">
        <v>0</v>
      </c>
      <c r="C70" s="6" t="n">
        <v>0</v>
      </c>
      <c r="E70" s="7" t="n">
        <v>59</v>
      </c>
      <c r="F70" s="53" t="n">
        <v>6</v>
      </c>
      <c r="G70" s="6" t="n">
        <v>8.589269711658217e-06</v>
      </c>
    </row>
    <row r="71">
      <c r="A71" t="n">
        <v>60</v>
      </c>
      <c r="B71" s="51" t="n">
        <v>0</v>
      </c>
      <c r="C71" s="6" t="n">
        <v>0</v>
      </c>
      <c r="E71" s="7" t="n">
        <v>60</v>
      </c>
      <c r="F71" s="53" t="n">
        <v>12</v>
      </c>
      <c r="G71" s="6" t="n">
        <v>1.717853942331643e-05</v>
      </c>
    </row>
    <row r="72">
      <c r="A72" t="n">
        <v>61</v>
      </c>
      <c r="B72" s="51" t="n">
        <v>0</v>
      </c>
      <c r="C72" s="6" t="n">
        <v>0</v>
      </c>
      <c r="E72" s="7" t="n">
        <v>61</v>
      </c>
      <c r="F72" s="53" t="n">
        <v>2</v>
      </c>
      <c r="G72" s="6" t="n">
        <v>2.863089903886072e-06</v>
      </c>
    </row>
    <row r="73">
      <c r="A73" t="n">
        <v>62</v>
      </c>
      <c r="B73" s="51" t="n">
        <v>0</v>
      </c>
      <c r="C73" s="6" t="n">
        <v>0</v>
      </c>
      <c r="E73" s="7" t="n">
        <v>62</v>
      </c>
      <c r="F73" s="53" t="n">
        <v>7</v>
      </c>
      <c r="G73" s="6" t="n">
        <v>1.002081466360125e-05</v>
      </c>
    </row>
    <row r="74">
      <c r="A74" t="n">
        <v>63</v>
      </c>
      <c r="B74" s="51" t="n">
        <v>0</v>
      </c>
      <c r="C74" s="6" t="n">
        <v>0</v>
      </c>
      <c r="E74" s="7" t="n">
        <v>63</v>
      </c>
      <c r="F74" s="53" t="n">
        <v>1</v>
      </c>
      <c r="G74" s="6" t="n">
        <v>1.431544951943036e-06</v>
      </c>
    </row>
    <row r="75">
      <c r="A75" t="n">
        <v>64</v>
      </c>
      <c r="B75" s="51" t="n">
        <v>0</v>
      </c>
      <c r="C75" s="6" t="n">
        <v>0</v>
      </c>
      <c r="E75" s="7" t="n">
        <v>64</v>
      </c>
      <c r="F75" s="53" t="n">
        <v>1</v>
      </c>
      <c r="G75" s="6" t="n">
        <v>1.431544951943036e-06</v>
      </c>
    </row>
    <row r="76">
      <c r="A76" t="n">
        <v>65</v>
      </c>
      <c r="B76" s="51" t="n">
        <v>0</v>
      </c>
      <c r="C76" s="6" t="n">
        <v>0</v>
      </c>
      <c r="E76" s="7" t="n">
        <v>65</v>
      </c>
      <c r="F76" s="53" t="n">
        <v>1</v>
      </c>
      <c r="G76" s="6" t="n">
        <v>1.431544951943036e-06</v>
      </c>
    </row>
    <row r="77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>
      <c r="A78" t="n">
        <v>67</v>
      </c>
      <c r="B78" s="51" t="n">
        <v>0</v>
      </c>
      <c r="C78" s="6" t="n">
        <v>0</v>
      </c>
      <c r="E78" s="7" t="n">
        <v>67</v>
      </c>
      <c r="F78" s="53" t="n">
        <v>1</v>
      </c>
      <c r="G78" s="6" t="n">
        <v>1.431544951943036e-06</v>
      </c>
    </row>
    <row r="79">
      <c r="A79" t="n">
        <v>68</v>
      </c>
      <c r="B79" s="51" t="n">
        <v>143.175005361</v>
      </c>
      <c r="C79" s="6" t="n">
        <v>0.0002047925487523623</v>
      </c>
      <c r="E79" s="7" t="n">
        <v>68</v>
      </c>
      <c r="F79" s="53" t="n">
        <v>1</v>
      </c>
      <c r="G79" s="6" t="n">
        <v>1.431544951943036e-06</v>
      </c>
    </row>
    <row r="80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>
      <c r="A81" t="n">
        <v>70</v>
      </c>
      <c r="B81" s="51" t="n">
        <v>0</v>
      </c>
      <c r="C81" s="6" t="n">
        <v>0</v>
      </c>
      <c r="E81" s="7" t="n">
        <v>70</v>
      </c>
      <c r="F81" s="53" t="n">
        <v>1</v>
      </c>
      <c r="G81" s="6" t="n">
        <v>1.431544951943036e-06</v>
      </c>
    </row>
    <row r="8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>
      <c r="A83" t="n">
        <v>72</v>
      </c>
      <c r="B83" s="51" t="n">
        <v>0</v>
      </c>
      <c r="C83" s="6" t="n">
        <v>0</v>
      </c>
      <c r="E83" s="7" t="n">
        <v>72</v>
      </c>
      <c r="F83" s="53" t="n">
        <v>2</v>
      </c>
      <c r="G83" s="6" t="n">
        <v>2.863089903886072e-06</v>
      </c>
    </row>
    <row r="84">
      <c r="A84" t="n">
        <v>73</v>
      </c>
      <c r="B84" s="51" t="n">
        <v>0</v>
      </c>
      <c r="C84" s="6" t="n">
        <v>0</v>
      </c>
      <c r="E84" s="7" t="n">
        <v>73</v>
      </c>
      <c r="F84" s="53" t="n">
        <v>1</v>
      </c>
      <c r="G84" s="6" t="n">
        <v>1.431544951943036e-06</v>
      </c>
    </row>
    <row r="85">
      <c r="A85" t="n">
        <v>74</v>
      </c>
      <c r="B85" s="51" t="n">
        <v>0</v>
      </c>
      <c r="C85" s="6" t="n">
        <v>0</v>
      </c>
      <c r="E85" s="7" t="n">
        <v>74</v>
      </c>
      <c r="F85" s="53" t="n">
        <v>1</v>
      </c>
      <c r="G85" s="6" t="n">
        <v>1.431544951943036e-06</v>
      </c>
    </row>
    <row r="86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>
      <c r="A88" t="n">
        <v>77</v>
      </c>
      <c r="B88" s="51" t="n">
        <v>0</v>
      </c>
      <c r="C88" s="6" t="n">
        <v>0</v>
      </c>
      <c r="E88" s="7" t="n">
        <v>77</v>
      </c>
      <c r="F88" s="53" t="n">
        <v>1</v>
      </c>
      <c r="G88" s="6" t="n">
        <v>1.431544951943036e-06</v>
      </c>
    </row>
    <row r="89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r="101" ht="15.75" customHeight="1" s="43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>
      <c r="B102" s="51" t="n">
        <v>699122.1420566869</v>
      </c>
      <c r="C102" s="6" t="n">
        <v>1</v>
      </c>
      <c r="F102" s="51" t="n">
        <v>698546</v>
      </c>
      <c r="G102" s="6" t="n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T103"/>
  <sheetViews>
    <sheetView workbookViewId="0">
      <selection activeCell="G25" sqref="G25"/>
    </sheetView>
  </sheetViews>
  <sheetFormatPr baseColWidth="10" defaultRowHeight="15"/>
  <cols>
    <col collapsed="1" width="12.7109375" bestFit="1" customWidth="1" style="43" min="1" max="1"/>
    <col collapsed="1" width="12.42578125" customWidth="1" style="9" min="2" max="2"/>
    <col collapsed="1" width="10.28515625" bestFit="1" customWidth="1" style="43" min="3" max="3"/>
    <col hidden="1" collapsed="1" width="12.7109375" customWidth="1" style="43" min="4" max="4"/>
    <col collapsed="1" width="12.140625" bestFit="1" customWidth="1" style="9" min="5" max="5"/>
    <col width="15.7109375" bestFit="1" customWidth="1" style="9" min="6" max="6"/>
    <col width="17.42578125" bestFit="1" customWidth="1" style="9" min="7" max="7"/>
    <col width="10.28515625" bestFit="1" customWidth="1" style="9" min="8" max="8"/>
    <col collapsed="1" width="9.140625" customWidth="1" style="43" min="9" max="11"/>
    <col collapsed="1" width="13" customWidth="1" style="43" min="12" max="12"/>
    <col collapsed="1" width="19.5703125" bestFit="1" customWidth="1" style="59" min="13" max="13"/>
    <col collapsed="1" width="19.5703125" customWidth="1" style="45" min="14" max="14"/>
    <col collapsed="1" width="92.42578125" customWidth="1" style="43" min="15" max="15"/>
    <col collapsed="1" width="9.140625" customWidth="1" style="43" min="16" max="21"/>
    <col collapsed="1" width="9.140625" customWidth="1" style="43" min="22" max="16384"/>
  </cols>
  <sheetData>
    <row r="1">
      <c r="A1" s="5" t="inlineStr">
        <is>
          <t>Observed</t>
        </is>
      </c>
      <c r="D1" s="5" t="inlineStr">
        <is>
          <t>Estimated</t>
        </is>
      </c>
      <c r="K1" s="10" t="inlineStr">
        <is>
          <t>OtherTourDestinationCoefficients_SACOG-v1.8.F12</t>
        </is>
      </c>
      <c r="Q1" s="10" t="n"/>
    </row>
    <row r="2" ht="15.75" customHeight="1" s="43">
      <c r="A2" s="10" t="inlineStr">
        <is>
          <t>Count</t>
        </is>
      </c>
      <c r="M2" s="59" t="inlineStr">
        <is>
          <t>Current</t>
        </is>
      </c>
      <c r="N2" s="45" t="inlineStr">
        <is>
          <t>Next</t>
        </is>
      </c>
      <c r="S2" s="12" t="n"/>
      <c r="T2" s="12" t="n"/>
    </row>
    <row r="3">
      <c r="A3" s="13" t="inlineStr">
        <is>
          <t>Distance (mi)</t>
        </is>
      </c>
      <c r="B3" s="14" t="inlineStr">
        <is>
          <t>Survey</t>
        </is>
      </c>
      <c r="C3" s="14">
        <f>H3</f>
        <v/>
      </c>
      <c r="D3" s="13" t="inlineStr">
        <is>
          <t>Distance (mi)</t>
        </is>
      </c>
      <c r="E3" s="13" t="inlineStr">
        <is>
          <t>BKRCast (all)</t>
        </is>
      </c>
      <c r="F3" s="13" t="inlineStr">
        <is>
          <t>BKRCast (In BKR)</t>
        </is>
      </c>
      <c r="G3" s="13" t="inlineStr">
        <is>
          <t>BKRCast (Out BKR)</t>
        </is>
      </c>
      <c r="H3" s="13" t="inlineStr">
        <is>
          <t>SoundCast</t>
        </is>
      </c>
      <c r="I3" s="15" t="n"/>
      <c r="K3" t="n">
        <v>1</v>
      </c>
      <c r="L3" t="inlineStr">
        <is>
          <t>Beta00001</t>
        </is>
      </c>
      <c r="M3" s="59">
        <f>#REF!</f>
        <v/>
      </c>
      <c r="N3" s="46">
        <f>M3</f>
        <v/>
      </c>
      <c r="O3" t="inlineStr">
        <is>
          <t>sampleItem.AdjustmentFactor</t>
        </is>
      </c>
    </row>
    <row r="4">
      <c r="A4" s="16" t="inlineStr">
        <is>
          <t>0-1</t>
        </is>
      </c>
      <c r="B4" s="17">
        <f>TLFD!B11</f>
        <v/>
      </c>
      <c r="C4" s="17">
        <f>H4</f>
        <v/>
      </c>
      <c r="D4" s="16" t="inlineStr">
        <is>
          <t>0-1</t>
        </is>
      </c>
      <c r="E4" s="17">
        <f>TLFD!F11</f>
        <v/>
      </c>
      <c r="F4" s="17" t="n">
        <v>8797</v>
      </c>
      <c r="G4" s="17" t="n">
        <v>76462.73644739889</v>
      </c>
      <c r="H4" s="17" t="n">
        <v>83182</v>
      </c>
      <c r="I4" s="22" t="n"/>
      <c r="K4" t="n">
        <v>2</v>
      </c>
      <c r="L4" t="inlineStr">
        <is>
          <t>Beta00002</t>
        </is>
      </c>
      <c r="M4" s="59">
        <f>#REF!</f>
        <v/>
      </c>
      <c r="N4" s="46">
        <f>M4</f>
        <v/>
      </c>
      <c r="O4" t="inlineStr">
        <is>
          <t>_tour.IsHomeBasedTour).ToFlag() * timePressure</t>
        </is>
      </c>
    </row>
    <row r="5">
      <c r="A5" s="18" t="inlineStr">
        <is>
          <t>1-3.5</t>
        </is>
      </c>
      <c r="B5" s="19">
        <f>TLFD!B12+TLFD!B13+(TLFD!B14/2)</f>
        <v/>
      </c>
      <c r="C5" s="19">
        <f>H5</f>
        <v/>
      </c>
      <c r="D5" s="18" t="inlineStr">
        <is>
          <t>1-3.5</t>
        </is>
      </c>
      <c r="E5" s="19">
        <f>TLFD!F12+TLFD!F13+(TLFD!F14/2)</f>
        <v/>
      </c>
      <c r="F5" s="19" t="n">
        <v>19603</v>
      </c>
      <c r="G5" s="19" t="n">
        <v>105352.170763391</v>
      </c>
      <c r="H5" s="19" t="n">
        <v>195276</v>
      </c>
      <c r="I5" s="22" t="n"/>
      <c r="K5" t="n">
        <v>3</v>
      </c>
      <c r="L5" t="inlineStr">
        <is>
          <t>Beta00003</t>
        </is>
      </c>
      <c r="M5" s="59">
        <f>#REF!</f>
        <v/>
      </c>
      <c r="N5" s="46">
        <f>M5</f>
        <v/>
      </c>
      <c r="O5" t="inlineStr">
        <is>
          <t>_secondaryFlag * _workOrSchoolPatternFlag * distanceFromOrigin0</t>
        </is>
      </c>
    </row>
    <row r="6">
      <c r="A6" s="18" t="inlineStr">
        <is>
          <t>3.5-10</t>
        </is>
      </c>
      <c r="B6" s="19">
        <f>(TLFD!B14/2)+SUM(TLFD!B15:B20)</f>
        <v/>
      </c>
      <c r="C6" s="19">
        <f>H6</f>
        <v/>
      </c>
      <c r="D6" s="18" t="inlineStr">
        <is>
          <t>3.5-10</t>
        </is>
      </c>
      <c r="E6" s="19">
        <f>(TLFD!F14/2)+SUM(TLFD!F15:F20)</f>
        <v/>
      </c>
      <c r="F6" s="19" t="n">
        <v>20755.75</v>
      </c>
      <c r="G6" s="19" t="n">
        <v>258150.1042705281</v>
      </c>
      <c r="H6" s="19" t="n">
        <v>185340</v>
      </c>
      <c r="I6" s="22" t="n"/>
      <c r="K6" t="n">
        <v>4</v>
      </c>
      <c r="L6" t="inlineStr">
        <is>
          <t>Beta00004</t>
        </is>
      </c>
      <c r="M6" s="59">
        <f>#REF!</f>
        <v/>
      </c>
      <c r="N6" s="46">
        <f>M6</f>
        <v/>
      </c>
      <c r="O6" t="inlineStr">
        <is>
          <t>_secondaryFlag * _otherPatternFlag * distanceFromOrigin5</t>
        </is>
      </c>
    </row>
    <row r="7">
      <c r="A7" s="20" t="inlineStr">
        <is>
          <t>&gt;= 10</t>
        </is>
      </c>
      <c r="B7" s="21">
        <f>SUM(TLFD!B21:B101)</f>
        <v/>
      </c>
      <c r="C7" s="21">
        <f>H7</f>
        <v/>
      </c>
      <c r="D7" s="20" t="inlineStr">
        <is>
          <t>&gt;= 10</t>
        </is>
      </c>
      <c r="E7" s="21">
        <f>SUM(TLFD!F21:F101)</f>
        <v/>
      </c>
      <c r="F7" s="21" t="n">
        <v>7651</v>
      </c>
      <c r="G7" s="21" t="n">
        <v>87832.67040571809</v>
      </c>
      <c r="H7" s="21" t="n">
        <v>68628</v>
      </c>
      <c r="I7" s="22" t="n"/>
      <c r="K7" t="n">
        <v>5</v>
      </c>
      <c r="L7" t="inlineStr">
        <is>
          <t>Beta00005</t>
        </is>
      </c>
      <c r="M7" s="59">
        <f>#REF!</f>
        <v/>
      </c>
      <c r="N7" s="46">
        <f>M7</f>
        <v/>
      </c>
      <c r="O7" t="inlineStr">
        <is>
          <t>_secondaryFlag * _otherPatternFlag * distanceFromOrigin0</t>
        </is>
      </c>
    </row>
    <row r="8" ht="15.75" customHeight="1" s="43">
      <c r="A8" s="23" t="inlineStr">
        <is>
          <t>Total</t>
        </is>
      </c>
      <c r="B8" s="24">
        <f>SUM(B4:B7)</f>
        <v/>
      </c>
      <c r="C8" s="24">
        <f>H8</f>
        <v/>
      </c>
      <c r="D8" s="23" t="inlineStr">
        <is>
          <t>Total</t>
        </is>
      </c>
      <c r="E8" s="24">
        <f>SUM(E4:E7)</f>
        <v/>
      </c>
      <c r="F8" s="24" t="n">
        <v>56806.75</v>
      </c>
      <c r="G8" s="24" t="n">
        <v>527797.681887036</v>
      </c>
      <c r="H8" s="24" t="n">
        <v>532426</v>
      </c>
      <c r="K8" t="n">
        <v>6</v>
      </c>
      <c r="L8" t="inlineStr">
        <is>
          <t>Beta00006</t>
        </is>
      </c>
      <c r="M8" s="59">
        <f>#REF!</f>
        <v/>
      </c>
      <c r="N8" s="46">
        <f>M8</f>
        <v/>
      </c>
      <c r="O8" t="inlineStr">
        <is>
          <t>_secondaryFlag * _otherPatternFlag * distanceFromOrigin3</t>
        </is>
      </c>
    </row>
    <row r="9">
      <c r="C9" s="9" t="n"/>
      <c r="K9" t="n">
        <v>7</v>
      </c>
      <c r="L9" t="inlineStr">
        <is>
          <t>Beta00007</t>
        </is>
      </c>
      <c r="M9" s="59">
        <f>#REF!</f>
        <v/>
      </c>
      <c r="N9" s="46">
        <f>M9</f>
        <v/>
      </c>
      <c r="O9" t="inlineStr">
        <is>
          <t>(!_tour.IsHomeBasedTour).ToFlag() * distanceFromOriginLog</t>
        </is>
      </c>
    </row>
    <row r="10" ht="15.75" customHeight="1" s="43">
      <c r="A10" s="25" t="inlineStr">
        <is>
          <t>Share</t>
        </is>
      </c>
      <c r="C10" s="9" t="n"/>
      <c r="I10" s="15" t="n"/>
      <c r="K10" t="n">
        <v>8</v>
      </c>
      <c r="L10" t="inlineStr">
        <is>
          <t>Beta00008</t>
        </is>
      </c>
      <c r="M10" s="59">
        <f>#REF!</f>
        <v/>
      </c>
      <c r="N10" s="46">
        <f>M10</f>
        <v/>
      </c>
      <c r="O10" t="inlineStr">
        <is>
          <t>household.Has0To15KIncome.ToFlag() * distanceFromOriginLog</t>
        </is>
      </c>
    </row>
    <row r="11">
      <c r="A11" s="13" t="inlineStr">
        <is>
          <t>Distance (mi)</t>
        </is>
      </c>
      <c r="B11" s="14" t="inlineStr">
        <is>
          <t>Survey</t>
        </is>
      </c>
      <c r="C11" s="14">
        <f>H11</f>
        <v/>
      </c>
      <c r="D11" s="13" t="inlineStr">
        <is>
          <t>Distance (mi)</t>
        </is>
      </c>
      <c r="E11" s="13" t="inlineStr">
        <is>
          <t>BKRCast (all)</t>
        </is>
      </c>
      <c r="F11" s="13" t="inlineStr">
        <is>
          <t>BKRCast (In BKR)</t>
        </is>
      </c>
      <c r="G11" s="13" t="inlineStr">
        <is>
          <t>BKRCast (Out BKR)</t>
        </is>
      </c>
      <c r="H11" s="13" t="inlineStr">
        <is>
          <t>SoundCast</t>
        </is>
      </c>
      <c r="I11" s="28" t="n"/>
      <c r="K11" t="n">
        <v>9</v>
      </c>
      <c r="L11" t="inlineStr">
        <is>
          <t>Beta00009</t>
        </is>
      </c>
      <c r="M11" s="59">
        <f>#REF!</f>
        <v/>
      </c>
      <c r="N11" s="46">
        <f>M11</f>
        <v/>
      </c>
      <c r="O11" t="inlineStr">
        <is>
          <t>household.HasMissingIncome.ToFlag() * distanceFromOriginLog</t>
        </is>
      </c>
    </row>
    <row r="12">
      <c r="A12" s="16" t="inlineStr">
        <is>
          <t>0-1</t>
        </is>
      </c>
      <c r="B12" s="60">
        <f>B4/B$8</f>
        <v/>
      </c>
      <c r="C12" s="60">
        <f>H12</f>
        <v/>
      </c>
      <c r="D12" s="16" t="inlineStr">
        <is>
          <t>0-1</t>
        </is>
      </c>
      <c r="E12" s="60">
        <f>E4/E$8</f>
        <v/>
      </c>
      <c r="F12" s="60" t="n">
        <v>0.1548583575015293</v>
      </c>
      <c r="G12" s="60" t="n">
        <v>0.1448713002566088</v>
      </c>
      <c r="H12" s="60" t="n">
        <v>0.1562320397576377</v>
      </c>
      <c r="I12" s="28" t="n"/>
      <c r="K12" t="n">
        <v>10</v>
      </c>
      <c r="L12" t="inlineStr">
        <is>
          <t>Beta00010</t>
        </is>
      </c>
      <c r="M12" s="59">
        <f>#REF!</f>
        <v/>
      </c>
      <c r="N12" s="46">
        <f>M12</f>
        <v/>
      </c>
      <c r="O12" t="inlineStr">
        <is>
          <t>person.IsRetiredAdult.ToFlag() * distanceFromOriginLog</t>
        </is>
      </c>
    </row>
    <row r="13">
      <c r="A13" s="18" t="inlineStr">
        <is>
          <t>1-3.5</t>
        </is>
      </c>
      <c r="B13" s="61">
        <f>B5/B$8</f>
        <v/>
      </c>
      <c r="C13" s="61">
        <f>H13</f>
        <v/>
      </c>
      <c r="D13" s="18" t="inlineStr">
        <is>
          <t>1-3.5</t>
        </is>
      </c>
      <c r="E13" s="61">
        <f>E5/E$8</f>
        <v/>
      </c>
      <c r="F13" s="61" t="n">
        <v>0.3450822305447856</v>
      </c>
      <c r="G13" s="61" t="n">
        <v>0.1996071115483592</v>
      </c>
      <c r="H13" s="61" t="n">
        <v>0.3667664614425291</v>
      </c>
      <c r="I13" s="28" t="n"/>
      <c r="K13" t="n">
        <v>11</v>
      </c>
      <c r="L13" t="inlineStr">
        <is>
          <t>Beta00011</t>
        </is>
      </c>
      <c r="M13" s="59">
        <f>#REF!</f>
        <v/>
      </c>
      <c r="N13" s="46">
        <f>M13</f>
        <v/>
      </c>
      <c r="O13" t="inlineStr">
        <is>
          <t>person.IsChildAge5Through15.ToFlag() * distanceFromOriginLog</t>
        </is>
      </c>
    </row>
    <row r="14">
      <c r="A14" s="18" t="inlineStr">
        <is>
          <t>3.5-10</t>
        </is>
      </c>
      <c r="B14" s="61">
        <f>B6/B$8</f>
        <v/>
      </c>
      <c r="C14" s="61">
        <f>H14</f>
        <v/>
      </c>
      <c r="D14" s="18" t="inlineStr">
        <is>
          <t>3.5-10</t>
        </is>
      </c>
      <c r="E14" s="61">
        <f>E6/E$8</f>
        <v/>
      </c>
      <c r="F14" s="61" t="n">
        <v>0.3653747133923345</v>
      </c>
      <c r="G14" s="61" t="n">
        <v>0.4891080675981061</v>
      </c>
      <c r="H14" s="61" t="n">
        <v>0.3481047131432349</v>
      </c>
      <c r="I14" s="28" t="n"/>
      <c r="K14" t="n">
        <v>12</v>
      </c>
      <c r="L14" t="inlineStr">
        <is>
          <t>Beta00012</t>
        </is>
      </c>
      <c r="M14" s="59">
        <f>#REF!</f>
        <v/>
      </c>
      <c r="N14" s="46">
        <f>M14</f>
        <v/>
      </c>
      <c r="O14" t="inlineStr">
        <is>
          <t>person.IsChildUnder5.ToFlag() * distanceFromOriginLog</t>
        </is>
      </c>
    </row>
    <row r="15">
      <c r="A15" s="20" t="inlineStr">
        <is>
          <t>&gt;= 10</t>
        </is>
      </c>
      <c r="B15" s="61">
        <f>B7/B$8</f>
        <v/>
      </c>
      <c r="C15" s="61">
        <f>H15</f>
        <v/>
      </c>
      <c r="D15" s="20" t="inlineStr">
        <is>
          <t>&gt;= 10</t>
        </is>
      </c>
      <c r="E15" s="61">
        <f>E7/E$8</f>
        <v/>
      </c>
      <c r="F15" s="61" t="n">
        <v>0.1346846985613505</v>
      </c>
      <c r="G15" s="61" t="n">
        <v>0.1664135205969261</v>
      </c>
      <c r="H15" s="61" t="n">
        <v>0.1288967856565983</v>
      </c>
      <c r="K15" t="n">
        <v>13</v>
      </c>
      <c r="L15" t="inlineStr">
        <is>
          <t>Beta00013</t>
        </is>
      </c>
      <c r="M15" s="59">
        <f>#REF!</f>
        <v/>
      </c>
      <c r="N15" s="46">
        <f>M15</f>
        <v/>
      </c>
      <c r="O15" t="inlineStr">
        <is>
          <t>(_tour.IsHomeBasedTour).ToFlag() * distanceFromSchoolLog</t>
        </is>
      </c>
    </row>
    <row r="16" ht="15.75" customHeight="1" s="43">
      <c r="A16" s="23" t="inlineStr">
        <is>
          <t>Total</t>
        </is>
      </c>
      <c r="B16" s="62">
        <f>B8/B$8</f>
        <v/>
      </c>
      <c r="C16" s="62">
        <f>H16</f>
        <v/>
      </c>
      <c r="D16" s="23" t="inlineStr">
        <is>
          <t>Total</t>
        </is>
      </c>
      <c r="E16" s="62">
        <f>E8/E$8</f>
        <v/>
      </c>
      <c r="F16" s="62" t="n">
        <v>1</v>
      </c>
      <c r="G16" s="62" t="n">
        <v>1</v>
      </c>
      <c r="H16" s="62" t="n">
        <v>1</v>
      </c>
      <c r="K16" t="n">
        <v>14</v>
      </c>
      <c r="L16" t="inlineStr">
        <is>
          <t>Beta00014</t>
        </is>
      </c>
      <c r="M16" s="59">
        <f>#REF!</f>
        <v/>
      </c>
      <c r="N16" s="46">
        <f>M16</f>
        <v/>
      </c>
      <c r="O16" t="inlineStr">
        <is>
          <t>distanceFromWorkLog</t>
        </is>
      </c>
    </row>
    <row r="17">
      <c r="K17" t="n">
        <v>15</v>
      </c>
      <c r="L17" t="inlineStr">
        <is>
          <t>Beta00015</t>
        </is>
      </c>
      <c r="M17" s="59">
        <f>#REF!</f>
        <v/>
      </c>
      <c r="N17" s="46">
        <f>M17</f>
        <v/>
      </c>
      <c r="O17" t="inlineStr">
        <is>
          <t>carCompetitionFlag * destinationParcel.ParkingHourlyEmploymentCommercialMixInParcel()</t>
        </is>
      </c>
    </row>
    <row r="18">
      <c r="K18" t="n">
        <v>16</v>
      </c>
      <c r="L18" t="inlineStr">
        <is>
          <t>Beta00016</t>
        </is>
      </c>
      <c r="M18" s="59">
        <f>#REF!</f>
        <v/>
      </c>
      <c r="N18" s="46">
        <f>M18</f>
        <v/>
      </c>
      <c r="O18" t="inlineStr">
        <is>
          <t>noCarCompetitionFlag * destinationParcel.ParkingHourlyEmploymentCommercialMixInParcel()</t>
        </is>
      </c>
    </row>
    <row r="19">
      <c r="A19" s="30" t="inlineStr">
        <is>
          <t>Table X.X</t>
        </is>
      </c>
      <c r="K19" t="n">
        <v>17</v>
      </c>
      <c r="L19" t="inlineStr">
        <is>
          <t>Beta00017</t>
        </is>
      </c>
      <c r="M19" s="59">
        <f>#REF!</f>
        <v/>
      </c>
      <c r="N19" s="46">
        <f>M19</f>
        <v/>
      </c>
      <c r="O19" t="inlineStr">
        <is>
          <t>carCompetitionFlag * destinationParcel.ParkingHourlyEmploymentCommercialMixBuffer1()</t>
        </is>
      </c>
    </row>
    <row r="20">
      <c r="A20" s="30" t="inlineStr">
        <is>
          <t>ORIGINAL COEFFICIENT</t>
        </is>
      </c>
      <c r="K20" t="n">
        <v>18</v>
      </c>
      <c r="L20" t="inlineStr">
        <is>
          <t>Beta00018</t>
        </is>
      </c>
      <c r="M20" s="59">
        <f>#REF!</f>
        <v/>
      </c>
      <c r="N20" s="46">
        <f>M20</f>
        <v/>
      </c>
      <c r="O20" t="inlineStr">
        <is>
          <t>noCarCompetitionFlag * destinationParcel.ParkingHourlyEmploymentCommercialMixBuffer1()</t>
        </is>
      </c>
    </row>
    <row r="21" ht="15.75" customHeight="1" s="43">
      <c r="A21" s="31" t="n"/>
      <c r="J21" t="inlineStr">
        <is>
          <t>ESCORT</t>
        </is>
      </c>
      <c r="K21" t="n">
        <v>19</v>
      </c>
      <c r="L21" t="inlineStr">
        <is>
          <t>Beta00019</t>
        </is>
      </c>
      <c r="M21" s="59">
        <f>#REF!</f>
        <v/>
      </c>
      <c r="N21" s="46">
        <f>M21</f>
        <v/>
      </c>
      <c r="O21" t="inlineStr">
        <is>
          <t>noCarsFlag * c34Ratio</t>
        </is>
      </c>
    </row>
    <row r="22">
      <c r="A22" s="32" t="inlineStr">
        <is>
          <t>Purpose</t>
        </is>
      </c>
      <c r="B22" s="33" t="n"/>
      <c r="J22" t="inlineStr">
        <is>
          <t>ESCORT</t>
        </is>
      </c>
      <c r="K22" t="n">
        <v>20</v>
      </c>
      <c r="L22" t="inlineStr">
        <is>
          <t>Beta00020</t>
        </is>
      </c>
      <c r="M22" s="59">
        <f>#REF!</f>
        <v/>
      </c>
      <c r="N22" s="46">
        <f>M22</f>
        <v/>
      </c>
      <c r="O22" s="44" t="inlineStr">
        <is>
          <t>tourLogsum</t>
        </is>
      </c>
    </row>
    <row r="23">
      <c r="A23" s="16" t="inlineStr">
        <is>
          <t>0-1</t>
        </is>
      </c>
      <c r="B23" s="63">
        <f>M39</f>
        <v/>
      </c>
      <c r="J23" t="inlineStr">
        <is>
          <t>ESCORT</t>
        </is>
      </c>
      <c r="K23" t="n">
        <v>21</v>
      </c>
      <c r="L23" t="inlineStr">
        <is>
          <t>Beta00021</t>
        </is>
      </c>
      <c r="M23" s="59">
        <f>#REF!</f>
        <v/>
      </c>
      <c r="N23" s="46">
        <f>M23</f>
        <v/>
      </c>
      <c r="O23" t="inlineStr">
        <is>
          <t>distanceFromOrigin4</t>
        </is>
      </c>
    </row>
    <row r="24">
      <c r="A24" s="18" t="inlineStr">
        <is>
          <t>1-3.5</t>
        </is>
      </c>
      <c r="B24" s="63">
        <f>M40</f>
        <v/>
      </c>
      <c r="J24" t="inlineStr">
        <is>
          <t>ESCORT</t>
        </is>
      </c>
      <c r="K24" t="n">
        <v>22</v>
      </c>
      <c r="L24" t="inlineStr">
        <is>
          <t>Beta00022</t>
        </is>
      </c>
      <c r="M24" s="59">
        <f>#REF!</f>
        <v/>
      </c>
      <c r="N24" s="46">
        <f>M24</f>
        <v/>
      </c>
      <c r="O24" t="inlineStr">
        <is>
          <t>distanceFromOrigin8</t>
        </is>
      </c>
    </row>
    <row r="25">
      <c r="A25" s="18" t="inlineStr">
        <is>
          <t>3.5-10</t>
        </is>
      </c>
      <c r="B25" s="63">
        <f>M41</f>
        <v/>
      </c>
      <c r="J25" t="inlineStr">
        <is>
          <t>ESCORT</t>
        </is>
      </c>
      <c r="K25" t="n">
        <v>23</v>
      </c>
      <c r="L25" t="inlineStr">
        <is>
          <t>Beta00023</t>
        </is>
      </c>
      <c r="M25" s="59">
        <f>#REF!</f>
        <v/>
      </c>
      <c r="N25" s="46">
        <f>M25</f>
        <v/>
      </c>
      <c r="O25" t="inlineStr">
        <is>
          <t>distanceFromOrigin9</t>
        </is>
      </c>
    </row>
    <row r="26" ht="15.75" customHeight="1" s="43">
      <c r="A26" s="35" t="inlineStr">
        <is>
          <t>&gt;= 10</t>
        </is>
      </c>
      <c r="B26" s="64">
        <f>M42</f>
        <v/>
      </c>
      <c r="J26" t="inlineStr">
        <is>
          <t>ESCORT</t>
        </is>
      </c>
      <c r="K26" t="n">
        <v>24</v>
      </c>
      <c r="L26" t="inlineStr">
        <is>
          <t>Beta00024</t>
        </is>
      </c>
      <c r="M26" s="59">
        <f>#REF!</f>
        <v/>
      </c>
      <c r="N26" s="46">
        <f>M26</f>
        <v/>
      </c>
      <c r="O26" s="44" t="inlineStr">
        <is>
          <t>householdHasChildren.ToFlag() * studK12Buffer</t>
        </is>
      </c>
    </row>
    <row r="27">
      <c r="A27" s="31" t="n"/>
      <c r="B27" s="37" t="n"/>
      <c r="J27" t="inlineStr">
        <is>
          <t>PERSBUS/MED</t>
        </is>
      </c>
      <c r="K27" t="n">
        <v>25</v>
      </c>
      <c r="L27" t="inlineStr">
        <is>
          <t>Beta00025</t>
        </is>
      </c>
      <c r="M27" s="59">
        <f>#REF!</f>
        <v/>
      </c>
      <c r="N27" s="46">
        <f>M27</f>
        <v/>
      </c>
      <c r="O27" s="44" t="inlineStr">
        <is>
          <t>empTotBuffer</t>
        </is>
      </c>
    </row>
    <row r="28">
      <c r="A28" s="31" t="n"/>
      <c r="B28" s="37" t="n"/>
      <c r="J28" t="inlineStr">
        <is>
          <t>PERSBUS/MED</t>
        </is>
      </c>
      <c r="K28" t="n">
        <v>26</v>
      </c>
      <c r="L28" t="inlineStr">
        <is>
          <t>Beta00026</t>
        </is>
      </c>
      <c r="M28" s="59">
        <f>#REF!</f>
        <v/>
      </c>
      <c r="N28" s="46">
        <f>M28</f>
        <v/>
      </c>
      <c r="O28" t="inlineStr">
        <is>
          <t>tourLogsum</t>
        </is>
      </c>
    </row>
    <row r="29">
      <c r="A29" s="30" t="inlineStr">
        <is>
          <t>Table X.X</t>
        </is>
      </c>
      <c r="B29" s="38" t="n"/>
      <c r="J29" t="inlineStr">
        <is>
          <t>PERSBUS/MED</t>
        </is>
      </c>
      <c r="K29" t="n">
        <v>27</v>
      </c>
      <c r="L29" t="inlineStr">
        <is>
          <t>Beta00027</t>
        </is>
      </c>
      <c r="M29" s="59">
        <f>#REF!</f>
        <v/>
      </c>
      <c r="N29" s="46">
        <f>M29</f>
        <v/>
      </c>
      <c r="O29" t="inlineStr">
        <is>
          <t>distanceFromOrigin4</t>
        </is>
      </c>
    </row>
    <row r="30">
      <c r="A30" s="30" t="inlineStr">
        <is>
          <t>COEFFICIENT ADJUSTMENT</t>
        </is>
      </c>
      <c r="B30" s="38" t="n"/>
      <c r="J30" t="inlineStr">
        <is>
          <t>PERSBUS/MED</t>
        </is>
      </c>
      <c r="K30" t="n">
        <v>28</v>
      </c>
      <c r="L30" t="inlineStr">
        <is>
          <t>Beta00028</t>
        </is>
      </c>
      <c r="M30" s="59">
        <f>#REF!</f>
        <v/>
      </c>
      <c r="N30" s="46">
        <f>M30</f>
        <v/>
      </c>
      <c r="O30" t="inlineStr">
        <is>
          <t>distanceFromOrigin8</t>
        </is>
      </c>
    </row>
    <row r="31" ht="15.75" customHeight="1" s="43">
      <c r="A31" s="31" t="n"/>
      <c r="B31" s="37" t="n"/>
      <c r="J31" t="inlineStr">
        <is>
          <t>PERSBUS/MED</t>
        </is>
      </c>
      <c r="K31" t="n">
        <v>29</v>
      </c>
      <c r="L31" t="inlineStr">
        <is>
          <t>Beta00029</t>
        </is>
      </c>
      <c r="M31" s="59">
        <f>#REF!</f>
        <v/>
      </c>
      <c r="N31" s="46">
        <f>M31</f>
        <v/>
      </c>
      <c r="O31" t="inlineStr">
        <is>
          <t>distanceFromOrigin9</t>
        </is>
      </c>
    </row>
    <row r="32">
      <c r="A32" s="32" t="inlineStr">
        <is>
          <t>Purpose</t>
        </is>
      </c>
      <c r="B32" s="33" t="n"/>
      <c r="J32" t="inlineStr">
        <is>
          <t>PERSBUS/MED</t>
        </is>
      </c>
      <c r="K32" t="n">
        <v>30</v>
      </c>
      <c r="L32" t="inlineStr">
        <is>
          <t>Beta00030</t>
        </is>
      </c>
      <c r="M32" s="59">
        <f>#REF!</f>
        <v/>
      </c>
      <c r="N32" s="46">
        <f>M32</f>
        <v/>
      </c>
      <c r="O32" t="inlineStr">
        <is>
          <t>distanceFromOrigin3</t>
        </is>
      </c>
    </row>
    <row r="33">
      <c r="A33" s="16" t="inlineStr">
        <is>
          <t>0-1</t>
        </is>
      </c>
      <c r="B33" s="63">
        <f>LN(B12/E12)-LN(B12/E12)</f>
        <v/>
      </c>
      <c r="J33" t="inlineStr">
        <is>
          <t>PERSBUS/MED</t>
        </is>
      </c>
      <c r="K33" t="n">
        <v>31</v>
      </c>
      <c r="L33" t="inlineStr">
        <is>
          <t>Beta00031</t>
        </is>
      </c>
      <c r="M33" s="59">
        <f>#REF!</f>
        <v/>
      </c>
      <c r="N33" s="46">
        <f>M33</f>
        <v/>
      </c>
      <c r="O33" s="44" t="inlineStr">
        <is>
          <t>empEduBuffer</t>
        </is>
      </c>
    </row>
    <row r="34">
      <c r="A34" s="18" t="inlineStr">
        <is>
          <t>1-3.5</t>
        </is>
      </c>
      <c r="B34" s="63">
        <f>LN(B13/E13)-LN(B12/E12)</f>
        <v/>
      </c>
      <c r="J34" t="inlineStr">
        <is>
          <t>PERSBUS/MED</t>
        </is>
      </c>
      <c r="K34" t="n">
        <v>32</v>
      </c>
      <c r="L34" t="inlineStr">
        <is>
          <t>Beta00032</t>
        </is>
      </c>
      <c r="M34" s="59">
        <f>#REF!</f>
        <v/>
      </c>
      <c r="N34" s="46">
        <f>M34</f>
        <v/>
      </c>
      <c r="O34" s="44" t="inlineStr">
        <is>
          <t>empSvcBuffer</t>
        </is>
      </c>
    </row>
    <row r="35">
      <c r="A35" s="18" t="inlineStr">
        <is>
          <t>3.5-10</t>
        </is>
      </c>
      <c r="B35" s="63">
        <f>LN(B14/E14)-LN(B13/E13)-LN(B12/E12)</f>
        <v/>
      </c>
      <c r="E35" s="39" t="n"/>
      <c r="F35" s="39" t="n"/>
      <c r="G35" s="39" t="n"/>
      <c r="H35" s="39" t="n"/>
      <c r="J35" t="inlineStr">
        <is>
          <t>PERSBUS/MED</t>
        </is>
      </c>
      <c r="K35" t="n">
        <v>33</v>
      </c>
      <c r="L35" t="inlineStr">
        <is>
          <t>Beta00033</t>
        </is>
      </c>
      <c r="M35" s="59">
        <f>#REF!</f>
        <v/>
      </c>
      <c r="N35" s="46">
        <f>M35</f>
        <v/>
      </c>
      <c r="O35" s="44" t="inlineStr">
        <is>
          <t>empMedBuffer</t>
        </is>
      </c>
    </row>
    <row r="36" ht="15.75" customHeight="1" s="43">
      <c r="A36" s="35" t="inlineStr">
        <is>
          <t>&gt;= 10</t>
        </is>
      </c>
      <c r="B36" s="64">
        <f>LN(B15/E15)-LN(B14/E14)-LN(B13/E13)-LN(B12/E12)</f>
        <v/>
      </c>
      <c r="E36" s="40" t="n"/>
      <c r="F36" s="40" t="n"/>
      <c r="G36" s="40" t="n"/>
      <c r="H36" s="40" t="n"/>
      <c r="J36" t="inlineStr">
        <is>
          <t>PERSBUS/MED</t>
        </is>
      </c>
      <c r="K36" t="n">
        <v>34</v>
      </c>
      <c r="L36" t="inlineStr">
        <is>
          <t>Beta00034</t>
        </is>
      </c>
      <c r="M36" s="59">
        <f>#REF!</f>
        <v/>
      </c>
      <c r="N36" s="46">
        <f>M36</f>
        <v/>
      </c>
      <c r="O36" s="44" t="inlineStr">
        <is>
          <t>housesBuffer</t>
        </is>
      </c>
    </row>
    <row r="37">
      <c r="A37" s="31" t="n"/>
      <c r="B37" s="63" t="n"/>
      <c r="J37" t="inlineStr">
        <is>
          <t>SHOP</t>
        </is>
      </c>
      <c r="K37" t="n">
        <v>35</v>
      </c>
      <c r="L37" t="inlineStr">
        <is>
          <t>Beta00035</t>
        </is>
      </c>
      <c r="M37" s="59">
        <f>#REF!</f>
        <v/>
      </c>
      <c r="N37" s="46">
        <f>M37</f>
        <v/>
      </c>
      <c r="O37" s="44" t="inlineStr">
        <is>
          <t>studUniBuffer</t>
        </is>
      </c>
    </row>
    <row r="38">
      <c r="A38" s="31" t="n"/>
      <c r="B38" s="63" t="n"/>
      <c r="J38" t="inlineStr">
        <is>
          <t>SHOP</t>
        </is>
      </c>
      <c r="K38" t="n">
        <v>36</v>
      </c>
      <c r="L38" t="inlineStr">
        <is>
          <t>Beta00036</t>
        </is>
      </c>
      <c r="M38" s="59">
        <f>#REF!</f>
        <v/>
      </c>
      <c r="N38" s="46">
        <f>M38</f>
        <v/>
      </c>
      <c r="O38" s="44" t="inlineStr">
        <is>
          <t>tourLogsum</t>
        </is>
      </c>
    </row>
    <row r="39">
      <c r="A39" s="30" t="inlineStr">
        <is>
          <t>Table X.X</t>
        </is>
      </c>
      <c r="B39" s="65" t="n"/>
      <c r="J39" s="47" t="inlineStr">
        <is>
          <t>SHOP</t>
        </is>
      </c>
      <c r="K39" s="47" t="n">
        <v>37</v>
      </c>
      <c r="L39" s="47" t="inlineStr">
        <is>
          <t>Beta00037</t>
        </is>
      </c>
      <c r="M39" s="66">
        <f>#REF!</f>
        <v/>
      </c>
      <c r="N39" s="49">
        <f>B43</f>
        <v/>
      </c>
      <c r="O39" s="50" t="inlineStr">
        <is>
          <t>distanceFromOrigin4</t>
        </is>
      </c>
    </row>
    <row r="40">
      <c r="A40" s="30" t="inlineStr">
        <is>
          <t>NEXT COEFFICIENT</t>
        </is>
      </c>
      <c r="B40" s="65" t="n"/>
      <c r="J40" s="47" t="inlineStr">
        <is>
          <t>SHOP</t>
        </is>
      </c>
      <c r="K40" s="47" t="n">
        <v>38</v>
      </c>
      <c r="L40" s="47" t="inlineStr">
        <is>
          <t>Beta00038</t>
        </is>
      </c>
      <c r="M40" s="66">
        <f>#REF!</f>
        <v/>
      </c>
      <c r="N40" s="49">
        <f>B44</f>
        <v/>
      </c>
      <c r="O40" s="50" t="inlineStr">
        <is>
          <t>distanceFromOrigin8</t>
        </is>
      </c>
    </row>
    <row r="41" ht="15.75" customHeight="1" s="43">
      <c r="A41" s="31" t="n"/>
      <c r="B41" s="63" t="n"/>
      <c r="J41" s="47" t="inlineStr">
        <is>
          <t>SHOP</t>
        </is>
      </c>
      <c r="K41" s="47" t="n">
        <v>39</v>
      </c>
      <c r="L41" s="47" t="inlineStr">
        <is>
          <t>Beta00039</t>
        </is>
      </c>
      <c r="M41" s="66">
        <f>#REF!</f>
        <v/>
      </c>
      <c r="N41" s="49">
        <f>B45</f>
        <v/>
      </c>
      <c r="O41" s="50" t="inlineStr">
        <is>
          <t>distanceFromOrigin9</t>
        </is>
      </c>
    </row>
    <row r="42">
      <c r="A42" s="32" t="inlineStr">
        <is>
          <t>Purpose</t>
        </is>
      </c>
      <c r="B42" s="67" t="n"/>
      <c r="J42" s="47" t="inlineStr">
        <is>
          <t>SHOP</t>
        </is>
      </c>
      <c r="K42" s="47" t="n">
        <v>40</v>
      </c>
      <c r="L42" s="47" t="inlineStr">
        <is>
          <t>Beta00040</t>
        </is>
      </c>
      <c r="M42" s="66">
        <f>#REF!</f>
        <v/>
      </c>
      <c r="N42" s="49">
        <f>B46</f>
        <v/>
      </c>
      <c r="O42" s="50" t="inlineStr">
        <is>
          <t>distanceFromOrigin3</t>
        </is>
      </c>
    </row>
    <row r="43">
      <c r="A43" s="16" t="inlineStr">
        <is>
          <t>0-1</t>
        </is>
      </c>
      <c r="B43" s="63">
        <f>B23+B33</f>
        <v/>
      </c>
      <c r="J43" t="inlineStr">
        <is>
          <t>SHOP</t>
        </is>
      </c>
      <c r="K43" t="n">
        <v>41</v>
      </c>
      <c r="L43" t="inlineStr">
        <is>
          <t>Beta00041</t>
        </is>
      </c>
      <c r="M43" s="59">
        <f>#REF!</f>
        <v/>
      </c>
      <c r="N43" s="46">
        <f>M43</f>
        <v/>
      </c>
      <c r="O43" s="44" t="inlineStr">
        <is>
          <t>empEduBuffer</t>
        </is>
      </c>
    </row>
    <row r="44">
      <c r="A44" s="18" t="inlineStr">
        <is>
          <t>1-3.5</t>
        </is>
      </c>
      <c r="B44" s="63">
        <f>B24+B34</f>
        <v/>
      </c>
      <c r="J44" t="inlineStr">
        <is>
          <t>MEAL</t>
        </is>
      </c>
      <c r="K44" t="n">
        <v>42</v>
      </c>
      <c r="L44" t="inlineStr">
        <is>
          <t>Beta00042</t>
        </is>
      </c>
      <c r="M44" s="59">
        <f>#REF!</f>
        <v/>
      </c>
      <c r="N44" s="46">
        <f>M44</f>
        <v/>
      </c>
      <c r="O44" s="44" t="inlineStr">
        <is>
          <t>empRetBuffer</t>
        </is>
      </c>
    </row>
    <row r="45">
      <c r="A45" s="18" t="inlineStr">
        <is>
          <t>3.5-10</t>
        </is>
      </c>
      <c r="B45" s="63">
        <f>B25+B35</f>
        <v/>
      </c>
      <c r="J45" t="inlineStr">
        <is>
          <t>MEAL</t>
        </is>
      </c>
      <c r="K45" t="n">
        <v>43</v>
      </c>
      <c r="L45" t="inlineStr">
        <is>
          <t>Beta00043</t>
        </is>
      </c>
      <c r="M45" s="59">
        <f>#REF!</f>
        <v/>
      </c>
      <c r="N45" s="46">
        <f>M45</f>
        <v/>
      </c>
      <c r="O45" s="44" t="inlineStr">
        <is>
          <t>tourLogsum</t>
        </is>
      </c>
    </row>
    <row r="46" ht="15.75" customHeight="1" s="43">
      <c r="A46" s="35" t="inlineStr">
        <is>
          <t>&gt;= 10</t>
        </is>
      </c>
      <c r="B46" s="64">
        <f>B26+B36</f>
        <v/>
      </c>
      <c r="J46" t="inlineStr">
        <is>
          <t>MEAL</t>
        </is>
      </c>
      <c r="K46" t="n">
        <v>44</v>
      </c>
      <c r="L46" t="inlineStr">
        <is>
          <t>Beta00044</t>
        </is>
      </c>
      <c r="M46" s="59">
        <f>#REF!</f>
        <v/>
      </c>
      <c r="N46" s="46">
        <f>M46</f>
        <v/>
      </c>
      <c r="O46" s="44" t="inlineStr">
        <is>
          <t>distanceFromOrigin4  (0 -1 mile)</t>
        </is>
      </c>
    </row>
    <row r="47">
      <c r="J47" t="inlineStr">
        <is>
          <t>MEAL</t>
        </is>
      </c>
      <c r="K47" t="n">
        <v>45</v>
      </c>
      <c r="L47" t="inlineStr">
        <is>
          <t>Beta00045</t>
        </is>
      </c>
      <c r="M47" s="59">
        <f>#REF!</f>
        <v/>
      </c>
      <c r="N47" s="46">
        <f>M47</f>
        <v/>
      </c>
      <c r="O47" s="44" t="inlineStr">
        <is>
          <t>distanceFromOrigin8 (distance from 1 - 3.5 miles)</t>
        </is>
      </c>
    </row>
    <row r="48">
      <c r="J48" t="inlineStr">
        <is>
          <t>MEAL</t>
        </is>
      </c>
      <c r="K48" t="n">
        <v>46</v>
      </c>
      <c r="L48" t="inlineStr">
        <is>
          <t>Beta00046</t>
        </is>
      </c>
      <c r="M48" s="59">
        <f>#REF!</f>
        <v/>
      </c>
      <c r="N48" s="46">
        <f>M48</f>
        <v/>
      </c>
      <c r="O48" s="44" t="inlineStr">
        <is>
          <t>distanceFromOrigin9 (distance from 3.5 miles - 10 miles)</t>
        </is>
      </c>
    </row>
    <row r="49">
      <c r="J49" t="inlineStr">
        <is>
          <t>MEAL</t>
        </is>
      </c>
      <c r="K49" t="n">
        <v>47</v>
      </c>
      <c r="L49" t="inlineStr">
        <is>
          <t>Beta00047</t>
        </is>
      </c>
      <c r="M49" s="59">
        <f>#REF!</f>
        <v/>
      </c>
      <c r="N49" s="46">
        <f>M49</f>
        <v/>
      </c>
      <c r="O49" s="44" t="inlineStr">
        <is>
          <t>distanceFromOrigin3 (Distance over 10 miles)</t>
        </is>
      </c>
    </row>
    <row r="50">
      <c r="J50" t="inlineStr">
        <is>
          <t>SOCREC</t>
        </is>
      </c>
      <c r="K50" t="n">
        <v>48</v>
      </c>
      <c r="L50" t="inlineStr">
        <is>
          <t>Beta00048</t>
        </is>
      </c>
      <c r="M50" s="59">
        <f>#REF!</f>
        <v/>
      </c>
      <c r="N50" s="46">
        <f>M50</f>
        <v/>
      </c>
      <c r="O50" s="44" t="inlineStr">
        <is>
          <t>empFooBuffer</t>
        </is>
      </c>
    </row>
    <row r="51">
      <c r="J51" t="inlineStr">
        <is>
          <t>SOCREC</t>
        </is>
      </c>
      <c r="K51" t="n">
        <v>49</v>
      </c>
      <c r="L51" t="inlineStr">
        <is>
          <t>Beta00049</t>
        </is>
      </c>
      <c r="M51" s="59">
        <f>#REF!</f>
        <v/>
      </c>
      <c r="N51" s="46">
        <f>M51</f>
        <v/>
      </c>
      <c r="O51" s="44" t="inlineStr">
        <is>
          <t>tourLogsum</t>
        </is>
      </c>
    </row>
    <row r="52">
      <c r="J52" t="inlineStr">
        <is>
          <t>SOCREC</t>
        </is>
      </c>
      <c r="K52" t="n">
        <v>50</v>
      </c>
      <c r="L52" t="inlineStr">
        <is>
          <t>Beta00050</t>
        </is>
      </c>
      <c r="M52" s="59">
        <f>#REF!</f>
        <v/>
      </c>
      <c r="N52" s="46">
        <f>M52</f>
        <v/>
      </c>
      <c r="O52" s="44" t="inlineStr">
        <is>
          <t>distanceFromOrigin4</t>
        </is>
      </c>
    </row>
    <row r="53">
      <c r="J53" t="inlineStr">
        <is>
          <t>SOCREC</t>
        </is>
      </c>
      <c r="K53" t="n">
        <v>51</v>
      </c>
      <c r="L53" t="inlineStr">
        <is>
          <t>Beta00051</t>
        </is>
      </c>
      <c r="M53" s="59">
        <f>#REF!</f>
        <v/>
      </c>
      <c r="N53" s="46">
        <f>M53</f>
        <v/>
      </c>
      <c r="O53" s="44" t="inlineStr">
        <is>
          <t>distanceFromOrigin8</t>
        </is>
      </c>
    </row>
    <row r="54">
      <c r="J54" t="inlineStr">
        <is>
          <t>SOCREC</t>
        </is>
      </c>
      <c r="K54" t="n">
        <v>52</v>
      </c>
      <c r="L54" t="inlineStr">
        <is>
          <t>Beta00052</t>
        </is>
      </c>
      <c r="M54" s="59">
        <f>#REF!</f>
        <v/>
      </c>
      <c r="N54" s="46">
        <f>M54</f>
        <v/>
      </c>
      <c r="O54" s="44" t="inlineStr">
        <is>
          <t>distanceFromOrigin9</t>
        </is>
      </c>
    </row>
    <row r="55">
      <c r="J55" t="inlineStr">
        <is>
          <t>SOCREC</t>
        </is>
      </c>
      <c r="K55" t="n">
        <v>53</v>
      </c>
      <c r="L55" t="inlineStr">
        <is>
          <t>Beta00053</t>
        </is>
      </c>
      <c r="M55" s="59">
        <f>#REF!</f>
        <v/>
      </c>
      <c r="N55" s="46">
        <f>M55</f>
        <v/>
      </c>
      <c r="O55" s="44" t="inlineStr">
        <is>
          <t>distanceFromOrigin3</t>
        </is>
      </c>
    </row>
    <row r="56">
      <c r="J56" t="inlineStr">
        <is>
          <t>SOCREC</t>
        </is>
      </c>
      <c r="K56" t="n">
        <v>54</v>
      </c>
      <c r="L56" t="inlineStr">
        <is>
          <t>Beta00054</t>
        </is>
      </c>
      <c r="M56" s="59">
        <f>#REF!</f>
        <v/>
      </c>
      <c r="N56" s="46">
        <f>M56</f>
        <v/>
      </c>
      <c r="O56" s="44" t="inlineStr">
        <is>
          <t>empOfcBuffer</t>
        </is>
      </c>
    </row>
    <row r="57">
      <c r="J57" t="inlineStr">
        <is>
          <t>SOCREC</t>
        </is>
      </c>
      <c r="K57" t="n">
        <v>55</v>
      </c>
      <c r="L57" t="inlineStr">
        <is>
          <t>Beta00055</t>
        </is>
      </c>
      <c r="M57" s="59">
        <f>#REF!</f>
        <v/>
      </c>
      <c r="N57" s="46">
        <f>M57</f>
        <v/>
      </c>
      <c r="O57" s="44" t="inlineStr">
        <is>
          <t>empSvcBuffer</t>
        </is>
      </c>
    </row>
    <row r="58">
      <c r="J58" t="inlineStr">
        <is>
          <t>SOCREC</t>
        </is>
      </c>
      <c r="K58" t="n">
        <v>56</v>
      </c>
      <c r="L58" t="inlineStr">
        <is>
          <t>Beta00056</t>
        </is>
      </c>
      <c r="M58" s="59">
        <f>#REF!</f>
        <v/>
      </c>
      <c r="N58" s="46">
        <f>M58</f>
        <v/>
      </c>
      <c r="O58" s="44" t="inlineStr">
        <is>
          <t>housesBuffer</t>
        </is>
      </c>
    </row>
    <row r="59">
      <c r="K59" t="n">
        <v>57</v>
      </c>
      <c r="L59" t="inlineStr">
        <is>
          <t>Beta00057</t>
        </is>
      </c>
      <c r="M59" s="59">
        <f>#REF!</f>
        <v/>
      </c>
      <c r="N59" s="46">
        <f>M59</f>
        <v/>
      </c>
      <c r="O59" s="44" t="inlineStr">
        <is>
          <t>studUniBuffer</t>
        </is>
      </c>
    </row>
    <row r="60">
      <c r="J60" t="inlineStr">
        <is>
          <t>ESCORT</t>
        </is>
      </c>
      <c r="K60" t="n">
        <v>70</v>
      </c>
      <c r="L60" t="inlineStr">
        <is>
          <t>LSM_0070</t>
        </is>
      </c>
      <c r="M60" s="59">
        <f>#REF!</f>
        <v/>
      </c>
      <c r="N60" s="46">
        <f>M60</f>
        <v/>
      </c>
      <c r="O60" s="44" t="n"/>
    </row>
    <row r="61">
      <c r="J61" t="inlineStr">
        <is>
          <t>ESCORT</t>
        </is>
      </c>
      <c r="K61" t="n">
        <v>71</v>
      </c>
      <c r="L61" t="inlineStr">
        <is>
          <t>Gamma071</t>
        </is>
      </c>
      <c r="M61" s="59">
        <f>#REF!</f>
        <v/>
      </c>
      <c r="N61" s="46">
        <f>M61</f>
        <v/>
      </c>
      <c r="O61" t="inlineStr">
        <is>
          <t>(!householdHasChildren).ToFlag() * destinationParcel.EmploymentEducation</t>
        </is>
      </c>
    </row>
    <row r="62">
      <c r="J62" t="inlineStr">
        <is>
          <t>ESCORT</t>
        </is>
      </c>
      <c r="K62" t="n">
        <v>72</v>
      </c>
      <c r="L62" t="inlineStr">
        <is>
          <t>Gamma072</t>
        </is>
      </c>
      <c r="M62" s="59">
        <f>#REF!</f>
        <v/>
      </c>
      <c r="N62" s="46">
        <f>M62</f>
        <v/>
      </c>
      <c r="O62" t="inlineStr">
        <is>
          <t>(!householdHasChildren).ToFlag() * destinationParcel.EmploymentFood</t>
        </is>
      </c>
    </row>
    <row r="63">
      <c r="J63" t="inlineStr">
        <is>
          <t>ESCORT</t>
        </is>
      </c>
      <c r="K63" t="n">
        <v>73</v>
      </c>
      <c r="L63" t="inlineStr">
        <is>
          <t>Gamma073</t>
        </is>
      </c>
      <c r="M63" s="59">
        <f>#REF!</f>
        <v/>
      </c>
      <c r="N63" s="46">
        <f>M63</f>
        <v/>
      </c>
      <c r="O63" t="inlineStr">
        <is>
          <t>(!householdHasChildren).ToFlag() * destinationParcel.EmploymentGovernment</t>
        </is>
      </c>
    </row>
    <row r="64">
      <c r="J64" t="inlineStr">
        <is>
          <t>ESCORT</t>
        </is>
      </c>
      <c r="K64" t="n">
        <v>74</v>
      </c>
      <c r="L64" t="inlineStr">
        <is>
          <t>Gamma074</t>
        </is>
      </c>
      <c r="M64" s="59">
        <f>#REF!</f>
        <v/>
      </c>
      <c r="N64" s="46">
        <f>M64</f>
        <v/>
      </c>
      <c r="O64" t="inlineStr">
        <is>
          <t>(!householdHasChildren).ToFlag() * destinationParcel.EmploymentOffice</t>
        </is>
      </c>
    </row>
    <row r="65">
      <c r="J65" t="inlineStr">
        <is>
          <t>ESCORT</t>
        </is>
      </c>
      <c r="K65" t="n">
        <v>75</v>
      </c>
      <c r="L65" t="inlineStr">
        <is>
          <t>Gamma075</t>
        </is>
      </c>
      <c r="M65" s="59">
        <f>#REF!</f>
        <v/>
      </c>
      <c r="N65" s="46">
        <f>M65</f>
        <v/>
      </c>
      <c r="O65" t="inlineStr">
        <is>
          <t>(!householdHasChildren).ToFlag() * destinationParcel.EmploymentRetail</t>
        </is>
      </c>
    </row>
    <row r="66">
      <c r="J66" t="inlineStr">
        <is>
          <t>ESCORT</t>
        </is>
      </c>
      <c r="K66" t="n">
        <v>76</v>
      </c>
      <c r="L66" t="inlineStr">
        <is>
          <t>Gamma076</t>
        </is>
      </c>
      <c r="M66" s="59">
        <f>#REF!</f>
        <v/>
      </c>
      <c r="N66" s="46">
        <f>M66</f>
        <v/>
      </c>
      <c r="O66" t="inlineStr">
        <is>
          <t>(!householdHasChildren).ToFlag() * destinationParcel.EmploymentService</t>
        </is>
      </c>
    </row>
    <row r="67">
      <c r="J67" t="inlineStr">
        <is>
          <t>ESCORT</t>
        </is>
      </c>
      <c r="K67" t="n">
        <v>77</v>
      </c>
      <c r="L67" t="inlineStr">
        <is>
          <t>Gamma077</t>
        </is>
      </c>
      <c r="M67" s="59">
        <f>#REF!</f>
        <v/>
      </c>
      <c r="N67" s="46">
        <f>M67</f>
        <v/>
      </c>
      <c r="O67" t="inlineStr">
        <is>
          <t>(!householdHasChildren).ToFlag() * destinationParcel.EmploymentMedical</t>
        </is>
      </c>
    </row>
    <row r="68">
      <c r="J68" t="inlineStr">
        <is>
          <t>ESCORT</t>
        </is>
      </c>
      <c r="K68" t="n">
        <v>78</v>
      </c>
      <c r="L68" t="inlineStr">
        <is>
          <t>Gamma078</t>
        </is>
      </c>
      <c r="M68" s="59">
        <f>#REF!</f>
        <v/>
      </c>
      <c r="N68" s="46">
        <f>M68</f>
        <v/>
      </c>
      <c r="O68" t="inlineStr">
        <is>
          <t>(!householdHasChildren).ToFlag() * destinationParcel.EmploymentIndustrial + destinationParcel.EmploymentAgricultureConstruction</t>
        </is>
      </c>
    </row>
    <row r="69">
      <c r="J69" t="inlineStr">
        <is>
          <t>ESCORT</t>
        </is>
      </c>
      <c r="K69" t="n">
        <v>79</v>
      </c>
      <c r="L69" t="inlineStr">
        <is>
          <t>Gamma079</t>
        </is>
      </c>
      <c r="M69" s="59">
        <f>#REF!</f>
        <v/>
      </c>
      <c r="N69" s="46">
        <f>M69</f>
        <v/>
      </c>
      <c r="O69" t="inlineStr">
        <is>
          <t>(!householdHasChildren).ToFlag() * destinationParcel.Households</t>
        </is>
      </c>
    </row>
    <row r="70">
      <c r="J70" t="inlineStr">
        <is>
          <t>ESCORT</t>
        </is>
      </c>
      <c r="K70" t="n">
        <v>80</v>
      </c>
      <c r="L70" t="inlineStr">
        <is>
          <t>Gamma080</t>
        </is>
      </c>
      <c r="M70" s="59">
        <f>#REF!</f>
        <v/>
      </c>
      <c r="N70" s="46">
        <f>M70</f>
        <v/>
      </c>
      <c r="O70" t="inlineStr">
        <is>
          <t>householdHasChildren.ToFlag() * destinationParcel.EmploymentEducation</t>
        </is>
      </c>
    </row>
    <row r="71">
      <c r="J71" t="inlineStr">
        <is>
          <t>ESCORT</t>
        </is>
      </c>
      <c r="K71" t="n">
        <v>81</v>
      </c>
      <c r="L71" t="inlineStr">
        <is>
          <t>Gamma081</t>
        </is>
      </c>
      <c r="M71" s="59">
        <f>#REF!</f>
        <v/>
      </c>
      <c r="N71" s="46">
        <f>M71</f>
        <v/>
      </c>
      <c r="O71" t="inlineStr">
        <is>
          <t>householdHasChildren.ToFlag() * destinationParcel.EmploymentGovernment</t>
        </is>
      </c>
    </row>
    <row r="72">
      <c r="J72" t="inlineStr">
        <is>
          <t>ESCORT</t>
        </is>
      </c>
      <c r="K72" t="n">
        <v>82</v>
      </c>
      <c r="L72" t="inlineStr">
        <is>
          <t>Gamma082</t>
        </is>
      </c>
      <c r="M72" s="59">
        <f>#REF!</f>
        <v/>
      </c>
      <c r="N72" s="46">
        <f>M72</f>
        <v/>
      </c>
      <c r="O72" t="inlineStr">
        <is>
          <t>householdHasChildren.ToFlag() * destinationParcel.EmploymentGovernment</t>
        </is>
      </c>
    </row>
    <row r="73">
      <c r="J73" t="inlineStr">
        <is>
          <t>ESCORT</t>
        </is>
      </c>
      <c r="K73" t="n">
        <v>83</v>
      </c>
      <c r="L73" t="inlineStr">
        <is>
          <t>Gamma083</t>
        </is>
      </c>
      <c r="M73" s="59">
        <f>#REF!</f>
        <v/>
      </c>
      <c r="N73" s="46">
        <f>M73</f>
        <v/>
      </c>
      <c r="O73" t="inlineStr">
        <is>
          <t>householdHasChildren.ToFlag() * destinationParcel.EmploymentRetail</t>
        </is>
      </c>
    </row>
    <row r="74">
      <c r="J74" t="inlineStr">
        <is>
          <t>ESCORT</t>
        </is>
      </c>
      <c r="K74" t="n">
        <v>84</v>
      </c>
      <c r="L74" t="inlineStr">
        <is>
          <t>Gamma084</t>
        </is>
      </c>
      <c r="M74" s="59">
        <f>#REF!</f>
        <v/>
      </c>
      <c r="N74" s="46">
        <f>M74</f>
        <v/>
      </c>
      <c r="O74" t="inlineStr">
        <is>
          <t>householdHasChildren.ToFlag() * destinationParcel.EmploymentService</t>
        </is>
      </c>
    </row>
    <row r="75">
      <c r="J75" t="inlineStr">
        <is>
          <t>ESCORT</t>
        </is>
      </c>
      <c r="K75" t="n">
        <v>85</v>
      </c>
      <c r="L75" t="inlineStr">
        <is>
          <t>Gamma085</t>
        </is>
      </c>
      <c r="M75" s="59">
        <f>#REF!</f>
        <v/>
      </c>
      <c r="N75" s="46">
        <f>M75</f>
        <v/>
      </c>
      <c r="O75" t="inlineStr">
        <is>
          <t>householdHasChildren.ToFlag() * destinationParcel.EmploymentMedical</t>
        </is>
      </c>
    </row>
    <row r="76">
      <c r="J76" t="inlineStr">
        <is>
          <t>ESCORT</t>
        </is>
      </c>
      <c r="K76" t="n">
        <v>86</v>
      </c>
      <c r="L76" t="inlineStr">
        <is>
          <t>Gamma086</t>
        </is>
      </c>
      <c r="M76" s="59">
        <f>#REF!</f>
        <v/>
      </c>
      <c r="N76" s="46">
        <f>M76</f>
        <v/>
      </c>
      <c r="O76" t="inlineStr">
        <is>
          <t>householdHasChildren.ToFlag() * destinationParcel.EmploymentIndustrial + destinationParcel.EmploymentAgricultureConstruction</t>
        </is>
      </c>
    </row>
    <row r="77">
      <c r="J77" t="inlineStr">
        <is>
          <t>ESCORT</t>
        </is>
      </c>
      <c r="K77" t="n">
        <v>87</v>
      </c>
      <c r="L77" t="inlineStr">
        <is>
          <t>Gamma087</t>
        </is>
      </c>
      <c r="M77" s="59">
        <f>#REF!</f>
        <v/>
      </c>
      <c r="N77" s="46">
        <f>M77</f>
        <v/>
      </c>
      <c r="O77" t="inlineStr">
        <is>
          <t>householdHasChildren.ToFlag() * destinationParcel.Households</t>
        </is>
      </c>
    </row>
    <row r="78">
      <c r="J78" t="inlineStr">
        <is>
          <t>PERSBUS/MED</t>
        </is>
      </c>
      <c r="K78" t="n">
        <v>88</v>
      </c>
      <c r="L78" t="inlineStr">
        <is>
          <t>Gamma088</t>
        </is>
      </c>
      <c r="M78" s="59">
        <f>#REF!</f>
        <v/>
      </c>
      <c r="N78" s="46">
        <f>M78</f>
        <v/>
      </c>
      <c r="O78" t="inlineStr">
        <is>
          <t>householdHasChildren.ToFlag() * destinationParcel.StudentsK12</t>
        </is>
      </c>
    </row>
    <row r="79">
      <c r="J79" t="inlineStr">
        <is>
          <t>PERSBUS/MED</t>
        </is>
      </c>
      <c r="K79" t="n">
        <v>89</v>
      </c>
      <c r="L79" t="inlineStr">
        <is>
          <t>Gamma089</t>
        </is>
      </c>
      <c r="M79" s="59">
        <f>#REF!</f>
        <v/>
      </c>
      <c r="N79" s="46">
        <f>M79</f>
        <v/>
      </c>
      <c r="O79" t="inlineStr">
        <is>
          <t>destinationParcel.EmploymentEducation</t>
        </is>
      </c>
    </row>
    <row r="80">
      <c r="J80" t="inlineStr">
        <is>
          <t>PERSBUS/MED</t>
        </is>
      </c>
      <c r="K80" t="n">
        <v>90</v>
      </c>
      <c r="L80" t="inlineStr">
        <is>
          <t>Gamma090</t>
        </is>
      </c>
      <c r="M80" s="59">
        <f>#REF!</f>
        <v/>
      </c>
      <c r="N80" s="46">
        <f>M80</f>
        <v/>
      </c>
      <c r="O80" t="inlineStr">
        <is>
          <t>destinationParcel.EmploymentFood</t>
        </is>
      </c>
    </row>
    <row r="81">
      <c r="J81" t="inlineStr">
        <is>
          <t>PERSBUS/MED</t>
        </is>
      </c>
      <c r="K81" t="n">
        <v>91</v>
      </c>
      <c r="L81" t="inlineStr">
        <is>
          <t>Gamma091</t>
        </is>
      </c>
      <c r="M81" s="59">
        <f>#REF!</f>
        <v/>
      </c>
      <c r="N81" s="46">
        <f>M81</f>
        <v/>
      </c>
      <c r="O81" t="inlineStr">
        <is>
          <t>destinationParcel.EmploymentOffice</t>
        </is>
      </c>
    </row>
    <row r="82">
      <c r="J82" t="inlineStr">
        <is>
          <t>PERSBUS/MED</t>
        </is>
      </c>
      <c r="K82" t="n">
        <v>92</v>
      </c>
      <c r="L82" t="inlineStr">
        <is>
          <t>Gamma092</t>
        </is>
      </c>
      <c r="M82" s="59">
        <f>#REF!</f>
        <v/>
      </c>
      <c r="N82" s="46">
        <f>M82</f>
        <v/>
      </c>
      <c r="O82" t="inlineStr">
        <is>
          <t>destinationParcel.EmploymentRetail</t>
        </is>
      </c>
    </row>
    <row r="83">
      <c r="J83" t="inlineStr">
        <is>
          <t>PERSBUS/MED</t>
        </is>
      </c>
      <c r="K83" t="n">
        <v>93</v>
      </c>
      <c r="L83" t="inlineStr">
        <is>
          <t>Gamma093</t>
        </is>
      </c>
      <c r="M83" s="59">
        <f>#REF!</f>
        <v/>
      </c>
      <c r="N83" s="46">
        <f>M83</f>
        <v/>
      </c>
      <c r="O83" t="inlineStr">
        <is>
          <t>destinationParcel.EmploymentService</t>
        </is>
      </c>
    </row>
    <row r="84">
      <c r="J84" t="inlineStr">
        <is>
          <t>PERSBUS/MED</t>
        </is>
      </c>
      <c r="K84" t="n">
        <v>94</v>
      </c>
      <c r="L84" t="inlineStr">
        <is>
          <t>Gamma094</t>
        </is>
      </c>
      <c r="M84" s="59">
        <f>#REF!</f>
        <v/>
      </c>
      <c r="N84" s="46">
        <f>M84</f>
        <v/>
      </c>
      <c r="O84" t="inlineStr">
        <is>
          <t>destinationParcel.EmploymentMedical</t>
        </is>
      </c>
    </row>
    <row r="85">
      <c r="J85" t="inlineStr">
        <is>
          <t>PERSBUS/MED</t>
        </is>
      </c>
      <c r="K85" t="n">
        <v>95</v>
      </c>
      <c r="L85" t="inlineStr">
        <is>
          <t>Gamma095</t>
        </is>
      </c>
      <c r="M85" s="59">
        <f>#REF!</f>
        <v/>
      </c>
      <c r="N85" s="46">
        <f>M85</f>
        <v/>
      </c>
      <c r="O85" t="inlineStr">
        <is>
          <t>destinationParcel.EmploymentIndustrial + destinationParcel.EmploymentAgricultureConstruction</t>
        </is>
      </c>
    </row>
    <row r="86">
      <c r="J86" t="inlineStr">
        <is>
          <t>PERSBUS/MED</t>
        </is>
      </c>
      <c r="K86" t="n">
        <v>96</v>
      </c>
      <c r="L86" t="inlineStr">
        <is>
          <t>Gamma096</t>
        </is>
      </c>
      <c r="M86" s="59">
        <f>#REF!</f>
        <v/>
      </c>
      <c r="N86" s="46">
        <f>M86</f>
        <v/>
      </c>
      <c r="O86" t="inlineStr">
        <is>
          <t>destinationParcel.Households</t>
        </is>
      </c>
    </row>
    <row r="87">
      <c r="J87" t="inlineStr">
        <is>
          <t>SHOP</t>
        </is>
      </c>
      <c r="K87" t="n">
        <v>97</v>
      </c>
      <c r="L87" t="inlineStr">
        <is>
          <t>Gamma097</t>
        </is>
      </c>
      <c r="M87" s="59">
        <f>#REF!</f>
        <v/>
      </c>
      <c r="N87" s="46">
        <f>M87</f>
        <v/>
      </c>
      <c r="O87" t="inlineStr">
        <is>
          <t>destinationParcel.StudentsK12</t>
        </is>
      </c>
    </row>
    <row r="88">
      <c r="J88" t="inlineStr">
        <is>
          <t>SHOP</t>
        </is>
      </c>
      <c r="K88" t="n">
        <v>98</v>
      </c>
      <c r="L88" t="inlineStr">
        <is>
          <t>Gamma098</t>
        </is>
      </c>
      <c r="M88" s="59">
        <f>#REF!</f>
        <v/>
      </c>
      <c r="N88" s="46">
        <f>M88</f>
        <v/>
      </c>
      <c r="O88" t="inlineStr">
        <is>
          <t>destinationParcel.EmploymentFood</t>
        </is>
      </c>
    </row>
    <row r="89">
      <c r="J89" t="inlineStr">
        <is>
          <t>SHOP</t>
        </is>
      </c>
      <c r="K89" t="n">
        <v>99</v>
      </c>
      <c r="L89" t="inlineStr">
        <is>
          <t>Gamma099</t>
        </is>
      </c>
      <c r="M89" s="59">
        <f>#REF!</f>
        <v/>
      </c>
      <c r="N89" s="46">
        <f>M89</f>
        <v/>
      </c>
      <c r="O89" t="inlineStr">
        <is>
          <t>destinationParcel.EmploymentOffice</t>
        </is>
      </c>
    </row>
    <row r="90">
      <c r="J90" t="inlineStr">
        <is>
          <t>SHOP</t>
        </is>
      </c>
      <c r="K90" t="n">
        <v>100</v>
      </c>
      <c r="L90" t="inlineStr">
        <is>
          <t>Gamma100</t>
        </is>
      </c>
      <c r="M90" s="59">
        <f>#REF!</f>
        <v/>
      </c>
      <c r="N90" s="46">
        <f>M90</f>
        <v/>
      </c>
      <c r="O90" t="inlineStr">
        <is>
          <t>destinationParcel.EmploymentRetail</t>
        </is>
      </c>
    </row>
    <row r="91">
      <c r="J91" t="inlineStr">
        <is>
          <t>MEAL</t>
        </is>
      </c>
      <c r="K91" t="n">
        <v>101</v>
      </c>
      <c r="L91" t="inlineStr">
        <is>
          <t>Gamma101</t>
        </is>
      </c>
      <c r="M91" s="59">
        <f>#REF!</f>
        <v/>
      </c>
      <c r="N91" s="46">
        <f>M91</f>
        <v/>
      </c>
      <c r="O91" t="inlineStr">
        <is>
          <t>destinationParcel.EmploymentService</t>
        </is>
      </c>
    </row>
    <row r="92">
      <c r="J92" t="inlineStr">
        <is>
          <t>MEAL</t>
        </is>
      </c>
      <c r="K92" t="n">
        <v>102</v>
      </c>
      <c r="L92" t="inlineStr">
        <is>
          <t>Gamma102</t>
        </is>
      </c>
      <c r="M92" s="59">
        <f>#REF!</f>
        <v/>
      </c>
      <c r="N92" s="46">
        <f>M92</f>
        <v/>
      </c>
      <c r="O92" t="inlineStr">
        <is>
          <t>destinationParcel.EmploymentFood</t>
        </is>
      </c>
    </row>
    <row r="93">
      <c r="J93" t="inlineStr">
        <is>
          <t>MEAL</t>
        </is>
      </c>
      <c r="K93" t="n">
        <v>103</v>
      </c>
      <c r="L93" t="inlineStr">
        <is>
          <t>Gamma103</t>
        </is>
      </c>
      <c r="M93" s="59">
        <f>#REF!</f>
        <v/>
      </c>
      <c r="N93" s="46">
        <f>M93</f>
        <v/>
      </c>
      <c r="O93" t="inlineStr">
        <is>
          <t>destinationParcel.EmploymentOffice</t>
        </is>
      </c>
    </row>
    <row r="94">
      <c r="J94" t="inlineStr">
        <is>
          <t>MEAL</t>
        </is>
      </c>
      <c r="K94" t="n">
        <v>104</v>
      </c>
      <c r="L94" t="inlineStr">
        <is>
          <t>Gamma104</t>
        </is>
      </c>
      <c r="M94" s="59">
        <f>#REF!</f>
        <v/>
      </c>
      <c r="N94" s="46">
        <f>M94</f>
        <v/>
      </c>
      <c r="O94" t="inlineStr">
        <is>
          <t>destinationParcel.EmploymentRetail</t>
        </is>
      </c>
    </row>
    <row r="95">
      <c r="J95" t="inlineStr">
        <is>
          <t>SOCREC</t>
        </is>
      </c>
      <c r="K95" t="n">
        <v>105</v>
      </c>
      <c r="L95" t="inlineStr">
        <is>
          <t>Gamma105</t>
        </is>
      </c>
      <c r="M95" s="59">
        <f>#REF!</f>
        <v/>
      </c>
      <c r="N95" s="46">
        <f>M95</f>
        <v/>
      </c>
      <c r="O95" t="inlineStr">
        <is>
          <t>destinationParcel.EmploymentService</t>
        </is>
      </c>
    </row>
    <row r="96">
      <c r="J96" t="inlineStr">
        <is>
          <t>SOCREC</t>
        </is>
      </c>
      <c r="K96" t="n">
        <v>106</v>
      </c>
      <c r="L96" t="inlineStr">
        <is>
          <t>Gamma106</t>
        </is>
      </c>
      <c r="M96" s="59">
        <f>#REF!</f>
        <v/>
      </c>
      <c r="N96" s="46">
        <f>M96</f>
        <v/>
      </c>
      <c r="O96" t="inlineStr">
        <is>
          <t>destinationParcel.EmploymentFood</t>
        </is>
      </c>
    </row>
    <row r="97">
      <c r="J97" t="inlineStr">
        <is>
          <t>SOCREC</t>
        </is>
      </c>
      <c r="K97" t="n">
        <v>107</v>
      </c>
      <c r="L97" t="inlineStr">
        <is>
          <t>Gamma107</t>
        </is>
      </c>
      <c r="M97" s="59">
        <f>#REF!</f>
        <v/>
      </c>
      <c r="N97" s="46">
        <f>M97</f>
        <v/>
      </c>
      <c r="O97" t="inlineStr">
        <is>
          <t>destinationParcel.EmploymentGovernment</t>
        </is>
      </c>
    </row>
    <row r="98">
      <c r="J98" t="inlineStr">
        <is>
          <t>SOCREC</t>
        </is>
      </c>
      <c r="K98" t="n">
        <v>108</v>
      </c>
      <c r="L98" t="inlineStr">
        <is>
          <t>Gamma108</t>
        </is>
      </c>
      <c r="M98" s="59">
        <f>#REF!</f>
        <v/>
      </c>
      <c r="N98" s="46">
        <f>M98</f>
        <v/>
      </c>
      <c r="O98" t="inlineStr">
        <is>
          <t>destinationParcel.EmploymentOffice</t>
        </is>
      </c>
    </row>
    <row r="99">
      <c r="J99" t="inlineStr">
        <is>
          <t>SOCREC</t>
        </is>
      </c>
      <c r="K99" t="n">
        <v>109</v>
      </c>
      <c r="L99" t="inlineStr">
        <is>
          <t>Gamma109</t>
        </is>
      </c>
      <c r="M99" s="59">
        <f>#REF!</f>
        <v/>
      </c>
      <c r="N99" s="46">
        <f>M99</f>
        <v/>
      </c>
      <c r="O99" t="inlineStr">
        <is>
          <t>destinationParcel.EmploymentRetail</t>
        </is>
      </c>
    </row>
    <row r="100">
      <c r="J100" t="inlineStr">
        <is>
          <t>SOCREC</t>
        </is>
      </c>
      <c r="K100" t="n">
        <v>110</v>
      </c>
      <c r="L100" t="inlineStr">
        <is>
          <t>Gamma110</t>
        </is>
      </c>
      <c r="M100" s="59">
        <f>#REF!</f>
        <v/>
      </c>
      <c r="N100" s="46">
        <f>M100</f>
        <v/>
      </c>
      <c r="O100" t="inlineStr">
        <is>
          <t>destinationParcel.EmploymentService</t>
        </is>
      </c>
    </row>
    <row r="101">
      <c r="J101" t="inlineStr">
        <is>
          <t>SOCREC</t>
        </is>
      </c>
      <c r="K101" t="n">
        <v>111</v>
      </c>
      <c r="L101" t="inlineStr">
        <is>
          <t>Gamma111</t>
        </is>
      </c>
      <c r="M101" s="59">
        <f>#REF!</f>
        <v/>
      </c>
      <c r="N101" s="46">
        <f>M101</f>
        <v/>
      </c>
      <c r="O101" t="inlineStr">
        <is>
          <t>destinationParcel.Households</t>
        </is>
      </c>
    </row>
    <row r="102">
      <c r="J102" t="inlineStr">
        <is>
          <t>SOCREC</t>
        </is>
      </c>
      <c r="K102" t="n">
        <v>112</v>
      </c>
      <c r="L102" t="inlineStr">
        <is>
          <t>Gamma112</t>
        </is>
      </c>
      <c r="M102" s="59">
        <f>#REF!</f>
        <v/>
      </c>
      <c r="N102" s="46">
        <f>M102</f>
        <v/>
      </c>
      <c r="O102" t="inlineStr">
        <is>
          <t>destinationParcel.StudentsUniversity</t>
        </is>
      </c>
    </row>
    <row r="103">
      <c r="J103" t="inlineStr">
        <is>
          <t>SOCREC</t>
        </is>
      </c>
      <c r="K103" t="n">
        <v>113</v>
      </c>
      <c r="L103" t="inlineStr">
        <is>
          <t>Gamma113</t>
        </is>
      </c>
      <c r="M103" s="59">
        <f>#REF!</f>
        <v/>
      </c>
      <c r="N103" s="46">
        <f>M103</f>
        <v/>
      </c>
      <c r="O103" t="inlineStr">
        <is>
          <t>destinationParcel.StudentsK12</t>
        </is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/>
  <cols>
    <col collapsed="1" width="13.5703125" customWidth="1" style="43" min="1" max="1"/>
    <col collapsed="1" width="10.5703125" customWidth="1" style="43" min="2" max="2"/>
    <col collapsed="1" width="10.5703125" customWidth="1" style="43" min="6" max="6"/>
    <col collapsed="1" width="15.7109375" customWidth="1" style="43" min="12" max="1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43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DaySim</t>
        </is>
      </c>
      <c r="J10" s="2" t="inlineStr"/>
      <c r="K10" s="13" t="inlineStr">
        <is>
          <t>Survey</t>
        </is>
      </c>
      <c r="L10" s="13" t="inlineStr">
        <is>
          <t>DaySim</t>
        </is>
      </c>
    </row>
    <row r="11">
      <c r="A11" t="n">
        <v>0</v>
      </c>
      <c r="B11" s="51" t="n">
        <v>23418.2293962647</v>
      </c>
      <c r="C11" s="6" t="n">
        <v>0.03379226437069857</v>
      </c>
      <c r="E11" s="7" t="n">
        <v>0</v>
      </c>
      <c r="F11" s="53" t="n">
        <v>120745</v>
      </c>
      <c r="G11" s="6" t="n">
        <v>0.1683232267660198</v>
      </c>
      <c r="K11" s="4" t="n">
        <v>5.667919157236973</v>
      </c>
      <c r="L11" s="4" t="n">
        <v>5.198653228461736</v>
      </c>
    </row>
    <row r="12">
      <c r="A12" t="n">
        <v>1</v>
      </c>
      <c r="B12" s="51" t="n">
        <v>38007.7726745204</v>
      </c>
      <c r="C12" s="6" t="n">
        <v>0.05484482539758826</v>
      </c>
      <c r="E12" s="7" t="n">
        <v>1</v>
      </c>
      <c r="F12" s="53" t="n">
        <v>88024</v>
      </c>
      <c r="G12" s="6" t="n">
        <v>0.1185293360140346</v>
      </c>
      <c r="K12" s="4" t="inlineStr"/>
      <c r="L12" s="7" t="inlineStr"/>
    </row>
    <row r="13">
      <c r="A13" t="n">
        <v>2</v>
      </c>
      <c r="B13" s="51" t="n">
        <v>49372.0963588786</v>
      </c>
      <c r="C13" s="6" t="n">
        <v>0.07124342769316903</v>
      </c>
      <c r="E13" s="7" t="n">
        <v>2</v>
      </c>
      <c r="F13" s="53" t="n">
        <v>60142</v>
      </c>
      <c r="G13" s="6" t="n">
        <v>0.08132718983491033</v>
      </c>
    </row>
    <row r="14">
      <c r="A14" t="n">
        <v>3</v>
      </c>
      <c r="B14" s="51" t="n">
        <v>77269.26959488761</v>
      </c>
      <c r="C14" s="6" t="n">
        <v>0.1114987619985354</v>
      </c>
      <c r="E14" s="7" t="n">
        <v>3</v>
      </c>
      <c r="F14" s="53" t="n">
        <v>37179</v>
      </c>
      <c r="G14" s="6" t="n">
        <v>0.05082275144047239</v>
      </c>
    </row>
    <row r="15">
      <c r="A15" t="n">
        <v>4</v>
      </c>
      <c r="B15" s="51" t="n">
        <v>160492.4602989959</v>
      </c>
      <c r="C15" s="6" t="n">
        <v>0.2315889709745762</v>
      </c>
      <c r="E15" s="7" t="n">
        <v>4</v>
      </c>
      <c r="F15" s="53" t="n">
        <v>111091</v>
      </c>
      <c r="G15" s="6" t="n">
        <v>0.1507907933823896</v>
      </c>
    </row>
    <row r="16">
      <c r="A16" t="n">
        <v>5</v>
      </c>
      <c r="B16" s="51" t="n">
        <v>82262.3493280199</v>
      </c>
      <c r="C16" s="6" t="n">
        <v>0.1187037247440492</v>
      </c>
      <c r="E16" s="7" t="n">
        <v>5</v>
      </c>
      <c r="F16" s="53" t="n">
        <v>69003</v>
      </c>
      <c r="G16" s="6" t="n">
        <v>0.09162388736739766</v>
      </c>
    </row>
    <row r="17">
      <c r="A17" t="n">
        <v>6</v>
      </c>
      <c r="B17" s="51" t="n">
        <v>100071.6282669634</v>
      </c>
      <c r="C17" s="6" t="n">
        <v>0.1444023312429797</v>
      </c>
      <c r="E17" s="7" t="n">
        <v>6</v>
      </c>
      <c r="F17" s="53" t="n">
        <v>57287</v>
      </c>
      <c r="G17" s="6" t="n">
        <v>0.07557878470382162</v>
      </c>
    </row>
    <row r="18">
      <c r="A18" t="n">
        <v>7</v>
      </c>
      <c r="B18" s="51" t="n">
        <v>27034.5128229956</v>
      </c>
      <c r="C18" s="6" t="n">
        <v>0.03901052419417429</v>
      </c>
      <c r="E18" s="7" t="n">
        <v>7</v>
      </c>
      <c r="F18" s="53" t="n">
        <v>25224</v>
      </c>
      <c r="G18" s="6" t="n">
        <v>0.07386356740925328</v>
      </c>
    </row>
    <row r="19">
      <c r="A19" t="n">
        <v>8</v>
      </c>
      <c r="B19" s="51" t="n">
        <v>32272.5266751284</v>
      </c>
      <c r="C19" s="6" t="n">
        <v>0.04656892435643787</v>
      </c>
      <c r="E19" s="7" t="n">
        <v>8</v>
      </c>
      <c r="F19" s="53" t="n">
        <v>56564</v>
      </c>
      <c r="G19" s="6" t="n">
        <v>0.05222513036055971</v>
      </c>
    </row>
    <row r="20">
      <c r="A20" t="n">
        <v>9</v>
      </c>
      <c r="B20" s="51" t="n">
        <v>20750.8140715739</v>
      </c>
      <c r="C20" s="6" t="n">
        <v>0.0299432114678014</v>
      </c>
      <c r="E20" s="7" t="n">
        <v>9</v>
      </c>
      <c r="F20" s="53" t="n">
        <v>13293</v>
      </c>
      <c r="G20" s="6" t="n">
        <v>0.02045720249677386</v>
      </c>
    </row>
    <row r="21">
      <c r="A21" t="n">
        <v>10</v>
      </c>
      <c r="B21" s="51" t="n">
        <v>30541.4142343276</v>
      </c>
      <c r="C21" s="6" t="n">
        <v>0.04407094689345014</v>
      </c>
      <c r="E21" s="7" t="n">
        <v>10</v>
      </c>
      <c r="F21" s="53" t="n">
        <v>12812</v>
      </c>
      <c r="G21" s="6" t="n">
        <v>0.01766458062802304</v>
      </c>
    </row>
    <row r="22">
      <c r="A22" t="n">
        <v>11</v>
      </c>
      <c r="B22" s="51" t="n">
        <v>8694.528943199701</v>
      </c>
      <c r="C22" s="6" t="n">
        <v>0.01254611591917185</v>
      </c>
      <c r="E22" s="7" t="n">
        <v>11</v>
      </c>
      <c r="F22" s="53" t="n">
        <v>17838</v>
      </c>
      <c r="G22" s="6" t="n">
        <v>0.02206184760725839</v>
      </c>
    </row>
    <row r="23">
      <c r="A23" t="n">
        <v>12</v>
      </c>
      <c r="B23" s="51" t="n">
        <v>3976.4651668625</v>
      </c>
      <c r="C23" s="6" t="n">
        <v>0.005737998373221365</v>
      </c>
      <c r="E23" s="7" t="n">
        <v>12</v>
      </c>
      <c r="F23" s="53" t="n">
        <v>10714</v>
      </c>
      <c r="G23" s="6" t="n">
        <v>0.01369746641369908</v>
      </c>
    </row>
    <row r="24">
      <c r="A24" t="n">
        <v>13</v>
      </c>
      <c r="B24" s="51" t="n">
        <v>3093.0442014216</v>
      </c>
      <c r="C24" s="6" t="n">
        <v>0.004463230998214</v>
      </c>
      <c r="E24" s="7" t="n">
        <v>13</v>
      </c>
      <c r="F24" s="53" t="n">
        <v>10860</v>
      </c>
      <c r="G24" s="6" t="n">
        <v>0.01683259236485584</v>
      </c>
    </row>
    <row r="25">
      <c r="A25" t="n">
        <v>14</v>
      </c>
      <c r="B25" s="51" t="n">
        <v>4985.9258246744</v>
      </c>
      <c r="C25" s="6" t="n">
        <v>0.007194639729123362</v>
      </c>
      <c r="E25" s="7" t="n">
        <v>14</v>
      </c>
      <c r="F25" s="53" t="n">
        <v>5730</v>
      </c>
      <c r="G25" s="6" t="n">
        <v>0.007591724346241962</v>
      </c>
    </row>
    <row r="26">
      <c r="A26" t="n">
        <v>15</v>
      </c>
      <c r="B26" s="51" t="n">
        <v>4738.2773076505</v>
      </c>
      <c r="C26" s="6" t="n">
        <v>0.006837285463919268</v>
      </c>
      <c r="E26" s="7" t="n">
        <v>15</v>
      </c>
      <c r="F26" s="53" t="n">
        <v>15499</v>
      </c>
      <c r="G26" s="6" t="n">
        <v>0.01512816260044202</v>
      </c>
    </row>
    <row r="27">
      <c r="A27" t="n">
        <v>16</v>
      </c>
      <c r="B27" s="51" t="n">
        <v>4568.9158708242</v>
      </c>
      <c r="C27" s="6" t="n">
        <v>0.006592898650954298</v>
      </c>
      <c r="E27" s="7" t="n">
        <v>16</v>
      </c>
      <c r="F27" s="53" t="n">
        <v>2629</v>
      </c>
      <c r="G27" s="6" t="n">
        <v>0.00344526744309915</v>
      </c>
    </row>
    <row r="28">
      <c r="A28" t="n">
        <v>17</v>
      </c>
      <c r="B28" s="51" t="n">
        <v>2983.6074133344</v>
      </c>
      <c r="C28" s="6" t="n">
        <v>0.004305314837587755</v>
      </c>
      <c r="E28" s="7" t="n">
        <v>17</v>
      </c>
      <c r="F28" s="53" t="n">
        <v>3615</v>
      </c>
      <c r="G28" s="6" t="n">
        <v>0.005451748051839476</v>
      </c>
    </row>
    <row r="29">
      <c r="A29" t="n">
        <v>18</v>
      </c>
      <c r="B29" s="51" t="n">
        <v>995.7219531329</v>
      </c>
      <c r="C29" s="6" t="n">
        <v>0.001436816546230529</v>
      </c>
      <c r="E29" s="7" t="n">
        <v>18</v>
      </c>
      <c r="F29" s="53" t="n">
        <v>1642</v>
      </c>
      <c r="G29" s="6" t="n">
        <v>0.002312576776874772</v>
      </c>
    </row>
    <row r="30">
      <c r="A30" t="n">
        <v>19</v>
      </c>
      <c r="B30" s="51" t="n">
        <v>604.7034079683999</v>
      </c>
      <c r="C30" s="6" t="n">
        <v>0.0008725808037045666</v>
      </c>
      <c r="E30" s="7" t="n">
        <v>19</v>
      </c>
      <c r="F30" s="53" t="n">
        <v>953</v>
      </c>
      <c r="G30" s="6" t="n">
        <v>0.00147789163116895</v>
      </c>
    </row>
    <row r="31">
      <c r="A31" t="n">
        <v>20</v>
      </c>
      <c r="B31" s="51" t="n">
        <v>143.9264017335</v>
      </c>
      <c r="C31" s="6" t="n">
        <v>0.0002076843186990714</v>
      </c>
      <c r="E31" s="7" t="n">
        <v>20</v>
      </c>
      <c r="F31" s="53" t="n">
        <v>1351</v>
      </c>
      <c r="G31" s="6" t="n">
        <v>0.002326061189567919</v>
      </c>
    </row>
    <row r="32">
      <c r="A32" t="n">
        <v>21</v>
      </c>
      <c r="B32" s="51" t="n">
        <v>0</v>
      </c>
      <c r="C32" s="6" t="n">
        <v>0</v>
      </c>
      <c r="E32" s="7" t="n">
        <v>21</v>
      </c>
      <c r="F32" s="53" t="n">
        <v>1454</v>
      </c>
      <c r="G32" s="6" t="n">
        <v>0.001553404342250576</v>
      </c>
    </row>
    <row r="33">
      <c r="A33" t="n">
        <v>22</v>
      </c>
      <c r="B33" s="51" t="n">
        <v>2237.1382937662</v>
      </c>
      <c r="C33" s="6" t="n">
        <v>0.003228167568843574</v>
      </c>
      <c r="E33" s="7" t="n">
        <v>22</v>
      </c>
      <c r="F33" s="53" t="n">
        <v>609</v>
      </c>
      <c r="G33" s="6" t="n">
        <v>0.0007901865838184351</v>
      </c>
    </row>
    <row r="34">
      <c r="A34" t="n">
        <v>23</v>
      </c>
      <c r="B34" s="51" t="n">
        <v>704.037746628</v>
      </c>
      <c r="C34" s="6" t="n">
        <v>0.001015919233620584</v>
      </c>
      <c r="E34" s="7" t="n">
        <v>23</v>
      </c>
      <c r="F34" s="53" t="n">
        <v>489</v>
      </c>
      <c r="G34" s="6" t="n">
        <v>0.000658039339425591</v>
      </c>
    </row>
    <row r="35">
      <c r="A35" t="n">
        <v>24</v>
      </c>
      <c r="B35" s="51" t="n">
        <v>1181.737533489</v>
      </c>
      <c r="C35" s="6" t="n">
        <v>0.001705235117169324</v>
      </c>
      <c r="E35" s="7" t="n">
        <v>24</v>
      </c>
      <c r="F35" s="53" t="n">
        <v>1102</v>
      </c>
      <c r="G35" s="6" t="n">
        <v>0.001460361894667859</v>
      </c>
    </row>
    <row r="36">
      <c r="A36" t="n">
        <v>25</v>
      </c>
      <c r="B36" s="51" t="n">
        <v>0</v>
      </c>
      <c r="C36" s="6" t="n">
        <v>0</v>
      </c>
      <c r="E36" s="7" t="n">
        <v>25</v>
      </c>
      <c r="F36" s="53" t="n">
        <v>1001</v>
      </c>
      <c r="G36" s="6" t="n">
        <v>0.0007052347838516068</v>
      </c>
    </row>
    <row r="37">
      <c r="A37" t="n">
        <v>26</v>
      </c>
      <c r="B37" s="51" t="n">
        <v>9134.139197189999</v>
      </c>
      <c r="C37" s="6" t="n">
        <v>0.01318046899820009</v>
      </c>
      <c r="E37" s="7" t="n">
        <v>26</v>
      </c>
      <c r="F37" s="53" t="n">
        <v>306</v>
      </c>
      <c r="G37" s="6" t="n">
        <v>0.001159659491610673</v>
      </c>
    </row>
    <row r="38">
      <c r="A38" t="n">
        <v>27</v>
      </c>
      <c r="B38" s="51" t="n">
        <v>0</v>
      </c>
      <c r="C38" s="6" t="n">
        <v>0</v>
      </c>
      <c r="E38" s="7" t="n">
        <v>27</v>
      </c>
      <c r="F38" s="53" t="n">
        <v>269</v>
      </c>
      <c r="G38" s="6" t="n">
        <v>0.0004220621172955122</v>
      </c>
    </row>
    <row r="39">
      <c r="A39" t="n">
        <v>28</v>
      </c>
      <c r="B39" s="51" t="n">
        <v>0</v>
      </c>
      <c r="C39" s="6" t="n">
        <v>0</v>
      </c>
      <c r="E39" s="7" t="n">
        <v>28</v>
      </c>
      <c r="F39" s="53" t="n">
        <v>223</v>
      </c>
      <c r="G39" s="6" t="n">
        <v>0.0003371103173286839</v>
      </c>
    </row>
    <row r="40">
      <c r="A40" t="n">
        <v>29</v>
      </c>
      <c r="B40" s="51" t="n">
        <v>0</v>
      </c>
      <c r="C40" s="6" t="n">
        <v>0</v>
      </c>
      <c r="E40" s="7" t="n">
        <v>29</v>
      </c>
      <c r="F40" s="53" t="n">
        <v>359</v>
      </c>
      <c r="G40" s="6" t="n">
        <v>0.0004058808220637354</v>
      </c>
    </row>
    <row r="41">
      <c r="A41" t="n">
        <v>30</v>
      </c>
      <c r="B41" s="51" t="n">
        <v>0</v>
      </c>
      <c r="C41" s="6" t="n">
        <v>0</v>
      </c>
      <c r="E41" s="7" t="n">
        <v>30</v>
      </c>
      <c r="F41" s="53" t="n">
        <v>217</v>
      </c>
      <c r="G41" s="6" t="n">
        <v>0.0003155352570196481</v>
      </c>
    </row>
    <row r="42">
      <c r="A42" t="n">
        <v>31</v>
      </c>
      <c r="B42" s="51" t="n">
        <v>889.701534148</v>
      </c>
      <c r="C42" s="6" t="n">
        <v>0.001283830171111946</v>
      </c>
      <c r="E42" s="7" t="n">
        <v>31</v>
      </c>
      <c r="F42" s="53" t="n">
        <v>85</v>
      </c>
      <c r="G42" s="6" t="n">
        <v>0.0001146175078917525</v>
      </c>
    </row>
    <row r="43">
      <c r="A43" t="n">
        <v>32</v>
      </c>
      <c r="B43" s="51" t="n">
        <v>464.442048857</v>
      </c>
      <c r="C43" s="6" t="n">
        <v>0.0006701851038468341</v>
      </c>
      <c r="E43" s="7" t="n">
        <v>32</v>
      </c>
      <c r="F43" s="53" t="n">
        <v>139</v>
      </c>
      <c r="G43" s="6" t="n">
        <v>0.0002117052792824135</v>
      </c>
    </row>
    <row r="44">
      <c r="A44" t="n">
        <v>33</v>
      </c>
      <c r="B44" s="51" t="n">
        <v>0</v>
      </c>
      <c r="C44" s="6" t="n">
        <v>0</v>
      </c>
      <c r="E44" s="7" t="n">
        <v>33</v>
      </c>
      <c r="F44" s="53" t="n">
        <v>78</v>
      </c>
      <c r="G44" s="6" t="n">
        <v>3.910479681012734e-05</v>
      </c>
    </row>
    <row r="45">
      <c r="A45" t="n">
        <v>34</v>
      </c>
      <c r="B45" s="51" t="n">
        <v>0</v>
      </c>
      <c r="C45" s="6" t="n">
        <v>0</v>
      </c>
      <c r="E45" s="7" t="n">
        <v>34</v>
      </c>
      <c r="F45" s="53" t="n">
        <v>27</v>
      </c>
      <c r="G45" s="6" t="n">
        <v>5.66345333112189e-05</v>
      </c>
    </row>
    <row r="46">
      <c r="A46" t="n">
        <v>35</v>
      </c>
      <c r="B46" s="51" t="n">
        <v>0</v>
      </c>
      <c r="C46" s="6" t="n">
        <v>0</v>
      </c>
      <c r="E46" s="7" t="n">
        <v>35</v>
      </c>
      <c r="F46" s="53" t="n">
        <v>16</v>
      </c>
      <c r="G46" s="6" t="n">
        <v>2.562038411697998e-05</v>
      </c>
    </row>
    <row r="47">
      <c r="A47" t="n">
        <v>36</v>
      </c>
      <c r="B47" s="51" t="n">
        <v>183.053312801</v>
      </c>
      <c r="C47" s="6" t="n">
        <v>0.0002641440492973491</v>
      </c>
      <c r="E47" s="7" t="n">
        <v>36</v>
      </c>
      <c r="F47" s="53" t="n">
        <v>72</v>
      </c>
      <c r="G47" s="6" t="n">
        <v>0.0001078753015451788</v>
      </c>
    </row>
    <row r="48">
      <c r="A48" t="n">
        <v>37</v>
      </c>
      <c r="B48" s="51" t="n">
        <v>0</v>
      </c>
      <c r="C48" s="6" t="n">
        <v>0</v>
      </c>
      <c r="E48" s="7" t="n">
        <v>37</v>
      </c>
      <c r="F48" s="53" t="n">
        <v>24</v>
      </c>
      <c r="G48" s="6" t="n">
        <v>2.831726665560945e-05</v>
      </c>
    </row>
    <row r="49">
      <c r="A49" t="n">
        <v>38</v>
      </c>
      <c r="B49" s="51" t="n">
        <v>0</v>
      </c>
      <c r="C49" s="6" t="n">
        <v>0</v>
      </c>
      <c r="E49" s="7" t="n">
        <v>38</v>
      </c>
      <c r="F49" s="53" t="n">
        <v>16</v>
      </c>
      <c r="G49" s="6" t="n">
        <v>2.831726665560945e-05</v>
      </c>
    </row>
    <row r="50">
      <c r="A50" t="n">
        <v>39</v>
      </c>
      <c r="B50" s="51" t="n">
        <v>0</v>
      </c>
      <c r="C50" s="6" t="n">
        <v>0</v>
      </c>
      <c r="E50" s="7" t="n">
        <v>39</v>
      </c>
      <c r="F50" s="53" t="n">
        <v>22</v>
      </c>
      <c r="G50" s="6" t="n">
        <v>1.348441269314736e-05</v>
      </c>
    </row>
    <row r="51">
      <c r="A51" t="n">
        <v>40</v>
      </c>
      <c r="B51" s="51" t="n">
        <v>0</v>
      </c>
      <c r="C51" s="6" t="n">
        <v>0</v>
      </c>
      <c r="E51" s="7" t="n">
        <v>40</v>
      </c>
      <c r="F51" s="53" t="n">
        <v>9</v>
      </c>
      <c r="G51" s="6" t="n">
        <v>1.348441269314736e-06</v>
      </c>
    </row>
    <row r="52">
      <c r="A52" t="n">
        <v>41</v>
      </c>
      <c r="B52" s="51" t="n">
        <v>0</v>
      </c>
      <c r="C52" s="6" t="n">
        <v>0</v>
      </c>
      <c r="E52" s="7" t="n">
        <v>41</v>
      </c>
      <c r="F52" s="53" t="n">
        <v>5</v>
      </c>
      <c r="G52" s="6" t="n">
        <v>6.742206346573678e-06</v>
      </c>
    </row>
    <row r="53">
      <c r="A53" t="n">
        <v>42</v>
      </c>
      <c r="B53" s="51" t="n">
        <v>0</v>
      </c>
      <c r="C53" s="6" t="n">
        <v>0</v>
      </c>
      <c r="E53" s="7" t="n">
        <v>42</v>
      </c>
      <c r="F53" s="53" t="n">
        <v>1</v>
      </c>
      <c r="G53" s="6" t="n">
        <v>8.090647615888414e-06</v>
      </c>
    </row>
    <row r="54">
      <c r="A54" t="n">
        <v>43</v>
      </c>
      <c r="B54" s="51" t="n">
        <v>0</v>
      </c>
      <c r="C54" s="6" t="n">
        <v>0</v>
      </c>
      <c r="E54" s="7" t="n">
        <v>43</v>
      </c>
      <c r="F54" s="53" t="n">
        <v>0</v>
      </c>
      <c r="G54" s="6" t="n">
        <v>2.696882538629471e-06</v>
      </c>
    </row>
    <row r="55">
      <c r="A55" t="n">
        <v>44</v>
      </c>
      <c r="B55" s="51" t="n">
        <v>0</v>
      </c>
      <c r="C55" s="6" t="n">
        <v>0</v>
      </c>
      <c r="E55" s="7" t="n">
        <v>44</v>
      </c>
      <c r="F55" s="53" t="n">
        <v>2</v>
      </c>
      <c r="G55" s="6" t="n">
        <v>0</v>
      </c>
    </row>
    <row r="56">
      <c r="A56" t="n">
        <v>45</v>
      </c>
      <c r="B56" s="51" t="n">
        <v>250.40304101</v>
      </c>
      <c r="C56" s="6" t="n">
        <v>0.0003613290150102667</v>
      </c>
      <c r="E56" s="7" t="n">
        <v>45</v>
      </c>
      <c r="F56" s="53" t="n">
        <v>6</v>
      </c>
      <c r="G56" s="6" t="n">
        <v>2.696882538629471e-06</v>
      </c>
    </row>
    <row r="57">
      <c r="A57" t="n">
        <v>46</v>
      </c>
      <c r="B57" s="51" t="n">
        <v>0</v>
      </c>
      <c r="C57" s="6" t="n">
        <v>0</v>
      </c>
      <c r="E57" s="7" t="n">
        <v>46</v>
      </c>
      <c r="F57" s="53" t="n">
        <v>3</v>
      </c>
      <c r="G57" s="6" t="n">
        <v>2.696882538629471e-06</v>
      </c>
    </row>
    <row r="58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4.045323807944207e-06</v>
      </c>
    </row>
    <row r="59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4.045323807944207e-06</v>
      </c>
    </row>
    <row r="62">
      <c r="A62" t="n">
        <v>51</v>
      </c>
      <c r="B62" s="51" t="n">
        <v>0</v>
      </c>
      <c r="C62" s="6" t="n">
        <v>0</v>
      </c>
      <c r="E62" s="7" t="n">
        <v>51</v>
      </c>
      <c r="F62" s="53" t="n">
        <v>1</v>
      </c>
      <c r="G62" s="6" t="n">
        <v>0</v>
      </c>
    </row>
    <row r="63">
      <c r="A63" t="n">
        <v>52</v>
      </c>
      <c r="B63" s="51" t="n">
        <v>0</v>
      </c>
      <c r="C63" s="6" t="n">
        <v>0</v>
      </c>
      <c r="E63" s="7" t="n">
        <v>52</v>
      </c>
      <c r="F63" s="53" t="n">
        <v>2</v>
      </c>
      <c r="G63" s="6" t="n">
        <v>1.348441269314736e-06</v>
      </c>
    </row>
    <row r="64">
      <c r="A64" t="n">
        <v>53</v>
      </c>
      <c r="B64" s="51" t="n">
        <v>0</v>
      </c>
      <c r="C64" s="6" t="n">
        <v>0</v>
      </c>
      <c r="E64" s="7" t="n">
        <v>53</v>
      </c>
      <c r="F64" s="53" t="n">
        <v>0</v>
      </c>
      <c r="G64" s="6" t="n">
        <v>0</v>
      </c>
    </row>
    <row r="65">
      <c r="A65" t="n">
        <v>54</v>
      </c>
      <c r="B65" s="51" t="n">
        <v>444.572467296</v>
      </c>
      <c r="C65" s="6" t="n">
        <v>0.0006415135018361559</v>
      </c>
      <c r="E65" s="7" t="n">
        <v>54</v>
      </c>
      <c r="F65" s="53" t="n">
        <v>0</v>
      </c>
      <c r="G65" s="6" t="n">
        <v>1.348441269314736e-06</v>
      </c>
    </row>
    <row r="66">
      <c r="A66" t="n">
        <v>55</v>
      </c>
      <c r="B66" s="51" t="n">
        <v>0</v>
      </c>
      <c r="C66" s="6" t="n">
        <v>0</v>
      </c>
      <c r="E66" s="7" t="n">
        <v>55</v>
      </c>
      <c r="F66" s="53" t="n">
        <v>1</v>
      </c>
      <c r="G66" s="6" t="n">
        <v>0</v>
      </c>
    </row>
    <row r="67">
      <c r="A67" t="n">
        <v>56</v>
      </c>
      <c r="B67" s="51" t="n">
        <v>668.7115357709999</v>
      </c>
      <c r="C67" s="6" t="n">
        <v>0.0009649438743696753</v>
      </c>
      <c r="E67" s="7" t="n">
        <v>56</v>
      </c>
      <c r="F67" s="53" t="n">
        <v>0</v>
      </c>
      <c r="G67" s="6" t="n">
        <v>0</v>
      </c>
    </row>
    <row r="68">
      <c r="A68" t="n">
        <v>57</v>
      </c>
      <c r="B68" s="51" t="n">
        <v>569.501209051</v>
      </c>
      <c r="C68" s="6" t="n">
        <v>0.0008217843924081415</v>
      </c>
      <c r="E68" s="7" t="n">
        <v>57</v>
      </c>
      <c r="F68" s="53" t="n">
        <v>1</v>
      </c>
      <c r="G68" s="6" t="n">
        <v>0</v>
      </c>
    </row>
    <row r="69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r="101" ht="15.75" customHeight="1" s="43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>
      <c r="B102" s="51" t="n">
        <v>693005.6281333653</v>
      </c>
      <c r="C102" s="6" t="n">
        <v>1</v>
      </c>
      <c r="F102" s="51" t="n">
        <v>741597</v>
      </c>
      <c r="G102" s="6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Q17" sqref="Q17"/>
    </sheetView>
  </sheetViews>
  <sheetFormatPr baseColWidth="10" defaultRowHeight="15"/>
  <cols>
    <col collapsed="1" width="13.5703125" customWidth="1" style="43" min="1" max="1"/>
    <col collapsed="1" width="10.5703125" customWidth="1" style="43" min="2" max="2"/>
    <col collapsed="1" width="10.5703125" customWidth="1" style="43" min="6" max="6"/>
    <col collapsed="1" width="15.7109375" customWidth="1" style="43" min="12" max="1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43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DaySim</t>
        </is>
      </c>
      <c r="J10" s="2" t="inlineStr"/>
      <c r="K10" s="13" t="inlineStr">
        <is>
          <t>Survey</t>
        </is>
      </c>
      <c r="L10" s="13" t="inlineStr">
        <is>
          <t>DaySim</t>
        </is>
      </c>
    </row>
    <row r="11">
      <c r="A11" t="n">
        <v>0</v>
      </c>
      <c r="B11" s="51" t="n">
        <v>6813.2459325225</v>
      </c>
      <c r="C11" s="6" t="n">
        <v>0.1131667139152048</v>
      </c>
      <c r="E11" s="7" t="n">
        <v>0</v>
      </c>
      <c r="F11" s="53" t="n">
        <v>14423</v>
      </c>
      <c r="G11" s="6" t="n">
        <v>0.2138773427769691</v>
      </c>
      <c r="K11" s="4" t="n">
        <v>3.493832024713724</v>
      </c>
      <c r="L11" s="4" t="n">
        <v>3.614116359687906</v>
      </c>
    </row>
    <row r="12">
      <c r="A12" t="n">
        <v>1</v>
      </c>
      <c r="B12" s="51" t="n">
        <v>16054.9614044188</v>
      </c>
      <c r="C12" s="6" t="n">
        <v>0.2666698431507877</v>
      </c>
      <c r="E12" s="7" t="n">
        <v>1</v>
      </c>
      <c r="F12" s="53" t="n">
        <v>11947</v>
      </c>
      <c r="G12" s="6" t="n">
        <v>0.1794540898245825</v>
      </c>
      <c r="K12" s="4" t="inlineStr"/>
      <c r="L12" s="7" t="inlineStr"/>
    </row>
    <row r="13">
      <c r="A13" t="n">
        <v>2</v>
      </c>
      <c r="B13" s="51" t="n">
        <v>6872.661300003</v>
      </c>
      <c r="C13" s="6" t="n">
        <v>0.114153591823389</v>
      </c>
      <c r="E13" s="7" t="n">
        <v>2</v>
      </c>
      <c r="F13" s="53" t="n">
        <v>9419</v>
      </c>
      <c r="G13" s="6" t="n">
        <v>0.140829219249411</v>
      </c>
    </row>
    <row r="14">
      <c r="A14" t="n">
        <v>3</v>
      </c>
      <c r="B14" s="51" t="n">
        <v>8298.606192548999</v>
      </c>
      <c r="C14" s="6" t="n">
        <v>0.137838264197142</v>
      </c>
      <c r="E14" s="7" t="n">
        <v>3</v>
      </c>
      <c r="F14" s="53" t="n">
        <v>7197</v>
      </c>
      <c r="G14" s="6" t="n">
        <v>0.110082381716961</v>
      </c>
    </row>
    <row r="15">
      <c r="A15" t="n">
        <v>4</v>
      </c>
      <c r="B15" s="51" t="n">
        <v>6168.8278672598</v>
      </c>
      <c r="C15" s="6" t="n">
        <v>0.1024630529061014</v>
      </c>
      <c r="E15" s="7" t="n">
        <v>4</v>
      </c>
      <c r="F15" s="53" t="n">
        <v>6456</v>
      </c>
      <c r="G15" s="6" t="n">
        <v>0.09611200312120166</v>
      </c>
    </row>
    <row r="16">
      <c r="A16" t="n">
        <v>5</v>
      </c>
      <c r="B16" s="51" t="n">
        <v>4263.1813836127</v>
      </c>
      <c r="C16" s="6" t="n">
        <v>0.07081062870561985</v>
      </c>
      <c r="E16" s="7" t="n">
        <v>5</v>
      </c>
      <c r="F16" s="53" t="n">
        <v>5251</v>
      </c>
      <c r="G16" s="6" t="n">
        <v>0.0758692096457136</v>
      </c>
    </row>
    <row r="17">
      <c r="A17" t="n">
        <v>6</v>
      </c>
      <c r="B17" s="51" t="n">
        <v>3066.822492458</v>
      </c>
      <c r="C17" s="6" t="n">
        <v>0.05093933597436066</v>
      </c>
      <c r="E17" s="7" t="n">
        <v>6</v>
      </c>
      <c r="F17" s="53" t="n">
        <v>3349</v>
      </c>
      <c r="G17" s="6" t="n">
        <v>0.05013430170615687</v>
      </c>
    </row>
    <row r="18">
      <c r="A18" t="n">
        <v>7</v>
      </c>
      <c r="B18" s="51" t="n">
        <v>2362.706086745</v>
      </c>
      <c r="C18" s="6" t="n">
        <v>0.03924409693007973</v>
      </c>
      <c r="E18" s="7" t="n">
        <v>7</v>
      </c>
      <c r="F18" s="53" t="n">
        <v>2664</v>
      </c>
      <c r="G18" s="6" t="n">
        <v>0.0384147896940322</v>
      </c>
    </row>
    <row r="19">
      <c r="A19" t="n">
        <v>8</v>
      </c>
      <c r="B19" s="51" t="n">
        <v>1954.235867918</v>
      </c>
      <c r="C19" s="6" t="n">
        <v>0.03245948459483088</v>
      </c>
      <c r="E19" s="7" t="n">
        <v>8</v>
      </c>
      <c r="F19" s="53" t="n">
        <v>1973</v>
      </c>
      <c r="G19" s="6" t="n">
        <v>0.03058177398298345</v>
      </c>
    </row>
    <row r="20">
      <c r="A20" t="n">
        <v>9</v>
      </c>
      <c r="B20" s="51" t="n">
        <v>288.824318343</v>
      </c>
      <c r="C20" s="6" t="n">
        <v>0.00479731677520337</v>
      </c>
      <c r="E20" s="7" t="n">
        <v>9</v>
      </c>
      <c r="F20" s="53" t="n">
        <v>996</v>
      </c>
      <c r="G20" s="6" t="n">
        <v>0.01554598520430366</v>
      </c>
    </row>
    <row r="21">
      <c r="A21" t="n">
        <v>10</v>
      </c>
      <c r="B21" s="51" t="n">
        <v>1266.560803917</v>
      </c>
      <c r="C21" s="6" t="n">
        <v>0.02103733309682838</v>
      </c>
      <c r="E21" s="7" t="n">
        <v>10</v>
      </c>
      <c r="F21" s="53" t="n">
        <v>827</v>
      </c>
      <c r="G21" s="6" t="n">
        <v>0.01334013595234165</v>
      </c>
    </row>
    <row r="22">
      <c r="A22" t="n">
        <v>11</v>
      </c>
      <c r="B22" s="51" t="n">
        <v>1113.06873554</v>
      </c>
      <c r="C22" s="6" t="n">
        <v>0.01848785915117823</v>
      </c>
      <c r="E22" s="7" t="n">
        <v>11</v>
      </c>
      <c r="F22" s="53" t="n">
        <v>560</v>
      </c>
      <c r="G22" s="6" t="n">
        <v>0.008598310349484552</v>
      </c>
    </row>
    <row r="23">
      <c r="A23" t="n">
        <v>12</v>
      </c>
      <c r="B23" s="51" t="n">
        <v>400.972986966</v>
      </c>
      <c r="C23" s="6" t="n">
        <v>0.00666008474567223</v>
      </c>
      <c r="E23" s="7" t="n">
        <v>12</v>
      </c>
      <c r="F23" s="53" t="n">
        <v>435</v>
      </c>
      <c r="G23" s="6" t="n">
        <v>0.006197385993607539</v>
      </c>
    </row>
    <row r="24">
      <c r="A24" t="n">
        <v>13</v>
      </c>
      <c r="B24" s="51" t="n">
        <v>276.741312538</v>
      </c>
      <c r="C24" s="6" t="n">
        <v>0.004596620356093788</v>
      </c>
      <c r="E24" s="7" t="n">
        <v>13</v>
      </c>
      <c r="F24" s="53" t="n">
        <v>337</v>
      </c>
      <c r="G24" s="6" t="n">
        <v>0.005387074023499047</v>
      </c>
    </row>
    <row r="25">
      <c r="A25" t="n">
        <v>14</v>
      </c>
      <c r="B25" s="51" t="n">
        <v>377.825669828</v>
      </c>
      <c r="C25" s="6" t="n">
        <v>0.00627561222810809</v>
      </c>
      <c r="E25" s="7" t="n">
        <v>14</v>
      </c>
      <c r="F25" s="53" t="n">
        <v>320</v>
      </c>
      <c r="G25" s="6" t="n">
        <v>0.004381686949475548</v>
      </c>
    </row>
    <row r="26">
      <c r="A26" t="n">
        <v>15</v>
      </c>
      <c r="B26" s="51" t="n">
        <v>24.97125</v>
      </c>
      <c r="C26" s="6" t="n">
        <v>0.0004147676941126953</v>
      </c>
      <c r="E26" s="7" t="n">
        <v>15</v>
      </c>
      <c r="F26" s="53" t="n">
        <v>210</v>
      </c>
      <c r="G26" s="6" t="n">
        <v>0.003211236325985504</v>
      </c>
    </row>
    <row r="27">
      <c r="A27" t="n">
        <v>16</v>
      </c>
      <c r="B27" s="51" t="n">
        <v>0</v>
      </c>
      <c r="C27" s="6" t="n">
        <v>0</v>
      </c>
      <c r="E27" s="7" t="n">
        <v>16</v>
      </c>
      <c r="F27" s="53" t="n">
        <v>108</v>
      </c>
      <c r="G27" s="6" t="n">
        <v>0.002295883915307394</v>
      </c>
    </row>
    <row r="28">
      <c r="A28" t="n">
        <v>17</v>
      </c>
      <c r="B28" s="51" t="n">
        <v>0</v>
      </c>
      <c r="C28" s="6" t="n">
        <v>0</v>
      </c>
      <c r="E28" s="7" t="n">
        <v>17</v>
      </c>
      <c r="F28" s="53" t="n">
        <v>99</v>
      </c>
      <c r="G28" s="6" t="n">
        <v>0.001560600831320058</v>
      </c>
    </row>
    <row r="29">
      <c r="A29" t="n">
        <v>18</v>
      </c>
      <c r="B29" s="51" t="n">
        <v>0</v>
      </c>
      <c r="C29" s="6" t="n">
        <v>0</v>
      </c>
      <c r="E29" s="7" t="n">
        <v>18</v>
      </c>
      <c r="F29" s="53" t="n">
        <v>70</v>
      </c>
      <c r="G29" s="6" t="n">
        <v>0.00102039285124773</v>
      </c>
    </row>
    <row r="30">
      <c r="A30" t="n">
        <v>19</v>
      </c>
      <c r="B30" s="51" t="n">
        <v>92.59117685140001</v>
      </c>
      <c r="C30" s="6" t="n">
        <v>0.001537921766745195</v>
      </c>
      <c r="E30" s="7" t="n">
        <v>19</v>
      </c>
      <c r="F30" s="53" t="n">
        <v>45</v>
      </c>
      <c r="G30" s="6" t="n">
        <v>0.0006152368661934845</v>
      </c>
    </row>
    <row r="31">
      <c r="A31" t="n">
        <v>20</v>
      </c>
      <c r="B31" s="51" t="n">
        <v>44.1412807708</v>
      </c>
      <c r="C31" s="6" t="n">
        <v>0.0007331782446007219</v>
      </c>
      <c r="E31" s="7" t="n">
        <v>20</v>
      </c>
      <c r="F31" s="53" t="n">
        <v>43</v>
      </c>
      <c r="G31" s="6" t="n">
        <v>0.000825317747332723</v>
      </c>
    </row>
    <row r="32">
      <c r="A32" t="n">
        <v>21</v>
      </c>
      <c r="B32" s="51" t="n">
        <v>0</v>
      </c>
      <c r="C32" s="6" t="n">
        <v>0</v>
      </c>
      <c r="E32" s="7" t="n">
        <v>21</v>
      </c>
      <c r="F32" s="53" t="n">
        <v>32</v>
      </c>
      <c r="G32" s="6" t="n">
        <v>0.0005101964256238652</v>
      </c>
    </row>
    <row r="33">
      <c r="A33" t="n">
        <v>22</v>
      </c>
      <c r="B33" s="51" t="n">
        <v>0</v>
      </c>
      <c r="C33" s="6" t="n">
        <v>0</v>
      </c>
      <c r="E33" s="7" t="n">
        <v>22</v>
      </c>
      <c r="F33" s="53" t="n">
        <v>27</v>
      </c>
      <c r="G33" s="6" t="n">
        <v>0.0001950751039150073</v>
      </c>
    </row>
    <row r="34">
      <c r="A34" t="n">
        <v>23</v>
      </c>
      <c r="B34" s="51" t="n">
        <v>0</v>
      </c>
      <c r="C34" s="6" t="n">
        <v>0</v>
      </c>
      <c r="E34" s="7" t="n">
        <v>23</v>
      </c>
      <c r="F34" s="53" t="n">
        <v>12</v>
      </c>
      <c r="G34" s="6" t="n">
        <v>0.0002701039900361639</v>
      </c>
    </row>
    <row r="35">
      <c r="A35" t="n">
        <v>24</v>
      </c>
      <c r="B35" s="51" t="n">
        <v>0</v>
      </c>
      <c r="C35" s="6" t="n">
        <v>0</v>
      </c>
      <c r="E35" s="7" t="n">
        <v>24</v>
      </c>
      <c r="F35" s="53" t="n">
        <v>8</v>
      </c>
      <c r="G35" s="6" t="n">
        <v>0.0001650635494665446</v>
      </c>
    </row>
    <row r="36">
      <c r="A36" t="n">
        <v>25</v>
      </c>
      <c r="B36" s="51" t="n">
        <v>0</v>
      </c>
      <c r="C36" s="6" t="n">
        <v>0</v>
      </c>
      <c r="E36" s="7" t="n">
        <v>25</v>
      </c>
      <c r="F36" s="53" t="n">
        <v>13</v>
      </c>
      <c r="G36" s="6" t="n">
        <v>0.000135051995018082</v>
      </c>
    </row>
    <row r="37">
      <c r="A37" t="n">
        <v>26</v>
      </c>
      <c r="B37" s="51" t="n">
        <v>0</v>
      </c>
      <c r="C37" s="6" t="n">
        <v>0</v>
      </c>
      <c r="E37" s="7" t="n">
        <v>26</v>
      </c>
      <c r="F37" s="53" t="n">
        <v>8</v>
      </c>
      <c r="G37" s="6" t="n">
        <v>0.0001050404405696193</v>
      </c>
    </row>
    <row r="38">
      <c r="A38" t="n">
        <v>27</v>
      </c>
      <c r="B38" s="51" t="n">
        <v>0</v>
      </c>
      <c r="C38" s="6" t="n">
        <v>0</v>
      </c>
      <c r="E38" s="7" t="n">
        <v>27</v>
      </c>
      <c r="F38" s="53" t="n">
        <v>5</v>
      </c>
      <c r="G38" s="6" t="n">
        <v>1.500577722423133e-05</v>
      </c>
    </row>
    <row r="39">
      <c r="A39" t="n">
        <v>28</v>
      </c>
      <c r="B39" s="51" t="n">
        <v>0</v>
      </c>
      <c r="C39" s="6" t="n">
        <v>0</v>
      </c>
      <c r="E39" s="7" t="n">
        <v>28</v>
      </c>
      <c r="F39" s="53" t="n">
        <v>4</v>
      </c>
      <c r="G39" s="6" t="n">
        <v>6.002310889692532e-05</v>
      </c>
    </row>
    <row r="40">
      <c r="A40" t="n">
        <v>29</v>
      </c>
      <c r="B40" s="51" t="n">
        <v>0</v>
      </c>
      <c r="C40" s="6" t="n">
        <v>0</v>
      </c>
      <c r="E40" s="7" t="n">
        <v>29</v>
      </c>
      <c r="F40" s="53" t="n">
        <v>1</v>
      </c>
      <c r="G40" s="6" t="n">
        <v>0.0001200462177938506</v>
      </c>
    </row>
    <row r="41">
      <c r="A41" t="n">
        <v>30</v>
      </c>
      <c r="B41" s="51" t="n">
        <v>0</v>
      </c>
      <c r="C41" s="6" t="n">
        <v>0</v>
      </c>
      <c r="E41" s="7" t="n">
        <v>30</v>
      </c>
      <c r="F41" s="53" t="n">
        <v>0</v>
      </c>
      <c r="G41" s="6" t="n">
        <v>7.502888612115665e-05</v>
      </c>
    </row>
    <row r="42">
      <c r="A42" t="n">
        <v>31</v>
      </c>
      <c r="B42" s="51" t="n">
        <v>0</v>
      </c>
      <c r="C42" s="6" t="n">
        <v>0</v>
      </c>
      <c r="E42" s="7" t="n">
        <v>31</v>
      </c>
      <c r="F42" s="53" t="n">
        <v>1</v>
      </c>
      <c r="G42" s="6" t="n">
        <v>0</v>
      </c>
    </row>
    <row r="43">
      <c r="A43" t="n">
        <v>32</v>
      </c>
      <c r="B43" s="51" t="n">
        <v>464.442048857</v>
      </c>
      <c r="C43" s="6" t="n">
        <v>0.007714293743941279</v>
      </c>
      <c r="E43" s="7" t="n">
        <v>32</v>
      </c>
      <c r="F43" s="53" t="n">
        <v>0</v>
      </c>
      <c r="G43" s="6" t="n">
        <v>0</v>
      </c>
    </row>
    <row r="44">
      <c r="A44" t="n">
        <v>33</v>
      </c>
      <c r="B44" s="51" t="n">
        <v>0</v>
      </c>
      <c r="C44" s="6" t="n">
        <v>0</v>
      </c>
      <c r="E44" s="7" t="n">
        <v>33</v>
      </c>
      <c r="F44" s="53" t="n">
        <v>0</v>
      </c>
      <c r="G44" s="6" t="n">
        <v>0</v>
      </c>
    </row>
    <row r="45">
      <c r="A45" t="n">
        <v>34</v>
      </c>
      <c r="B45" s="51" t="n">
        <v>0</v>
      </c>
      <c r="C45" s="6" t="n">
        <v>0</v>
      </c>
      <c r="E45" s="7" t="n">
        <v>34</v>
      </c>
      <c r="F45" s="53" t="n">
        <v>0</v>
      </c>
      <c r="G45" s="6" t="n">
        <v>0</v>
      </c>
    </row>
    <row r="46">
      <c r="A46" t="n">
        <v>35</v>
      </c>
      <c r="B46" s="51" t="n">
        <v>0</v>
      </c>
      <c r="C46" s="6" t="n">
        <v>0</v>
      </c>
      <c r="E46" s="7" t="n">
        <v>35</v>
      </c>
      <c r="F46" s="53" t="n">
        <v>0</v>
      </c>
      <c r="G46" s="6" t="n">
        <v>0</v>
      </c>
    </row>
    <row r="47">
      <c r="A47" t="n">
        <v>36</v>
      </c>
      <c r="B47" s="51" t="n">
        <v>0</v>
      </c>
      <c r="C47" s="6" t="n">
        <v>0</v>
      </c>
      <c r="E47" s="7" t="n">
        <v>36</v>
      </c>
      <c r="F47" s="53" t="n">
        <v>0</v>
      </c>
      <c r="G47" s="6" t="n">
        <v>1.500577722423133e-05</v>
      </c>
    </row>
    <row r="48">
      <c r="A48" t="n">
        <v>37</v>
      </c>
      <c r="B48" s="51" t="n">
        <v>0</v>
      </c>
      <c r="C48" s="6" t="n">
        <v>0</v>
      </c>
      <c r="E48" s="7" t="n">
        <v>37</v>
      </c>
      <c r="F48" s="53" t="n">
        <v>0</v>
      </c>
      <c r="G48" s="6" t="n">
        <v>0</v>
      </c>
    </row>
    <row r="49">
      <c r="A49" t="n">
        <v>38</v>
      </c>
      <c r="B49" s="51" t="n">
        <v>0</v>
      </c>
      <c r="C49" s="6" t="n">
        <v>0</v>
      </c>
      <c r="E49" s="7" t="n">
        <v>38</v>
      </c>
      <c r="F49" s="53" t="n">
        <v>1</v>
      </c>
      <c r="G49" s="6" t="n">
        <v>0</v>
      </c>
    </row>
    <row r="50">
      <c r="A50" t="n">
        <v>39</v>
      </c>
      <c r="B50" s="51" t="n">
        <v>0</v>
      </c>
      <c r="C50" s="6" t="n">
        <v>0</v>
      </c>
      <c r="E50" s="7" t="n">
        <v>39</v>
      </c>
      <c r="F50" s="53" t="n">
        <v>1</v>
      </c>
      <c r="G50" s="6" t="n">
        <v>0</v>
      </c>
    </row>
    <row r="51">
      <c r="A51" t="n">
        <v>40</v>
      </c>
      <c r="B51" s="51" t="n">
        <v>0</v>
      </c>
      <c r="C51" s="6" t="n">
        <v>0</v>
      </c>
      <c r="E51" s="7" t="n">
        <v>40</v>
      </c>
      <c r="F51" s="53" t="n">
        <v>0</v>
      </c>
      <c r="G51" s="6" t="n">
        <v>0</v>
      </c>
    </row>
    <row r="52">
      <c r="A52" t="n">
        <v>41</v>
      </c>
      <c r="B52" s="51" t="n">
        <v>0</v>
      </c>
      <c r="C52" s="6" t="n">
        <v>0</v>
      </c>
      <c r="E52" s="7" t="n">
        <v>41</v>
      </c>
      <c r="F52" s="53" t="n">
        <v>1</v>
      </c>
      <c r="G52" s="6" t="n">
        <v>0</v>
      </c>
    </row>
    <row r="53">
      <c r="A53" t="n">
        <v>42</v>
      </c>
      <c r="B53" s="51" t="n">
        <v>0</v>
      </c>
      <c r="C53" s="6" t="n">
        <v>0</v>
      </c>
      <c r="E53" s="7" t="n">
        <v>42</v>
      </c>
      <c r="F53" s="53" t="n">
        <v>0</v>
      </c>
      <c r="G53" s="6" t="n">
        <v>0</v>
      </c>
    </row>
    <row r="54">
      <c r="A54" t="n">
        <v>43</v>
      </c>
      <c r="B54" s="51" t="n">
        <v>0</v>
      </c>
      <c r="C54" s="6" t="n">
        <v>0</v>
      </c>
      <c r="E54" s="7" t="n">
        <v>43</v>
      </c>
      <c r="F54" s="53" t="n">
        <v>0</v>
      </c>
      <c r="G54" s="6" t="n">
        <v>0</v>
      </c>
    </row>
    <row r="55">
      <c r="A55" t="n">
        <v>44</v>
      </c>
      <c r="B55" s="51" t="n">
        <v>0</v>
      </c>
      <c r="C55" s="6" t="n">
        <v>0</v>
      </c>
      <c r="E55" s="7" t="n">
        <v>44</v>
      </c>
      <c r="F55" s="53" t="n">
        <v>0</v>
      </c>
      <c r="G55" s="6" t="n">
        <v>0</v>
      </c>
    </row>
    <row r="56">
      <c r="A56" t="n">
        <v>45</v>
      </c>
      <c r="B56" s="51" t="n">
        <v>0</v>
      </c>
      <c r="C56" s="6" t="n">
        <v>0</v>
      </c>
      <c r="E56" s="7" t="n">
        <v>45</v>
      </c>
      <c r="F56" s="53" t="n">
        <v>0</v>
      </c>
      <c r="G56" s="6" t="n">
        <v>0</v>
      </c>
    </row>
    <row r="57">
      <c r="A57" t="n">
        <v>46</v>
      </c>
      <c r="B57" s="51" t="n">
        <v>0</v>
      </c>
      <c r="C57" s="6" t="n">
        <v>0</v>
      </c>
      <c r="E57" s="7" t="n">
        <v>46</v>
      </c>
      <c r="F57" s="53" t="n">
        <v>0</v>
      </c>
      <c r="G57" s="6" t="n">
        <v>0</v>
      </c>
    </row>
    <row r="58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0</v>
      </c>
    </row>
    <row r="59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0</v>
      </c>
    </row>
    <row r="62">
      <c r="A62" t="n">
        <v>51</v>
      </c>
      <c r="B62" s="51" t="n">
        <v>0</v>
      </c>
      <c r="C62" s="6" t="n">
        <v>0</v>
      </c>
      <c r="E62" s="7" t="n">
        <v>51</v>
      </c>
      <c r="F62" s="53" t="n">
        <v>0</v>
      </c>
      <c r="G62" s="6" t="n">
        <v>0</v>
      </c>
    </row>
    <row r="63">
      <c r="A63" t="n">
        <v>52</v>
      </c>
      <c r="B63" s="51" t="n">
        <v>0</v>
      </c>
      <c r="C63" s="6" t="n">
        <v>0</v>
      </c>
      <c r="E63" s="7" t="n">
        <v>52</v>
      </c>
      <c r="F63" s="53" t="n">
        <v>0</v>
      </c>
      <c r="G63" s="6" t="n">
        <v>0</v>
      </c>
    </row>
    <row r="64">
      <c r="A64" t="n">
        <v>53</v>
      </c>
      <c r="B64" s="51" t="n">
        <v>0</v>
      </c>
      <c r="C64" s="6" t="n">
        <v>0</v>
      </c>
      <c r="E64" s="7" t="n">
        <v>53</v>
      </c>
      <c r="F64" s="53" t="n">
        <v>0</v>
      </c>
      <c r="G64" s="6" t="n">
        <v>0</v>
      </c>
    </row>
    <row r="65">
      <c r="A65" t="n">
        <v>54</v>
      </c>
      <c r="B65" s="51" t="n">
        <v>0</v>
      </c>
      <c r="C65" s="6" t="n">
        <v>0</v>
      </c>
      <c r="E65" s="7" t="n">
        <v>54</v>
      </c>
      <c r="F65" s="53" t="n">
        <v>0</v>
      </c>
      <c r="G65" s="6" t="n">
        <v>0</v>
      </c>
    </row>
    <row r="66">
      <c r="A66" t="n">
        <v>55</v>
      </c>
      <c r="B66" s="51" t="n">
        <v>0</v>
      </c>
      <c r="C66" s="6" t="n">
        <v>0</v>
      </c>
      <c r="E66" s="7" t="n">
        <v>55</v>
      </c>
      <c r="F66" s="53" t="n">
        <v>0</v>
      </c>
      <c r="G66" s="6" t="n">
        <v>0</v>
      </c>
    </row>
    <row r="67">
      <c r="A67" t="n">
        <v>56</v>
      </c>
      <c r="B67" s="51" t="n">
        <v>0</v>
      </c>
      <c r="C67" s="6" t="n">
        <v>0</v>
      </c>
      <c r="E67" s="7" t="n">
        <v>56</v>
      </c>
      <c r="F67" s="53" t="n">
        <v>0</v>
      </c>
      <c r="G67" s="6" t="n">
        <v>0</v>
      </c>
    </row>
    <row r="68">
      <c r="A68" t="n">
        <v>57</v>
      </c>
      <c r="B68" s="51" t="n">
        <v>0</v>
      </c>
      <c r="C68" s="6" t="n">
        <v>0</v>
      </c>
      <c r="E68" s="7" t="n">
        <v>57</v>
      </c>
      <c r="F68" s="53" t="n">
        <v>0</v>
      </c>
      <c r="G68" s="6" t="n">
        <v>0</v>
      </c>
    </row>
    <row r="69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r="101" ht="15.75" customHeight="1" s="43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>
      <c r="B102" s="51" t="n">
        <v>60205.388111098</v>
      </c>
      <c r="C102" s="6" t="n">
        <v>1</v>
      </c>
      <c r="F102" s="51" t="n">
        <v>66641</v>
      </c>
      <c r="G102" s="6" t="n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5" sqref="I35"/>
    </sheetView>
  </sheetViews>
  <sheetFormatPr baseColWidth="10" defaultRowHeight="15"/>
  <cols>
    <col collapsed="1" width="13.5703125" customWidth="1" style="43" min="1" max="1"/>
    <col collapsed="1" width="10.5703125" customWidth="1" style="43" min="2" max="2"/>
    <col collapsed="1" width="10.5703125" customWidth="1" style="43" min="6" max="6"/>
    <col collapsed="1" width="15.7109375" customWidth="1" style="43" min="12" max="1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6"/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8"/>
    <row r="9" ht="15.75" customHeight="1" s="43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13" t="inlineStr">
        <is>
          <t>Survey</t>
        </is>
      </c>
      <c r="C10" s="13" t="inlineStr">
        <is>
          <t>Survey</t>
        </is>
      </c>
      <c r="E10" s="2" t="inlineStr">
        <is>
          <t>Distance (mi)</t>
        </is>
      </c>
      <c r="F10" s="13" t="inlineStr">
        <is>
          <t>DaySim</t>
        </is>
      </c>
      <c r="G10" s="13" t="inlineStr">
        <is>
          <t>DaySim</t>
        </is>
      </c>
      <c r="J10" s="2" t="inlineStr"/>
      <c r="K10" s="13" t="inlineStr">
        <is>
          <t>Survey</t>
        </is>
      </c>
      <c r="L10" s="13" t="inlineStr">
        <is>
          <t>DaySim</t>
        </is>
      </c>
    </row>
    <row r="11">
      <c r="A11" t="n">
        <v>0</v>
      </c>
      <c r="B11" s="51" t="n">
        <v>16604.9834637422</v>
      </c>
      <c r="C11" s="6" t="n">
        <v>0.02624048224627394</v>
      </c>
      <c r="E11" s="7" t="n">
        <v>0</v>
      </c>
      <c r="F11" s="53" t="n">
        <v>106322</v>
      </c>
      <c r="G11" s="6" t="n">
        <v>0.1638254938099669</v>
      </c>
      <c r="K11" s="4" t="n">
        <v>5.874764463737331</v>
      </c>
      <c r="L11" s="4" t="n">
        <v>5.358672322118318</v>
      </c>
    </row>
    <row r="12">
      <c r="A12" t="n">
        <v>1</v>
      </c>
      <c r="B12" s="51" t="n">
        <v>21952.8112701016</v>
      </c>
      <c r="C12" s="6" t="n">
        <v>0.03469153436055762</v>
      </c>
      <c r="E12" s="7" t="n">
        <v>1</v>
      </c>
      <c r="F12" s="53" t="n">
        <v>76077</v>
      </c>
      <c r="G12" s="6" t="n">
        <v>0.1125140009126521</v>
      </c>
      <c r="K12" s="4" t="inlineStr"/>
      <c r="L12" s="7" t="inlineStr"/>
    </row>
    <row r="13">
      <c r="A13" t="n">
        <v>2</v>
      </c>
      <c r="B13" s="51" t="n">
        <v>42499.4350588756</v>
      </c>
      <c r="C13" s="6" t="n">
        <v>0.06716090224204102</v>
      </c>
      <c r="E13" s="7" t="n">
        <v>2</v>
      </c>
      <c r="F13" s="53" t="n">
        <v>50723</v>
      </c>
      <c r="G13" s="6" t="n">
        <v>0.0754523257812361</v>
      </c>
    </row>
    <row r="14">
      <c r="A14" t="n">
        <v>3</v>
      </c>
      <c r="B14" s="51" t="n">
        <v>68970.6634023386</v>
      </c>
      <c r="C14" s="6" t="n">
        <v>0.1089927895727593</v>
      </c>
      <c r="E14" s="7" t="n">
        <v>3</v>
      </c>
      <c r="F14" s="53" t="n">
        <v>29982</v>
      </c>
      <c r="G14" s="6" t="n">
        <v>0.04497182038532882</v>
      </c>
    </row>
    <row r="15">
      <c r="A15" t="n">
        <v>4</v>
      </c>
      <c r="B15" s="51" t="n">
        <v>154323.6324317361</v>
      </c>
      <c r="C15" s="6" t="n">
        <v>0.2438741686101536</v>
      </c>
      <c r="E15" s="7" t="n">
        <v>4</v>
      </c>
      <c r="F15" s="53" t="n">
        <v>104635</v>
      </c>
      <c r="G15" s="6" t="n">
        <v>0.156189440496862</v>
      </c>
    </row>
    <row r="16">
      <c r="A16" t="n">
        <v>5</v>
      </c>
      <c r="B16" s="51" t="n">
        <v>77999.16794440719</v>
      </c>
      <c r="C16" s="6" t="n">
        <v>0.1232603324260157</v>
      </c>
      <c r="E16" s="7" t="n">
        <v>5</v>
      </c>
      <c r="F16" s="53" t="n">
        <v>63752</v>
      </c>
      <c r="G16" s="6" t="n">
        <v>0.09317940725025038</v>
      </c>
    </row>
    <row r="17">
      <c r="A17" t="n">
        <v>6</v>
      </c>
      <c r="B17" s="51" t="n">
        <v>97004.8057745054</v>
      </c>
      <c r="C17" s="6" t="n">
        <v>0.1532945148236542</v>
      </c>
      <c r="E17" s="7" t="n">
        <v>6</v>
      </c>
      <c r="F17" s="53" t="n">
        <v>53938</v>
      </c>
      <c r="G17" s="6" t="n">
        <v>0.07809101630328495</v>
      </c>
    </row>
    <row r="18">
      <c r="A18" t="n">
        <v>7</v>
      </c>
      <c r="B18" s="51" t="n">
        <v>24671.8067362506</v>
      </c>
      <c r="C18" s="6" t="n">
        <v>0.03898830179865676</v>
      </c>
      <c r="E18" s="7" t="n">
        <v>7</v>
      </c>
      <c r="F18" s="53" t="n">
        <v>22560</v>
      </c>
      <c r="G18" s="6" t="n">
        <v>0.07736356147659995</v>
      </c>
    </row>
    <row r="19">
      <c r="A19" t="n">
        <v>8</v>
      </c>
      <c r="B19" s="51" t="n">
        <v>30318.2908072104</v>
      </c>
      <c r="C19" s="6" t="n">
        <v>0.0479113136969473</v>
      </c>
      <c r="E19" s="7" t="n">
        <v>8</v>
      </c>
      <c r="F19" s="53" t="n">
        <v>54591</v>
      </c>
      <c r="G19" s="6" t="n">
        <v>0.05436206211960484</v>
      </c>
    </row>
    <row r="20">
      <c r="A20" t="n">
        <v>9</v>
      </c>
      <c r="B20" s="51" t="n">
        <v>20461.9897532309</v>
      </c>
      <c r="C20" s="6" t="n">
        <v>0.03233562261687965</v>
      </c>
      <c r="E20" s="7" t="n">
        <v>9</v>
      </c>
      <c r="F20" s="53" t="n">
        <v>12297</v>
      </c>
      <c r="G20" s="6" t="n">
        <v>0.02094210585578912</v>
      </c>
    </row>
    <row r="21">
      <c r="A21" t="n">
        <v>10</v>
      </c>
      <c r="B21" s="51" t="n">
        <v>29274.8534304106</v>
      </c>
      <c r="C21" s="6" t="n">
        <v>0.04626239305689969</v>
      </c>
      <c r="E21" s="7" t="n">
        <v>10</v>
      </c>
      <c r="F21" s="53" t="n">
        <v>11985</v>
      </c>
      <c r="G21" s="6" t="n">
        <v>0.01809154967138599</v>
      </c>
    </row>
    <row r="22">
      <c r="A22" t="n">
        <v>11</v>
      </c>
      <c r="B22" s="51" t="n">
        <v>7581.4602076597</v>
      </c>
      <c r="C22" s="6" t="n">
        <v>0.01198081120732969</v>
      </c>
      <c r="E22" s="7" t="n">
        <v>11</v>
      </c>
      <c r="F22" s="53" t="n">
        <v>17278</v>
      </c>
      <c r="G22" s="6" t="n">
        <v>0.02339115438636</v>
      </c>
    </row>
    <row r="23">
      <c r="A23" t="n">
        <v>12</v>
      </c>
      <c r="B23" s="51" t="n">
        <v>3575.4921798965</v>
      </c>
      <c r="C23" s="6" t="n">
        <v>0.005650269948966333</v>
      </c>
      <c r="E23" s="7" t="n">
        <v>12</v>
      </c>
      <c r="F23" s="53" t="n">
        <v>10279</v>
      </c>
      <c r="G23" s="6" t="n">
        <v>0.01443797817931836</v>
      </c>
    </row>
    <row r="24">
      <c r="A24" t="n">
        <v>13</v>
      </c>
      <c r="B24" s="51" t="n">
        <v>2816.3028888836</v>
      </c>
      <c r="C24" s="6" t="n">
        <v>0.004450540171704894</v>
      </c>
      <c r="E24" s="7" t="n">
        <v>13</v>
      </c>
      <c r="F24" s="53" t="n">
        <v>10523</v>
      </c>
      <c r="G24" s="6" t="n">
        <v>0.01796265238030331</v>
      </c>
    </row>
    <row r="25">
      <c r="A25" t="n">
        <v>14</v>
      </c>
      <c r="B25" s="51" t="n">
        <v>4608.1001548464</v>
      </c>
      <c r="C25" s="6" t="n">
        <v>0.007282077128612099</v>
      </c>
      <c r="E25" s="7" t="n">
        <v>14</v>
      </c>
      <c r="F25" s="53" t="n">
        <v>5410</v>
      </c>
      <c r="G25" s="6" t="n">
        <v>0.007908663675854426</v>
      </c>
    </row>
    <row r="26">
      <c r="A26" t="n">
        <v>15</v>
      </c>
      <c r="B26" s="51" t="n">
        <v>4713.306057650499</v>
      </c>
      <c r="C26" s="6" t="n">
        <v>0.007448331652789266</v>
      </c>
      <c r="E26" s="7" t="n">
        <v>15</v>
      </c>
      <c r="F26" s="53" t="n">
        <v>15289</v>
      </c>
      <c r="G26" s="6" t="n">
        <v>0.01630476653292955</v>
      </c>
    </row>
    <row r="27">
      <c r="A27" t="n">
        <v>16</v>
      </c>
      <c r="B27" s="51" t="n">
        <v>4568.9158708242</v>
      </c>
      <c r="C27" s="6" t="n">
        <v>0.007220155085060375</v>
      </c>
      <c r="E27" s="7" t="n">
        <v>16</v>
      </c>
      <c r="F27" s="53" t="n">
        <v>2521</v>
      </c>
      <c r="G27" s="6" t="n">
        <v>0.003558750496328649</v>
      </c>
    </row>
    <row r="28">
      <c r="A28" t="n">
        <v>17</v>
      </c>
      <c r="B28" s="51" t="n">
        <v>2983.6074133344</v>
      </c>
      <c r="C28" s="6" t="n">
        <v>0.004714927752286268</v>
      </c>
      <c r="E28" s="7" t="n">
        <v>17</v>
      </c>
      <c r="F28" s="53" t="n">
        <v>3516</v>
      </c>
      <c r="G28" s="6" t="n">
        <v>0.005835935972122628</v>
      </c>
    </row>
    <row r="29">
      <c r="A29" t="n">
        <v>18</v>
      </c>
      <c r="B29" s="51" t="n">
        <v>995.7219531329</v>
      </c>
      <c r="C29" s="6" t="n">
        <v>0.00157351702821393</v>
      </c>
      <c r="E29" s="7" t="n">
        <v>18</v>
      </c>
      <c r="F29" s="53" t="n">
        <v>1572</v>
      </c>
      <c r="G29" s="6" t="n">
        <v>0.002440159062220352</v>
      </c>
    </row>
    <row r="30">
      <c r="A30" t="n">
        <v>19</v>
      </c>
      <c r="B30" s="51" t="n">
        <v>512.112231117</v>
      </c>
      <c r="C30" s="6" t="n">
        <v>0.0008092794514410731</v>
      </c>
      <c r="E30" s="7" t="n">
        <v>19</v>
      </c>
      <c r="F30" s="53" t="n">
        <v>908</v>
      </c>
      <c r="G30" s="6" t="n">
        <v>0.001563064851634773</v>
      </c>
    </row>
    <row r="31">
      <c r="A31" t="n">
        <v>20</v>
      </c>
      <c r="B31" s="51" t="n">
        <v>99.78512096270001</v>
      </c>
      <c r="C31" s="6" t="n">
        <v>0.0001576881844406202</v>
      </c>
      <c r="E31" s="7" t="n">
        <v>20</v>
      </c>
      <c r="F31" s="53" t="n">
        <v>1308</v>
      </c>
      <c r="G31" s="6" t="n">
        <v>0.002474235357564049</v>
      </c>
    </row>
    <row r="32">
      <c r="A32" t="n">
        <v>21</v>
      </c>
      <c r="B32" s="51" t="n">
        <v>0</v>
      </c>
      <c r="C32" s="6" t="n">
        <v>0</v>
      </c>
      <c r="E32" s="7" t="n">
        <v>21</v>
      </c>
      <c r="F32" s="53" t="n">
        <v>1422</v>
      </c>
      <c r="G32" s="6" t="n">
        <v>0.001656404269315333</v>
      </c>
    </row>
    <row r="33">
      <c r="A33" t="n">
        <v>22</v>
      </c>
      <c r="B33" s="51" t="n">
        <v>2237.1382937662</v>
      </c>
      <c r="C33" s="6" t="n">
        <v>0.003535299376130891</v>
      </c>
      <c r="E33" s="7" t="n">
        <v>22</v>
      </c>
      <c r="F33" s="53" t="n">
        <v>582</v>
      </c>
      <c r="G33" s="6" t="n">
        <v>0.0008489442274755688</v>
      </c>
    </row>
    <row r="34">
      <c r="A34" t="n">
        <v>23</v>
      </c>
      <c r="B34" s="51" t="n">
        <v>704.037746628</v>
      </c>
      <c r="C34" s="6" t="n">
        <v>0.001112575030950092</v>
      </c>
      <c r="E34" s="7" t="n">
        <v>23</v>
      </c>
      <c r="F34" s="53" t="n">
        <v>477</v>
      </c>
      <c r="G34" s="6" t="n">
        <v>0.0006963416874581454</v>
      </c>
    </row>
    <row r="35">
      <c r="A35" t="n">
        <v>24</v>
      </c>
      <c r="B35" s="51" t="n">
        <v>1181.737533489</v>
      </c>
      <c r="C35" s="6" t="n">
        <v>0.001867473269996573</v>
      </c>
      <c r="E35" s="7" t="n">
        <v>24</v>
      </c>
      <c r="F35" s="53" t="n">
        <v>1094</v>
      </c>
      <c r="G35" s="6" t="n">
        <v>0.00158825167862794</v>
      </c>
    </row>
    <row r="36">
      <c r="A36" t="n">
        <v>25</v>
      </c>
      <c r="B36" s="51" t="n">
        <v>0</v>
      </c>
      <c r="C36" s="6" t="n">
        <v>0</v>
      </c>
      <c r="E36" s="7" t="n">
        <v>25</v>
      </c>
      <c r="F36" s="53" t="n">
        <v>988</v>
      </c>
      <c r="G36" s="6" t="n">
        <v>0.0007615311220286952</v>
      </c>
    </row>
    <row r="37">
      <c r="A37" t="n">
        <v>26</v>
      </c>
      <c r="B37" s="51" t="n">
        <v>9134.139197189999</v>
      </c>
      <c r="C37" s="6" t="n">
        <v>0.01443447492508628</v>
      </c>
      <c r="E37" s="7" t="n">
        <v>26</v>
      </c>
      <c r="F37" s="53" t="n">
        <v>298</v>
      </c>
      <c r="G37" s="6" t="n">
        <v>0.001263786083833613</v>
      </c>
    </row>
    <row r="38">
      <c r="A38" t="n">
        <v>27</v>
      </c>
      <c r="B38" s="51" t="n">
        <v>0</v>
      </c>
      <c r="C38" s="6" t="n">
        <v>0</v>
      </c>
      <c r="E38" s="7" t="n">
        <v>27</v>
      </c>
      <c r="F38" s="53" t="n">
        <v>264</v>
      </c>
      <c r="G38" s="6" t="n">
        <v>0.0004622523542275349</v>
      </c>
    </row>
    <row r="39">
      <c r="A39" t="n">
        <v>28</v>
      </c>
      <c r="B39" s="51" t="n">
        <v>0</v>
      </c>
      <c r="C39" s="6" t="n">
        <v>0</v>
      </c>
      <c r="E39" s="7" t="n">
        <v>28</v>
      </c>
      <c r="F39" s="53" t="n">
        <v>219</v>
      </c>
      <c r="G39" s="6" t="n">
        <v>0.0003644682023717102</v>
      </c>
    </row>
    <row r="40">
      <c r="A40" t="n">
        <v>29</v>
      </c>
      <c r="B40" s="51" t="n">
        <v>0</v>
      </c>
      <c r="C40" s="6" t="n">
        <v>0</v>
      </c>
      <c r="E40" s="7" t="n">
        <v>29</v>
      </c>
      <c r="F40" s="53" t="n">
        <v>358</v>
      </c>
      <c r="G40" s="6" t="n">
        <v>0.0004341023711175247</v>
      </c>
    </row>
    <row r="41">
      <c r="A41" t="n">
        <v>30</v>
      </c>
      <c r="B41" s="51" t="n">
        <v>0</v>
      </c>
      <c r="C41" s="6" t="n">
        <v>0</v>
      </c>
      <c r="E41" s="7" t="n">
        <v>30</v>
      </c>
      <c r="F41" s="53" t="n">
        <v>217</v>
      </c>
      <c r="G41" s="6" t="n">
        <v>0.0003392813753785432</v>
      </c>
    </row>
    <row r="42">
      <c r="A42" t="n">
        <v>31</v>
      </c>
      <c r="B42" s="51" t="n">
        <v>889.701534148</v>
      </c>
      <c r="C42" s="6" t="n">
        <v>0.00140597534241879</v>
      </c>
      <c r="E42" s="7" t="n">
        <v>31</v>
      </c>
      <c r="F42" s="53" t="n">
        <v>84</v>
      </c>
      <c r="G42" s="6" t="n">
        <v>0.0001259341349658348</v>
      </c>
    </row>
    <row r="43">
      <c r="A43" t="n">
        <v>32</v>
      </c>
      <c r="B43" s="51" t="n">
        <v>0</v>
      </c>
      <c r="C43" s="6" t="n">
        <v>0</v>
      </c>
      <c r="E43" s="7" t="n">
        <v>32</v>
      </c>
      <c r="F43" s="53" t="n">
        <v>139</v>
      </c>
      <c r="G43" s="6" t="n">
        <v>0.000232607755172189</v>
      </c>
    </row>
    <row r="44">
      <c r="A44" t="n">
        <v>33</v>
      </c>
      <c r="B44" s="51" t="n">
        <v>0</v>
      </c>
      <c r="C44" s="6" t="n">
        <v>0</v>
      </c>
      <c r="E44" s="7" t="n">
        <v>33</v>
      </c>
      <c r="F44" s="53" t="n">
        <v>78</v>
      </c>
      <c r="G44" s="6" t="n">
        <v>4.296576369422599e-05</v>
      </c>
    </row>
    <row r="45">
      <c r="A45" t="n">
        <v>34</v>
      </c>
      <c r="B45" s="51" t="n">
        <v>0</v>
      </c>
      <c r="C45" s="6" t="n">
        <v>0</v>
      </c>
      <c r="E45" s="7" t="n">
        <v>34</v>
      </c>
      <c r="F45" s="53" t="n">
        <v>27</v>
      </c>
      <c r="G45" s="6" t="n">
        <v>6.222627845370661e-05</v>
      </c>
    </row>
    <row r="46">
      <c r="A46" t="n">
        <v>35</v>
      </c>
      <c r="B46" s="51" t="n">
        <v>0</v>
      </c>
      <c r="C46" s="6" t="n">
        <v>0</v>
      </c>
      <c r="E46" s="7" t="n">
        <v>35</v>
      </c>
      <c r="F46" s="53" t="n">
        <v>16</v>
      </c>
      <c r="G46" s="6" t="n">
        <v>2.814998311001014e-05</v>
      </c>
    </row>
    <row r="47">
      <c r="A47" t="n">
        <v>36</v>
      </c>
      <c r="B47" s="51" t="n">
        <v>183.053312801</v>
      </c>
      <c r="C47" s="6" t="n">
        <v>0.000289275036928808</v>
      </c>
      <c r="E47" s="7" t="n">
        <v>36</v>
      </c>
      <c r="F47" s="53" t="n">
        <v>72</v>
      </c>
      <c r="G47" s="6" t="n">
        <v>0.0001170446666153053</v>
      </c>
    </row>
    <row r="48">
      <c r="A48" t="n">
        <v>37</v>
      </c>
      <c r="B48" s="51" t="n">
        <v>0</v>
      </c>
      <c r="C48" s="6" t="n">
        <v>0</v>
      </c>
      <c r="E48" s="7" t="n">
        <v>37</v>
      </c>
      <c r="F48" s="53" t="n">
        <v>24</v>
      </c>
      <c r="G48" s="6" t="n">
        <v>3.11131392268533e-05</v>
      </c>
    </row>
    <row r="49">
      <c r="A49" t="n">
        <v>38</v>
      </c>
      <c r="B49" s="51" t="n">
        <v>0</v>
      </c>
      <c r="C49" s="6" t="n">
        <v>0</v>
      </c>
      <c r="E49" s="7" t="n">
        <v>38</v>
      </c>
      <c r="F49" s="53" t="n">
        <v>15</v>
      </c>
      <c r="G49" s="6" t="n">
        <v>3.11131392268533e-05</v>
      </c>
    </row>
    <row r="50">
      <c r="A50" t="n">
        <v>39</v>
      </c>
      <c r="B50" s="51" t="n">
        <v>0</v>
      </c>
      <c r="C50" s="6" t="n">
        <v>0</v>
      </c>
      <c r="E50" s="7" t="n">
        <v>39</v>
      </c>
      <c r="F50" s="53" t="n">
        <v>21</v>
      </c>
      <c r="G50" s="6" t="n">
        <v>1.481578058421586e-05</v>
      </c>
    </row>
    <row r="51">
      <c r="A51" t="n">
        <v>40</v>
      </c>
      <c r="B51" s="51" t="n">
        <v>0</v>
      </c>
      <c r="C51" s="6" t="n">
        <v>0</v>
      </c>
      <c r="E51" s="7" t="n">
        <v>40</v>
      </c>
      <c r="F51" s="53" t="n">
        <v>9</v>
      </c>
      <c r="G51" s="6" t="n">
        <v>1.481578058421586e-06</v>
      </c>
    </row>
    <row r="52">
      <c r="A52" t="n">
        <v>41</v>
      </c>
      <c r="B52" s="51" t="n">
        <v>0</v>
      </c>
      <c r="C52" s="6" t="n">
        <v>0</v>
      </c>
      <c r="E52" s="7" t="n">
        <v>41</v>
      </c>
      <c r="F52" s="53" t="n">
        <v>4</v>
      </c>
      <c r="G52" s="6" t="n">
        <v>7.40789029210793e-06</v>
      </c>
    </row>
    <row r="53">
      <c r="A53" t="n">
        <v>42</v>
      </c>
      <c r="B53" s="51" t="n">
        <v>0</v>
      </c>
      <c r="C53" s="6" t="n">
        <v>0</v>
      </c>
      <c r="E53" s="7" t="n">
        <v>42</v>
      </c>
      <c r="F53" s="53" t="n">
        <v>1</v>
      </c>
      <c r="G53" s="6" t="n">
        <v>8.889468350529516e-06</v>
      </c>
    </row>
    <row r="54">
      <c r="A54" t="n">
        <v>43</v>
      </c>
      <c r="B54" s="51" t="n">
        <v>0</v>
      </c>
      <c r="C54" s="6" t="n">
        <v>0</v>
      </c>
      <c r="E54" s="7" t="n">
        <v>43</v>
      </c>
      <c r="F54" s="53" t="n">
        <v>0</v>
      </c>
      <c r="G54" s="6" t="n">
        <v>2.963156116843172e-06</v>
      </c>
    </row>
    <row r="55">
      <c r="A55" t="n">
        <v>44</v>
      </c>
      <c r="B55" s="51" t="n">
        <v>0</v>
      </c>
      <c r="C55" s="6" t="n">
        <v>0</v>
      </c>
      <c r="E55" s="7" t="n">
        <v>44</v>
      </c>
      <c r="F55" s="53" t="n">
        <v>2</v>
      </c>
      <c r="G55" s="6" t="n">
        <v>0</v>
      </c>
    </row>
    <row r="56">
      <c r="A56" t="n">
        <v>45</v>
      </c>
      <c r="B56" s="51" t="n">
        <v>250.40304101</v>
      </c>
      <c r="C56" s="6" t="n">
        <v>0.0003957062990386803</v>
      </c>
      <c r="E56" s="7" t="n">
        <v>45</v>
      </c>
      <c r="F56" s="53" t="n">
        <v>6</v>
      </c>
      <c r="G56" s="6" t="n">
        <v>2.963156116843172e-06</v>
      </c>
    </row>
    <row r="57">
      <c r="A57" t="n">
        <v>46</v>
      </c>
      <c r="B57" s="51" t="n">
        <v>0</v>
      </c>
      <c r="C57" s="6" t="n">
        <v>0</v>
      </c>
      <c r="E57" s="7" t="n">
        <v>46</v>
      </c>
      <c r="F57" s="53" t="n">
        <v>3</v>
      </c>
      <c r="G57" s="6" t="n">
        <v>2.963156116843172e-06</v>
      </c>
    </row>
    <row r="58">
      <c r="A58" t="n">
        <v>47</v>
      </c>
      <c r="B58" s="51" t="n">
        <v>0</v>
      </c>
      <c r="C58" s="6" t="n">
        <v>0</v>
      </c>
      <c r="E58" s="7" t="n">
        <v>47</v>
      </c>
      <c r="F58" s="53" t="n">
        <v>0</v>
      </c>
      <c r="G58" s="6" t="n">
        <v>4.444734175264758e-06</v>
      </c>
    </row>
    <row r="59">
      <c r="A59" t="n">
        <v>48</v>
      </c>
      <c r="B59" s="51" t="n">
        <v>0</v>
      </c>
      <c r="C59" s="6" t="n">
        <v>0</v>
      </c>
      <c r="E59" s="7" t="n">
        <v>48</v>
      </c>
      <c r="F59" s="53" t="n">
        <v>0</v>
      </c>
      <c r="G59" s="6" t="n">
        <v>0</v>
      </c>
    </row>
    <row r="60">
      <c r="A60" t="n">
        <v>49</v>
      </c>
      <c r="B60" s="51" t="n">
        <v>0</v>
      </c>
      <c r="C60" s="6" t="n">
        <v>0</v>
      </c>
      <c r="E60" s="7" t="n">
        <v>49</v>
      </c>
      <c r="F60" s="53" t="n">
        <v>0</v>
      </c>
      <c r="G60" s="6" t="n">
        <v>0</v>
      </c>
    </row>
    <row r="61">
      <c r="A61" t="n">
        <v>50</v>
      </c>
      <c r="B61" s="51" t="n">
        <v>0</v>
      </c>
      <c r="C61" s="6" t="n">
        <v>0</v>
      </c>
      <c r="E61" s="7" t="n">
        <v>50</v>
      </c>
      <c r="F61" s="53" t="n">
        <v>0</v>
      </c>
      <c r="G61" s="6" t="n">
        <v>4.444734175264758e-06</v>
      </c>
    </row>
    <row r="62">
      <c r="A62" t="n">
        <v>51</v>
      </c>
      <c r="B62" s="51" t="n">
        <v>0</v>
      </c>
      <c r="C62" s="6" t="n">
        <v>0</v>
      </c>
      <c r="E62" s="7" t="n">
        <v>51</v>
      </c>
      <c r="F62" s="53" t="n">
        <v>1</v>
      </c>
      <c r="G62" s="6" t="n">
        <v>0</v>
      </c>
    </row>
    <row r="63">
      <c r="A63" t="n">
        <v>52</v>
      </c>
      <c r="B63" s="51" t="n">
        <v>0</v>
      </c>
      <c r="C63" s="6" t="n">
        <v>0</v>
      </c>
      <c r="E63" s="7" t="n">
        <v>52</v>
      </c>
      <c r="F63" s="53" t="n">
        <v>2</v>
      </c>
      <c r="G63" s="6" t="n">
        <v>1.481578058421586e-06</v>
      </c>
    </row>
    <row r="64">
      <c r="A64" t="n">
        <v>53</v>
      </c>
      <c r="B64" s="51" t="n">
        <v>0</v>
      </c>
      <c r="C64" s="6" t="n">
        <v>0</v>
      </c>
      <c r="E64" s="7" t="n">
        <v>53</v>
      </c>
      <c r="F64" s="53" t="n">
        <v>0</v>
      </c>
      <c r="G64" s="6" t="n">
        <v>0</v>
      </c>
    </row>
    <row r="65">
      <c r="A65" t="n">
        <v>54</v>
      </c>
      <c r="B65" s="51" t="n">
        <v>444.572467296</v>
      </c>
      <c r="C65" s="6" t="n">
        <v>0.0007025478803237434</v>
      </c>
      <c r="E65" s="7" t="n">
        <v>54</v>
      </c>
      <c r="F65" s="53" t="n">
        <v>0</v>
      </c>
      <c r="G65" s="6" t="n">
        <v>1.481578058421586e-06</v>
      </c>
    </row>
    <row r="66">
      <c r="A66" t="n">
        <v>55</v>
      </c>
      <c r="B66" s="51" t="n">
        <v>0</v>
      </c>
      <c r="C66" s="6" t="n">
        <v>0</v>
      </c>
      <c r="E66" s="7" t="n">
        <v>55</v>
      </c>
      <c r="F66" s="53" t="n">
        <v>1</v>
      </c>
      <c r="G66" s="6" t="n">
        <v>0</v>
      </c>
    </row>
    <row r="67">
      <c r="A67" t="n">
        <v>56</v>
      </c>
      <c r="B67" s="51" t="n">
        <v>668.7115357709999</v>
      </c>
      <c r="C67" s="6" t="n">
        <v>0.001056749813728688</v>
      </c>
      <c r="E67" s="7" t="n">
        <v>56</v>
      </c>
      <c r="F67" s="53" t="n">
        <v>0</v>
      </c>
      <c r="G67" s="6" t="n">
        <v>0</v>
      </c>
    </row>
    <row r="68">
      <c r="A68" t="n">
        <v>57</v>
      </c>
      <c r="B68" s="51" t="n">
        <v>569.501209051</v>
      </c>
      <c r="C68" s="6" t="n">
        <v>0.0008999699637139202</v>
      </c>
      <c r="E68" s="7" t="n">
        <v>57</v>
      </c>
      <c r="F68" s="53" t="n">
        <v>1</v>
      </c>
      <c r="G68" s="6" t="n">
        <v>0</v>
      </c>
    </row>
    <row r="69">
      <c r="A69" t="n">
        <v>58</v>
      </c>
      <c r="B69" s="51" t="n">
        <v>0</v>
      </c>
      <c r="C69" s="6" t="n">
        <v>0</v>
      </c>
      <c r="E69" s="7" t="n">
        <v>58</v>
      </c>
      <c r="F69" s="53" t="n">
        <v>0</v>
      </c>
      <c r="G69" s="6" t="n">
        <v>0</v>
      </c>
    </row>
    <row r="70">
      <c r="A70" t="n">
        <v>59</v>
      </c>
      <c r="B70" s="51" t="n">
        <v>0</v>
      </c>
      <c r="C70" s="6" t="n">
        <v>0</v>
      </c>
      <c r="E70" s="7" t="n">
        <v>59</v>
      </c>
      <c r="F70" s="53" t="n">
        <v>0</v>
      </c>
      <c r="G70" s="6" t="n">
        <v>0</v>
      </c>
    </row>
    <row r="71">
      <c r="A71" t="n">
        <v>60</v>
      </c>
      <c r="B71" s="51" t="n">
        <v>0</v>
      </c>
      <c r="C71" s="6" t="n">
        <v>0</v>
      </c>
      <c r="E71" s="7" t="n">
        <v>60</v>
      </c>
      <c r="F71" s="53" t="n">
        <v>0</v>
      </c>
      <c r="G71" s="6" t="n">
        <v>0</v>
      </c>
    </row>
    <row r="72">
      <c r="A72" t="n">
        <v>61</v>
      </c>
      <c r="B72" s="51" t="n">
        <v>0</v>
      </c>
      <c r="C72" s="6" t="n">
        <v>0</v>
      </c>
      <c r="E72" s="7" t="n">
        <v>61</v>
      </c>
      <c r="F72" s="53" t="n">
        <v>0</v>
      </c>
      <c r="G72" s="6" t="n">
        <v>0</v>
      </c>
    </row>
    <row r="73">
      <c r="A73" t="n">
        <v>62</v>
      </c>
      <c r="B73" s="51" t="n">
        <v>0</v>
      </c>
      <c r="C73" s="6" t="n">
        <v>0</v>
      </c>
      <c r="E73" s="7" t="n">
        <v>62</v>
      </c>
      <c r="F73" s="53" t="n">
        <v>0</v>
      </c>
      <c r="G73" s="6" t="n">
        <v>0</v>
      </c>
    </row>
    <row r="74">
      <c r="A74" t="n">
        <v>63</v>
      </c>
      <c r="B74" s="51" t="n">
        <v>0</v>
      </c>
      <c r="C74" s="6" t="n">
        <v>0</v>
      </c>
      <c r="E74" s="7" t="n">
        <v>63</v>
      </c>
      <c r="F74" s="53" t="n">
        <v>0</v>
      </c>
      <c r="G74" s="6" t="n">
        <v>0</v>
      </c>
    </row>
    <row r="75">
      <c r="A75" t="n">
        <v>64</v>
      </c>
      <c r="B75" s="51" t="n">
        <v>0</v>
      </c>
      <c r="C75" s="6" t="n">
        <v>0</v>
      </c>
      <c r="E75" s="7" t="n">
        <v>64</v>
      </c>
      <c r="F75" s="53" t="n">
        <v>0</v>
      </c>
      <c r="G75" s="6" t="n">
        <v>0</v>
      </c>
    </row>
    <row r="76">
      <c r="A76" t="n">
        <v>65</v>
      </c>
      <c r="B76" s="51" t="n">
        <v>0</v>
      </c>
      <c r="C76" s="6" t="n">
        <v>0</v>
      </c>
      <c r="E76" s="7" t="n">
        <v>65</v>
      </c>
      <c r="F76" s="53" t="n">
        <v>0</v>
      </c>
      <c r="G76" s="6" t="n">
        <v>0</v>
      </c>
    </row>
    <row r="77">
      <c r="A77" t="n">
        <v>66</v>
      </c>
      <c r="B77" s="51" t="n">
        <v>0</v>
      </c>
      <c r="C77" s="6" t="n">
        <v>0</v>
      </c>
      <c r="E77" s="7" t="n">
        <v>66</v>
      </c>
      <c r="F77" s="53" t="n">
        <v>0</v>
      </c>
      <c r="G77" s="6" t="n">
        <v>0</v>
      </c>
    </row>
    <row r="78">
      <c r="A78" t="n">
        <v>67</v>
      </c>
      <c r="B78" s="51" t="n">
        <v>0</v>
      </c>
      <c r="C78" s="6" t="n">
        <v>0</v>
      </c>
      <c r="E78" s="7" t="n">
        <v>67</v>
      </c>
      <c r="F78" s="53" t="n">
        <v>0</v>
      </c>
      <c r="G78" s="6" t="n">
        <v>0</v>
      </c>
    </row>
    <row r="79">
      <c r="A79" t="n">
        <v>68</v>
      </c>
      <c r="B79" s="51" t="n">
        <v>0</v>
      </c>
      <c r="C79" s="6" t="n">
        <v>0</v>
      </c>
      <c r="E79" s="7" t="n">
        <v>68</v>
      </c>
      <c r="F79" s="53" t="n">
        <v>0</v>
      </c>
      <c r="G79" s="6" t="n">
        <v>0</v>
      </c>
    </row>
    <row r="80">
      <c r="A80" t="n">
        <v>69</v>
      </c>
      <c r="B80" s="51" t="n">
        <v>0</v>
      </c>
      <c r="C80" s="6" t="n">
        <v>0</v>
      </c>
      <c r="E80" s="7" t="n">
        <v>69</v>
      </c>
      <c r="F80" s="53" t="n">
        <v>0</v>
      </c>
      <c r="G80" s="6" t="n">
        <v>0</v>
      </c>
    </row>
    <row r="81">
      <c r="A81" t="n">
        <v>70</v>
      </c>
      <c r="B81" s="51" t="n">
        <v>0</v>
      </c>
      <c r="C81" s="6" t="n">
        <v>0</v>
      </c>
      <c r="E81" s="7" t="n">
        <v>70</v>
      </c>
      <c r="F81" s="53" t="n">
        <v>0</v>
      </c>
      <c r="G81" s="6" t="n">
        <v>0</v>
      </c>
    </row>
    <row r="82">
      <c r="A82" t="n">
        <v>71</v>
      </c>
      <c r="B82" s="51" t="n">
        <v>0</v>
      </c>
      <c r="C82" s="6" t="n">
        <v>0</v>
      </c>
      <c r="E82" s="7" t="n">
        <v>71</v>
      </c>
      <c r="F82" s="53" t="n">
        <v>0</v>
      </c>
      <c r="G82" s="6" t="n">
        <v>0</v>
      </c>
    </row>
    <row r="83">
      <c r="A83" t="n">
        <v>72</v>
      </c>
      <c r="B83" s="51" t="n">
        <v>0</v>
      </c>
      <c r="C83" s="6" t="n">
        <v>0</v>
      </c>
      <c r="E83" s="7" t="n">
        <v>72</v>
      </c>
      <c r="F83" s="53" t="n">
        <v>0</v>
      </c>
      <c r="G83" s="6" t="n">
        <v>0</v>
      </c>
    </row>
    <row r="84">
      <c r="A84" t="n">
        <v>73</v>
      </c>
      <c r="B84" s="51" t="n">
        <v>0</v>
      </c>
      <c r="C84" s="6" t="n">
        <v>0</v>
      </c>
      <c r="E84" s="7" t="n">
        <v>73</v>
      </c>
      <c r="F84" s="53" t="n">
        <v>0</v>
      </c>
      <c r="G84" s="6" t="n">
        <v>0</v>
      </c>
    </row>
    <row r="85">
      <c r="A85" t="n">
        <v>74</v>
      </c>
      <c r="B85" s="51" t="n">
        <v>0</v>
      </c>
      <c r="C85" s="6" t="n">
        <v>0</v>
      </c>
      <c r="E85" s="7" t="n">
        <v>74</v>
      </c>
      <c r="F85" s="53" t="n">
        <v>0</v>
      </c>
      <c r="G85" s="6" t="n">
        <v>0</v>
      </c>
    </row>
    <row r="86">
      <c r="A86" t="n">
        <v>75</v>
      </c>
      <c r="B86" s="51" t="n">
        <v>0</v>
      </c>
      <c r="C86" s="6" t="n">
        <v>0</v>
      </c>
      <c r="E86" s="7" t="n">
        <v>75</v>
      </c>
      <c r="F86" s="53" t="n">
        <v>0</v>
      </c>
      <c r="G86" s="6" t="n">
        <v>0</v>
      </c>
    </row>
    <row r="87">
      <c r="A87" t="n">
        <v>76</v>
      </c>
      <c r="B87" s="51" t="n">
        <v>0</v>
      </c>
      <c r="C87" s="6" t="n">
        <v>0</v>
      </c>
      <c r="E87" s="7" t="n">
        <v>76</v>
      </c>
      <c r="F87" s="53" t="n">
        <v>0</v>
      </c>
      <c r="G87" s="6" t="n">
        <v>0</v>
      </c>
    </row>
    <row r="88">
      <c r="A88" t="n">
        <v>77</v>
      </c>
      <c r="B88" s="51" t="n">
        <v>0</v>
      </c>
      <c r="C88" s="6" t="n">
        <v>0</v>
      </c>
      <c r="E88" s="7" t="n">
        <v>77</v>
      </c>
      <c r="F88" s="53" t="n">
        <v>0</v>
      </c>
      <c r="G88" s="6" t="n">
        <v>0</v>
      </c>
    </row>
    <row r="89">
      <c r="A89" t="n">
        <v>78</v>
      </c>
      <c r="B89" s="51" t="n">
        <v>0</v>
      </c>
      <c r="C89" s="6" t="n">
        <v>0</v>
      </c>
      <c r="E89" s="7" t="n">
        <v>78</v>
      </c>
      <c r="F89" s="53" t="n">
        <v>0</v>
      </c>
      <c r="G89" s="6" t="n">
        <v>0</v>
      </c>
    </row>
    <row r="90">
      <c r="A90" t="n">
        <v>79</v>
      </c>
      <c r="B90" s="51" t="n">
        <v>0</v>
      </c>
      <c r="C90" s="6" t="n">
        <v>0</v>
      </c>
      <c r="E90" s="7" t="n">
        <v>79</v>
      </c>
      <c r="F90" s="53" t="n">
        <v>0</v>
      </c>
      <c r="G90" s="6" t="n">
        <v>0</v>
      </c>
    </row>
    <row r="91">
      <c r="A91" t="n">
        <v>80</v>
      </c>
      <c r="B91" s="51" t="n">
        <v>0</v>
      </c>
      <c r="C91" s="6" t="n">
        <v>0</v>
      </c>
      <c r="E91" s="7" t="n">
        <v>80</v>
      </c>
      <c r="F91" s="53" t="n">
        <v>0</v>
      </c>
      <c r="G91" s="6" t="n">
        <v>0</v>
      </c>
    </row>
    <row r="92">
      <c r="A92" t="n">
        <v>81</v>
      </c>
      <c r="B92" s="51" t="n">
        <v>0</v>
      </c>
      <c r="C92" s="6" t="n">
        <v>0</v>
      </c>
      <c r="E92" s="7" t="n">
        <v>81</v>
      </c>
      <c r="F92" s="53" t="n">
        <v>0</v>
      </c>
      <c r="G92" s="6" t="n">
        <v>0</v>
      </c>
    </row>
    <row r="93">
      <c r="A93" t="n">
        <v>82</v>
      </c>
      <c r="B93" s="51" t="n">
        <v>0</v>
      </c>
      <c r="C93" s="6" t="n">
        <v>0</v>
      </c>
      <c r="E93" s="7" t="n">
        <v>82</v>
      </c>
      <c r="F93" s="53" t="n">
        <v>0</v>
      </c>
      <c r="G93" s="6" t="n">
        <v>0</v>
      </c>
    </row>
    <row r="94">
      <c r="A94" t="n">
        <v>83</v>
      </c>
      <c r="B94" s="51" t="n">
        <v>0</v>
      </c>
      <c r="C94" s="6" t="n">
        <v>0</v>
      </c>
      <c r="E94" s="7" t="n">
        <v>83</v>
      </c>
      <c r="F94" s="53" t="n">
        <v>0</v>
      </c>
      <c r="G94" s="6" t="n">
        <v>0</v>
      </c>
    </row>
    <row r="95">
      <c r="A95" t="n">
        <v>84</v>
      </c>
      <c r="B95" s="51" t="n">
        <v>0</v>
      </c>
      <c r="C95" s="6" t="n">
        <v>0</v>
      </c>
      <c r="E95" s="7" t="n">
        <v>84</v>
      </c>
      <c r="F95" s="53" t="n">
        <v>0</v>
      </c>
      <c r="G95" s="6" t="n">
        <v>0</v>
      </c>
    </row>
    <row r="96">
      <c r="A96" t="n">
        <v>85</v>
      </c>
      <c r="B96" s="51" t="n">
        <v>0</v>
      </c>
      <c r="C96" s="6" t="n">
        <v>0</v>
      </c>
      <c r="E96" s="7" t="n">
        <v>85</v>
      </c>
      <c r="F96" s="53" t="n">
        <v>0</v>
      </c>
      <c r="G96" s="6" t="n">
        <v>0</v>
      </c>
    </row>
    <row r="97">
      <c r="A97" t="n">
        <v>86</v>
      </c>
      <c r="B97" s="51" t="n">
        <v>0</v>
      </c>
      <c r="C97" s="6" t="n">
        <v>0</v>
      </c>
      <c r="E97" s="7" t="n">
        <v>86</v>
      </c>
      <c r="F97" s="53" t="n">
        <v>0</v>
      </c>
      <c r="G97" s="6" t="n">
        <v>0</v>
      </c>
    </row>
    <row r="98">
      <c r="A98" t="n">
        <v>87</v>
      </c>
      <c r="B98" s="51" t="n">
        <v>0</v>
      </c>
      <c r="C98" s="6" t="n">
        <v>0</v>
      </c>
      <c r="E98" s="7" t="n">
        <v>87</v>
      </c>
      <c r="F98" s="53" t="n">
        <v>0</v>
      </c>
      <c r="G98" s="6" t="n">
        <v>0</v>
      </c>
    </row>
    <row r="99">
      <c r="A99" t="n">
        <v>88</v>
      </c>
      <c r="B99" s="51" t="n">
        <v>0</v>
      </c>
      <c r="C99" s="6" t="n">
        <v>0</v>
      </c>
      <c r="E99" s="7" t="n">
        <v>88</v>
      </c>
      <c r="F99" s="53" t="n">
        <v>0</v>
      </c>
      <c r="G99" s="6" t="n">
        <v>0</v>
      </c>
    </row>
    <row r="100">
      <c r="A100" t="n">
        <v>89</v>
      </c>
      <c r="B100" s="51" t="n">
        <v>0</v>
      </c>
      <c r="C100" s="6" t="n">
        <v>0</v>
      </c>
      <c r="E100" s="7" t="n">
        <v>89</v>
      </c>
      <c r="F100" s="53" t="n">
        <v>0</v>
      </c>
      <c r="G100" s="6" t="n">
        <v>0</v>
      </c>
    </row>
    <row r="101" ht="15.75" customHeight="1" s="43">
      <c r="A101" s="1" t="n">
        <v>90</v>
      </c>
      <c r="B101" s="52" t="n">
        <v>0</v>
      </c>
      <c r="C101" s="6" t="n">
        <v>0</v>
      </c>
      <c r="E101" s="8" t="n">
        <v>90</v>
      </c>
      <c r="F101" s="54" t="n">
        <v>0</v>
      </c>
      <c r="G101" s="6" t="n">
        <v>0</v>
      </c>
    </row>
    <row r="102">
      <c r="B102" s="51" t="n">
        <v>632800.2400222674</v>
      </c>
      <c r="C102" s="6" t="n">
        <v>1</v>
      </c>
      <c r="F102" s="51" t="n">
        <v>674956</v>
      </c>
      <c r="G102" s="6" t="n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2017-07-06T17:38:35Z</dcterms:modified>
  <cp:lastModifiedBy>Nagendra Dhakar</cp:lastModifiedBy>
</cp:coreProperties>
</file>