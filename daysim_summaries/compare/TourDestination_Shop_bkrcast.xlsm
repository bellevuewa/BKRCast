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openxmlformats-officedocument.drawing+xml" PartName="/xl/drawings/drawing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drawingml.chart+xml" PartName="/xl/charts/chart1.xml"/>
  <Override ContentType="application/vnd.ms-excel.sheet.macroEnabled.main+xml" PartName="/xl/workbook.xml"/>
  <Override ContentType="application/vnd.openxmlformats-officedocument.spreadsheetml.calcChain+xml" PartName="/xl/calcChain.xml"/>
  <Override ContentType="application/vnd.ms-office.vbaProject" PartName="/xl/vbaProject.bin"/>
</Types>
</file>

<file path=_rels/.rels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>
  <workbookPr codeName="ThisWorkbook"/>
  <bookViews>
    <workbookView activeTab="0"/>
  </bookViews>
  <sheets>
    <sheet xmlns:r="http://schemas.openxmlformats.org/officeDocument/2006/relationships" name="TLFD" sheetId="1" state="visible" r:id="rId1"/>
    <sheet xmlns:r="http://schemas.openxmlformats.org/officeDocument/2006/relationships" name="soundcast" sheetId="2" state="visible" r:id="rId2"/>
    <sheet xmlns:r="http://schemas.openxmlformats.org/officeDocument/2006/relationships" name="Calibration" sheetId="3" state="visible" r:id="rId3"/>
    <sheet xmlns:r="http://schemas.openxmlformats.org/officeDocument/2006/relationships" name="bkrcast_all" sheetId="4" state="visible" r:id="rId4"/>
    <sheet xmlns:r="http://schemas.openxmlformats.org/officeDocument/2006/relationships" name="bkrcast_inbkr" sheetId="5" state="visible" r:id="rId5"/>
    <sheet xmlns:r="http://schemas.openxmlformats.org/officeDocument/2006/relationships" name="bkrcast_outbkr" sheetId="6" state="visible" r:id="rId6"/>
  </sheets>
  <definedNames>
    <definedName name="AVGD">'TLFD'!$O$12:$O$13</definedName>
    <definedName name="out1">'TLFD'!$B$11:$B$101</definedName>
    <definedName name="out2">'TLFD'!$F$11:$F$101</definedName>
    <definedName name="out5">'TLFD'!$N$11:$N$11</definedName>
    <definedName name="out6">'TLFD'!$P$11:$P$11</definedName>
    <definedName name="TLFD">'TLFD'!$E$11:$F$102</definedName>
  </definedNames>
  <calcPr calcId="124519" fullCalcOnLoad="1"/>
</workbook>
</file>

<file path=xl/sharedStrings.xml><?xml version="1.0" encoding="utf-8"?>
<sst xmlns="http://schemas.openxmlformats.org/spreadsheetml/2006/main" uniqueCount="206">
  <si>
    <t>Trip Length Frequency Distribution</t>
  </si>
  <si>
    <t>Observed Sources: Survey</t>
  </si>
  <si>
    <t>Observed distance (in miles) based on joining AM peak SOV skim values to HH survey</t>
  </si>
  <si>
    <t>Frequency of trips by 1-mile increment</t>
  </si>
  <si>
    <t>Distance values reflect low end of each range (ie. 0 refers to 0-1 miles)</t>
  </si>
  <si>
    <t>Model coefficients are segmented by HH income and person type, but most distance measures segmented only by person type, FT/PT status may not be available in Census</t>
  </si>
  <si>
    <t>Table X. Observed Trip Lengths: Survey</t>
  </si>
  <si>
    <t>Table X. Estimated Trip Lengths</t>
  </si>
  <si>
    <t>Table X. Average Half Tour Length (miles)</t>
  </si>
  <si>
    <t>Distance (mi)</t>
  </si>
  <si>
    <t>Survey</t>
  </si>
  <si>
    <t>DaySim</t>
  </si>
  <si>
    <t>BKRCast (all)</t>
  </si>
  <si>
    <t>BKRCast (In BKR)</t>
  </si>
  <si>
    <t>BKRCast (Out BKR)</t>
  </si>
  <si>
    <t>SoundCast</t>
  </si>
  <si>
    <t>Table X. Average Trip Length</t>
  </si>
  <si>
    <t>Observed</t>
  </si>
  <si>
    <t>Estimated</t>
  </si>
  <si>
    <t>OtherTourDestinationCoefficients_SACOG-v1.8.F12</t>
  </si>
  <si>
    <t>Count</t>
  </si>
  <si>
    <t>Current</t>
  </si>
  <si>
    <t>Next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</si>
  <si>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</si>
  <si>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</si>
  <si>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</si>
  <si>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</si>
  <si>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</si>
  <si>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</si>
  <si>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</si>
  <si>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</si>
  <si>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</si>
  <si>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</si>
  <si>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</si>
  <si>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</si>
  <si>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</si>
  <si>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</si>
  <si>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Total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</si>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</sst>
</file>

<file path=xl/styles.xml><?xml version="1.0" encoding="utf-8"?>
<styleSheet xmlns="http://schemas.openxmlformats.org/spreadsheetml/2006/main">
  <numFmts count="5">
    <numFmt formatCode="0.0%" numFmtId="164"/>
    <numFmt formatCode="0.0000000000000" numFmtId="165"/>
    <numFmt formatCode="0.00000000000" numFmtId="166"/>
    <numFmt formatCode="0.000000000" numFmtId="167"/>
    <numFmt formatCode="_(* #,##0_);_(* \(#,##0\);_(* &quot;-&quot;??_);_(@_)" numFmtId="168"/>
  </numFmts>
  <fonts count="7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indexed="8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rgb="FF000000"/>
      <sz val="11"/>
      <scheme val="minor"/>
    </font>
    <font>
      <name val="Calibri"/>
      <family val="2"/>
      <color rgb="FF000000"/>
      <sz val="11"/>
      <scheme val="minor"/>
    </font>
  </fonts>
  <fills count="6">
    <fill>
      <patternFill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borderId="0" fillId="0" fontId="0" numFmtId="0"/>
    <xf borderId="0" fillId="0" fontId="0" numFmtId="0"/>
    <xf borderId="0" fillId="0" fontId="1" numFmtId="0"/>
    <xf borderId="0" fillId="0" fontId="0" numFmtId="0"/>
    <xf borderId="0" fillId="2" fontId="0" numFmtId="0"/>
    <xf borderId="0" fillId="0" fontId="0" numFmtId="0"/>
    <xf borderId="0" fillId="0" fontId="0" numFmtId="0"/>
    <xf borderId="0" fillId="0" fontId="0" numFmtId="0"/>
  </cellStyleXfs>
  <cellXfs count="59">
    <xf borderId="0" fillId="0" fontId="0" numFmtId="0" pivotButton="0" quotePrefix="0" xfId="0"/>
    <xf borderId="1" fillId="0" fontId="0" numFmtId="0" pivotButton="0" quotePrefix="0" xfId="0"/>
    <xf borderId="2" fillId="0" fontId="0" numFmtId="0" pivotButton="0" quotePrefix="0" xfId="0"/>
    <xf borderId="1" fillId="0" fontId="1" numFmtId="0" pivotButton="0" quotePrefix="0" xfId="0"/>
    <xf borderId="0" fillId="0" fontId="0" numFmtId="2" pivotButton="0" quotePrefix="0" xfId="0"/>
    <xf borderId="0" fillId="0" fontId="1" numFmtId="0" pivotButton="0" quotePrefix="0" xfId="0"/>
    <xf borderId="0" fillId="0" fontId="0" numFmtId="10" pivotButton="0" quotePrefix="0" xfId="0"/>
    <xf borderId="0" fillId="0" fontId="2" numFmtId="0" pivotButton="0" quotePrefix="0" xfId="1"/>
    <xf borderId="1" fillId="0" fontId="2" numFmtId="0" pivotButton="0" quotePrefix="0" xfId="1"/>
    <xf applyAlignment="1" borderId="0" fillId="0" fontId="0" numFmtId="1" pivotButton="0" quotePrefix="0" xfId="0">
      <alignment horizontal="right"/>
    </xf>
    <xf borderId="0" fillId="0" fontId="4" numFmtId="0" pivotButton="0" quotePrefix="0" xfId="0"/>
    <xf borderId="0" fillId="0" fontId="0" numFmtId="165" pivotButton="0" quotePrefix="0" xfId="0"/>
    <xf applyAlignment="1" borderId="0" fillId="0" fontId="1" numFmtId="0" pivotButton="0" quotePrefix="0" xfId="0">
      <alignment horizontal="right"/>
    </xf>
    <xf applyAlignment="1" borderId="2" fillId="0" fontId="0" numFmtId="0" pivotButton="0" quotePrefix="0" xfId="0">
      <alignment horizontal="center" vertical="top"/>
    </xf>
    <xf applyAlignment="1" borderId="2" fillId="0" fontId="0" numFmtId="1" pivotButton="0" quotePrefix="0" xfId="0">
      <alignment horizontal="center" vertical="top"/>
    </xf>
    <xf applyAlignment="1" borderId="0" fillId="0" fontId="0" numFmtId="0" pivotButton="0" quotePrefix="0" xfId="0">
      <alignment horizontal="center" vertical="top"/>
    </xf>
    <xf applyAlignment="1" borderId="0" fillId="0" fontId="0" numFmtId="0" pivotButton="0" quotePrefix="0" xfId="0">
      <alignment horizontal="left" vertical="top"/>
    </xf>
    <xf applyAlignment="1" borderId="0" fillId="0" fontId="0" numFmtId="3" pivotButton="0" quotePrefix="0" xfId="0">
      <alignment horizontal="right" vertical="top"/>
    </xf>
    <xf borderId="0" fillId="0" fontId="0" numFmtId="3" pivotButton="0" quotePrefix="0" xfId="0"/>
    <xf applyAlignment="1" borderId="0" fillId="0" fontId="0" numFmtId="3" pivotButton="0" quotePrefix="0" xfId="0">
      <alignment horizontal="right"/>
    </xf>
    <xf borderId="3" fillId="0" fontId="0" numFmtId="3" pivotButton="0" quotePrefix="0" xfId="0"/>
    <xf applyAlignment="1" borderId="3" fillId="0" fontId="0" numFmtId="3" pivotButton="0" quotePrefix="0" xfId="0">
      <alignment horizontal="right"/>
    </xf>
    <xf borderId="0" fillId="0" fontId="0" numFmtId="1" pivotButton="0" quotePrefix="0" xfId="0"/>
    <xf borderId="4" fillId="0" fontId="0" numFmtId="3" pivotButton="0" quotePrefix="0" xfId="0"/>
    <xf applyAlignment="1" borderId="4" fillId="0" fontId="0" numFmtId="3" pivotButton="0" quotePrefix="0" xfId="0">
      <alignment horizontal="right"/>
    </xf>
    <xf borderId="0" fillId="0" fontId="4" numFmtId="3" pivotButton="0" quotePrefix="0" xfId="0"/>
    <xf applyAlignment="1" borderId="0" fillId="0" fontId="0" numFmtId="164" pivotButton="0" quotePrefix="0" xfId="0">
      <alignment horizontal="right" vertical="top"/>
    </xf>
    <xf applyAlignment="1" borderId="0" fillId="0" fontId="0" numFmtId="164" pivotButton="0" quotePrefix="0" xfId="0">
      <alignment horizontal="right"/>
    </xf>
    <xf borderId="0" fillId="0" fontId="0" numFmtId="9" pivotButton="0" quotePrefix="0" xfId="0"/>
    <xf applyAlignment="1" borderId="4" fillId="0" fontId="0" numFmtId="164" pivotButton="0" quotePrefix="0" xfId="0">
      <alignment horizontal="right"/>
    </xf>
    <xf borderId="0" fillId="0" fontId="5" numFmtId="0" pivotButton="0" quotePrefix="0" xfId="0"/>
    <xf borderId="0" fillId="0" fontId="6" numFmtId="0" pivotButton="0" quotePrefix="0" xfId="0"/>
    <xf applyAlignment="1" borderId="2" fillId="0" fontId="5" numFmtId="0" pivotButton="0" quotePrefix="0" xfId="0">
      <alignment horizontal="left"/>
    </xf>
    <xf applyAlignment="1" borderId="2" fillId="0" fontId="5" numFmtId="1" pivotButton="0" quotePrefix="0" xfId="0">
      <alignment horizontal="right"/>
    </xf>
    <xf applyAlignment="1" borderId="0" fillId="0" fontId="6" numFmtId="165" pivotButton="0" quotePrefix="0" xfId="0">
      <alignment horizontal="right"/>
    </xf>
    <xf borderId="1" fillId="0" fontId="0" numFmtId="3" pivotButton="0" quotePrefix="0" xfId="0"/>
    <xf applyAlignment="1" borderId="1" fillId="0" fontId="6" numFmtId="165" pivotButton="0" quotePrefix="0" xfId="0">
      <alignment horizontal="right"/>
    </xf>
    <xf applyAlignment="1" borderId="0" fillId="0" fontId="6" numFmtId="1" pivotButton="0" quotePrefix="0" xfId="0">
      <alignment horizontal="right"/>
    </xf>
    <xf applyAlignment="1" borderId="0" fillId="0" fontId="5" numFmtId="1" pivotButton="0" quotePrefix="0" xfId="0">
      <alignment horizontal="right"/>
    </xf>
    <xf applyAlignment="1" borderId="0" fillId="0" fontId="0" numFmtId="166" pivotButton="0" quotePrefix="0" xfId="0">
      <alignment horizontal="right"/>
    </xf>
    <xf applyAlignment="1" borderId="0" fillId="0" fontId="0" numFmtId="167" pivotButton="0" quotePrefix="0" xfId="0">
      <alignment horizontal="right"/>
    </xf>
    <xf applyAlignment="1" borderId="0" fillId="0" fontId="5" numFmtId="165" pivotButton="0" quotePrefix="0" xfId="0">
      <alignment horizontal="right"/>
    </xf>
    <xf applyAlignment="1" borderId="2" fillId="0" fontId="5" numFmtId="165" pivotButton="0" quotePrefix="0" xfId="0">
      <alignment horizontal="right"/>
    </xf>
    <xf borderId="0" fillId="0" fontId="0" numFmtId="0" pivotButton="0" quotePrefix="0" xfId="0"/>
    <xf borderId="0" fillId="0" fontId="0" numFmtId="11" pivotButton="0" quotePrefix="0" xfId="0"/>
    <xf borderId="0" fillId="0" fontId="0" numFmtId="166" pivotButton="0" quotePrefix="0" xfId="0"/>
    <xf borderId="0" fillId="3" fontId="0" numFmtId="166" pivotButton="0" quotePrefix="0" xfId="0"/>
    <xf borderId="0" fillId="4" fontId="0" numFmtId="0" pivotButton="0" quotePrefix="0" xfId="0"/>
    <xf borderId="0" fillId="4" fontId="0" numFmtId="165" pivotButton="0" quotePrefix="0" xfId="0"/>
    <xf borderId="0" fillId="4" fontId="0" numFmtId="166" pivotButton="0" quotePrefix="0" xfId="0"/>
    <xf borderId="0" fillId="4" fontId="0" numFmtId="11" pivotButton="0" quotePrefix="0" xfId="0"/>
    <xf borderId="0" fillId="0" fontId="0" numFmtId="168" pivotButton="0" quotePrefix="0" xfId="7"/>
    <xf borderId="1" fillId="0" fontId="0" numFmtId="168" pivotButton="0" quotePrefix="0" xfId="7"/>
    <xf borderId="0" fillId="0" fontId="2" numFmtId="168" pivotButton="0" quotePrefix="0" xfId="7"/>
    <xf borderId="1" fillId="0" fontId="2" numFmtId="168" pivotButton="0" quotePrefix="0" xfId="7"/>
    <xf borderId="0" fillId="5" fontId="0" numFmtId="0" pivotButton="0" quotePrefix="0" xfId="0"/>
    <xf borderId="0" fillId="5" fontId="0" numFmtId="0" pivotButton="0" quotePrefix="0" xfId="0"/>
    <xf applyAlignment="1" borderId="2" fillId="5" fontId="0" numFmtId="0" pivotButton="0" quotePrefix="0" xfId="0">
      <alignment horizontal="center" vertical="top"/>
    </xf>
    <xf borderId="0" fillId="5" fontId="0" numFmtId="2" pivotButton="0" quotePrefix="0" xfId="0"/>
  </cellXfs>
  <cellStyles count="8">
    <cellStyle name="XLConnect.String" xfId="0"/>
    <cellStyle name="XLConnect.DateTime" xfId="1"/>
    <cellStyle name="XLConnect.General" xfId="2"/>
    <cellStyle builtinId="0" name="Normal" xfId="3"/>
    <cellStyle name="XLConnect.Header" xfId="4"/>
    <cellStyle name="XLConnect.Date" xfId="5"/>
    <cellStyle name="XLConnect.Boolean" xfId="6"/>
    <cellStyle name="XLConnect.Numeric" xfId="7"/>
  </cellStyle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/><Relationship Id="rId2" Target="/xl/worksheets/sheet2.xml" Type="http://schemas.openxmlformats.org/officeDocument/2006/relationships/worksheet"/><Relationship Id="rId3" Target="/xl/worksheets/sheet3.xml" Type="http://schemas.openxmlformats.org/officeDocument/2006/relationships/worksheet"/><Relationship Id="rId4" Target="/xl/worksheets/sheet4.xml" Type="http://schemas.openxmlformats.org/officeDocument/2006/relationships/worksheet"/><Relationship Id="rId5" Target="/xl/worksheets/sheet5.xml" Type="http://schemas.openxmlformats.org/officeDocument/2006/relationships/worksheet"/><Relationship Id="rId6" Target="/xl/worksheets/sheet6.xml" Type="http://schemas.openxmlformats.org/officeDocument/2006/relationships/worksheet"/><Relationship Id="rId7" Target="sharedStrings.xml" Type="http://schemas.openxmlformats.org/officeDocument/2006/relationships/sharedStrings"/><Relationship Id="rId8" Target="styles.xml" Type="http://schemas.openxmlformats.org/officeDocument/2006/relationships/styles"/><Relationship Id="rId9" Target="theme/theme1.xml" Type="http://schemas.openxmlformats.org/officeDocument/2006/relationships/theme"/><Relationship Id="rId10" Target="vbaProject.bin" Type="http://schemas.microsoft.com/office/2006/relationships/vbaProject"/></Relationships>
</file>

<file path=xl/charts/chart1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TLFD!G10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TLFD!$G$11:$G$100</f>
            </numRef>
          </val>
        </ser>
        <ser>
          <idx val="1"/>
          <order val="1"/>
          <tx>
            <strRef>
              <f>TLFD!H10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TLFD!$H$11:$H$100</f>
            </numRef>
          </val>
        </ser>
        <ser>
          <idx val="2"/>
          <order val="2"/>
          <tx>
            <strRef>
              <f>TLFD!I10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TLFD!$I$11:$I$100</f>
            </numRef>
          </val>
        </ser>
        <ser>
          <idx val="3"/>
          <order val="3"/>
          <tx>
            <strRef>
              <f>TLFD!J10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TLFD!$J$11:$J$100</f>
            </numRef>
          </val>
        </ser>
        <ser>
          <idx val="4"/>
          <order val="4"/>
          <tx>
            <strRef>
              <f>TLFD!K10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TLFD!$K$11:$K$100</f>
            </numRef>
          </val>
        </ser>
        <axId val="10"/>
        <axId val="100"/>
      </lineChart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r>
                  <a:t>% Tours</a:t>
                </a:r>
              </a:p>
            </rich>
          </tx>
        </title>
        <crossAx val="10"/>
      </valAx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r>
                  <a:t>Tour Length (mile)</a:t>
                </a:r>
              </a:p>
            </rich>
          </tx>
        </title>
        <crossAx val="100"/>
        <lblOffset val="100"/>
      </catAx>
    </plotArea>
    <legend>
      <legendPos val="r"/>
    </legend>
    <dispBlanksAs val="gap"/>
  </chart>
</chartSpace>
</file>

<file path=xl/drawings/_rels/drawing1.xml.rels><Relationships xmlns="http://schemas.openxmlformats.org/package/2006/relationships"><Relationship Id="rId1" Target="/xl/charts/chart1.xml" Type="http://schemas.openxmlformats.org/officeDocument/2006/relationships/chart"/></Relationships>
</file>

<file path=xl/drawings/drawing1.xml><?xml version="1.0" encoding="utf-8"?>
<wsDr xmlns="http://schemas.openxmlformats.org/drawingml/2006/spreadsheetDrawing">
  <oneCellAnchor>
    <from>
      <col>12</col>
      <colOff>0</colOff>
      <row>14</row>
      <rowOff>0</rowOff>
    </from>
    <ext cx="7200000" cy="360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Id="rId1" Target="/xl/drawings/drawing1.xml" Type="http://schemas.openxmlformats.org/officeDocument/2006/relationships/drawing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R102"/>
  <sheetViews>
    <sheetView tabSelected="1" workbookViewId="0">
      <selection activeCell="L12" sqref="L12"/>
    </sheetView>
  </sheetViews>
  <sheetFormatPr baseColWidth="10" defaultRowHeight="15" outlineLevelCol="0"/>
  <cols>
    <col collapsed="1" customWidth="1" max="1" min="1" style="43" width="13.5703125"/>
    <col bestFit="1" collapsed="1" customWidth="1" max="2" min="2" style="43" width="10.5703125"/>
    <col bestFit="1" collapsed="1" customWidth="1" max="6" min="6" style="43" width="10.5703125"/>
    <col bestFit="1" customWidth="1" max="7" min="7" style="43" width="12.140625"/>
    <col bestFit="1" customWidth="1" max="8" min="8" style="43" width="15.7109375"/>
    <col bestFit="1" customWidth="1" max="9" min="9" style="43" width="17.42578125"/>
    <col bestFit="1" customWidth="1" max="10" min="10" style="43" width="10.28515625"/>
    <col customWidth="1" max="13" min="13" style="43" width="7.140625"/>
    <col bestFit="1" collapsed="1" customWidth="1" max="15" min="15" style="43" width="10.28515625"/>
    <col bestFit="1" customWidth="1" max="16" min="16" style="43" width="12.140625"/>
    <col bestFit="1" customWidth="1" max="17" min="17" style="43" width="15.7109375"/>
    <col bestFit="1" customWidth="1" max="18" min="18" style="43" width="17.42578125"/>
  </cols>
  <sheetData>
    <row r="1" spans="1:18">
      <c r="A1" t="s">
        <v>0</v>
      </c>
    </row>
    <row r="2" spans="1:18">
      <c r="A2" t="s">
        <v>1</v>
      </c>
    </row>
    <row r="3" spans="1:18">
      <c r="A3" t="s">
        <v>2</v>
      </c>
    </row>
    <row r="4" spans="1:18">
      <c r="A4" t="s">
        <v>3</v>
      </c>
    </row>
    <row r="5" spans="1:18">
      <c r="A5" t="s">
        <v>4</v>
      </c>
    </row>
    <row r="7" spans="1:18">
      <c r="A7" t="s">
        <v>5</v>
      </c>
    </row>
    <row customHeight="1" ht="15.75" r="9" s="43" spans="1:18">
      <c r="A9" s="3" t="s">
        <v>6</v>
      </c>
      <c r="B9" s="1" t="n"/>
      <c r="E9" s="3" t="s">
        <v>7</v>
      </c>
      <c r="F9" s="1" t="n"/>
      <c r="M9" s="5" t="s">
        <v>8</v>
      </c>
      <c r="N9" s="56" t="n"/>
      <c r="O9" s="56" t="n"/>
      <c r="P9" s="56" t="n"/>
      <c r="Q9" s="56" t="n"/>
      <c r="R9" s="56" t="n"/>
    </row>
    <row r="10" spans="1:18">
      <c r="A10" s="2" t="s">
        <v>9</v>
      </c>
      <c r="B10" s="13" t="s">
        <v>10</v>
      </c>
      <c r="C10" s="13" t="s">
        <v>10</v>
      </c>
      <c r="E10" s="2" t="s">
        <v>9</v>
      </c>
      <c r="F10" s="13" t="s">
        <v>11</v>
      </c>
      <c r="G10" s="13" t="s">
        <v>12</v>
      </c>
      <c r="H10" s="13" t="s">
        <v>13</v>
      </c>
      <c r="I10" s="13" t="s">
        <v>14</v>
      </c>
      <c r="J10" s="13" t="s">
        <v>15</v>
      </c>
      <c r="K10">
        <f>C10</f>
        <v/>
      </c>
      <c r="M10" s="2" t="n"/>
      <c r="N10" s="57" t="s">
        <v>10</v>
      </c>
      <c r="O10" s="57" t="s">
        <v>15</v>
      </c>
      <c r="P10" s="57" t="s">
        <v>12</v>
      </c>
      <c r="Q10" s="57" t="s">
        <v>13</v>
      </c>
      <c r="R10" s="57" t="s">
        <v>14</v>
      </c>
    </row>
    <row r="11" spans="1:18">
      <c r="A11" t="n">
        <v>0</v>
      </c>
      <c r="B11" s="51" t="n">
        <v>152642.2821318882</v>
      </c>
      <c r="C11" s="6">
        <f>bkrcast_all!C11</f>
        <v/>
      </c>
      <c r="E11" s="7" t="n">
        <v>0</v>
      </c>
      <c r="F11" s="53" t="n">
        <v>85259.73644739889</v>
      </c>
      <c r="G11" s="6">
        <f>bkrcast_all!G11</f>
        <v/>
      </c>
      <c r="H11" s="6">
        <f>bkrcast_inbkr!G11</f>
        <v/>
      </c>
      <c r="I11" s="6">
        <f>bkrcast_outbkr!G11</f>
        <v/>
      </c>
      <c r="J11" s="6">
        <f>soundcast!G11</f>
        <v/>
      </c>
      <c r="K11" s="6">
        <f>C11</f>
        <v/>
      </c>
      <c r="N11" s="58">
        <f>bkrcast_all!K11</f>
        <v/>
      </c>
      <c r="O11" s="58">
        <f>soundcast!L11</f>
        <v/>
      </c>
      <c r="P11" s="58">
        <f>bkrcast_all!L11</f>
        <v/>
      </c>
      <c r="Q11" s="58">
        <f>bkrcast_inbkr!L11</f>
        <v/>
      </c>
      <c r="R11" s="58">
        <f>bkrcast_outbkr!L11</f>
        <v/>
      </c>
    </row>
    <row r="12" spans="1:18">
      <c r="A12" t="n">
        <v>1</v>
      </c>
      <c r="B12" s="51" t="n">
        <v>146146.3700137102</v>
      </c>
      <c r="C12" s="6">
        <f>bkrcast_all!C12</f>
        <v/>
      </c>
      <c r="E12" s="7" t="n">
        <v>1</v>
      </c>
      <c r="F12" s="53" t="n">
        <v>67507.35558155157</v>
      </c>
      <c r="G12" s="6">
        <f>bkrcast_all!G12</f>
        <v/>
      </c>
      <c r="H12" s="6">
        <f>bkrcast_inbkr!G12</f>
        <v/>
      </c>
      <c r="I12" s="6">
        <f>bkrcast_outbkr!G12</f>
        <v/>
      </c>
      <c r="J12" s="6">
        <f>soundcast!G12</f>
        <v/>
      </c>
      <c r="K12" s="6">
        <f>C12</f>
        <v/>
      </c>
      <c r="N12" s="4" t="n"/>
      <c r="O12" s="7" t="n"/>
    </row>
    <row r="13" spans="1:18">
      <c r="A13" t="n">
        <v>2</v>
      </c>
      <c r="B13" s="51" t="n">
        <v>78427.50252064339</v>
      </c>
      <c r="C13" s="6">
        <f>bkrcast_all!C13</f>
        <v/>
      </c>
      <c r="E13" s="7" t="n">
        <v>2</v>
      </c>
      <c r="F13" s="53" t="n">
        <v>44311.84521824855</v>
      </c>
      <c r="G13" s="6">
        <f>bkrcast_all!G13</f>
        <v/>
      </c>
      <c r="H13" s="6">
        <f>bkrcast_inbkr!G13</f>
        <v/>
      </c>
      <c r="I13" s="6">
        <f>bkrcast_outbkr!G13</f>
        <v/>
      </c>
      <c r="J13" s="6">
        <f>soundcast!G13</f>
        <v/>
      </c>
      <c r="K13" s="6">
        <f>C13</f>
        <v/>
      </c>
    </row>
    <row r="14" spans="1:18">
      <c r="A14" t="n">
        <v>3</v>
      </c>
      <c r="B14" s="51" t="n">
        <v>86881.0158613698</v>
      </c>
      <c r="C14" s="6">
        <f>bkrcast_all!C14</f>
        <v/>
      </c>
      <c r="E14" s="7" t="n">
        <v>3</v>
      </c>
      <c r="F14" s="53" t="n">
        <v>26271.93992718177</v>
      </c>
      <c r="G14" s="6">
        <f>bkrcast_all!G14</f>
        <v/>
      </c>
      <c r="H14" s="6">
        <f>bkrcast_inbkr!G14</f>
        <v/>
      </c>
      <c r="I14" s="6">
        <f>bkrcast_outbkr!G14</f>
        <v/>
      </c>
      <c r="J14" s="6">
        <f>soundcast!G14</f>
        <v/>
      </c>
      <c r="K14" s="6">
        <f>C14</f>
        <v/>
      </c>
    </row>
    <row r="15" spans="1:18">
      <c r="A15" t="n">
        <v>4</v>
      </c>
      <c r="B15" s="51" t="n">
        <v>51899.8668991346</v>
      </c>
      <c r="C15" s="6">
        <f>bkrcast_all!C15</f>
        <v/>
      </c>
      <c r="E15" s="7" t="n">
        <v>4</v>
      </c>
      <c r="F15" s="53" t="n">
        <v>88577.58509610697</v>
      </c>
      <c r="G15" s="6">
        <f>bkrcast_all!G15</f>
        <v/>
      </c>
      <c r="H15" s="6">
        <f>bkrcast_inbkr!G15</f>
        <v/>
      </c>
      <c r="I15" s="6">
        <f>bkrcast_outbkr!G15</f>
        <v/>
      </c>
      <c r="J15" s="6">
        <f>soundcast!G15</f>
        <v/>
      </c>
      <c r="K15" s="6">
        <f>C15</f>
        <v/>
      </c>
    </row>
    <row r="16" spans="1:18">
      <c r="A16" t="n">
        <v>5</v>
      </c>
      <c r="B16" s="51" t="n">
        <v>27983.7526913103</v>
      </c>
      <c r="C16" s="6">
        <f>bkrcast_all!C16</f>
        <v/>
      </c>
      <c r="E16" s="7" t="n">
        <v>5</v>
      </c>
      <c r="F16" s="53" t="n">
        <v>53377.65505251385</v>
      </c>
      <c r="G16" s="6">
        <f>bkrcast_all!G16</f>
        <v/>
      </c>
      <c r="H16" s="6">
        <f>bkrcast_inbkr!G16</f>
        <v/>
      </c>
      <c r="I16" s="6">
        <f>bkrcast_outbkr!G16</f>
        <v/>
      </c>
      <c r="J16" s="6">
        <f>soundcast!G16</f>
        <v/>
      </c>
      <c r="K16" s="6">
        <f>C16</f>
        <v/>
      </c>
    </row>
    <row r="17" spans="1:18">
      <c r="A17" t="n">
        <v>6</v>
      </c>
      <c r="B17" s="51" t="n">
        <v>43675.7413606373</v>
      </c>
      <c r="C17" s="6">
        <f>bkrcast_all!C17</f>
        <v/>
      </c>
      <c r="E17" s="7" t="n">
        <v>6</v>
      </c>
      <c r="F17" s="53" t="n">
        <v>45569.01956826076</v>
      </c>
      <c r="G17" s="6">
        <f>bkrcast_all!G17</f>
        <v/>
      </c>
      <c r="H17" s="6">
        <f>bkrcast_inbkr!G17</f>
        <v/>
      </c>
      <c r="I17" s="6">
        <f>bkrcast_outbkr!G17</f>
        <v/>
      </c>
      <c r="J17" s="6">
        <f>soundcast!G17</f>
        <v/>
      </c>
      <c r="K17" s="6">
        <f>C17</f>
        <v/>
      </c>
    </row>
    <row r="18" spans="1:18">
      <c r="A18" t="n">
        <v>7</v>
      </c>
      <c r="B18" s="51" t="n">
        <v>16235.238001708</v>
      </c>
      <c r="C18" s="6">
        <f>bkrcast_all!C18</f>
        <v/>
      </c>
      <c r="E18" s="7" t="n">
        <v>7</v>
      </c>
      <c r="F18" s="53" t="n">
        <v>21250.47813271184</v>
      </c>
      <c r="G18" s="6">
        <f>bkrcast_all!G18</f>
        <v/>
      </c>
      <c r="H18" s="6">
        <f>bkrcast_inbkr!G18</f>
        <v/>
      </c>
      <c r="I18" s="6">
        <f>bkrcast_outbkr!G18</f>
        <v/>
      </c>
      <c r="J18" s="6">
        <f>soundcast!G18</f>
        <v/>
      </c>
      <c r="K18" s="6">
        <f>C18</f>
        <v/>
      </c>
    </row>
    <row r="19" spans="1:18">
      <c r="A19" t="n">
        <v>8</v>
      </c>
      <c r="B19" s="51" t="n">
        <v>23402.2025406013</v>
      </c>
      <c r="C19" s="6">
        <f>bkrcast_all!C19</f>
        <v/>
      </c>
      <c r="E19" s="7" t="n">
        <v>8</v>
      </c>
      <c r="F19" s="53" t="n">
        <v>44661.3838211097</v>
      </c>
      <c r="G19" s="6">
        <f>bkrcast_all!G19</f>
        <v/>
      </c>
      <c r="H19" s="6">
        <f>bkrcast_inbkr!G19</f>
        <v/>
      </c>
      <c r="I19" s="6">
        <f>bkrcast_outbkr!G19</f>
        <v/>
      </c>
      <c r="J19" s="6">
        <f>soundcast!G19</f>
        <v/>
      </c>
      <c r="K19" s="6">
        <f>C19</f>
        <v/>
      </c>
    </row>
    <row r="20" spans="1:18">
      <c r="A20" t="n">
        <v>9</v>
      </c>
      <c r="B20" s="51" t="n">
        <v>12172.9083220832</v>
      </c>
      <c r="C20" s="6">
        <f>bkrcast_all!C20</f>
        <v/>
      </c>
      <c r="E20" s="7" t="n">
        <v>9</v>
      </c>
      <c r="F20" s="53" t="n">
        <v>12333.76263623407</v>
      </c>
      <c r="G20" s="6">
        <f>bkrcast_all!G20</f>
        <v/>
      </c>
      <c r="H20" s="6">
        <f>bkrcast_inbkr!G20</f>
        <v/>
      </c>
      <c r="I20" s="6">
        <f>bkrcast_outbkr!G20</f>
        <v/>
      </c>
      <c r="J20" s="6">
        <f>soundcast!G20</f>
        <v/>
      </c>
      <c r="K20" s="6">
        <f>C20</f>
        <v/>
      </c>
    </row>
    <row r="21" spans="1:18">
      <c r="A21" t="n">
        <v>10</v>
      </c>
      <c r="B21" s="51" t="n">
        <v>10733.8565016207</v>
      </c>
      <c r="C21" s="6">
        <f>bkrcast_all!C21</f>
        <v/>
      </c>
      <c r="E21" s="7" t="n">
        <v>10</v>
      </c>
      <c r="F21" s="53" t="n">
        <v>10971.42925146757</v>
      </c>
      <c r="G21" s="6">
        <f>bkrcast_all!G21</f>
        <v/>
      </c>
      <c r="H21" s="6">
        <f>bkrcast_inbkr!G21</f>
        <v/>
      </c>
      <c r="I21" s="6">
        <f>bkrcast_outbkr!G21</f>
        <v/>
      </c>
      <c r="J21" s="6">
        <f>soundcast!G21</f>
        <v/>
      </c>
      <c r="K21" s="6">
        <f>C21</f>
        <v/>
      </c>
    </row>
    <row r="22" spans="1:18">
      <c r="A22" t="n">
        <v>11</v>
      </c>
      <c r="B22" s="51" t="n">
        <v>9316.351632199599</v>
      </c>
      <c r="C22" s="6">
        <f>bkrcast_all!C22</f>
        <v/>
      </c>
      <c r="E22" s="7" t="n">
        <v>11</v>
      </c>
      <c r="F22" s="53" t="n">
        <v>10785.87747001465</v>
      </c>
      <c r="G22" s="6">
        <f>bkrcast_all!G22</f>
        <v/>
      </c>
      <c r="H22" s="6">
        <f>bkrcast_inbkr!G22</f>
        <v/>
      </c>
      <c r="I22" s="6">
        <f>bkrcast_outbkr!G22</f>
        <v/>
      </c>
      <c r="J22" s="6">
        <f>soundcast!G22</f>
        <v/>
      </c>
      <c r="K22" s="6">
        <f>C22</f>
        <v/>
      </c>
    </row>
    <row r="23" spans="1:18">
      <c r="A23" t="n">
        <v>12</v>
      </c>
      <c r="B23" s="51" t="n">
        <v>3390.1781913226</v>
      </c>
      <c r="C23" s="6">
        <f>bkrcast_all!C23</f>
        <v/>
      </c>
      <c r="E23" s="7" t="n">
        <v>12</v>
      </c>
      <c r="F23" s="53" t="n">
        <v>8920.518791559593</v>
      </c>
      <c r="G23" s="6">
        <f>bkrcast_all!G23</f>
        <v/>
      </c>
      <c r="H23" s="6">
        <f>bkrcast_inbkr!G23</f>
        <v/>
      </c>
      <c r="I23" s="6">
        <f>bkrcast_outbkr!G23</f>
        <v/>
      </c>
      <c r="J23" s="6">
        <f>soundcast!G23</f>
        <v/>
      </c>
      <c r="K23" s="6">
        <f>C23</f>
        <v/>
      </c>
    </row>
    <row r="24" spans="1:18">
      <c r="A24" t="n">
        <v>13</v>
      </c>
      <c r="B24" s="51" t="n">
        <v>4169.2549910703</v>
      </c>
      <c r="C24" s="6">
        <f>bkrcast_all!C24</f>
        <v/>
      </c>
      <c r="E24" s="7" t="n">
        <v>13</v>
      </c>
      <c r="F24" s="53" t="n">
        <v>5584.823312771182</v>
      </c>
      <c r="G24" s="6">
        <f>bkrcast_all!G24</f>
        <v/>
      </c>
      <c r="H24" s="6">
        <f>bkrcast_inbkr!G24</f>
        <v/>
      </c>
      <c r="I24" s="6">
        <f>bkrcast_outbkr!G24</f>
        <v/>
      </c>
      <c r="J24" s="6">
        <f>soundcast!G24</f>
        <v/>
      </c>
      <c r="K24" s="6">
        <f>C24</f>
        <v/>
      </c>
    </row>
    <row r="25" spans="1:18">
      <c r="A25" t="n">
        <v>14</v>
      </c>
      <c r="B25" s="51" t="n">
        <v>819.7723071688</v>
      </c>
      <c r="C25" s="6">
        <f>bkrcast_all!C25</f>
        <v/>
      </c>
      <c r="E25" s="7" t="n">
        <v>14</v>
      </c>
      <c r="F25" s="53" t="n">
        <v>11610.71693758703</v>
      </c>
      <c r="G25" s="6">
        <f>bkrcast_all!G25</f>
        <v/>
      </c>
      <c r="H25" s="6">
        <f>bkrcast_inbkr!G25</f>
        <v/>
      </c>
      <c r="I25" s="6">
        <f>bkrcast_outbkr!G25</f>
        <v/>
      </c>
      <c r="J25" s="6">
        <f>soundcast!G25</f>
        <v/>
      </c>
      <c r="K25" s="6">
        <f>C25</f>
        <v/>
      </c>
    </row>
    <row r="26" spans="1:18">
      <c r="A26" t="n">
        <v>15</v>
      </c>
      <c r="B26" s="51" t="n">
        <v>4193.165592133</v>
      </c>
      <c r="C26" s="6">
        <f>bkrcast_all!C26</f>
        <v/>
      </c>
      <c r="E26" s="7" t="n">
        <v>15</v>
      </c>
      <c r="F26" s="53" t="n">
        <v>13861.69937442831</v>
      </c>
      <c r="G26" s="6">
        <f>bkrcast_all!G26</f>
        <v/>
      </c>
      <c r="H26" s="6">
        <f>bkrcast_inbkr!G26</f>
        <v/>
      </c>
      <c r="I26" s="6">
        <f>bkrcast_outbkr!G26</f>
        <v/>
      </c>
      <c r="J26" s="6">
        <f>soundcast!G26</f>
        <v/>
      </c>
      <c r="K26" s="6">
        <f>C26</f>
        <v/>
      </c>
    </row>
    <row r="27" spans="1:18">
      <c r="A27" t="n">
        <v>16</v>
      </c>
      <c r="B27" s="51" t="n">
        <v>1986.737699898</v>
      </c>
      <c r="C27" s="6">
        <f>bkrcast_all!C27</f>
        <v/>
      </c>
      <c r="E27" s="7" t="n">
        <v>16</v>
      </c>
      <c r="F27" s="53" t="n">
        <v>4330.541907280776</v>
      </c>
      <c r="G27" s="6">
        <f>bkrcast_all!G27</f>
        <v/>
      </c>
      <c r="H27" s="6">
        <f>bkrcast_inbkr!G27</f>
        <v/>
      </c>
      <c r="I27" s="6">
        <f>bkrcast_outbkr!G27</f>
        <v/>
      </c>
      <c r="J27" s="6">
        <f>soundcast!G27</f>
        <v/>
      </c>
      <c r="K27" s="6">
        <f>C27</f>
        <v/>
      </c>
    </row>
    <row r="28" spans="1:18">
      <c r="A28" t="n">
        <v>17</v>
      </c>
      <c r="B28" s="51" t="n">
        <v>6548.621351460701</v>
      </c>
      <c r="C28" s="6">
        <f>bkrcast_all!C28</f>
        <v/>
      </c>
      <c r="E28" s="7" t="n">
        <v>17</v>
      </c>
      <c r="F28" s="53" t="n">
        <v>4366.869687752816</v>
      </c>
      <c r="G28" s="6">
        <f>bkrcast_all!G28</f>
        <v/>
      </c>
      <c r="H28" s="6">
        <f>bkrcast_inbkr!G28</f>
        <v/>
      </c>
      <c r="I28" s="6">
        <f>bkrcast_outbkr!G28</f>
        <v/>
      </c>
      <c r="J28" s="6">
        <f>soundcast!G28</f>
        <v/>
      </c>
      <c r="K28" s="6">
        <f>C28</f>
        <v/>
      </c>
    </row>
    <row r="29" spans="1:18">
      <c r="A29" t="n">
        <v>18</v>
      </c>
      <c r="B29" s="51" t="n">
        <v>2183.8650011188</v>
      </c>
      <c r="C29" s="6">
        <f>bkrcast_all!C29</f>
        <v/>
      </c>
      <c r="E29" s="7" t="n">
        <v>18</v>
      </c>
      <c r="F29" s="53" t="n">
        <v>3337.741339048763</v>
      </c>
      <c r="G29" s="6">
        <f>bkrcast_all!G29</f>
        <v/>
      </c>
      <c r="H29" s="6">
        <f>bkrcast_inbkr!G29</f>
        <v/>
      </c>
      <c r="I29" s="6">
        <f>bkrcast_outbkr!G29</f>
        <v/>
      </c>
      <c r="J29" s="6">
        <f>soundcast!G29</f>
        <v/>
      </c>
      <c r="K29" s="6">
        <f>C29</f>
        <v/>
      </c>
    </row>
    <row r="30" spans="1:18">
      <c r="A30" t="n">
        <v>19</v>
      </c>
      <c r="B30" s="51" t="n">
        <v>8370.2466042984</v>
      </c>
      <c r="C30" s="6">
        <f>bkrcast_all!C30</f>
        <v/>
      </c>
      <c r="E30" s="7" t="n">
        <v>19</v>
      </c>
      <c r="F30" s="53" t="n">
        <v>2528.997233943027</v>
      </c>
      <c r="G30" s="6">
        <f>bkrcast_all!G30</f>
        <v/>
      </c>
      <c r="H30" s="6">
        <f>bkrcast_inbkr!G30</f>
        <v/>
      </c>
      <c r="I30" s="6">
        <f>bkrcast_outbkr!G30</f>
        <v/>
      </c>
      <c r="J30" s="6">
        <f>soundcast!G30</f>
        <v/>
      </c>
      <c r="K30" s="6">
        <f>C30</f>
        <v/>
      </c>
    </row>
    <row r="31" spans="1:18">
      <c r="A31" t="n">
        <v>20</v>
      </c>
      <c r="B31" s="51" t="n">
        <v>543.3468191730001</v>
      </c>
      <c r="C31" s="6">
        <f>bkrcast_all!C31</f>
        <v/>
      </c>
      <c r="E31" s="7" t="n">
        <v>20</v>
      </c>
      <c r="F31" s="53" t="n">
        <v>2171.977398231951</v>
      </c>
      <c r="G31" s="6">
        <f>bkrcast_all!G31</f>
        <v/>
      </c>
      <c r="H31" s="6">
        <f>bkrcast_inbkr!G31</f>
        <v/>
      </c>
      <c r="I31" s="6">
        <f>bkrcast_outbkr!G31</f>
        <v/>
      </c>
      <c r="J31" s="6">
        <f>soundcast!G31</f>
        <v/>
      </c>
      <c r="K31" s="6">
        <f>C31</f>
        <v/>
      </c>
    </row>
    <row r="32" spans="1:18">
      <c r="A32" t="n">
        <v>21</v>
      </c>
      <c r="B32" s="51" t="n">
        <v>351.3506239057</v>
      </c>
      <c r="C32" s="6">
        <f>bkrcast_all!C32</f>
        <v/>
      </c>
      <c r="E32" s="7" t="n">
        <v>21</v>
      </c>
      <c r="F32" s="53" t="n">
        <v>2581.618550581085</v>
      </c>
      <c r="G32" s="6">
        <f>bkrcast_all!G32</f>
        <v/>
      </c>
      <c r="H32" s="6">
        <f>bkrcast_inbkr!G32</f>
        <v/>
      </c>
      <c r="I32" s="6">
        <f>bkrcast_outbkr!G32</f>
        <v/>
      </c>
      <c r="J32" s="6">
        <f>soundcast!G32</f>
        <v/>
      </c>
      <c r="K32" s="6">
        <f>C32</f>
        <v/>
      </c>
    </row>
    <row r="33" spans="1:18">
      <c r="A33" t="n">
        <v>22</v>
      </c>
      <c r="B33" s="51" t="n">
        <v>413.6218219552</v>
      </c>
      <c r="C33" s="6">
        <f>bkrcast_all!C33</f>
        <v/>
      </c>
      <c r="E33" s="7" t="n">
        <v>22</v>
      </c>
      <c r="F33" s="53" t="n">
        <v>1521.360949971481</v>
      </c>
      <c r="G33" s="6">
        <f>bkrcast_all!G33</f>
        <v/>
      </c>
      <c r="H33" s="6">
        <f>bkrcast_inbkr!G33</f>
        <v/>
      </c>
      <c r="I33" s="6">
        <f>bkrcast_outbkr!G33</f>
        <v/>
      </c>
      <c r="J33" s="6">
        <f>soundcast!G33</f>
        <v/>
      </c>
      <c r="K33" s="6">
        <f>C33</f>
        <v/>
      </c>
    </row>
    <row r="34" spans="1:18">
      <c r="A34" t="n">
        <v>23</v>
      </c>
      <c r="B34" s="51" t="n">
        <v>1566.3955479703</v>
      </c>
      <c r="C34" s="6">
        <f>bkrcast_all!C34</f>
        <v/>
      </c>
      <c r="E34" s="7" t="n">
        <v>23</v>
      </c>
      <c r="F34" s="53" t="n">
        <v>2147.056206902513</v>
      </c>
      <c r="G34" s="6">
        <f>bkrcast_all!G34</f>
        <v/>
      </c>
      <c r="H34" s="6">
        <f>bkrcast_inbkr!G34</f>
        <v/>
      </c>
      <c r="I34" s="6">
        <f>bkrcast_outbkr!G34</f>
        <v/>
      </c>
      <c r="J34" s="6">
        <f>soundcast!G34</f>
        <v/>
      </c>
      <c r="K34" s="6">
        <f>C34</f>
        <v/>
      </c>
    </row>
    <row r="35" spans="1:18">
      <c r="A35" t="n">
        <v>24</v>
      </c>
      <c r="B35" s="51" t="n">
        <v>0</v>
      </c>
      <c r="C35" s="6">
        <f>bkrcast_all!C35</f>
        <v/>
      </c>
      <c r="E35" s="7" t="n">
        <v>24</v>
      </c>
      <c r="F35" s="53" t="n">
        <v>1630.874504667364</v>
      </c>
      <c r="G35" s="6">
        <f>bkrcast_all!G35</f>
        <v/>
      </c>
      <c r="H35" s="6">
        <f>bkrcast_inbkr!G35</f>
        <v/>
      </c>
      <c r="I35" s="6">
        <f>bkrcast_outbkr!G35</f>
        <v/>
      </c>
      <c r="J35" s="6">
        <f>soundcast!G35</f>
        <v/>
      </c>
      <c r="K35" s="6">
        <f>C35</f>
        <v/>
      </c>
    </row>
    <row r="36" spans="1:18">
      <c r="A36" t="n">
        <v>25</v>
      </c>
      <c r="B36" s="51" t="n">
        <v>185.1255473239</v>
      </c>
      <c r="C36" s="6">
        <f>bkrcast_all!C36</f>
        <v/>
      </c>
      <c r="E36" s="7" t="n">
        <v>25</v>
      </c>
      <c r="F36" s="53" t="n">
        <v>1024.187361072491</v>
      </c>
      <c r="G36" s="6">
        <f>bkrcast_all!G36</f>
        <v/>
      </c>
      <c r="H36" s="6">
        <f>bkrcast_inbkr!G36</f>
        <v/>
      </c>
      <c r="I36" s="6">
        <f>bkrcast_outbkr!G36</f>
        <v/>
      </c>
      <c r="J36" s="6">
        <f>soundcast!G36</f>
        <v/>
      </c>
      <c r="K36" s="6">
        <f>C36</f>
        <v/>
      </c>
    </row>
    <row r="37" spans="1:18">
      <c r="A37" t="n">
        <v>26</v>
      </c>
      <c r="B37" s="51" t="n">
        <v>965.0827584359999</v>
      </c>
      <c r="C37" s="6">
        <f>bkrcast_all!C37</f>
        <v/>
      </c>
      <c r="E37" s="7" t="n">
        <v>26</v>
      </c>
      <c r="F37" s="53" t="n">
        <v>851.9768316765897</v>
      </c>
      <c r="G37" s="6">
        <f>bkrcast_all!G37</f>
        <v/>
      </c>
      <c r="H37" s="6">
        <f>bkrcast_inbkr!G37</f>
        <v/>
      </c>
      <c r="I37" s="6">
        <f>bkrcast_outbkr!G37</f>
        <v/>
      </c>
      <c r="J37" s="6">
        <f>soundcast!G37</f>
        <v/>
      </c>
      <c r="K37" s="6">
        <f>C37</f>
        <v/>
      </c>
    </row>
    <row r="38" spans="1:18">
      <c r="A38" t="n">
        <v>27</v>
      </c>
      <c r="B38" s="51" t="n">
        <v>841.954010442</v>
      </c>
      <c r="C38" s="6">
        <f>bkrcast_all!C38</f>
        <v/>
      </c>
      <c r="E38" s="7" t="n">
        <v>27</v>
      </c>
      <c r="F38" s="53" t="n">
        <v>1938.224850753525</v>
      </c>
      <c r="G38" s="6">
        <f>bkrcast_all!G38</f>
        <v/>
      </c>
      <c r="H38" s="6">
        <f>bkrcast_inbkr!G38</f>
        <v/>
      </c>
      <c r="I38" s="6">
        <f>bkrcast_outbkr!G38</f>
        <v/>
      </c>
      <c r="J38" s="6">
        <f>soundcast!G38</f>
        <v/>
      </c>
      <c r="K38" s="6">
        <f>C38</f>
        <v/>
      </c>
    </row>
    <row r="39" spans="1:18">
      <c r="A39" t="n">
        <v>28</v>
      </c>
      <c r="B39" s="51" t="n">
        <v>0</v>
      </c>
      <c r="C39" s="6">
        <f>bkrcast_all!C39</f>
        <v/>
      </c>
      <c r="E39" s="7" t="n">
        <v>28</v>
      </c>
      <c r="F39" s="53" t="n">
        <v>775.213611978294</v>
      </c>
      <c r="G39" s="6">
        <f>bkrcast_all!G39</f>
        <v/>
      </c>
      <c r="H39" s="6">
        <f>bkrcast_inbkr!G39</f>
        <v/>
      </c>
      <c r="I39" s="6">
        <f>bkrcast_outbkr!G39</f>
        <v/>
      </c>
      <c r="J39" s="6">
        <f>soundcast!G39</f>
        <v/>
      </c>
      <c r="K39" s="6">
        <f>C39</f>
        <v/>
      </c>
    </row>
    <row r="40" spans="1:18">
      <c r="A40" t="n">
        <v>29</v>
      </c>
      <c r="B40" s="51" t="n">
        <v>347.945167462</v>
      </c>
      <c r="C40" s="6">
        <f>bkrcast_all!C40</f>
        <v/>
      </c>
      <c r="E40" s="7" t="n">
        <v>29</v>
      </c>
      <c r="F40" s="53" t="n">
        <v>1075.718289257354</v>
      </c>
      <c r="G40" s="6">
        <f>bkrcast_all!G40</f>
        <v/>
      </c>
      <c r="H40" s="6">
        <f>bkrcast_inbkr!G40</f>
        <v/>
      </c>
      <c r="I40" s="6">
        <f>bkrcast_outbkr!G40</f>
        <v/>
      </c>
      <c r="J40" s="6">
        <f>soundcast!G40</f>
        <v/>
      </c>
      <c r="K40" s="6">
        <f>C40</f>
        <v/>
      </c>
    </row>
    <row r="41" spans="1:18">
      <c r="A41" t="n">
        <v>30</v>
      </c>
      <c r="B41" s="51" t="n">
        <v>0</v>
      </c>
      <c r="C41" s="6">
        <f>bkrcast_all!C41</f>
        <v/>
      </c>
      <c r="E41" s="7" t="n">
        <v>30</v>
      </c>
      <c r="F41" s="53" t="n">
        <v>591.7152654816092</v>
      </c>
      <c r="G41" s="6">
        <f>bkrcast_all!G41</f>
        <v/>
      </c>
      <c r="H41" s="6">
        <f>bkrcast_inbkr!G41</f>
        <v/>
      </c>
      <c r="I41" s="6">
        <f>bkrcast_outbkr!G41</f>
        <v/>
      </c>
      <c r="J41" s="6">
        <f>soundcast!G41</f>
        <v/>
      </c>
      <c r="K41" s="6">
        <f>C41</f>
        <v/>
      </c>
    </row>
    <row r="42" spans="1:18">
      <c r="A42" t="n">
        <v>31</v>
      </c>
      <c r="B42" s="51" t="n">
        <v>464.442048857</v>
      </c>
      <c r="C42" s="6">
        <f>bkrcast_all!C42</f>
        <v/>
      </c>
      <c r="E42" s="7" t="n">
        <v>31</v>
      </c>
      <c r="F42" s="53" t="n">
        <v>538.4100628060313</v>
      </c>
      <c r="G42" s="6">
        <f>bkrcast_all!G42</f>
        <v/>
      </c>
      <c r="H42" s="6">
        <f>bkrcast_inbkr!G42</f>
        <v/>
      </c>
      <c r="I42" s="6">
        <f>bkrcast_outbkr!G42</f>
        <v/>
      </c>
      <c r="J42" s="6">
        <f>soundcast!G42</f>
        <v/>
      </c>
      <c r="K42" s="6">
        <f>C42</f>
        <v/>
      </c>
    </row>
    <row r="43" spans="1:18">
      <c r="A43" t="n">
        <v>32</v>
      </c>
      <c r="B43" s="51" t="n">
        <v>0</v>
      </c>
      <c r="C43" s="6">
        <f>bkrcast_all!C43</f>
        <v/>
      </c>
      <c r="E43" s="7" t="n">
        <v>32</v>
      </c>
      <c r="F43" s="53" t="n">
        <v>443.1363796109733</v>
      </c>
      <c r="G43" s="6">
        <f>bkrcast_all!G43</f>
        <v/>
      </c>
      <c r="H43" s="6">
        <f>bkrcast_inbkr!G43</f>
        <v/>
      </c>
      <c r="I43" s="6">
        <f>bkrcast_outbkr!G43</f>
        <v/>
      </c>
      <c r="J43" s="6">
        <f>soundcast!G43</f>
        <v/>
      </c>
      <c r="K43" s="6">
        <f>C43</f>
        <v/>
      </c>
    </row>
    <row r="44" spans="1:18">
      <c r="A44" t="n">
        <v>33</v>
      </c>
      <c r="B44" s="51" t="n">
        <v>0</v>
      </c>
      <c r="C44" s="6">
        <f>bkrcast_all!C44</f>
        <v/>
      </c>
      <c r="E44" s="7" t="n">
        <v>33</v>
      </c>
      <c r="F44" s="53" t="n">
        <v>346.6381113752682</v>
      </c>
      <c r="G44" s="6">
        <f>bkrcast_all!G44</f>
        <v/>
      </c>
      <c r="H44" s="6">
        <f>bkrcast_inbkr!G44</f>
        <v/>
      </c>
      <c r="I44" s="6">
        <f>bkrcast_outbkr!G44</f>
        <v/>
      </c>
      <c r="J44" s="6">
        <f>soundcast!G44</f>
        <v/>
      </c>
      <c r="K44" s="6">
        <f>C44</f>
        <v/>
      </c>
    </row>
    <row r="45" spans="1:18">
      <c r="A45" t="n">
        <v>34</v>
      </c>
      <c r="B45" s="51" t="n">
        <v>0</v>
      </c>
      <c r="C45" s="6">
        <f>bkrcast_all!C45</f>
        <v/>
      </c>
      <c r="E45" s="7" t="n">
        <v>34</v>
      </c>
      <c r="F45" s="53" t="n">
        <v>198.5837497646895</v>
      </c>
      <c r="G45" s="6">
        <f>bkrcast_all!G45</f>
        <v/>
      </c>
      <c r="H45" s="6">
        <f>bkrcast_inbkr!G45</f>
        <v/>
      </c>
      <c r="I45" s="6">
        <f>bkrcast_outbkr!G45</f>
        <v/>
      </c>
      <c r="J45" s="6">
        <f>soundcast!G45</f>
        <v/>
      </c>
      <c r="K45" s="6">
        <f>C45</f>
        <v/>
      </c>
    </row>
    <row r="46" spans="1:18">
      <c r="A46" t="n">
        <v>35</v>
      </c>
      <c r="B46" s="51" t="n">
        <v>0</v>
      </c>
      <c r="C46" s="6">
        <f>bkrcast_all!C46</f>
        <v/>
      </c>
      <c r="E46" s="7" t="n">
        <v>35</v>
      </c>
      <c r="F46" s="53" t="n">
        <v>127.6744701431996</v>
      </c>
      <c r="G46" s="6">
        <f>bkrcast_all!G46</f>
        <v/>
      </c>
      <c r="H46" s="6">
        <f>bkrcast_inbkr!G46</f>
        <v/>
      </c>
      <c r="I46" s="6">
        <f>bkrcast_outbkr!G46</f>
        <v/>
      </c>
      <c r="J46" s="6">
        <f>soundcast!G46</f>
        <v/>
      </c>
      <c r="K46" s="6">
        <f>C46</f>
        <v/>
      </c>
    </row>
    <row r="47" spans="1:18">
      <c r="A47" t="n">
        <v>36</v>
      </c>
      <c r="B47" s="51" t="n">
        <v>889.701534148</v>
      </c>
      <c r="C47" s="6">
        <f>bkrcast_all!C47</f>
        <v/>
      </c>
      <c r="E47" s="7" t="n">
        <v>36</v>
      </c>
      <c r="F47" s="53" t="n">
        <v>394.3513793424881</v>
      </c>
      <c r="G47" s="6">
        <f>bkrcast_all!G47</f>
        <v/>
      </c>
      <c r="H47" s="6">
        <f>bkrcast_inbkr!G47</f>
        <v/>
      </c>
      <c r="I47" s="6">
        <f>bkrcast_outbkr!G47</f>
        <v/>
      </c>
      <c r="J47" s="6">
        <f>soundcast!G47</f>
        <v/>
      </c>
      <c r="K47" s="6">
        <f>C47</f>
        <v/>
      </c>
    </row>
    <row r="48" spans="1:18">
      <c r="A48" t="n">
        <v>37</v>
      </c>
      <c r="B48" s="51" t="n">
        <v>0</v>
      </c>
      <c r="C48" s="6">
        <f>bkrcast_all!C48</f>
        <v/>
      </c>
      <c r="E48" s="7" t="n">
        <v>37</v>
      </c>
      <c r="F48" s="53" t="n">
        <v>170.6148286421287</v>
      </c>
      <c r="G48" s="6">
        <f>bkrcast_all!G48</f>
        <v/>
      </c>
      <c r="H48" s="6">
        <f>bkrcast_inbkr!G48</f>
        <v/>
      </c>
      <c r="I48" s="6">
        <f>bkrcast_outbkr!G48</f>
        <v/>
      </c>
      <c r="J48" s="6">
        <f>soundcast!G48</f>
        <v/>
      </c>
      <c r="K48" s="6">
        <f>C48</f>
        <v/>
      </c>
    </row>
    <row r="49" spans="1:18">
      <c r="A49" t="n">
        <v>38</v>
      </c>
      <c r="B49" s="51" t="n">
        <v>0</v>
      </c>
      <c r="C49" s="6">
        <f>bkrcast_all!C49</f>
        <v/>
      </c>
      <c r="E49" s="7" t="n">
        <v>38</v>
      </c>
      <c r="F49" s="53" t="n">
        <v>126.9908657482744</v>
      </c>
      <c r="G49" s="6">
        <f>bkrcast_all!G49</f>
        <v/>
      </c>
      <c r="H49" s="6">
        <f>bkrcast_inbkr!G49</f>
        <v/>
      </c>
      <c r="I49" s="6">
        <f>bkrcast_outbkr!G49</f>
        <v/>
      </c>
      <c r="J49" s="6">
        <f>soundcast!G49</f>
        <v/>
      </c>
      <c r="K49" s="6">
        <f>C49</f>
        <v/>
      </c>
    </row>
    <row r="50" spans="1:18">
      <c r="A50" t="n">
        <v>39</v>
      </c>
      <c r="B50" s="51" t="n">
        <v>0</v>
      </c>
      <c r="C50" s="6">
        <f>bkrcast_all!C50</f>
        <v/>
      </c>
      <c r="E50" s="7" t="n">
        <v>39</v>
      </c>
      <c r="F50" s="53" t="n">
        <v>79.08393502268601</v>
      </c>
      <c r="G50" s="6">
        <f>bkrcast_all!G50</f>
        <v/>
      </c>
      <c r="H50" s="6">
        <f>bkrcast_inbkr!G50</f>
        <v/>
      </c>
      <c r="I50" s="6">
        <f>bkrcast_outbkr!G50</f>
        <v/>
      </c>
      <c r="J50" s="6">
        <f>soundcast!G50</f>
        <v/>
      </c>
      <c r="K50" s="6">
        <f>C50</f>
        <v/>
      </c>
    </row>
    <row r="51" spans="1:18">
      <c r="A51" t="n">
        <v>40</v>
      </c>
      <c r="B51" s="51" t="n">
        <v>183.053312801</v>
      </c>
      <c r="C51" s="6">
        <f>bkrcast_all!C51</f>
        <v/>
      </c>
      <c r="E51" s="7" t="n">
        <v>40</v>
      </c>
      <c r="F51" s="53" t="n">
        <v>80.68133994221387</v>
      </c>
      <c r="G51" s="6">
        <f>bkrcast_all!G51</f>
        <v/>
      </c>
      <c r="H51" s="6">
        <f>bkrcast_inbkr!G51</f>
        <v/>
      </c>
      <c r="I51" s="6">
        <f>bkrcast_outbkr!G51</f>
        <v/>
      </c>
      <c r="J51" s="6">
        <f>soundcast!G51</f>
        <v/>
      </c>
      <c r="K51" s="6">
        <f>C51</f>
        <v/>
      </c>
    </row>
    <row r="52" spans="1:18">
      <c r="A52" t="n">
        <v>41</v>
      </c>
      <c r="B52" s="51" t="n">
        <v>0</v>
      </c>
      <c r="C52" s="6">
        <f>bkrcast_all!C52</f>
        <v/>
      </c>
      <c r="E52" s="7" t="n">
        <v>41</v>
      </c>
      <c r="F52" s="53" t="n">
        <v>53.77077664399093</v>
      </c>
      <c r="G52" s="6">
        <f>bkrcast_all!G52</f>
        <v/>
      </c>
      <c r="H52" s="6">
        <f>bkrcast_inbkr!G52</f>
        <v/>
      </c>
      <c r="I52" s="6">
        <f>bkrcast_outbkr!G52</f>
        <v/>
      </c>
      <c r="J52" s="6">
        <f>soundcast!G52</f>
        <v/>
      </c>
      <c r="K52" s="6">
        <f>C52</f>
        <v/>
      </c>
    </row>
    <row r="53" spans="1:18">
      <c r="A53" t="n">
        <v>42</v>
      </c>
      <c r="B53" s="51" t="n">
        <v>0</v>
      </c>
      <c r="C53" s="6">
        <f>bkrcast_all!C53</f>
        <v/>
      </c>
      <c r="E53" s="7" t="n">
        <v>42</v>
      </c>
      <c r="F53" s="53" t="n">
        <v>31.0592469790745</v>
      </c>
      <c r="G53" s="6">
        <f>bkrcast_all!G53</f>
        <v/>
      </c>
      <c r="H53" s="6">
        <f>bkrcast_inbkr!G53</f>
        <v/>
      </c>
      <c r="I53" s="6">
        <f>bkrcast_outbkr!G53</f>
        <v/>
      </c>
      <c r="J53" s="6">
        <f>soundcast!G53</f>
        <v/>
      </c>
      <c r="K53" s="6">
        <f>C53</f>
        <v/>
      </c>
    </row>
    <row r="54" spans="1:18">
      <c r="A54" t="n">
        <v>43</v>
      </c>
      <c r="B54" s="51" t="n">
        <v>353.042135169</v>
      </c>
      <c r="C54" s="6">
        <f>bkrcast_all!C54</f>
        <v/>
      </c>
      <c r="E54" s="7" t="n">
        <v>43</v>
      </c>
      <c r="F54" s="53" t="n">
        <v>41.56975308641973</v>
      </c>
      <c r="G54" s="6">
        <f>bkrcast_all!G54</f>
        <v/>
      </c>
      <c r="H54" s="6">
        <f>bkrcast_inbkr!G54</f>
        <v/>
      </c>
      <c r="I54" s="6">
        <f>bkrcast_outbkr!G54</f>
        <v/>
      </c>
      <c r="J54" s="6">
        <f>soundcast!G54</f>
        <v/>
      </c>
      <c r="K54" s="6">
        <f>C54</f>
        <v/>
      </c>
    </row>
    <row r="55" spans="1:18">
      <c r="A55" t="n">
        <v>44</v>
      </c>
      <c r="B55" s="51" t="n">
        <v>0</v>
      </c>
      <c r="C55" s="6">
        <f>bkrcast_all!C55</f>
        <v/>
      </c>
      <c r="E55" s="7" t="n">
        <v>44</v>
      </c>
      <c r="F55" s="53" t="n">
        <v>25.35090153377828</v>
      </c>
      <c r="G55" s="6">
        <f>bkrcast_all!G55</f>
        <v/>
      </c>
      <c r="H55" s="6">
        <f>bkrcast_inbkr!G55</f>
        <v/>
      </c>
      <c r="I55" s="6">
        <f>bkrcast_outbkr!G55</f>
        <v/>
      </c>
      <c r="J55" s="6">
        <f>soundcast!G55</f>
        <v/>
      </c>
      <c r="K55" s="6">
        <f>C55</f>
        <v/>
      </c>
    </row>
    <row r="56" spans="1:18">
      <c r="A56" t="n">
        <v>45</v>
      </c>
      <c r="B56" s="51" t="n">
        <v>250.40304101</v>
      </c>
      <c r="C56" s="6">
        <f>bkrcast_all!C56</f>
        <v/>
      </c>
      <c r="E56" s="7" t="n">
        <v>45</v>
      </c>
      <c r="F56" s="53" t="n">
        <v>30.56258043758047</v>
      </c>
      <c r="G56" s="6">
        <f>bkrcast_all!G56</f>
        <v/>
      </c>
      <c r="H56" s="6">
        <f>bkrcast_inbkr!G56</f>
        <v/>
      </c>
      <c r="I56" s="6">
        <f>bkrcast_outbkr!G56</f>
        <v/>
      </c>
      <c r="J56" s="6">
        <f>soundcast!G56</f>
        <v/>
      </c>
      <c r="K56" s="6">
        <f>C56</f>
        <v/>
      </c>
    </row>
    <row r="57" spans="1:18">
      <c r="A57" t="n">
        <v>46</v>
      </c>
      <c r="B57" s="51" t="n">
        <v>0</v>
      </c>
      <c r="C57" s="6">
        <f>bkrcast_all!C57</f>
        <v/>
      </c>
      <c r="E57" s="7" t="n">
        <v>46</v>
      </c>
      <c r="F57" s="53" t="n">
        <v>5.5</v>
      </c>
      <c r="G57" s="6">
        <f>bkrcast_all!G57</f>
        <v/>
      </c>
      <c r="H57" s="6">
        <f>bkrcast_inbkr!G57</f>
        <v/>
      </c>
      <c r="I57" s="6">
        <f>bkrcast_outbkr!G57</f>
        <v/>
      </c>
      <c r="J57" s="6">
        <f>soundcast!G57</f>
        <v/>
      </c>
      <c r="K57" s="6">
        <f>C57</f>
        <v/>
      </c>
    </row>
    <row r="58" spans="1:18">
      <c r="A58" t="n">
        <v>47</v>
      </c>
      <c r="B58" s="51" t="n">
        <v>0</v>
      </c>
      <c r="C58" s="6">
        <f>bkrcast_all!C58</f>
        <v/>
      </c>
      <c r="E58" s="7" t="n">
        <v>47</v>
      </c>
      <c r="F58" s="53" t="n">
        <v>27.12821152938523</v>
      </c>
      <c r="G58" s="6">
        <f>bkrcast_all!G58</f>
        <v/>
      </c>
      <c r="H58" s="6">
        <f>bkrcast_inbkr!G58</f>
        <v/>
      </c>
      <c r="I58" s="6">
        <f>bkrcast_outbkr!G58</f>
        <v/>
      </c>
      <c r="J58" s="6">
        <f>soundcast!G58</f>
        <v/>
      </c>
      <c r="K58" s="6">
        <f>C58</f>
        <v/>
      </c>
    </row>
    <row r="59" spans="1:18">
      <c r="A59" t="n">
        <v>48</v>
      </c>
      <c r="B59" s="51" t="n">
        <v>0</v>
      </c>
      <c r="C59" s="6">
        <f>bkrcast_all!C59</f>
        <v/>
      </c>
      <c r="E59" s="7" t="n">
        <v>48</v>
      </c>
      <c r="F59" s="53" t="n">
        <v>50.40289812336493</v>
      </c>
      <c r="G59" s="6">
        <f>bkrcast_all!G59</f>
        <v/>
      </c>
      <c r="H59" s="6">
        <f>bkrcast_inbkr!G59</f>
        <v/>
      </c>
      <c r="I59" s="6">
        <f>bkrcast_outbkr!G59</f>
        <v/>
      </c>
      <c r="J59" s="6">
        <f>soundcast!G59</f>
        <v/>
      </c>
      <c r="K59" s="6">
        <f>C59</f>
        <v/>
      </c>
    </row>
    <row r="60" spans="1:18">
      <c r="A60" t="n">
        <v>49</v>
      </c>
      <c r="B60" s="51" t="n">
        <v>0</v>
      </c>
      <c r="C60" s="6">
        <f>bkrcast_all!C60</f>
        <v/>
      </c>
      <c r="E60" s="7" t="n">
        <v>49</v>
      </c>
      <c r="F60" s="53" t="n">
        <v>10.21932515337423</v>
      </c>
      <c r="G60" s="6">
        <f>bkrcast_all!G60</f>
        <v/>
      </c>
      <c r="H60" s="6">
        <f>bkrcast_inbkr!G60</f>
        <v/>
      </c>
      <c r="I60" s="6">
        <f>bkrcast_outbkr!G60</f>
        <v/>
      </c>
      <c r="J60" s="6">
        <f>soundcast!G60</f>
        <v/>
      </c>
      <c r="K60" s="6">
        <f>C60</f>
        <v/>
      </c>
    </row>
    <row r="61" spans="1:18">
      <c r="A61" t="n">
        <v>50</v>
      </c>
      <c r="B61" s="51" t="n">
        <v>444.572467296</v>
      </c>
      <c r="C61" s="6">
        <f>bkrcast_all!C61</f>
        <v/>
      </c>
      <c r="E61" s="7" t="n">
        <v>50</v>
      </c>
      <c r="F61" s="53" t="n">
        <v>40.51250148181798</v>
      </c>
      <c r="G61" s="6">
        <f>bkrcast_all!G61</f>
        <v/>
      </c>
      <c r="H61" s="6">
        <f>bkrcast_inbkr!G61</f>
        <v/>
      </c>
      <c r="I61" s="6">
        <f>bkrcast_outbkr!G61</f>
        <v/>
      </c>
      <c r="J61" s="6">
        <f>soundcast!G61</f>
        <v/>
      </c>
      <c r="K61" s="6">
        <f>C61</f>
        <v/>
      </c>
    </row>
    <row r="62" spans="1:18">
      <c r="A62" t="n">
        <v>51</v>
      </c>
      <c r="B62" s="51" t="n">
        <v>0</v>
      </c>
      <c r="C62" s="6">
        <f>bkrcast_all!C62</f>
        <v/>
      </c>
      <c r="E62" s="7" t="n">
        <v>51</v>
      </c>
      <c r="F62" s="53" t="n">
        <v>1.99667774086379</v>
      </c>
      <c r="G62" s="6">
        <f>bkrcast_all!G62</f>
        <v/>
      </c>
      <c r="H62" s="6">
        <f>bkrcast_inbkr!G62</f>
        <v/>
      </c>
      <c r="I62" s="6">
        <f>bkrcast_outbkr!G62</f>
        <v/>
      </c>
      <c r="J62" s="6">
        <f>soundcast!G62</f>
        <v/>
      </c>
      <c r="K62" s="6">
        <f>C62</f>
        <v/>
      </c>
    </row>
    <row r="63" spans="1:18">
      <c r="A63" t="n">
        <v>52</v>
      </c>
      <c r="B63" s="51" t="n">
        <v>0</v>
      </c>
      <c r="C63" s="6">
        <f>bkrcast_all!C63</f>
        <v/>
      </c>
      <c r="E63" s="7" t="n">
        <v>52</v>
      </c>
      <c r="F63" s="53" t="n">
        <v>10.3008474576271</v>
      </c>
      <c r="G63" s="6">
        <f>bkrcast_all!G63</f>
        <v/>
      </c>
      <c r="H63" s="6">
        <f>bkrcast_inbkr!G63</f>
        <v/>
      </c>
      <c r="I63" s="6">
        <f>bkrcast_outbkr!G63</f>
        <v/>
      </c>
      <c r="J63" s="6">
        <f>soundcast!G63</f>
        <v/>
      </c>
      <c r="K63" s="6">
        <f>C63</f>
        <v/>
      </c>
    </row>
    <row r="64" spans="1:18">
      <c r="A64" t="n">
        <v>53</v>
      </c>
      <c r="B64" s="51" t="n">
        <v>0</v>
      </c>
      <c r="C64" s="6">
        <f>bkrcast_all!C64</f>
        <v/>
      </c>
      <c r="E64" s="7" t="n">
        <v>53</v>
      </c>
      <c r="F64" s="53" t="n">
        <v>0</v>
      </c>
      <c r="G64" s="6">
        <f>bkrcast_all!G64</f>
        <v/>
      </c>
      <c r="H64" s="6">
        <f>bkrcast_inbkr!G64</f>
        <v/>
      </c>
      <c r="I64" s="6">
        <f>bkrcast_outbkr!G64</f>
        <v/>
      </c>
      <c r="J64" s="6">
        <f>soundcast!G64</f>
        <v/>
      </c>
      <c r="K64" s="6">
        <f>C64</f>
        <v/>
      </c>
    </row>
    <row r="65" spans="1:18">
      <c r="A65" t="n">
        <v>54</v>
      </c>
      <c r="B65" s="51" t="n">
        <v>0</v>
      </c>
      <c r="C65" s="6">
        <f>bkrcast_all!C65</f>
        <v/>
      </c>
      <c r="E65" s="7" t="n">
        <v>54</v>
      </c>
      <c r="F65" s="53" t="n">
        <v>10</v>
      </c>
      <c r="G65" s="6">
        <f>bkrcast_all!G65</f>
        <v/>
      </c>
      <c r="H65" s="6">
        <f>bkrcast_inbkr!G65</f>
        <v/>
      </c>
      <c r="I65" s="6">
        <f>bkrcast_outbkr!G65</f>
        <v/>
      </c>
      <c r="J65" s="6">
        <f>soundcast!G65</f>
        <v/>
      </c>
      <c r="K65" s="6">
        <f>C65</f>
        <v/>
      </c>
    </row>
    <row r="66" spans="1:18">
      <c r="A66" t="n">
        <v>55</v>
      </c>
      <c r="B66" s="51" t="n">
        <v>0</v>
      </c>
      <c r="C66" s="6">
        <f>bkrcast_all!C66</f>
        <v/>
      </c>
      <c r="E66" s="7" t="n">
        <v>55</v>
      </c>
      <c r="F66" s="53" t="n">
        <v>0</v>
      </c>
      <c r="G66" s="6">
        <f>bkrcast_all!G66</f>
        <v/>
      </c>
      <c r="H66" s="6">
        <f>bkrcast_inbkr!G66</f>
        <v/>
      </c>
      <c r="I66" s="6">
        <f>bkrcast_outbkr!G66</f>
        <v/>
      </c>
      <c r="J66" s="6">
        <f>soundcast!G66</f>
        <v/>
      </c>
      <c r="K66" s="6">
        <f>C66</f>
        <v/>
      </c>
    </row>
    <row r="67" spans="1:18">
      <c r="A67" t="n">
        <v>56</v>
      </c>
      <c r="B67" s="51" t="n">
        <v>0</v>
      </c>
      <c r="C67" s="6">
        <f>bkrcast_all!C67</f>
        <v/>
      </c>
      <c r="E67" s="7" t="n">
        <v>56</v>
      </c>
      <c r="F67" s="53" t="n">
        <v>0</v>
      </c>
      <c r="G67" s="6">
        <f>bkrcast_all!G67</f>
        <v/>
      </c>
      <c r="H67" s="6">
        <f>bkrcast_inbkr!G67</f>
        <v/>
      </c>
      <c r="I67" s="6">
        <f>bkrcast_outbkr!G67</f>
        <v/>
      </c>
      <c r="J67" s="6">
        <f>soundcast!G67</f>
        <v/>
      </c>
      <c r="K67" s="6">
        <f>C67</f>
        <v/>
      </c>
    </row>
    <row r="68" spans="1:18">
      <c r="A68" t="n">
        <v>57</v>
      </c>
      <c r="B68" s="51" t="n">
        <v>0</v>
      </c>
      <c r="C68" s="6">
        <f>bkrcast_all!C68</f>
        <v/>
      </c>
      <c r="E68" s="7" t="n">
        <v>57</v>
      </c>
      <c r="F68" s="53" t="n">
        <v>0</v>
      </c>
      <c r="G68" s="6">
        <f>bkrcast_all!G68</f>
        <v/>
      </c>
      <c r="H68" s="6">
        <f>bkrcast_inbkr!G68</f>
        <v/>
      </c>
      <c r="I68" s="6">
        <f>bkrcast_outbkr!G68</f>
        <v/>
      </c>
      <c r="J68" s="6">
        <f>soundcast!G68</f>
        <v/>
      </c>
      <c r="K68" s="6">
        <f>C68</f>
        <v/>
      </c>
    </row>
    <row r="69" spans="1:18">
      <c r="A69" t="n">
        <v>58</v>
      </c>
      <c r="B69" s="51" t="n">
        <v>0</v>
      </c>
      <c r="C69" s="6">
        <f>bkrcast_all!C69</f>
        <v/>
      </c>
      <c r="E69" s="7" t="n">
        <v>58</v>
      </c>
      <c r="F69" s="53" t="n">
        <v>10.0117647058824</v>
      </c>
      <c r="G69" s="6">
        <f>bkrcast_all!G69</f>
        <v/>
      </c>
      <c r="H69" s="6">
        <f>bkrcast_inbkr!G69</f>
        <v/>
      </c>
      <c r="I69" s="6">
        <f>bkrcast_outbkr!G69</f>
        <v/>
      </c>
      <c r="J69" s="6">
        <f>soundcast!G69</f>
        <v/>
      </c>
      <c r="K69" s="6">
        <f>C69</f>
        <v/>
      </c>
    </row>
    <row r="70" spans="1:18">
      <c r="A70" t="n">
        <v>59</v>
      </c>
      <c r="B70" s="51" t="n">
        <v>0</v>
      </c>
      <c r="C70" s="6">
        <f>bkrcast_all!C70</f>
        <v/>
      </c>
      <c r="E70" s="7" t="n">
        <v>59</v>
      </c>
      <c r="F70" s="53" t="n">
        <v>0</v>
      </c>
      <c r="G70" s="6">
        <f>bkrcast_all!G70</f>
        <v/>
      </c>
      <c r="H70" s="6">
        <f>bkrcast_inbkr!G70</f>
        <v/>
      </c>
      <c r="I70" s="6">
        <f>bkrcast_outbkr!G70</f>
        <v/>
      </c>
      <c r="J70" s="6">
        <f>soundcast!G70</f>
        <v/>
      </c>
      <c r="K70" s="6">
        <f>C70</f>
        <v/>
      </c>
    </row>
    <row r="71" spans="1:18">
      <c r="A71" t="n">
        <v>60</v>
      </c>
      <c r="B71" s="51" t="n">
        <v>0</v>
      </c>
      <c r="C71" s="6">
        <f>bkrcast_all!C71</f>
        <v/>
      </c>
      <c r="E71" s="7" t="n">
        <v>60</v>
      </c>
      <c r="F71" s="53" t="n">
        <v>0</v>
      </c>
      <c r="G71" s="6">
        <f>bkrcast_all!G71</f>
        <v/>
      </c>
      <c r="H71" s="6">
        <f>bkrcast_inbkr!G71</f>
        <v/>
      </c>
      <c r="I71" s="6">
        <f>bkrcast_outbkr!G71</f>
        <v/>
      </c>
      <c r="J71" s="6">
        <f>soundcast!G71</f>
        <v/>
      </c>
      <c r="K71" s="6">
        <f>C71</f>
        <v/>
      </c>
    </row>
    <row r="72" spans="1:18">
      <c r="A72" t="n">
        <v>61</v>
      </c>
      <c r="B72" s="51" t="n">
        <v>0</v>
      </c>
      <c r="C72" s="6">
        <f>bkrcast_all!C72</f>
        <v/>
      </c>
      <c r="E72" s="7" t="n">
        <v>61</v>
      </c>
      <c r="F72" s="53" t="n">
        <v>9.92982456140351</v>
      </c>
      <c r="G72" s="6">
        <f>bkrcast_all!G72</f>
        <v/>
      </c>
      <c r="H72" s="6">
        <f>bkrcast_inbkr!G72</f>
        <v/>
      </c>
      <c r="I72" s="6">
        <f>bkrcast_outbkr!G72</f>
        <v/>
      </c>
      <c r="J72" s="6">
        <f>soundcast!G72</f>
        <v/>
      </c>
      <c r="K72" s="6">
        <f>C72</f>
        <v/>
      </c>
    </row>
    <row r="73" spans="1:18">
      <c r="A73" t="n">
        <v>62</v>
      </c>
      <c r="B73" s="51" t="n">
        <v>0</v>
      </c>
      <c r="C73" s="6">
        <f>bkrcast_all!C73</f>
        <v/>
      </c>
      <c r="E73" s="7" t="n">
        <v>62</v>
      </c>
      <c r="F73" s="53" t="n">
        <v>0</v>
      </c>
      <c r="G73" s="6">
        <f>bkrcast_all!G73</f>
        <v/>
      </c>
      <c r="H73" s="6">
        <f>bkrcast_inbkr!G73</f>
        <v/>
      </c>
      <c r="I73" s="6">
        <f>bkrcast_outbkr!G73</f>
        <v/>
      </c>
      <c r="J73" s="6">
        <f>soundcast!G73</f>
        <v/>
      </c>
      <c r="K73" s="6">
        <f>C73</f>
        <v/>
      </c>
    </row>
    <row r="74" spans="1:18">
      <c r="A74" t="n">
        <v>63</v>
      </c>
      <c r="B74" s="51" t="n">
        <v>0</v>
      </c>
      <c r="C74" s="6">
        <f>bkrcast_all!C74</f>
        <v/>
      </c>
      <c r="E74" s="7" t="n">
        <v>63</v>
      </c>
      <c r="F74" s="53" t="n">
        <v>0</v>
      </c>
      <c r="G74" s="6">
        <f>bkrcast_all!G74</f>
        <v/>
      </c>
      <c r="H74" s="6">
        <f>bkrcast_inbkr!G74</f>
        <v/>
      </c>
      <c r="I74" s="6">
        <f>bkrcast_outbkr!G74</f>
        <v/>
      </c>
      <c r="J74" s="6">
        <f>soundcast!G74</f>
        <v/>
      </c>
      <c r="K74" s="6">
        <f>C74</f>
        <v/>
      </c>
    </row>
    <row r="75" spans="1:18">
      <c r="A75" t="n">
        <v>64</v>
      </c>
      <c r="B75" s="51" t="n">
        <v>0</v>
      </c>
      <c r="C75" s="6">
        <f>bkrcast_all!C75</f>
        <v/>
      </c>
      <c r="E75" s="7" t="n">
        <v>64</v>
      </c>
      <c r="F75" s="53" t="n">
        <v>0</v>
      </c>
      <c r="G75" s="6">
        <f>bkrcast_all!G75</f>
        <v/>
      </c>
      <c r="H75" s="6">
        <f>bkrcast_inbkr!G75</f>
        <v/>
      </c>
      <c r="I75" s="6">
        <f>bkrcast_outbkr!G75</f>
        <v/>
      </c>
      <c r="J75" s="6">
        <f>soundcast!G75</f>
        <v/>
      </c>
      <c r="K75" s="6">
        <f>C75</f>
        <v/>
      </c>
    </row>
    <row r="76" spans="1:18">
      <c r="A76" t="n">
        <v>65</v>
      </c>
      <c r="B76" s="51" t="n">
        <v>0</v>
      </c>
      <c r="C76" s="6">
        <f>bkrcast_all!C76</f>
        <v/>
      </c>
      <c r="E76" s="7" t="n">
        <v>65</v>
      </c>
      <c r="F76" s="53" t="n">
        <v>0</v>
      </c>
      <c r="G76" s="6">
        <f>bkrcast_all!G76</f>
        <v/>
      </c>
      <c r="H76" s="6">
        <f>bkrcast_inbkr!G76</f>
        <v/>
      </c>
      <c r="I76" s="6">
        <f>bkrcast_outbkr!G76</f>
        <v/>
      </c>
      <c r="J76" s="6">
        <f>soundcast!G76</f>
        <v/>
      </c>
      <c r="K76" s="6">
        <f>C76</f>
        <v/>
      </c>
    </row>
    <row r="77" spans="1:18">
      <c r="A77" t="n">
        <v>66</v>
      </c>
      <c r="B77" s="51" t="n">
        <v>0</v>
      </c>
      <c r="C77" s="6">
        <f>bkrcast_all!C77</f>
        <v/>
      </c>
      <c r="E77" s="7" t="n">
        <v>66</v>
      </c>
      <c r="F77" s="53" t="n">
        <v>0</v>
      </c>
      <c r="G77" s="6">
        <f>bkrcast_all!G77</f>
        <v/>
      </c>
      <c r="H77" s="6">
        <f>bkrcast_inbkr!G77</f>
        <v/>
      </c>
      <c r="I77" s="6">
        <f>bkrcast_outbkr!G77</f>
        <v/>
      </c>
      <c r="J77" s="6">
        <f>soundcast!G77</f>
        <v/>
      </c>
      <c r="K77" s="6">
        <f>C77</f>
        <v/>
      </c>
    </row>
    <row r="78" spans="1:18">
      <c r="A78" t="n">
        <v>67</v>
      </c>
      <c r="B78" s="51" t="n">
        <v>0</v>
      </c>
      <c r="C78" s="6">
        <f>bkrcast_all!C78</f>
        <v/>
      </c>
      <c r="E78" s="7" t="n">
        <v>67</v>
      </c>
      <c r="F78" s="53" t="n">
        <v>0</v>
      </c>
      <c r="G78" s="6">
        <f>bkrcast_all!G78</f>
        <v/>
      </c>
      <c r="H78" s="6">
        <f>bkrcast_inbkr!G78</f>
        <v/>
      </c>
      <c r="I78" s="6">
        <f>bkrcast_outbkr!G78</f>
        <v/>
      </c>
      <c r="J78" s="6">
        <f>soundcast!G78</f>
        <v/>
      </c>
      <c r="K78" s="6">
        <f>C78</f>
        <v/>
      </c>
    </row>
    <row r="79" spans="1:18">
      <c r="A79" t="n">
        <v>68</v>
      </c>
      <c r="B79" s="51" t="n">
        <v>143.175005361</v>
      </c>
      <c r="C79" s="6">
        <f>bkrcast_all!C79</f>
        <v/>
      </c>
      <c r="E79" s="7" t="n">
        <v>68</v>
      </c>
      <c r="F79" s="53" t="n">
        <v>0</v>
      </c>
      <c r="G79" s="6">
        <f>bkrcast_all!G79</f>
        <v/>
      </c>
      <c r="H79" s="6">
        <f>bkrcast_inbkr!G79</f>
        <v/>
      </c>
      <c r="I79" s="6">
        <f>bkrcast_outbkr!G79</f>
        <v/>
      </c>
      <c r="J79" s="6">
        <f>soundcast!G79</f>
        <v/>
      </c>
      <c r="K79" s="6">
        <f>C79</f>
        <v/>
      </c>
    </row>
    <row r="80" spans="1:18">
      <c r="A80" t="n">
        <v>69</v>
      </c>
      <c r="B80" s="51" t="n">
        <v>0</v>
      </c>
      <c r="C80" s="6">
        <f>bkrcast_all!C80</f>
        <v/>
      </c>
      <c r="E80" s="7" t="n">
        <v>69</v>
      </c>
      <c r="F80" s="53" t="n">
        <v>10.0508474576271</v>
      </c>
      <c r="G80" s="6">
        <f>bkrcast_all!G80</f>
        <v/>
      </c>
      <c r="H80" s="6">
        <f>bkrcast_inbkr!G80</f>
        <v/>
      </c>
      <c r="I80" s="6">
        <f>bkrcast_outbkr!G80</f>
        <v/>
      </c>
      <c r="J80" s="6">
        <f>soundcast!G80</f>
        <v/>
      </c>
      <c r="K80" s="6">
        <f>C80</f>
        <v/>
      </c>
    </row>
    <row r="81" spans="1:18">
      <c r="A81" t="n">
        <v>70</v>
      </c>
      <c r="B81" s="51" t="n">
        <v>0</v>
      </c>
      <c r="C81" s="6">
        <f>bkrcast_all!C81</f>
        <v/>
      </c>
      <c r="E81" s="7" t="n">
        <v>70</v>
      </c>
      <c r="F81" s="53" t="n">
        <v>0</v>
      </c>
      <c r="G81" s="6">
        <f>bkrcast_all!G81</f>
        <v/>
      </c>
      <c r="H81" s="6">
        <f>bkrcast_inbkr!G81</f>
        <v/>
      </c>
      <c r="I81" s="6">
        <f>bkrcast_outbkr!G81</f>
        <v/>
      </c>
      <c r="J81" s="6">
        <f>soundcast!G81</f>
        <v/>
      </c>
      <c r="K81" s="6">
        <f>C81</f>
        <v/>
      </c>
    </row>
    <row r="82" spans="1:18">
      <c r="A82" t="n">
        <v>71</v>
      </c>
      <c r="B82" s="51" t="n">
        <v>0</v>
      </c>
      <c r="C82" s="6">
        <f>bkrcast_all!C82</f>
        <v/>
      </c>
      <c r="E82" s="7" t="n">
        <v>71</v>
      </c>
      <c r="F82" s="53" t="n">
        <v>0</v>
      </c>
      <c r="G82" s="6">
        <f>bkrcast_all!G82</f>
        <v/>
      </c>
      <c r="H82" s="6">
        <f>bkrcast_inbkr!G82</f>
        <v/>
      </c>
      <c r="I82" s="6">
        <f>bkrcast_outbkr!G82</f>
        <v/>
      </c>
      <c r="J82" s="6">
        <f>soundcast!G82</f>
        <v/>
      </c>
      <c r="K82" s="6">
        <f>C82</f>
        <v/>
      </c>
    </row>
    <row r="83" spans="1:18">
      <c r="A83" t="n">
        <v>72</v>
      </c>
      <c r="B83" s="51" t="n">
        <v>0</v>
      </c>
      <c r="C83" s="6">
        <f>bkrcast_all!C83</f>
        <v/>
      </c>
      <c r="E83" s="7" t="n">
        <v>72</v>
      </c>
      <c r="F83" s="53" t="n">
        <v>0</v>
      </c>
      <c r="G83" s="6">
        <f>bkrcast_all!G83</f>
        <v/>
      </c>
      <c r="H83" s="6">
        <f>bkrcast_inbkr!G83</f>
        <v/>
      </c>
      <c r="I83" s="6">
        <f>bkrcast_outbkr!G83</f>
        <v/>
      </c>
      <c r="J83" s="6">
        <f>soundcast!G83</f>
        <v/>
      </c>
      <c r="K83" s="6">
        <f>C83</f>
        <v/>
      </c>
    </row>
    <row r="84" spans="1:18">
      <c r="A84" t="n">
        <v>73</v>
      </c>
      <c r="B84" s="51" t="n">
        <v>0</v>
      </c>
      <c r="C84" s="6">
        <f>bkrcast_all!C84</f>
        <v/>
      </c>
      <c r="E84" s="7" t="n">
        <v>73</v>
      </c>
      <c r="F84" s="53" t="n">
        <v>0</v>
      </c>
      <c r="G84" s="6">
        <f>bkrcast_all!G84</f>
        <v/>
      </c>
      <c r="H84" s="6">
        <f>bkrcast_inbkr!G84</f>
        <v/>
      </c>
      <c r="I84" s="6">
        <f>bkrcast_outbkr!G84</f>
        <v/>
      </c>
      <c r="J84" s="6">
        <f>soundcast!G84</f>
        <v/>
      </c>
      <c r="K84" s="6">
        <f>C84</f>
        <v/>
      </c>
    </row>
    <row r="85" spans="1:18">
      <c r="A85" t="n">
        <v>74</v>
      </c>
      <c r="B85" s="51" t="n">
        <v>0</v>
      </c>
      <c r="C85" s="6">
        <f>bkrcast_all!C85</f>
        <v/>
      </c>
      <c r="E85" s="7" t="n">
        <v>74</v>
      </c>
      <c r="F85" s="53" t="n">
        <v>0</v>
      </c>
      <c r="G85" s="6">
        <f>bkrcast_all!G85</f>
        <v/>
      </c>
      <c r="H85" s="6">
        <f>bkrcast_inbkr!G85</f>
        <v/>
      </c>
      <c r="I85" s="6">
        <f>bkrcast_outbkr!G85</f>
        <v/>
      </c>
      <c r="J85" s="6">
        <f>soundcast!G85</f>
        <v/>
      </c>
      <c r="K85" s="6">
        <f>C85</f>
        <v/>
      </c>
    </row>
    <row r="86" spans="1:18">
      <c r="A86" t="n">
        <v>75</v>
      </c>
      <c r="B86" s="51" t="n">
        <v>0</v>
      </c>
      <c r="C86" s="6">
        <f>bkrcast_all!C86</f>
        <v/>
      </c>
      <c r="E86" s="7" t="n">
        <v>75</v>
      </c>
      <c r="F86" s="53" t="n">
        <v>0</v>
      </c>
      <c r="G86" s="6">
        <f>bkrcast_all!G86</f>
        <v/>
      </c>
      <c r="H86" s="6">
        <f>bkrcast_inbkr!G86</f>
        <v/>
      </c>
      <c r="I86" s="6">
        <f>bkrcast_outbkr!G86</f>
        <v/>
      </c>
      <c r="J86" s="6">
        <f>soundcast!G86</f>
        <v/>
      </c>
      <c r="K86" s="6">
        <f>C86</f>
        <v/>
      </c>
    </row>
    <row r="87" spans="1:18">
      <c r="A87" t="n">
        <v>76</v>
      </c>
      <c r="B87" s="51" t="n">
        <v>0</v>
      </c>
      <c r="C87" s="6">
        <f>bkrcast_all!C87</f>
        <v/>
      </c>
      <c r="E87" s="7" t="n">
        <v>76</v>
      </c>
      <c r="F87" s="53" t="n">
        <v>0</v>
      </c>
      <c r="G87" s="6">
        <f>bkrcast_all!G87</f>
        <v/>
      </c>
      <c r="H87" s="6">
        <f>bkrcast_inbkr!G87</f>
        <v/>
      </c>
      <c r="I87" s="6">
        <f>bkrcast_outbkr!G87</f>
        <v/>
      </c>
      <c r="J87" s="6">
        <f>soundcast!G87</f>
        <v/>
      </c>
      <c r="K87" s="6">
        <f>C87</f>
        <v/>
      </c>
    </row>
    <row r="88" spans="1:18">
      <c r="A88" t="n">
        <v>77</v>
      </c>
      <c r="B88" s="51" t="n">
        <v>0</v>
      </c>
      <c r="C88" s="6">
        <f>bkrcast_all!C88</f>
        <v/>
      </c>
      <c r="E88" s="7" t="n">
        <v>77</v>
      </c>
      <c r="F88" s="53" t="n">
        <v>0</v>
      </c>
      <c r="G88" s="6">
        <f>bkrcast_all!G88</f>
        <v/>
      </c>
      <c r="H88" s="6">
        <f>bkrcast_inbkr!G88</f>
        <v/>
      </c>
      <c r="I88" s="6">
        <f>bkrcast_outbkr!G88</f>
        <v/>
      </c>
      <c r="J88" s="6">
        <f>soundcast!G88</f>
        <v/>
      </c>
      <c r="K88" s="6">
        <f>C88</f>
        <v/>
      </c>
    </row>
    <row r="89" spans="1:18">
      <c r="A89" t="n">
        <v>78</v>
      </c>
      <c r="B89" s="51" t="n">
        <v>0</v>
      </c>
      <c r="C89" s="6">
        <f>bkrcast_all!C89</f>
        <v/>
      </c>
      <c r="E89" s="7" t="n">
        <v>78</v>
      </c>
      <c r="F89" s="53" t="n">
        <v>0</v>
      </c>
      <c r="G89" s="6">
        <f>bkrcast_all!G89</f>
        <v/>
      </c>
      <c r="H89" s="6">
        <f>bkrcast_inbkr!G89</f>
        <v/>
      </c>
      <c r="I89" s="6">
        <f>bkrcast_outbkr!G89</f>
        <v/>
      </c>
      <c r="J89" s="6">
        <f>soundcast!G89</f>
        <v/>
      </c>
      <c r="K89" s="6">
        <f>C89</f>
        <v/>
      </c>
    </row>
    <row r="90" spans="1:18">
      <c r="A90" t="n">
        <v>79</v>
      </c>
      <c r="B90" s="51" t="n">
        <v>0</v>
      </c>
      <c r="C90" s="6">
        <f>bkrcast_all!C90</f>
        <v/>
      </c>
      <c r="E90" s="7" t="n">
        <v>79</v>
      </c>
      <c r="F90" s="53" t="n">
        <v>0</v>
      </c>
      <c r="G90" s="6">
        <f>bkrcast_all!G90</f>
        <v/>
      </c>
      <c r="H90" s="6">
        <f>bkrcast_inbkr!G90</f>
        <v/>
      </c>
      <c r="I90" s="6">
        <f>bkrcast_outbkr!G90</f>
        <v/>
      </c>
      <c r="J90" s="6">
        <f>soundcast!G90</f>
        <v/>
      </c>
      <c r="K90" s="6">
        <f>C90</f>
        <v/>
      </c>
    </row>
    <row r="91" spans="1:18">
      <c r="A91" t="n">
        <v>80</v>
      </c>
      <c r="B91" s="51" t="n">
        <v>0</v>
      </c>
      <c r="C91" s="6">
        <f>bkrcast_all!C91</f>
        <v/>
      </c>
      <c r="E91" s="7" t="n">
        <v>80</v>
      </c>
      <c r="F91" s="53" t="n">
        <v>0</v>
      </c>
      <c r="G91" s="6">
        <f>bkrcast_all!G91</f>
        <v/>
      </c>
      <c r="H91" s="6">
        <f>bkrcast_inbkr!G91</f>
        <v/>
      </c>
      <c r="I91" s="6">
        <f>bkrcast_outbkr!G91</f>
        <v/>
      </c>
      <c r="J91" s="6">
        <f>soundcast!G91</f>
        <v/>
      </c>
      <c r="K91" s="6">
        <f>C91</f>
        <v/>
      </c>
    </row>
    <row r="92" spans="1:18">
      <c r="A92" t="n">
        <v>81</v>
      </c>
      <c r="B92" s="51" t="n">
        <v>0</v>
      </c>
      <c r="C92" s="6">
        <f>bkrcast_all!C92</f>
        <v/>
      </c>
      <c r="E92" s="7" t="n">
        <v>81</v>
      </c>
      <c r="F92" s="53" t="n">
        <v>0</v>
      </c>
      <c r="G92" s="6">
        <f>bkrcast_all!G92</f>
        <v/>
      </c>
      <c r="H92" s="6">
        <f>bkrcast_inbkr!G92</f>
        <v/>
      </c>
      <c r="I92" s="6">
        <f>bkrcast_outbkr!G92</f>
        <v/>
      </c>
      <c r="J92" s="6">
        <f>soundcast!G92</f>
        <v/>
      </c>
      <c r="K92" s="6">
        <f>C92</f>
        <v/>
      </c>
    </row>
    <row r="93" spans="1:18">
      <c r="A93" t="n">
        <v>82</v>
      </c>
      <c r="B93" s="51" t="n">
        <v>0</v>
      </c>
      <c r="C93" s="6">
        <f>bkrcast_all!C93</f>
        <v/>
      </c>
      <c r="E93" s="7" t="n">
        <v>82</v>
      </c>
      <c r="F93" s="53" t="n">
        <v>0</v>
      </c>
      <c r="G93" s="6">
        <f>bkrcast_all!G93</f>
        <v/>
      </c>
      <c r="H93" s="6">
        <f>bkrcast_inbkr!G93</f>
        <v/>
      </c>
      <c r="I93" s="6">
        <f>bkrcast_outbkr!G93</f>
        <v/>
      </c>
      <c r="J93" s="6">
        <f>soundcast!G93</f>
        <v/>
      </c>
      <c r="K93" s="6">
        <f>C93</f>
        <v/>
      </c>
    </row>
    <row r="94" spans="1:18">
      <c r="A94" t="n">
        <v>83</v>
      </c>
      <c r="B94" s="51" t="n">
        <v>0</v>
      </c>
      <c r="C94" s="6">
        <f>bkrcast_all!C94</f>
        <v/>
      </c>
      <c r="E94" s="7" t="n">
        <v>83</v>
      </c>
      <c r="F94" s="53" t="n">
        <v>0</v>
      </c>
      <c r="G94" s="6">
        <f>bkrcast_all!G94</f>
        <v/>
      </c>
      <c r="H94" s="6">
        <f>bkrcast_inbkr!G94</f>
        <v/>
      </c>
      <c r="I94" s="6">
        <f>bkrcast_outbkr!G94</f>
        <v/>
      </c>
      <c r="J94" s="6">
        <f>soundcast!G94</f>
        <v/>
      </c>
      <c r="K94" s="6">
        <f>C94</f>
        <v/>
      </c>
    </row>
    <row r="95" spans="1:18">
      <c r="A95" t="n">
        <v>84</v>
      </c>
      <c r="B95" s="51" t="n">
        <v>0</v>
      </c>
      <c r="C95" s="6">
        <f>bkrcast_all!C95</f>
        <v/>
      </c>
      <c r="E95" s="7" t="n">
        <v>84</v>
      </c>
      <c r="F95" s="53" t="n">
        <v>0</v>
      </c>
      <c r="G95" s="6">
        <f>bkrcast_all!G95</f>
        <v/>
      </c>
      <c r="H95" s="6">
        <f>bkrcast_inbkr!G95</f>
        <v/>
      </c>
      <c r="I95" s="6">
        <f>bkrcast_outbkr!G95</f>
        <v/>
      </c>
      <c r="J95" s="6">
        <f>soundcast!G95</f>
        <v/>
      </c>
      <c r="K95" s="6">
        <f>C95</f>
        <v/>
      </c>
    </row>
    <row r="96" spans="1:18">
      <c r="A96" t="n">
        <v>85</v>
      </c>
      <c r="B96" s="51" t="n">
        <v>0</v>
      </c>
      <c r="C96" s="6">
        <f>bkrcast_all!C96</f>
        <v/>
      </c>
      <c r="E96" s="7" t="n">
        <v>85</v>
      </c>
      <c r="F96" s="53" t="n">
        <v>0</v>
      </c>
      <c r="G96" s="6">
        <f>bkrcast_all!G96</f>
        <v/>
      </c>
      <c r="H96" s="6">
        <f>bkrcast_inbkr!G96</f>
        <v/>
      </c>
      <c r="I96" s="6">
        <f>bkrcast_outbkr!G96</f>
        <v/>
      </c>
      <c r="J96" s="6">
        <f>soundcast!G96</f>
        <v/>
      </c>
      <c r="K96" s="6">
        <f>C96</f>
        <v/>
      </c>
    </row>
    <row r="97" spans="1:18">
      <c r="A97" t="n">
        <v>86</v>
      </c>
      <c r="B97" s="51" t="n">
        <v>0</v>
      </c>
      <c r="C97" s="6">
        <f>bkrcast_all!C97</f>
        <v/>
      </c>
      <c r="E97" s="7" t="n">
        <v>86</v>
      </c>
      <c r="F97" s="53" t="n">
        <v>0</v>
      </c>
      <c r="G97" s="6">
        <f>bkrcast_all!G97</f>
        <v/>
      </c>
      <c r="H97" s="6">
        <f>bkrcast_inbkr!G97</f>
        <v/>
      </c>
      <c r="I97" s="6">
        <f>bkrcast_outbkr!G97</f>
        <v/>
      </c>
      <c r="J97" s="6">
        <f>soundcast!G97</f>
        <v/>
      </c>
      <c r="K97" s="6">
        <f>C97</f>
        <v/>
      </c>
    </row>
    <row r="98" spans="1:18">
      <c r="A98" t="n">
        <v>87</v>
      </c>
      <c r="B98" s="51" t="n">
        <v>0</v>
      </c>
      <c r="C98" s="6">
        <f>bkrcast_all!C98</f>
        <v/>
      </c>
      <c r="E98" s="7" t="n">
        <v>87</v>
      </c>
      <c r="F98" s="53" t="n">
        <v>0</v>
      </c>
      <c r="G98" s="6">
        <f>bkrcast_all!G98</f>
        <v/>
      </c>
      <c r="H98" s="6">
        <f>bkrcast_inbkr!G98</f>
        <v/>
      </c>
      <c r="I98" s="6">
        <f>bkrcast_outbkr!G98</f>
        <v/>
      </c>
      <c r="J98" s="6">
        <f>soundcast!G98</f>
        <v/>
      </c>
      <c r="K98" s="6">
        <f>C98</f>
        <v/>
      </c>
    </row>
    <row r="99" spans="1:18">
      <c r="A99" t="n">
        <v>88</v>
      </c>
      <c r="B99" s="51" t="n">
        <v>0</v>
      </c>
      <c r="C99" s="6">
        <f>bkrcast_all!C99</f>
        <v/>
      </c>
      <c r="E99" s="7" t="n">
        <v>88</v>
      </c>
      <c r="F99" s="53" t="n">
        <v>0</v>
      </c>
      <c r="G99" s="6">
        <f>bkrcast_all!G99</f>
        <v/>
      </c>
      <c r="H99" s="6">
        <f>bkrcast_inbkr!G99</f>
        <v/>
      </c>
      <c r="I99" s="6">
        <f>bkrcast_outbkr!G99</f>
        <v/>
      </c>
      <c r="J99" s="6">
        <f>soundcast!G99</f>
        <v/>
      </c>
      <c r="K99" s="6">
        <f>C99</f>
        <v/>
      </c>
    </row>
    <row r="100" spans="1:18">
      <c r="A100" t="n">
        <v>89</v>
      </c>
      <c r="B100" s="51" t="n">
        <v>0</v>
      </c>
      <c r="C100" s="6">
        <f>bkrcast_all!C100</f>
        <v/>
      </c>
      <c r="E100" s="7" t="n">
        <v>89</v>
      </c>
      <c r="F100" s="53" t="n">
        <v>0</v>
      </c>
      <c r="G100" s="6">
        <f>bkrcast_all!G100</f>
        <v/>
      </c>
      <c r="H100" s="6">
        <f>bkrcast_inbkr!G100</f>
        <v/>
      </c>
      <c r="I100" s="6">
        <f>bkrcast_outbkr!G100</f>
        <v/>
      </c>
      <c r="J100" s="6">
        <f>soundcast!G100</f>
        <v/>
      </c>
      <c r="K100" s="6">
        <f>C100</f>
        <v/>
      </c>
    </row>
    <row customHeight="1" ht="15.75" r="101" s="43" spans="1:18">
      <c r="A101" s="1" t="n">
        <v>90</v>
      </c>
      <c r="B101" s="52" t="n">
        <v>0</v>
      </c>
      <c r="C101" s="6">
        <f>bkrcast_all!C101</f>
        <v/>
      </c>
      <c r="E101" s="8" t="n">
        <v>90</v>
      </c>
      <c r="F101" s="54" t="n">
        <v>0</v>
      </c>
      <c r="G101" s="6">
        <f>bkrcast_all!G101</f>
        <v/>
      </c>
      <c r="H101" s="6">
        <f>bkrcast_inbkr!G101</f>
        <v/>
      </c>
      <c r="I101" s="6">
        <f>bkrcast_outbkr!G101</f>
        <v/>
      </c>
      <c r="J101" s="6">
        <f>soundcast!G101</f>
        <v/>
      </c>
      <c r="K101" s="6">
        <f>C101</f>
        <v/>
      </c>
    </row>
    <row r="102" spans="1:18">
      <c r="B102" s="51" t="n">
        <v>699122.1420566869</v>
      </c>
      <c r="C102" s="6">
        <f>bkrcast_all!C102</f>
        <v/>
      </c>
      <c r="F102" s="51">
        <f>SUM(F11:F101)</f>
        <v/>
      </c>
      <c r="G102" s="6">
        <f>F102/F$102</f>
        <v/>
      </c>
      <c r="H102" s="6" t="n">
        <v>1</v>
      </c>
      <c r="I102" s="6" t="n">
        <v>1</v>
      </c>
      <c r="J102" s="6" t="n">
        <v>1</v>
      </c>
    </row>
  </sheetData>
  <pageMargins bottom="0.75" footer="0.3" header="0.3" left="0.7" right="0.7" top="0.75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L102"/>
  <sheetViews>
    <sheetView workbookViewId="0">
      <selection activeCell="Q17" sqref="Q17"/>
    </sheetView>
  </sheetViews>
  <sheetFormatPr baseColWidth="10" defaultRowHeight="15" outlineLevelCol="0"/>
  <cols>
    <col collapsed="1" customWidth="1" max="1" min="1" style="43" width="13.5703125"/>
    <col collapsed="1" customWidth="1" max="2" min="2" style="43" width="10.5703125"/>
    <col collapsed="1" customWidth="1" max="6" min="6" style="43" width="10.5703125"/>
    <col collapsed="1" customWidth="1" max="12" min="12" style="43" width="15.7109375"/>
  </cols>
  <sheetData>
    <row r="1" spans="1:12">
      <c r="A1" t="s">
        <v>0</v>
      </c>
    </row>
    <row r="2" spans="1:12">
      <c r="A2" t="s">
        <v>1</v>
      </c>
    </row>
    <row r="3" spans="1:12">
      <c r="A3" t="s">
        <v>2</v>
      </c>
    </row>
    <row r="4" spans="1:12">
      <c r="A4" t="s">
        <v>3</v>
      </c>
    </row>
    <row r="5" spans="1:12">
      <c r="A5" t="s">
        <v>4</v>
      </c>
    </row>
    <row r="7" spans="1:12">
      <c r="A7" t="s">
        <v>5</v>
      </c>
    </row>
    <row customHeight="1" ht="15.75" r="9" s="43" spans="1:12">
      <c r="A9" s="3" t="s">
        <v>6</v>
      </c>
      <c r="B9" s="1" t="n"/>
      <c r="E9" s="3" t="s">
        <v>7</v>
      </c>
      <c r="F9" s="1" t="n"/>
      <c r="J9" s="5" t="s">
        <v>16</v>
      </c>
    </row>
    <row r="10" spans="1:12">
      <c r="A10" s="2" t="s">
        <v>9</v>
      </c>
      <c r="B10" s="13" t="s">
        <v>10</v>
      </c>
      <c r="C10" s="13" t="s">
        <v>10</v>
      </c>
      <c r="E10" s="2" t="s">
        <v>9</v>
      </c>
      <c r="F10" s="13" t="s">
        <v>11</v>
      </c>
      <c r="G10" s="13" t="s">
        <v>11</v>
      </c>
      <c r="J10" s="2" t="n"/>
      <c r="K10" s="13" t="s">
        <v>10</v>
      </c>
      <c r="L10" s="13" t="s">
        <v>11</v>
      </c>
    </row>
    <row r="11" spans="1:12">
      <c r="A11" t="n">
        <v>0</v>
      </c>
      <c r="B11" s="51" t="n">
        <v>152642.2821318882</v>
      </c>
      <c r="C11" s="6" t="n">
        <v>0.2183342122205472</v>
      </c>
      <c r="E11" s="7" t="n">
        <v>0</v>
      </c>
      <c r="F11" s="53" t="n">
        <v>109489</v>
      </c>
      <c r="G11" s="6" t="n">
        <v>0.1567384252432911</v>
      </c>
      <c r="K11" s="4" t="n">
        <v>4.138864212050381</v>
      </c>
      <c r="L11" s="4" t="n">
        <v>4.959258325078091</v>
      </c>
    </row>
    <row r="12" spans="1:12">
      <c r="A12" t="n">
        <v>1</v>
      </c>
      <c r="B12" s="51" t="n">
        <v>146146.3700137102</v>
      </c>
      <c r="C12" s="6" t="n">
        <v>0.2090426854222852</v>
      </c>
      <c r="E12" s="7" t="n">
        <v>1</v>
      </c>
      <c r="F12" s="53" t="n">
        <v>119440</v>
      </c>
      <c r="G12" s="6" t="n">
        <v>0.1709837290600762</v>
      </c>
      <c r="K12" s="4" t="n"/>
      <c r="L12" s="7" t="n"/>
    </row>
    <row r="13" spans="1:12">
      <c r="A13" t="n">
        <v>2</v>
      </c>
      <c r="B13" s="51" t="n">
        <v>78427.50252064339</v>
      </c>
      <c r="C13" s="6" t="n">
        <v>0.1121799722862794</v>
      </c>
      <c r="E13" s="7" t="n">
        <v>2</v>
      </c>
      <c r="F13" s="53" t="n">
        <v>101425</v>
      </c>
      <c r="G13" s="6" t="n">
        <v>0.1451944467508224</v>
      </c>
    </row>
    <row r="14" spans="1:12">
      <c r="A14" t="n">
        <v>3</v>
      </c>
      <c r="B14" s="51" t="n">
        <v>86881.0158613698</v>
      </c>
      <c r="C14" s="6" t="n">
        <v>0.1242715837976209</v>
      </c>
      <c r="E14" s="7" t="n">
        <v>3</v>
      </c>
      <c r="F14" s="53" t="n">
        <v>75242</v>
      </c>
      <c r="G14" s="6" t="n">
        <v>0.1077123052740979</v>
      </c>
    </row>
    <row r="15" spans="1:12">
      <c r="A15" t="n">
        <v>4</v>
      </c>
      <c r="B15" s="51" t="n">
        <v>51899.8668991346</v>
      </c>
      <c r="C15" s="6" t="n">
        <v>0.0742357647927655</v>
      </c>
      <c r="E15" s="7" t="n">
        <v>4</v>
      </c>
      <c r="F15" s="53" t="n">
        <v>59669</v>
      </c>
      <c r="G15" s="6" t="n">
        <v>0.08541885573748902</v>
      </c>
    </row>
    <row r="16" spans="1:12">
      <c r="A16" t="n">
        <v>5</v>
      </c>
      <c r="B16" s="51" t="n">
        <v>27983.7526913103</v>
      </c>
      <c r="C16" s="6" t="n">
        <v>0.04002698671363393</v>
      </c>
      <c r="E16" s="7" t="n">
        <v>5</v>
      </c>
      <c r="F16" s="53" t="n">
        <v>48058</v>
      </c>
      <c r="G16" s="6" t="n">
        <v>0.06879718730047842</v>
      </c>
    </row>
    <row r="17" spans="1:12">
      <c r="A17" t="n">
        <v>6</v>
      </c>
      <c r="B17" s="51" t="n">
        <v>43675.7413606373</v>
      </c>
      <c r="C17" s="6" t="n">
        <v>0.0624722616167633</v>
      </c>
      <c r="E17" s="7" t="n">
        <v>6</v>
      </c>
      <c r="F17" s="53" t="n">
        <v>36625</v>
      </c>
      <c r="G17" s="6" t="n">
        <v>0.05243033386491369</v>
      </c>
    </row>
    <row r="18" spans="1:12">
      <c r="A18" t="n">
        <v>7</v>
      </c>
      <c r="B18" s="51" t="n">
        <v>16235.238001708</v>
      </c>
      <c r="C18" s="6" t="n">
        <v>0.02322231985665188</v>
      </c>
      <c r="E18" s="7" t="n">
        <v>7</v>
      </c>
      <c r="F18" s="53" t="n">
        <v>27188</v>
      </c>
      <c r="G18" s="6" t="n">
        <v>0.03892084415342726</v>
      </c>
    </row>
    <row r="19" spans="1:12">
      <c r="A19" t="n">
        <v>8</v>
      </c>
      <c r="B19" s="51" t="n">
        <v>23402.2025406013</v>
      </c>
      <c r="C19" s="6" t="n">
        <v>0.03347369670163269</v>
      </c>
      <c r="E19" s="7" t="n">
        <v>8</v>
      </c>
      <c r="F19" s="53" t="n">
        <v>20284</v>
      </c>
      <c r="G19" s="6" t="n">
        <v>0.02903745780521254</v>
      </c>
    </row>
    <row r="20" spans="1:12">
      <c r="A20" t="n">
        <v>9</v>
      </c>
      <c r="B20" s="51" t="n">
        <v>12172.9083220832</v>
      </c>
      <c r="C20" s="6" t="n">
        <v>0.01741170475057874</v>
      </c>
      <c r="E20" s="7" t="n">
        <v>9</v>
      </c>
      <c r="F20" s="53" t="n">
        <v>14608</v>
      </c>
      <c r="G20" s="6" t="n">
        <v>0.02091200865798387</v>
      </c>
    </row>
    <row r="21" spans="1:12">
      <c r="A21" t="n">
        <v>10</v>
      </c>
      <c r="B21" s="51" t="n">
        <v>10733.8565016207</v>
      </c>
      <c r="C21" s="6" t="n">
        <v>0.01535333506966851</v>
      </c>
      <c r="E21" s="7" t="n">
        <v>10</v>
      </c>
      <c r="F21" s="53" t="n">
        <v>11708</v>
      </c>
      <c r="G21" s="6" t="n">
        <v>0.01676052829734907</v>
      </c>
    </row>
    <row r="22" spans="1:12">
      <c r="A22" t="n">
        <v>11</v>
      </c>
      <c r="B22" s="51" t="n">
        <v>9316.351632199599</v>
      </c>
      <c r="C22" s="6" t="n">
        <v>0.01332578539823189</v>
      </c>
      <c r="E22" s="7" t="n">
        <v>11</v>
      </c>
      <c r="F22" s="53" t="n">
        <v>10147</v>
      </c>
      <c r="G22" s="6" t="n">
        <v>0.01452588662736599</v>
      </c>
    </row>
    <row r="23" spans="1:12">
      <c r="A23" t="n">
        <v>12</v>
      </c>
      <c r="B23" s="51" t="n">
        <v>3390.1781913226</v>
      </c>
      <c r="C23" s="6" t="n">
        <v>0.004849192991298099</v>
      </c>
      <c r="E23" s="7" t="n">
        <v>12</v>
      </c>
      <c r="F23" s="53" t="n">
        <v>8986</v>
      </c>
      <c r="G23" s="6" t="n">
        <v>0.01286386293816012</v>
      </c>
    </row>
    <row r="24" spans="1:12">
      <c r="A24" t="n">
        <v>13</v>
      </c>
      <c r="B24" s="51" t="n">
        <v>4169.2549910703</v>
      </c>
      <c r="C24" s="6" t="n">
        <v>0.005963557353233198</v>
      </c>
      <c r="E24" s="7" t="n">
        <v>13</v>
      </c>
      <c r="F24" s="53" t="n">
        <v>7777</v>
      </c>
      <c r="G24" s="6" t="n">
        <v>0.01113312509126099</v>
      </c>
    </row>
    <row r="25" spans="1:12">
      <c r="A25" t="n">
        <v>14</v>
      </c>
      <c r="B25" s="51" t="n">
        <v>819.7723071688</v>
      </c>
      <c r="C25" s="6" t="n">
        <v>0.001172573800562492</v>
      </c>
      <c r="E25" s="7" t="n">
        <v>14</v>
      </c>
      <c r="F25" s="53" t="n">
        <v>7240</v>
      </c>
      <c r="G25" s="6" t="n">
        <v>0.01036438545206758</v>
      </c>
    </row>
    <row r="26" spans="1:12">
      <c r="A26" t="n">
        <v>15</v>
      </c>
      <c r="B26" s="51" t="n">
        <v>4193.165592133</v>
      </c>
      <c r="C26" s="6" t="n">
        <v>0.005997758245501264</v>
      </c>
      <c r="E26" s="7" t="n">
        <v>15</v>
      </c>
      <c r="F26" s="53" t="n">
        <v>6114</v>
      </c>
      <c r="G26" s="6" t="n">
        <v>0.008752465836179722</v>
      </c>
    </row>
    <row r="27" spans="1:12">
      <c r="A27" t="n">
        <v>16</v>
      </c>
      <c r="B27" s="51" t="n">
        <v>1986.737699898</v>
      </c>
      <c r="C27" s="6" t="n">
        <v>0.002841760517058419</v>
      </c>
      <c r="E27" s="7" t="n">
        <v>16</v>
      </c>
      <c r="F27" s="53" t="n">
        <v>5106</v>
      </c>
      <c r="G27" s="6" t="n">
        <v>0.007309468524621142</v>
      </c>
    </row>
    <row r="28" spans="1:12">
      <c r="A28" t="n">
        <v>17</v>
      </c>
      <c r="B28" s="51" t="n">
        <v>6548.621351460701</v>
      </c>
      <c r="C28" s="6" t="n">
        <v>0.009366920252584017</v>
      </c>
      <c r="E28" s="7" t="n">
        <v>17</v>
      </c>
      <c r="F28" s="53" t="n">
        <v>4380</v>
      </c>
      <c r="G28" s="6" t="n">
        <v>0.006270166889510497</v>
      </c>
    </row>
    <row r="29" spans="1:12">
      <c r="A29" t="n">
        <v>18</v>
      </c>
      <c r="B29" s="51" t="n">
        <v>2183.8650011188</v>
      </c>
      <c r="C29" s="6" t="n">
        <v>0.003123724553615591</v>
      </c>
      <c r="E29" s="7" t="n">
        <v>18</v>
      </c>
      <c r="F29" s="53" t="n">
        <v>3611</v>
      </c>
      <c r="G29" s="6" t="n">
        <v>0.005169308821466303</v>
      </c>
    </row>
    <row r="30" spans="1:12">
      <c r="A30" t="n">
        <v>19</v>
      </c>
      <c r="B30" s="51" t="n">
        <v>8370.2466042984</v>
      </c>
      <c r="C30" s="6" t="n">
        <v>0.01197250966715873</v>
      </c>
      <c r="E30" s="7" t="n">
        <v>19</v>
      </c>
      <c r="F30" s="53" t="n">
        <v>3097</v>
      </c>
      <c r="G30" s="6" t="n">
        <v>0.004433494716167582</v>
      </c>
    </row>
    <row r="31" spans="1:12">
      <c r="A31" t="n">
        <v>20</v>
      </c>
      <c r="B31" s="51" t="n">
        <v>543.3468191730001</v>
      </c>
      <c r="C31" s="6" t="n">
        <v>0.000777184395239686</v>
      </c>
      <c r="E31" s="7" t="n">
        <v>20</v>
      </c>
      <c r="F31" s="53" t="n">
        <v>2645</v>
      </c>
      <c r="G31" s="6" t="n">
        <v>0.00378643639788933</v>
      </c>
    </row>
    <row r="32" spans="1:12">
      <c r="A32" t="n">
        <v>21</v>
      </c>
      <c r="B32" s="51" t="n">
        <v>351.3506239057</v>
      </c>
      <c r="C32" s="6" t="n">
        <v>0.0005025597142040045</v>
      </c>
      <c r="E32" s="7" t="n">
        <v>21</v>
      </c>
      <c r="F32" s="53" t="n">
        <v>2318</v>
      </c>
      <c r="G32" s="6" t="n">
        <v>0.003318321198603957</v>
      </c>
    </row>
    <row r="33" spans="1:12">
      <c r="A33" t="n">
        <v>22</v>
      </c>
      <c r="B33" s="51" t="n">
        <v>413.6218219552</v>
      </c>
      <c r="C33" s="6" t="n">
        <v>0.0005916302704108352</v>
      </c>
      <c r="E33" s="7" t="n">
        <v>22</v>
      </c>
      <c r="F33" s="53" t="n">
        <v>1927</v>
      </c>
      <c r="G33" s="6" t="n">
        <v>0.00275858712239423</v>
      </c>
    </row>
    <row r="34" spans="1:12">
      <c r="A34" t="n">
        <v>23</v>
      </c>
      <c r="B34" s="51" t="n">
        <v>1566.3955479703</v>
      </c>
      <c r="C34" s="6" t="n">
        <v>0.002240517720354638</v>
      </c>
      <c r="E34" s="7" t="n">
        <v>23</v>
      </c>
      <c r="F34" s="53" t="n">
        <v>1666</v>
      </c>
      <c r="G34" s="6" t="n">
        <v>0.002384953889937098</v>
      </c>
    </row>
    <row r="35" spans="1:12">
      <c r="A35" t="n">
        <v>24</v>
      </c>
      <c r="B35" s="51" t="n">
        <v>0</v>
      </c>
      <c r="C35" s="6" t="n">
        <v>0</v>
      </c>
      <c r="E35" s="7" t="n">
        <v>24</v>
      </c>
      <c r="F35" s="53" t="n">
        <v>1420</v>
      </c>
      <c r="G35" s="6" t="n">
        <v>0.002032793831759111</v>
      </c>
    </row>
    <row r="36" spans="1:12">
      <c r="A36" t="n">
        <v>25</v>
      </c>
      <c r="B36" s="51" t="n">
        <v>185.1255473239</v>
      </c>
      <c r="C36" s="6" t="n">
        <v>0.0002647971451444739</v>
      </c>
      <c r="E36" s="7" t="n">
        <v>25</v>
      </c>
      <c r="F36" s="53" t="n">
        <v>1107</v>
      </c>
      <c r="G36" s="6" t="n">
        <v>0.001584720261800941</v>
      </c>
    </row>
    <row r="37" spans="1:12">
      <c r="A37" t="n">
        <v>26</v>
      </c>
      <c r="B37" s="51" t="n">
        <v>965.0827584359999</v>
      </c>
      <c r="C37" s="6" t="n">
        <v>0.001380420816878874</v>
      </c>
      <c r="E37" s="7" t="n">
        <v>26</v>
      </c>
      <c r="F37" s="53" t="n">
        <v>966</v>
      </c>
      <c r="G37" s="6" t="n">
        <v>0.001382872423576973</v>
      </c>
    </row>
    <row r="38" spans="1:12">
      <c r="A38" t="n">
        <v>27</v>
      </c>
      <c r="B38" s="51" t="n">
        <v>841.954010442</v>
      </c>
      <c r="C38" s="6" t="n">
        <v>0.001204301737554941</v>
      </c>
      <c r="E38" s="7" t="n">
        <v>27</v>
      </c>
      <c r="F38" s="53" t="n">
        <v>801</v>
      </c>
      <c r="G38" s="6" t="n">
        <v>0.001146667506506372</v>
      </c>
    </row>
    <row r="39" spans="1:12">
      <c r="A39" t="n">
        <v>28</v>
      </c>
      <c r="B39" s="51" t="n">
        <v>0</v>
      </c>
      <c r="C39" s="6" t="n">
        <v>0</v>
      </c>
      <c r="E39" s="7" t="n">
        <v>28</v>
      </c>
      <c r="F39" s="53" t="n">
        <v>943</v>
      </c>
      <c r="G39" s="6" t="n">
        <v>0.001349946889682283</v>
      </c>
    </row>
    <row r="40" spans="1:12">
      <c r="A40" t="n">
        <v>29</v>
      </c>
      <c r="B40" s="51" t="n">
        <v>347.945167462</v>
      </c>
      <c r="C40" s="6" t="n">
        <v>0.0004976886677318075</v>
      </c>
      <c r="E40" s="7" t="n">
        <v>29</v>
      </c>
      <c r="F40" s="53" t="n">
        <v>547</v>
      </c>
      <c r="G40" s="6" t="n">
        <v>0.0007830550887128406</v>
      </c>
    </row>
    <row r="41" spans="1:12">
      <c r="A41" t="n">
        <v>30</v>
      </c>
      <c r="B41" s="51" t="n">
        <v>0</v>
      </c>
      <c r="C41" s="6" t="n">
        <v>0</v>
      </c>
      <c r="E41" s="7" t="n">
        <v>30</v>
      </c>
      <c r="F41" s="53" t="n">
        <v>712</v>
      </c>
      <c r="G41" s="6" t="n">
        <v>0.001019260005783442</v>
      </c>
    </row>
    <row r="42" spans="1:12">
      <c r="A42" t="n">
        <v>31</v>
      </c>
      <c r="B42" s="51" t="n">
        <v>464.442048857</v>
      </c>
      <c r="C42" s="6" t="n">
        <v>0.0006643217556959333</v>
      </c>
      <c r="E42" s="7" t="n">
        <v>31</v>
      </c>
      <c r="F42" s="53" t="n">
        <v>418</v>
      </c>
      <c r="G42" s="6" t="n">
        <v>0.000598385789912189</v>
      </c>
    </row>
    <row r="43" spans="1:12">
      <c r="A43" t="n">
        <v>32</v>
      </c>
      <c r="B43" s="51" t="n">
        <v>0</v>
      </c>
      <c r="C43" s="6" t="n">
        <v>0</v>
      </c>
      <c r="E43" s="7" t="n">
        <v>32</v>
      </c>
      <c r="F43" s="53" t="n">
        <v>376</v>
      </c>
      <c r="G43" s="6" t="n">
        <v>0.0005382609019305815</v>
      </c>
    </row>
    <row r="44" spans="1:12">
      <c r="A44" t="n">
        <v>33</v>
      </c>
      <c r="B44" s="51" t="n">
        <v>0</v>
      </c>
      <c r="C44" s="6" t="n">
        <v>0</v>
      </c>
      <c r="E44" s="7" t="n">
        <v>33</v>
      </c>
      <c r="F44" s="53" t="n">
        <v>290</v>
      </c>
      <c r="G44" s="6" t="n">
        <v>0.0004151480360634804</v>
      </c>
    </row>
    <row r="45" spans="1:12">
      <c r="A45" t="n">
        <v>34</v>
      </c>
      <c r="B45" s="51" t="n">
        <v>0</v>
      </c>
      <c r="C45" s="6" t="n">
        <v>0</v>
      </c>
      <c r="E45" s="7" t="n">
        <v>34</v>
      </c>
      <c r="F45" s="53" t="n">
        <v>309</v>
      </c>
      <c r="G45" s="6" t="n">
        <v>0.0004423473901503981</v>
      </c>
    </row>
    <row r="46" spans="1:12">
      <c r="A46" t="n">
        <v>35</v>
      </c>
      <c r="B46" s="51" t="n">
        <v>0</v>
      </c>
      <c r="C46" s="6" t="n">
        <v>0</v>
      </c>
      <c r="E46" s="7" t="n">
        <v>35</v>
      </c>
      <c r="F46" s="53" t="n">
        <v>352</v>
      </c>
      <c r="G46" s="6" t="n">
        <v>0.0005039038230839486</v>
      </c>
    </row>
    <row r="47" spans="1:12">
      <c r="A47" t="n">
        <v>36</v>
      </c>
      <c r="B47" s="51" t="n">
        <v>889.701534148</v>
      </c>
      <c r="C47" s="6" t="n">
        <v>0.001272598135042132</v>
      </c>
      <c r="E47" s="7" t="n">
        <v>36</v>
      </c>
      <c r="F47" s="53" t="n">
        <v>258</v>
      </c>
      <c r="G47" s="6" t="n">
        <v>0.0003693385976013033</v>
      </c>
    </row>
    <row r="48" spans="1:12">
      <c r="A48" t="n">
        <v>37</v>
      </c>
      <c r="B48" s="51" t="n">
        <v>0</v>
      </c>
      <c r="C48" s="6" t="n">
        <v>0</v>
      </c>
      <c r="E48" s="7" t="n">
        <v>37</v>
      </c>
      <c r="F48" s="53" t="n">
        <v>161</v>
      </c>
      <c r="G48" s="6" t="n">
        <v>0.0002304787372628288</v>
      </c>
    </row>
    <row r="49" spans="1:12">
      <c r="A49" t="n">
        <v>38</v>
      </c>
      <c r="B49" s="51" t="n">
        <v>0</v>
      </c>
      <c r="C49" s="6" t="n">
        <v>0</v>
      </c>
      <c r="E49" s="7" t="n">
        <v>38</v>
      </c>
      <c r="F49" s="53" t="n">
        <v>176</v>
      </c>
      <c r="G49" s="6" t="n">
        <v>0.0002519519115419743</v>
      </c>
    </row>
    <row r="50" spans="1:12">
      <c r="A50" t="n">
        <v>39</v>
      </c>
      <c r="B50" s="51" t="n">
        <v>0</v>
      </c>
      <c r="C50" s="6" t="n">
        <v>0</v>
      </c>
      <c r="E50" s="7" t="n">
        <v>39</v>
      </c>
      <c r="F50" s="53" t="n">
        <v>167</v>
      </c>
      <c r="G50" s="6" t="n">
        <v>0.000239068006974487</v>
      </c>
    </row>
    <row r="51" spans="1:12">
      <c r="A51" t="n">
        <v>40</v>
      </c>
      <c r="B51" s="51" t="n">
        <v>183.053312801</v>
      </c>
      <c r="C51" s="6" t="n">
        <v>0.0002618330929449485</v>
      </c>
      <c r="E51" s="7" t="n">
        <v>40</v>
      </c>
      <c r="F51" s="53" t="n">
        <v>100</v>
      </c>
      <c r="G51" s="6" t="n">
        <v>0.0001431544951943036</v>
      </c>
    </row>
    <row r="52" spans="1:12">
      <c r="A52" t="n">
        <v>41</v>
      </c>
      <c r="B52" s="51" t="n">
        <v>0</v>
      </c>
      <c r="C52" s="6" t="n">
        <v>0</v>
      </c>
      <c r="E52" s="7" t="n">
        <v>41</v>
      </c>
      <c r="F52" s="53" t="n">
        <v>147</v>
      </c>
      <c r="G52" s="6" t="n">
        <v>0.0002104371079356263</v>
      </c>
    </row>
    <row r="53" spans="1:12">
      <c r="A53" t="n">
        <v>42</v>
      </c>
      <c r="B53" s="51" t="n">
        <v>0</v>
      </c>
      <c r="C53" s="6" t="n">
        <v>0</v>
      </c>
      <c r="E53" s="7" t="n">
        <v>42</v>
      </c>
      <c r="F53" s="53" t="n">
        <v>105</v>
      </c>
      <c r="G53" s="6" t="n">
        <v>0.0001503122199540188</v>
      </c>
    </row>
    <row r="54" spans="1:12">
      <c r="A54" t="n">
        <v>43</v>
      </c>
      <c r="B54" s="51" t="n">
        <v>353.042135169</v>
      </c>
      <c r="C54" s="6" t="n">
        <v>0.0005049791930926632</v>
      </c>
      <c r="E54" s="7" t="n">
        <v>43</v>
      </c>
      <c r="F54" s="53" t="n">
        <v>69</v>
      </c>
      <c r="G54" s="6" t="n">
        <v>9.877660168406947e-05</v>
      </c>
    </row>
    <row r="55" spans="1:12">
      <c r="A55" t="n">
        <v>44</v>
      </c>
      <c r="B55" s="51" t="n">
        <v>0</v>
      </c>
      <c r="C55" s="6" t="n">
        <v>0</v>
      </c>
      <c r="E55" s="7" t="n">
        <v>44</v>
      </c>
      <c r="F55" s="53" t="n">
        <v>39</v>
      </c>
      <c r="G55" s="6" t="n">
        <v>5.58302531257784e-05</v>
      </c>
    </row>
    <row r="56" spans="1:12">
      <c r="A56" t="n">
        <v>45</v>
      </c>
      <c r="B56" s="51" t="n">
        <v>250.40304101</v>
      </c>
      <c r="C56" s="6" t="n">
        <v>0.0003581678020858573</v>
      </c>
      <c r="E56" s="7" t="n">
        <v>45</v>
      </c>
      <c r="F56" s="53" t="n">
        <v>35</v>
      </c>
      <c r="G56" s="6" t="n">
        <v>5.010407331800626e-05</v>
      </c>
    </row>
    <row r="57" spans="1:12">
      <c r="A57" t="n">
        <v>46</v>
      </c>
      <c r="B57" s="51" t="n">
        <v>0</v>
      </c>
      <c r="C57" s="6" t="n">
        <v>0</v>
      </c>
      <c r="E57" s="7" t="n">
        <v>46</v>
      </c>
      <c r="F57" s="53" t="n">
        <v>31</v>
      </c>
      <c r="G57" s="6" t="n">
        <v>4.437789351023412e-05</v>
      </c>
    </row>
    <row r="58" spans="1:12">
      <c r="A58" t="n">
        <v>47</v>
      </c>
      <c r="B58" s="51" t="n">
        <v>0</v>
      </c>
      <c r="C58" s="6" t="n">
        <v>0</v>
      </c>
      <c r="E58" s="7" t="n">
        <v>47</v>
      </c>
      <c r="F58" s="53" t="n">
        <v>47</v>
      </c>
      <c r="G58" s="6" t="n">
        <v>6.728261274132268e-05</v>
      </c>
    </row>
    <row r="59" spans="1:12">
      <c r="A59" t="n">
        <v>48</v>
      </c>
      <c r="B59" s="51" t="n">
        <v>0</v>
      </c>
      <c r="C59" s="6" t="n">
        <v>0</v>
      </c>
      <c r="E59" s="7" t="n">
        <v>48</v>
      </c>
      <c r="F59" s="53" t="n">
        <v>30</v>
      </c>
      <c r="G59" s="6" t="n">
        <v>4.294634855829108e-05</v>
      </c>
    </row>
    <row r="60" spans="1:12">
      <c r="A60" t="n">
        <v>49</v>
      </c>
      <c r="B60" s="51" t="n">
        <v>0</v>
      </c>
      <c r="C60" s="6" t="n">
        <v>0</v>
      </c>
      <c r="E60" s="7" t="n">
        <v>49</v>
      </c>
      <c r="F60" s="53" t="n">
        <v>20</v>
      </c>
      <c r="G60" s="6" t="n">
        <v>2.863089903886072e-05</v>
      </c>
    </row>
    <row r="61" spans="1:12">
      <c r="A61" t="n">
        <v>50</v>
      </c>
      <c r="B61" s="51" t="n">
        <v>444.572467296</v>
      </c>
      <c r="C61" s="6" t="n">
        <v>0.0006359009971964995</v>
      </c>
      <c r="E61" s="7" t="n">
        <v>50</v>
      </c>
      <c r="F61" s="53" t="n">
        <v>28</v>
      </c>
      <c r="G61" s="6" t="n">
        <v>4.008325865440501e-05</v>
      </c>
    </row>
    <row r="62" spans="1:12">
      <c r="A62" t="n">
        <v>51</v>
      </c>
      <c r="B62" s="51" t="n">
        <v>0</v>
      </c>
      <c r="C62" s="6" t="n">
        <v>0</v>
      </c>
      <c r="E62" s="7" t="n">
        <v>51</v>
      </c>
      <c r="F62" s="53" t="n">
        <v>13</v>
      </c>
      <c r="G62" s="6" t="n">
        <v>1.861008437525947e-05</v>
      </c>
    </row>
    <row r="63" spans="1:12">
      <c r="A63" t="n">
        <v>52</v>
      </c>
      <c r="B63" s="51" t="n">
        <v>0</v>
      </c>
      <c r="C63" s="6" t="n">
        <v>0</v>
      </c>
      <c r="E63" s="7" t="n">
        <v>52</v>
      </c>
      <c r="F63" s="53" t="n">
        <v>21</v>
      </c>
      <c r="G63" s="6" t="n">
        <v>3.006244399080376e-05</v>
      </c>
    </row>
    <row r="64" spans="1:12">
      <c r="A64" t="n">
        <v>53</v>
      </c>
      <c r="B64" s="51" t="n">
        <v>0</v>
      </c>
      <c r="C64" s="6" t="n">
        <v>0</v>
      </c>
      <c r="E64" s="7" t="n">
        <v>53</v>
      </c>
      <c r="F64" s="53" t="n">
        <v>17</v>
      </c>
      <c r="G64" s="6" t="n">
        <v>2.433626418303161e-05</v>
      </c>
    </row>
    <row r="65" spans="1:12">
      <c r="A65" t="n">
        <v>54</v>
      </c>
      <c r="B65" s="51" t="n">
        <v>0</v>
      </c>
      <c r="C65" s="6" t="n">
        <v>0</v>
      </c>
      <c r="E65" s="7" t="n">
        <v>54</v>
      </c>
      <c r="F65" s="53" t="n">
        <v>8</v>
      </c>
      <c r="G65" s="6" t="n">
        <v>1.145235961554429e-05</v>
      </c>
    </row>
    <row r="66" spans="1:12">
      <c r="A66" t="n">
        <v>55</v>
      </c>
      <c r="B66" s="51" t="n">
        <v>0</v>
      </c>
      <c r="C66" s="6" t="n">
        <v>0</v>
      </c>
      <c r="E66" s="7" t="n">
        <v>55</v>
      </c>
      <c r="F66" s="53" t="n">
        <v>20</v>
      </c>
      <c r="G66" s="6" t="n">
        <v>2.863089903886072e-05</v>
      </c>
    </row>
    <row r="67" spans="1:12">
      <c r="A67" t="n">
        <v>56</v>
      </c>
      <c r="B67" s="51" t="n">
        <v>0</v>
      </c>
      <c r="C67" s="6" t="n">
        <v>0</v>
      </c>
      <c r="E67" s="7" t="n">
        <v>56</v>
      </c>
      <c r="F67" s="53" t="n">
        <v>9</v>
      </c>
      <c r="G67" s="6" t="n">
        <v>1.288390456748732e-05</v>
      </c>
    </row>
    <row r="68" spans="1:12">
      <c r="A68" t="n">
        <v>57</v>
      </c>
      <c r="B68" s="51" t="n">
        <v>0</v>
      </c>
      <c r="C68" s="6" t="n">
        <v>0</v>
      </c>
      <c r="E68" s="7" t="n">
        <v>57</v>
      </c>
      <c r="F68" s="53" t="n">
        <v>7</v>
      </c>
      <c r="G68" s="6" t="n">
        <v>1.002081466360125e-05</v>
      </c>
    </row>
    <row r="69" spans="1:12">
      <c r="A69" t="n">
        <v>58</v>
      </c>
      <c r="B69" s="51" t="n">
        <v>0</v>
      </c>
      <c r="C69" s="6" t="n">
        <v>0</v>
      </c>
      <c r="E69" s="7" t="n">
        <v>58</v>
      </c>
      <c r="F69" s="53" t="n">
        <v>9</v>
      </c>
      <c r="G69" s="6" t="n">
        <v>1.288390456748732e-05</v>
      </c>
    </row>
    <row r="70" spans="1:12">
      <c r="A70" t="n">
        <v>59</v>
      </c>
      <c r="B70" s="51" t="n">
        <v>0</v>
      </c>
      <c r="C70" s="6" t="n">
        <v>0</v>
      </c>
      <c r="E70" s="7" t="n">
        <v>59</v>
      </c>
      <c r="F70" s="53" t="n">
        <v>6</v>
      </c>
      <c r="G70" s="6" t="n">
        <v>8.589269711658217e-06</v>
      </c>
    </row>
    <row r="71" spans="1:12">
      <c r="A71" t="n">
        <v>60</v>
      </c>
      <c r="B71" s="51" t="n">
        <v>0</v>
      </c>
      <c r="C71" s="6" t="n">
        <v>0</v>
      </c>
      <c r="E71" s="7" t="n">
        <v>60</v>
      </c>
      <c r="F71" s="53" t="n">
        <v>12</v>
      </c>
      <c r="G71" s="6" t="n">
        <v>1.717853942331643e-05</v>
      </c>
    </row>
    <row r="72" spans="1:12">
      <c r="A72" t="n">
        <v>61</v>
      </c>
      <c r="B72" s="51" t="n">
        <v>0</v>
      </c>
      <c r="C72" s="6" t="n">
        <v>0</v>
      </c>
      <c r="E72" s="7" t="n">
        <v>61</v>
      </c>
      <c r="F72" s="53" t="n">
        <v>2</v>
      </c>
      <c r="G72" s="6" t="n">
        <v>2.863089903886072e-06</v>
      </c>
    </row>
    <row r="73" spans="1:12">
      <c r="A73" t="n">
        <v>62</v>
      </c>
      <c r="B73" s="51" t="n">
        <v>0</v>
      </c>
      <c r="C73" s="6" t="n">
        <v>0</v>
      </c>
      <c r="E73" s="7" t="n">
        <v>62</v>
      </c>
      <c r="F73" s="53" t="n">
        <v>7</v>
      </c>
      <c r="G73" s="6" t="n">
        <v>1.002081466360125e-05</v>
      </c>
    </row>
    <row r="74" spans="1:12">
      <c r="A74" t="n">
        <v>63</v>
      </c>
      <c r="B74" s="51" t="n">
        <v>0</v>
      </c>
      <c r="C74" s="6" t="n">
        <v>0</v>
      </c>
      <c r="E74" s="7" t="n">
        <v>63</v>
      </c>
      <c r="F74" s="53" t="n">
        <v>1</v>
      </c>
      <c r="G74" s="6" t="n">
        <v>1.431544951943036e-06</v>
      </c>
    </row>
    <row r="75" spans="1:12">
      <c r="A75" t="n">
        <v>64</v>
      </c>
      <c r="B75" s="51" t="n">
        <v>0</v>
      </c>
      <c r="C75" s="6" t="n">
        <v>0</v>
      </c>
      <c r="E75" s="7" t="n">
        <v>64</v>
      </c>
      <c r="F75" s="53" t="n">
        <v>1</v>
      </c>
      <c r="G75" s="6" t="n">
        <v>1.431544951943036e-06</v>
      </c>
    </row>
    <row r="76" spans="1:12">
      <c r="A76" t="n">
        <v>65</v>
      </c>
      <c r="B76" s="51" t="n">
        <v>0</v>
      </c>
      <c r="C76" s="6" t="n">
        <v>0</v>
      </c>
      <c r="E76" s="7" t="n">
        <v>65</v>
      </c>
      <c r="F76" s="53" t="n">
        <v>1</v>
      </c>
      <c r="G76" s="6" t="n">
        <v>1.431544951943036e-06</v>
      </c>
    </row>
    <row r="77" spans="1:12">
      <c r="A77" t="n">
        <v>66</v>
      </c>
      <c r="B77" s="51" t="n">
        <v>0</v>
      </c>
      <c r="C77" s="6" t="n">
        <v>0</v>
      </c>
      <c r="E77" s="7" t="n">
        <v>66</v>
      </c>
      <c r="F77" s="53" t="n">
        <v>0</v>
      </c>
      <c r="G77" s="6" t="n">
        <v>0</v>
      </c>
    </row>
    <row r="78" spans="1:12">
      <c r="A78" t="n">
        <v>67</v>
      </c>
      <c r="B78" s="51" t="n">
        <v>0</v>
      </c>
      <c r="C78" s="6" t="n">
        <v>0</v>
      </c>
      <c r="E78" s="7" t="n">
        <v>67</v>
      </c>
      <c r="F78" s="53" t="n">
        <v>1</v>
      </c>
      <c r="G78" s="6" t="n">
        <v>1.431544951943036e-06</v>
      </c>
    </row>
    <row r="79" spans="1:12">
      <c r="A79" t="n">
        <v>68</v>
      </c>
      <c r="B79" s="51" t="n">
        <v>143.175005361</v>
      </c>
      <c r="C79" s="6" t="n">
        <v>0.0002047925487523623</v>
      </c>
      <c r="E79" s="7" t="n">
        <v>68</v>
      </c>
      <c r="F79" s="53" t="n">
        <v>1</v>
      </c>
      <c r="G79" s="6" t="n">
        <v>1.431544951943036e-06</v>
      </c>
    </row>
    <row r="80" spans="1:12">
      <c r="A80" t="n">
        <v>69</v>
      </c>
      <c r="B80" s="51" t="n">
        <v>0</v>
      </c>
      <c r="C80" s="6" t="n">
        <v>0</v>
      </c>
      <c r="E80" s="7" t="n">
        <v>69</v>
      </c>
      <c r="F80" s="53" t="n">
        <v>0</v>
      </c>
      <c r="G80" s="6" t="n">
        <v>0</v>
      </c>
    </row>
    <row r="81" spans="1:12">
      <c r="A81" t="n">
        <v>70</v>
      </c>
      <c r="B81" s="51" t="n">
        <v>0</v>
      </c>
      <c r="C81" s="6" t="n">
        <v>0</v>
      </c>
      <c r="E81" s="7" t="n">
        <v>70</v>
      </c>
      <c r="F81" s="53" t="n">
        <v>1</v>
      </c>
      <c r="G81" s="6" t="n">
        <v>1.431544951943036e-06</v>
      </c>
    </row>
    <row r="82" spans="1:12">
      <c r="A82" t="n">
        <v>71</v>
      </c>
      <c r="B82" s="51" t="n">
        <v>0</v>
      </c>
      <c r="C82" s="6" t="n">
        <v>0</v>
      </c>
      <c r="E82" s="7" t="n">
        <v>71</v>
      </c>
      <c r="F82" s="53" t="n">
        <v>0</v>
      </c>
      <c r="G82" s="6" t="n">
        <v>0</v>
      </c>
    </row>
    <row r="83" spans="1:12">
      <c r="A83" t="n">
        <v>72</v>
      </c>
      <c r="B83" s="51" t="n">
        <v>0</v>
      </c>
      <c r="C83" s="6" t="n">
        <v>0</v>
      </c>
      <c r="E83" s="7" t="n">
        <v>72</v>
      </c>
      <c r="F83" s="53" t="n">
        <v>2</v>
      </c>
      <c r="G83" s="6" t="n">
        <v>2.863089903886072e-06</v>
      </c>
    </row>
    <row r="84" spans="1:12">
      <c r="A84" t="n">
        <v>73</v>
      </c>
      <c r="B84" s="51" t="n">
        <v>0</v>
      </c>
      <c r="C84" s="6" t="n">
        <v>0</v>
      </c>
      <c r="E84" s="7" t="n">
        <v>73</v>
      </c>
      <c r="F84" s="53" t="n">
        <v>1</v>
      </c>
      <c r="G84" s="6" t="n">
        <v>1.431544951943036e-06</v>
      </c>
    </row>
    <row r="85" spans="1:12">
      <c r="A85" t="n">
        <v>74</v>
      </c>
      <c r="B85" s="51" t="n">
        <v>0</v>
      </c>
      <c r="C85" s="6" t="n">
        <v>0</v>
      </c>
      <c r="E85" s="7" t="n">
        <v>74</v>
      </c>
      <c r="F85" s="53" t="n">
        <v>1</v>
      </c>
      <c r="G85" s="6" t="n">
        <v>1.431544951943036e-06</v>
      </c>
    </row>
    <row r="86" spans="1:12">
      <c r="A86" t="n">
        <v>75</v>
      </c>
      <c r="B86" s="51" t="n">
        <v>0</v>
      </c>
      <c r="C86" s="6" t="n">
        <v>0</v>
      </c>
      <c r="E86" s="7" t="n">
        <v>75</v>
      </c>
      <c r="F86" s="53" t="n">
        <v>0</v>
      </c>
      <c r="G86" s="6" t="n">
        <v>0</v>
      </c>
    </row>
    <row r="87" spans="1:12">
      <c r="A87" t="n">
        <v>76</v>
      </c>
      <c r="B87" s="51" t="n">
        <v>0</v>
      </c>
      <c r="C87" s="6" t="n">
        <v>0</v>
      </c>
      <c r="E87" s="7" t="n">
        <v>76</v>
      </c>
      <c r="F87" s="53" t="n">
        <v>0</v>
      </c>
      <c r="G87" s="6" t="n">
        <v>0</v>
      </c>
    </row>
    <row r="88" spans="1:12">
      <c r="A88" t="n">
        <v>77</v>
      </c>
      <c r="B88" s="51" t="n">
        <v>0</v>
      </c>
      <c r="C88" s="6" t="n">
        <v>0</v>
      </c>
      <c r="E88" s="7" t="n">
        <v>77</v>
      </c>
      <c r="F88" s="53" t="n">
        <v>1</v>
      </c>
      <c r="G88" s="6" t="n">
        <v>1.431544951943036e-06</v>
      </c>
    </row>
    <row r="89" spans="1:12">
      <c r="A89" t="n">
        <v>78</v>
      </c>
      <c r="B89" s="51" t="n">
        <v>0</v>
      </c>
      <c r="C89" s="6" t="n">
        <v>0</v>
      </c>
      <c r="E89" s="7" t="n">
        <v>78</v>
      </c>
      <c r="F89" s="53" t="n">
        <v>0</v>
      </c>
      <c r="G89" s="6" t="n">
        <v>0</v>
      </c>
    </row>
    <row r="90" spans="1:12">
      <c r="A90" t="n">
        <v>79</v>
      </c>
      <c r="B90" s="51" t="n">
        <v>0</v>
      </c>
      <c r="C90" s="6" t="n">
        <v>0</v>
      </c>
      <c r="E90" s="7" t="n">
        <v>79</v>
      </c>
      <c r="F90" s="53" t="n">
        <v>0</v>
      </c>
      <c r="G90" s="6" t="n">
        <v>0</v>
      </c>
    </row>
    <row r="91" spans="1:12">
      <c r="A91" t="n">
        <v>80</v>
      </c>
      <c r="B91" s="51" t="n">
        <v>0</v>
      </c>
      <c r="C91" s="6" t="n">
        <v>0</v>
      </c>
      <c r="E91" s="7" t="n">
        <v>80</v>
      </c>
      <c r="F91" s="53" t="n">
        <v>0</v>
      </c>
      <c r="G91" s="6" t="n">
        <v>0</v>
      </c>
    </row>
    <row r="92" spans="1:12">
      <c r="A92" t="n">
        <v>81</v>
      </c>
      <c r="B92" s="51" t="n">
        <v>0</v>
      </c>
      <c r="C92" s="6" t="n">
        <v>0</v>
      </c>
      <c r="E92" s="7" t="n">
        <v>81</v>
      </c>
      <c r="F92" s="53" t="n">
        <v>0</v>
      </c>
      <c r="G92" s="6" t="n">
        <v>0</v>
      </c>
    </row>
    <row r="93" spans="1:12">
      <c r="A93" t="n">
        <v>82</v>
      </c>
      <c r="B93" s="51" t="n">
        <v>0</v>
      </c>
      <c r="C93" s="6" t="n">
        <v>0</v>
      </c>
      <c r="E93" s="7" t="n">
        <v>82</v>
      </c>
      <c r="F93" s="53" t="n">
        <v>0</v>
      </c>
      <c r="G93" s="6" t="n">
        <v>0</v>
      </c>
    </row>
    <row r="94" spans="1:12">
      <c r="A94" t="n">
        <v>83</v>
      </c>
      <c r="B94" s="51" t="n">
        <v>0</v>
      </c>
      <c r="C94" s="6" t="n">
        <v>0</v>
      </c>
      <c r="E94" s="7" t="n">
        <v>83</v>
      </c>
      <c r="F94" s="53" t="n">
        <v>0</v>
      </c>
      <c r="G94" s="6" t="n">
        <v>0</v>
      </c>
    </row>
    <row r="95" spans="1:12">
      <c r="A95" t="n">
        <v>84</v>
      </c>
      <c r="B95" s="51" t="n">
        <v>0</v>
      </c>
      <c r="C95" s="6" t="n">
        <v>0</v>
      </c>
      <c r="E95" s="7" t="n">
        <v>84</v>
      </c>
      <c r="F95" s="53" t="n">
        <v>0</v>
      </c>
      <c r="G95" s="6" t="n">
        <v>0</v>
      </c>
    </row>
    <row r="96" spans="1:12">
      <c r="A96" t="n">
        <v>85</v>
      </c>
      <c r="B96" s="51" t="n">
        <v>0</v>
      </c>
      <c r="C96" s="6" t="n">
        <v>0</v>
      </c>
      <c r="E96" s="7" t="n">
        <v>85</v>
      </c>
      <c r="F96" s="53" t="n">
        <v>0</v>
      </c>
      <c r="G96" s="6" t="n">
        <v>0</v>
      </c>
    </row>
    <row r="97" spans="1:12">
      <c r="A97" t="n">
        <v>86</v>
      </c>
      <c r="B97" s="51" t="n">
        <v>0</v>
      </c>
      <c r="C97" s="6" t="n">
        <v>0</v>
      </c>
      <c r="E97" s="7" t="n">
        <v>86</v>
      </c>
      <c r="F97" s="53" t="n">
        <v>0</v>
      </c>
      <c r="G97" s="6" t="n">
        <v>0</v>
      </c>
    </row>
    <row r="98" spans="1:12">
      <c r="A98" t="n">
        <v>87</v>
      </c>
      <c r="B98" s="51" t="n">
        <v>0</v>
      </c>
      <c r="C98" s="6" t="n">
        <v>0</v>
      </c>
      <c r="E98" s="7" t="n">
        <v>87</v>
      </c>
      <c r="F98" s="53" t="n">
        <v>0</v>
      </c>
      <c r="G98" s="6" t="n">
        <v>0</v>
      </c>
    </row>
    <row r="99" spans="1:12">
      <c r="A99" t="n">
        <v>88</v>
      </c>
      <c r="B99" s="51" t="n">
        <v>0</v>
      </c>
      <c r="C99" s="6" t="n">
        <v>0</v>
      </c>
      <c r="E99" s="7" t="n">
        <v>88</v>
      </c>
      <c r="F99" s="53" t="n">
        <v>0</v>
      </c>
      <c r="G99" s="6" t="n">
        <v>0</v>
      </c>
    </row>
    <row r="100" spans="1:12">
      <c r="A100" t="n">
        <v>89</v>
      </c>
      <c r="B100" s="51" t="n">
        <v>0</v>
      </c>
      <c r="C100" s="6" t="n">
        <v>0</v>
      </c>
      <c r="E100" s="7" t="n">
        <v>89</v>
      </c>
      <c r="F100" s="53" t="n">
        <v>0</v>
      </c>
      <c r="G100" s="6" t="n">
        <v>0</v>
      </c>
    </row>
    <row customHeight="1" ht="15.75" r="101" s="43" spans="1:12">
      <c r="A101" s="1" t="n">
        <v>90</v>
      </c>
      <c r="B101" s="52" t="n">
        <v>0</v>
      </c>
      <c r="C101" s="6" t="n">
        <v>0</v>
      </c>
      <c r="E101" s="8" t="n">
        <v>90</v>
      </c>
      <c r="F101" s="54" t="n">
        <v>0</v>
      </c>
      <c r="G101" s="6" t="n">
        <v>0</v>
      </c>
    </row>
    <row r="102" spans="1:12">
      <c r="B102" s="51" t="n">
        <v>699122.1420566869</v>
      </c>
      <c r="C102" s="6" t="n">
        <v>1</v>
      </c>
      <c r="F102" s="51" t="n">
        <v>698546</v>
      </c>
      <c r="G102" s="6" t="n">
        <v>1</v>
      </c>
    </row>
  </sheetData>
  <pageMargins bottom="0.75" footer="0.3" header="0.3" left="0.7" right="0.7" top="0.7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T103"/>
  <sheetViews>
    <sheetView workbookViewId="0">
      <selection activeCell="G25" sqref="G25"/>
    </sheetView>
  </sheetViews>
  <sheetFormatPr baseColWidth="10" defaultRowHeight="15" outlineLevelCol="0"/>
  <cols>
    <col bestFit="1" collapsed="1" customWidth="1" max="1" min="1" style="43" width="12.7109375"/>
    <col collapsed="1" customWidth="1" max="2" min="2" style="9" width="12.42578125"/>
    <col bestFit="1" collapsed="1" customWidth="1" max="3" min="3" style="43" width="10.28515625"/>
    <col collapsed="1" customWidth="1" hidden="1" max="4" min="4" style="43" width="12.7109375"/>
    <col bestFit="1" collapsed="1" customWidth="1" max="5" min="5" style="9" width="12.140625"/>
    <col bestFit="1" customWidth="1" max="6" min="6" style="9" width="15.7109375"/>
    <col bestFit="1" customWidth="1" max="7" min="7" style="9" width="17.42578125"/>
    <col bestFit="1" customWidth="1" max="8" min="8" style="9" width="10.28515625"/>
    <col collapsed="1" customWidth="1" max="11" min="9" style="43" width="9.140625"/>
    <col collapsed="1" customWidth="1" max="12" min="12" style="43" width="13"/>
    <col bestFit="1" collapsed="1" customWidth="1" max="13" min="13" style="11" width="19.5703125"/>
    <col collapsed="1" customWidth="1" max="14" min="14" style="45" width="19.5703125"/>
    <col collapsed="1" customWidth="1" max="15" min="15" style="43" width="92.42578125"/>
    <col collapsed="1" customWidth="1" max="21" min="16" style="43" width="9.140625"/>
    <col collapsed="1" customWidth="1" max="16384" min="22" style="43" width="9.140625"/>
  </cols>
  <sheetData>
    <row r="1" spans="1:20">
      <c r="A1" s="5" t="s">
        <v>17</v>
      </c>
      <c r="D1" s="5" t="s">
        <v>18</v>
      </c>
      <c r="K1" s="10" t="s">
        <v>19</v>
      </c>
      <c r="Q1" s="10" t="n"/>
    </row>
    <row customHeight="1" ht="15.75" r="2" s="43" spans="1:20">
      <c r="A2" s="10" t="s">
        <v>20</v>
      </c>
      <c r="M2" s="11" t="s">
        <v>21</v>
      </c>
      <c r="N2" s="45" t="s">
        <v>22</v>
      </c>
      <c r="S2" s="12" t="n"/>
      <c r="T2" s="12" t="n"/>
    </row>
    <row r="3" spans="1:20">
      <c r="A3" s="13" t="s">
        <v>9</v>
      </c>
      <c r="B3" s="14" t="s">
        <v>10</v>
      </c>
      <c r="C3" s="14">
        <f>H3</f>
        <v/>
      </c>
      <c r="D3" s="13" t="s">
        <v>9</v>
      </c>
      <c r="E3" s="13" t="s">
        <v>12</v>
      </c>
      <c r="F3" s="13" t="s">
        <v>13</v>
      </c>
      <c r="G3" s="13" t="s">
        <v>14</v>
      </c>
      <c r="H3" s="13" t="s">
        <v>15</v>
      </c>
      <c r="I3" s="15" t="n"/>
      <c r="K3" t="n">
        <v>1</v>
      </c>
      <c r="L3" t="s">
        <v>23</v>
      </c>
      <c r="M3" s="11">
        <f>#REF!</f>
        <v/>
      </c>
      <c r="N3" s="46">
        <f>M3</f>
        <v/>
      </c>
      <c r="O3" t="s">
        <v>24</v>
      </c>
    </row>
    <row r="4" spans="1:20">
      <c r="A4" s="16" t="s">
        <v>25</v>
      </c>
      <c r="B4" s="17">
        <f>TLFD!B11</f>
        <v/>
      </c>
      <c r="C4" s="17">
        <f>H4</f>
        <v/>
      </c>
      <c r="D4" s="16" t="s">
        <v>25</v>
      </c>
      <c r="E4" s="17">
        <f>TLFD!F11</f>
        <v/>
      </c>
      <c r="F4" s="17" t="n">
        <v>8797</v>
      </c>
      <c r="G4" s="17" t="n">
        <v>76462.73644739889</v>
      </c>
      <c r="H4" s="17" t="n">
        <v>83182</v>
      </c>
      <c r="I4" s="22" t="n"/>
      <c r="K4" t="n">
        <v>2</v>
      </c>
      <c r="L4" t="s">
        <v>26</v>
      </c>
      <c r="M4" s="11">
        <f>#REF!</f>
        <v/>
      </c>
      <c r="N4" s="46">
        <f>M4</f>
        <v/>
      </c>
      <c r="O4" t="s">
        <v>27</v>
      </c>
    </row>
    <row r="5" spans="1:20">
      <c r="A5" s="18" t="s">
        <v>28</v>
      </c>
      <c r="B5" s="19">
        <f>TLFD!B12+TLFD!B13+(TLFD!B14/2)</f>
        <v/>
      </c>
      <c r="C5" s="19">
        <f>H5</f>
        <v/>
      </c>
      <c r="D5" s="18" t="s">
        <v>28</v>
      </c>
      <c r="E5" s="19">
        <f>TLFD!F12+TLFD!F13+(TLFD!F14/2)</f>
        <v/>
      </c>
      <c r="F5" s="19" t="n">
        <v>19603</v>
      </c>
      <c r="G5" s="19" t="n">
        <v>105352.170763391</v>
      </c>
      <c r="H5" s="19" t="n">
        <v>195276</v>
      </c>
      <c r="I5" s="22" t="n"/>
      <c r="K5" t="n">
        <v>3</v>
      </c>
      <c r="L5" t="s">
        <v>29</v>
      </c>
      <c r="M5" s="11">
        <f>#REF!</f>
        <v/>
      </c>
      <c r="N5" s="46">
        <f>M5</f>
        <v/>
      </c>
      <c r="O5" t="s">
        <v>30</v>
      </c>
    </row>
    <row r="6" spans="1:20">
      <c r="A6" s="18" t="s">
        <v>31</v>
      </c>
      <c r="B6" s="19">
        <f>(TLFD!B14/2)+SUM(TLFD!B15:B20)</f>
        <v/>
      </c>
      <c r="C6" s="19">
        <f>H6</f>
        <v/>
      </c>
      <c r="D6" s="18" t="s">
        <v>31</v>
      </c>
      <c r="E6" s="19">
        <f>(TLFD!F14/2)+SUM(TLFD!F15:F20)</f>
        <v/>
      </c>
      <c r="F6" s="19" t="n">
        <v>20755.75</v>
      </c>
      <c r="G6" s="19" t="n">
        <v>258150.1042705281</v>
      </c>
      <c r="H6" s="19" t="n">
        <v>185340</v>
      </c>
      <c r="I6" s="22" t="n"/>
      <c r="K6" t="n">
        <v>4</v>
      </c>
      <c r="L6" t="s">
        <v>32</v>
      </c>
      <c r="M6" s="11">
        <f>#REF!</f>
        <v/>
      </c>
      <c r="N6" s="46">
        <f>M6</f>
        <v/>
      </c>
      <c r="O6" t="s">
        <v>33</v>
      </c>
    </row>
    <row r="7" spans="1:20">
      <c r="A7" s="20" t="s">
        <v>34</v>
      </c>
      <c r="B7" s="21">
        <f>SUM(TLFD!B21:B101)</f>
        <v/>
      </c>
      <c r="C7" s="21">
        <f>H7</f>
        <v/>
      </c>
      <c r="D7" s="20" t="s">
        <v>34</v>
      </c>
      <c r="E7" s="21">
        <f>SUM(TLFD!F21:F101)</f>
        <v/>
      </c>
      <c r="F7" s="21" t="n">
        <v>7651</v>
      </c>
      <c r="G7" s="21" t="n">
        <v>87832.67040571809</v>
      </c>
      <c r="H7" s="21" t="n">
        <v>68628</v>
      </c>
      <c r="I7" s="22" t="n"/>
      <c r="K7" t="n">
        <v>5</v>
      </c>
      <c r="L7" t="s">
        <v>35</v>
      </c>
      <c r="M7" s="11">
        <f>#REF!</f>
        <v/>
      </c>
      <c r="N7" s="46">
        <f>M7</f>
        <v/>
      </c>
      <c r="O7" t="s">
        <v>36</v>
      </c>
    </row>
    <row customHeight="1" ht="15.75" r="8" s="43" spans="1:20">
      <c r="A8" s="23" t="s">
        <v>37</v>
      </c>
      <c r="B8" s="24">
        <f>SUM(B4:B7)</f>
        <v/>
      </c>
      <c r="C8" s="24">
        <f>H8</f>
        <v/>
      </c>
      <c r="D8" s="23" t="s">
        <v>37</v>
      </c>
      <c r="E8" s="24">
        <f>SUM(E4:E7)</f>
        <v/>
      </c>
      <c r="F8" s="24" t="n">
        <v>56806.75</v>
      </c>
      <c r="G8" s="24" t="n">
        <v>527797.681887036</v>
      </c>
      <c r="H8" s="24" t="n">
        <v>532426</v>
      </c>
      <c r="K8" t="n">
        <v>6</v>
      </c>
      <c r="L8" t="s">
        <v>38</v>
      </c>
      <c r="M8" s="11">
        <f>#REF!</f>
        <v/>
      </c>
      <c r="N8" s="46">
        <f>M8</f>
        <v/>
      </c>
      <c r="O8" t="s">
        <v>39</v>
      </c>
    </row>
    <row r="9" spans="1:20">
      <c r="C9" s="9" t="n"/>
      <c r="K9" t="n">
        <v>7</v>
      </c>
      <c r="L9" t="s">
        <v>40</v>
      </c>
      <c r="M9" s="11">
        <f>#REF!</f>
        <v/>
      </c>
      <c r="N9" s="46">
        <f>M9</f>
        <v/>
      </c>
      <c r="O9" t="s">
        <v>41</v>
      </c>
    </row>
    <row customHeight="1" ht="15.75" r="10" s="43" spans="1:20">
      <c r="A10" s="25" t="s">
        <v>42</v>
      </c>
      <c r="C10" s="9" t="n"/>
      <c r="I10" s="15" t="n"/>
      <c r="K10" t="n">
        <v>8</v>
      </c>
      <c r="L10" t="s">
        <v>43</v>
      </c>
      <c r="M10" s="11">
        <f>#REF!</f>
        <v/>
      </c>
      <c r="N10" s="46">
        <f>M10</f>
        <v/>
      </c>
      <c r="O10" t="s">
        <v>44</v>
      </c>
    </row>
    <row r="11" spans="1:20">
      <c r="A11" s="13" t="s">
        <v>9</v>
      </c>
      <c r="B11" s="14" t="s">
        <v>10</v>
      </c>
      <c r="C11" s="14">
        <f>H11</f>
        <v/>
      </c>
      <c r="D11" s="13" t="s">
        <v>9</v>
      </c>
      <c r="E11" s="13" t="s">
        <v>12</v>
      </c>
      <c r="F11" s="13" t="s">
        <v>13</v>
      </c>
      <c r="G11" s="13" t="s">
        <v>14</v>
      </c>
      <c r="H11" s="13" t="s">
        <v>15</v>
      </c>
      <c r="I11" s="28" t="n"/>
      <c r="K11" t="n">
        <v>9</v>
      </c>
      <c r="L11" t="s">
        <v>45</v>
      </c>
      <c r="M11" s="11">
        <f>#REF!</f>
        <v/>
      </c>
      <c r="N11" s="46">
        <f>M11</f>
        <v/>
      </c>
      <c r="O11" t="s">
        <v>46</v>
      </c>
    </row>
    <row r="12" spans="1:20">
      <c r="A12" s="16" t="s">
        <v>25</v>
      </c>
      <c r="B12" s="26">
        <f>B4/B$8</f>
        <v/>
      </c>
      <c r="C12" s="26">
        <f>H12</f>
        <v/>
      </c>
      <c r="D12" s="16" t="s">
        <v>25</v>
      </c>
      <c r="E12" s="26">
        <f>E4/E$8</f>
        <v/>
      </c>
      <c r="F12" s="26" t="n">
        <v>0.1548583575015293</v>
      </c>
      <c r="G12" s="26" t="n">
        <v>0.1448713002566088</v>
      </c>
      <c r="H12" s="26" t="n">
        <v>0.1562320397576377</v>
      </c>
      <c r="I12" s="28" t="n"/>
      <c r="K12" t="n">
        <v>10</v>
      </c>
      <c r="L12" t="s">
        <v>47</v>
      </c>
      <c r="M12" s="11">
        <f>#REF!</f>
        <v/>
      </c>
      <c r="N12" s="46">
        <f>M12</f>
        <v/>
      </c>
      <c r="O12" t="s">
        <v>48</v>
      </c>
    </row>
    <row r="13" spans="1:20">
      <c r="A13" s="18" t="s">
        <v>28</v>
      </c>
      <c r="B13" s="27">
        <f>B5/B$8</f>
        <v/>
      </c>
      <c r="C13" s="27">
        <f>H13</f>
        <v/>
      </c>
      <c r="D13" s="18" t="s">
        <v>28</v>
      </c>
      <c r="E13" s="27">
        <f>E5/E$8</f>
        <v/>
      </c>
      <c r="F13" s="27" t="n">
        <v>0.3450822305447856</v>
      </c>
      <c r="G13" s="27" t="n">
        <v>0.1996071115483592</v>
      </c>
      <c r="H13" s="27" t="n">
        <v>0.3667664614425291</v>
      </c>
      <c r="I13" s="28" t="n"/>
      <c r="K13" t="n">
        <v>11</v>
      </c>
      <c r="L13" t="s">
        <v>49</v>
      </c>
      <c r="M13" s="11">
        <f>#REF!</f>
        <v/>
      </c>
      <c r="N13" s="46">
        <f>M13</f>
        <v/>
      </c>
      <c r="O13" t="s">
        <v>50</v>
      </c>
    </row>
    <row r="14" spans="1:20">
      <c r="A14" s="18" t="s">
        <v>31</v>
      </c>
      <c r="B14" s="27">
        <f>B6/B$8</f>
        <v/>
      </c>
      <c r="C14" s="27">
        <f>H14</f>
        <v/>
      </c>
      <c r="D14" s="18" t="s">
        <v>31</v>
      </c>
      <c r="E14" s="27">
        <f>E6/E$8</f>
        <v/>
      </c>
      <c r="F14" s="27" t="n">
        <v>0.3653747133923345</v>
      </c>
      <c r="G14" s="27" t="n">
        <v>0.4891080675981061</v>
      </c>
      <c r="H14" s="27" t="n">
        <v>0.3481047131432349</v>
      </c>
      <c r="I14" s="28" t="n"/>
      <c r="K14" t="n">
        <v>12</v>
      </c>
      <c r="L14" t="s">
        <v>51</v>
      </c>
      <c r="M14" s="11">
        <f>#REF!</f>
        <v/>
      </c>
      <c r="N14" s="46">
        <f>M14</f>
        <v/>
      </c>
      <c r="O14" t="s">
        <v>52</v>
      </c>
    </row>
    <row r="15" spans="1:20">
      <c r="A15" s="20" t="s">
        <v>34</v>
      </c>
      <c r="B15" s="27">
        <f>B7/B$8</f>
        <v/>
      </c>
      <c r="C15" s="27">
        <f>H15</f>
        <v/>
      </c>
      <c r="D15" s="20" t="s">
        <v>34</v>
      </c>
      <c r="E15" s="27">
        <f>E7/E$8</f>
        <v/>
      </c>
      <c r="F15" s="27" t="n">
        <v>0.1346846985613505</v>
      </c>
      <c r="G15" s="27" t="n">
        <v>0.1664135205969261</v>
      </c>
      <c r="H15" s="27" t="n">
        <v>0.1288967856565983</v>
      </c>
      <c r="K15" t="n">
        <v>13</v>
      </c>
      <c r="L15" t="s">
        <v>53</v>
      </c>
      <c r="M15" s="11">
        <f>#REF!</f>
        <v/>
      </c>
      <c r="N15" s="46">
        <f>M15</f>
        <v/>
      </c>
      <c r="O15" t="s">
        <v>54</v>
      </c>
    </row>
    <row customHeight="1" ht="15.75" r="16" s="43" spans="1:20">
      <c r="A16" s="23" t="s">
        <v>37</v>
      </c>
      <c r="B16" s="29">
        <f>B8/B$8</f>
        <v/>
      </c>
      <c r="C16" s="29">
        <f>H16</f>
        <v/>
      </c>
      <c r="D16" s="23" t="s">
        <v>37</v>
      </c>
      <c r="E16" s="29">
        <f>E8/E$8</f>
        <v/>
      </c>
      <c r="F16" s="29" t="n">
        <v>1</v>
      </c>
      <c r="G16" s="29" t="n">
        <v>1</v>
      </c>
      <c r="H16" s="29" t="n">
        <v>1</v>
      </c>
      <c r="K16" t="n">
        <v>14</v>
      </c>
      <c r="L16" t="s">
        <v>55</v>
      </c>
      <c r="M16" s="11">
        <f>#REF!</f>
        <v/>
      </c>
      <c r="N16" s="46">
        <f>M16</f>
        <v/>
      </c>
      <c r="O16" t="s">
        <v>56</v>
      </c>
    </row>
    <row r="17" spans="1:20">
      <c r="K17" t="n">
        <v>15</v>
      </c>
      <c r="L17" t="s">
        <v>57</v>
      </c>
      <c r="M17" s="11">
        <f>#REF!</f>
        <v/>
      </c>
      <c r="N17" s="46">
        <f>M17</f>
        <v/>
      </c>
      <c r="O17" t="s">
        <v>58</v>
      </c>
    </row>
    <row r="18" spans="1:20">
      <c r="K18" t="n">
        <v>16</v>
      </c>
      <c r="L18" t="s">
        <v>59</v>
      </c>
      <c r="M18" s="11">
        <f>#REF!</f>
        <v/>
      </c>
      <c r="N18" s="46">
        <f>M18</f>
        <v/>
      </c>
      <c r="O18" t="s">
        <v>60</v>
      </c>
    </row>
    <row r="19" spans="1:20">
      <c r="A19" s="30" t="s">
        <v>61</v>
      </c>
      <c r="K19" t="n">
        <v>17</v>
      </c>
      <c r="L19" t="s">
        <v>62</v>
      </c>
      <c r="M19" s="11">
        <f>#REF!</f>
        <v/>
      </c>
      <c r="N19" s="46">
        <f>M19</f>
        <v/>
      </c>
      <c r="O19" t="s">
        <v>63</v>
      </c>
    </row>
    <row r="20" spans="1:20">
      <c r="A20" s="30" t="s">
        <v>64</v>
      </c>
      <c r="K20" t="n">
        <v>18</v>
      </c>
      <c r="L20" t="s">
        <v>65</v>
      </c>
      <c r="M20" s="11">
        <f>#REF!</f>
        <v/>
      </c>
      <c r="N20" s="46">
        <f>M20</f>
        <v/>
      </c>
      <c r="O20" t="s">
        <v>66</v>
      </c>
    </row>
    <row customHeight="1" ht="15.75" r="21" s="43" spans="1:20">
      <c r="A21" s="31" t="n"/>
      <c r="J21" t="s">
        <v>67</v>
      </c>
      <c r="K21" t="n">
        <v>19</v>
      </c>
      <c r="L21" t="s">
        <v>68</v>
      </c>
      <c r="M21" s="11">
        <f>#REF!</f>
        <v/>
      </c>
      <c r="N21" s="46">
        <f>M21</f>
        <v/>
      </c>
      <c r="O21" t="s">
        <v>69</v>
      </c>
    </row>
    <row r="22" spans="1:20">
      <c r="A22" s="32" t="s">
        <v>70</v>
      </c>
      <c r="B22" s="33" t="n"/>
      <c r="J22" t="s">
        <v>67</v>
      </c>
      <c r="K22" t="n">
        <v>20</v>
      </c>
      <c r="L22" t="s">
        <v>71</v>
      </c>
      <c r="M22" s="11">
        <f>#REF!</f>
        <v/>
      </c>
      <c r="N22" s="46">
        <f>M22</f>
        <v/>
      </c>
      <c r="O22" s="44" t="s">
        <v>72</v>
      </c>
    </row>
    <row r="23" spans="1:20">
      <c r="A23" s="16" t="s">
        <v>25</v>
      </c>
      <c r="B23" s="34">
        <f>M39</f>
        <v/>
      </c>
      <c r="J23" t="s">
        <v>67</v>
      </c>
      <c r="K23" t="n">
        <v>21</v>
      </c>
      <c r="L23" t="s">
        <v>73</v>
      </c>
      <c r="M23" s="11">
        <f>#REF!</f>
        <v/>
      </c>
      <c r="N23" s="46">
        <f>M23</f>
        <v/>
      </c>
      <c r="O23" t="s">
        <v>74</v>
      </c>
    </row>
    <row r="24" spans="1:20">
      <c r="A24" s="18" t="s">
        <v>28</v>
      </c>
      <c r="B24" s="34">
        <f>M40</f>
        <v/>
      </c>
      <c r="J24" t="s">
        <v>67</v>
      </c>
      <c r="K24" t="n">
        <v>22</v>
      </c>
      <c r="L24" t="s">
        <v>75</v>
      </c>
      <c r="M24" s="11">
        <f>#REF!</f>
        <v/>
      </c>
      <c r="N24" s="46">
        <f>M24</f>
        <v/>
      </c>
      <c r="O24" t="s">
        <v>76</v>
      </c>
    </row>
    <row r="25" spans="1:20">
      <c r="A25" s="18" t="s">
        <v>31</v>
      </c>
      <c r="B25" s="34">
        <f>M41</f>
        <v/>
      </c>
      <c r="J25" t="s">
        <v>67</v>
      </c>
      <c r="K25" t="n">
        <v>23</v>
      </c>
      <c r="L25" t="s">
        <v>77</v>
      </c>
      <c r="M25" s="11">
        <f>#REF!</f>
        <v/>
      </c>
      <c r="N25" s="46">
        <f>M25</f>
        <v/>
      </c>
      <c r="O25" t="s">
        <v>78</v>
      </c>
    </row>
    <row customHeight="1" ht="15.75" r="26" s="43" spans="1:20">
      <c r="A26" s="35" t="s">
        <v>34</v>
      </c>
      <c r="B26" s="36">
        <f>M42</f>
        <v/>
      </c>
      <c r="J26" t="s">
        <v>67</v>
      </c>
      <c r="K26" t="n">
        <v>24</v>
      </c>
      <c r="L26" t="s">
        <v>79</v>
      </c>
      <c r="M26" s="11">
        <f>#REF!</f>
        <v/>
      </c>
      <c r="N26" s="46">
        <f>M26</f>
        <v/>
      </c>
      <c r="O26" s="44" t="s">
        <v>80</v>
      </c>
    </row>
    <row r="27" spans="1:20">
      <c r="A27" s="31" t="n"/>
      <c r="B27" s="37" t="n"/>
      <c r="J27" t="s">
        <v>81</v>
      </c>
      <c r="K27" t="n">
        <v>25</v>
      </c>
      <c r="L27" t="s">
        <v>82</v>
      </c>
      <c r="M27" s="11">
        <f>#REF!</f>
        <v/>
      </c>
      <c r="N27" s="46">
        <f>M27</f>
        <v/>
      </c>
      <c r="O27" s="44" t="s">
        <v>83</v>
      </c>
    </row>
    <row r="28" spans="1:20">
      <c r="A28" s="31" t="n"/>
      <c r="B28" s="37" t="n"/>
      <c r="J28" t="s">
        <v>81</v>
      </c>
      <c r="K28" t="n">
        <v>26</v>
      </c>
      <c r="L28" t="s">
        <v>84</v>
      </c>
      <c r="M28" s="11">
        <f>#REF!</f>
        <v/>
      </c>
      <c r="N28" s="46">
        <f>M28</f>
        <v/>
      </c>
      <c r="O28" t="s">
        <v>72</v>
      </c>
    </row>
    <row r="29" spans="1:20">
      <c r="A29" s="30" t="s">
        <v>61</v>
      </c>
      <c r="B29" s="38" t="n"/>
      <c r="J29" t="s">
        <v>81</v>
      </c>
      <c r="K29" t="n">
        <v>27</v>
      </c>
      <c r="L29" t="s">
        <v>85</v>
      </c>
      <c r="M29" s="11">
        <f>#REF!</f>
        <v/>
      </c>
      <c r="N29" s="46">
        <f>M29</f>
        <v/>
      </c>
      <c r="O29" t="s">
        <v>74</v>
      </c>
    </row>
    <row r="30" spans="1:20">
      <c r="A30" s="30" t="s">
        <v>86</v>
      </c>
      <c r="B30" s="38" t="n"/>
      <c r="J30" t="s">
        <v>81</v>
      </c>
      <c r="K30" t="n">
        <v>28</v>
      </c>
      <c r="L30" t="s">
        <v>87</v>
      </c>
      <c r="M30" s="11">
        <f>#REF!</f>
        <v/>
      </c>
      <c r="N30" s="46">
        <f>M30</f>
        <v/>
      </c>
      <c r="O30" t="s">
        <v>76</v>
      </c>
    </row>
    <row customHeight="1" ht="15.75" r="31" s="43" spans="1:20">
      <c r="A31" s="31" t="n"/>
      <c r="B31" s="37" t="n"/>
      <c r="J31" t="s">
        <v>81</v>
      </c>
      <c r="K31" t="n">
        <v>29</v>
      </c>
      <c r="L31" t="s">
        <v>88</v>
      </c>
      <c r="M31" s="11">
        <f>#REF!</f>
        <v/>
      </c>
      <c r="N31" s="46">
        <f>M31</f>
        <v/>
      </c>
      <c r="O31" t="s">
        <v>78</v>
      </c>
    </row>
    <row r="32" spans="1:20">
      <c r="A32" s="32" t="s">
        <v>70</v>
      </c>
      <c r="B32" s="33" t="n"/>
      <c r="J32" t="s">
        <v>81</v>
      </c>
      <c r="K32" t="n">
        <v>30</v>
      </c>
      <c r="L32" t="s">
        <v>89</v>
      </c>
      <c r="M32" s="11">
        <f>#REF!</f>
        <v/>
      </c>
      <c r="N32" s="46">
        <f>M32</f>
        <v/>
      </c>
      <c r="O32" t="s">
        <v>90</v>
      </c>
    </row>
    <row r="33" spans="1:20">
      <c r="A33" s="16" t="s">
        <v>25</v>
      </c>
      <c r="B33" s="34">
        <f>LN(B12/E12)-LN(B12/E12)</f>
        <v/>
      </c>
      <c r="J33" t="s">
        <v>81</v>
      </c>
      <c r="K33" t="n">
        <v>31</v>
      </c>
      <c r="L33" t="s">
        <v>91</v>
      </c>
      <c r="M33" s="11">
        <f>#REF!</f>
        <v/>
      </c>
      <c r="N33" s="46">
        <f>M33</f>
        <v/>
      </c>
      <c r="O33" s="44" t="s">
        <v>92</v>
      </c>
    </row>
    <row r="34" spans="1:20">
      <c r="A34" s="18" t="s">
        <v>28</v>
      </c>
      <c r="B34" s="34">
        <f>LN(B13/E13)-LN(B12/E12)</f>
        <v/>
      </c>
      <c r="J34" t="s">
        <v>81</v>
      </c>
      <c r="K34" t="n">
        <v>32</v>
      </c>
      <c r="L34" t="s">
        <v>93</v>
      </c>
      <c r="M34" s="11">
        <f>#REF!</f>
        <v/>
      </c>
      <c r="N34" s="46">
        <f>M34</f>
        <v/>
      </c>
      <c r="O34" s="44" t="s">
        <v>94</v>
      </c>
    </row>
    <row r="35" spans="1:20">
      <c r="A35" s="18" t="s">
        <v>31</v>
      </c>
      <c r="B35" s="34">
        <f>LN(B14/E14)-LN(B13/E13)-LN(B12/E12)</f>
        <v/>
      </c>
      <c r="E35" s="39" t="n"/>
      <c r="F35" s="39" t="n"/>
      <c r="G35" s="39" t="n"/>
      <c r="H35" s="39" t="n"/>
      <c r="J35" t="s">
        <v>81</v>
      </c>
      <c r="K35" t="n">
        <v>33</v>
      </c>
      <c r="L35" t="s">
        <v>95</v>
      </c>
      <c r="M35" s="11">
        <f>#REF!</f>
        <v/>
      </c>
      <c r="N35" s="46">
        <f>M35</f>
        <v/>
      </c>
      <c r="O35" s="44" t="s">
        <v>96</v>
      </c>
    </row>
    <row customHeight="1" ht="15.75" r="36" s="43" spans="1:20">
      <c r="A36" s="35" t="s">
        <v>34</v>
      </c>
      <c r="B36" s="36">
        <f>LN(B15/E15)-LN(B14/E14)-LN(B13/E13)-LN(B12/E12)</f>
        <v/>
      </c>
      <c r="E36" s="40" t="n"/>
      <c r="F36" s="40" t="n"/>
      <c r="G36" s="40" t="n"/>
      <c r="H36" s="40" t="n"/>
      <c r="J36" t="s">
        <v>81</v>
      </c>
      <c r="K36" t="n">
        <v>34</v>
      </c>
      <c r="L36" t="s">
        <v>97</v>
      </c>
      <c r="M36" s="11">
        <f>#REF!</f>
        <v/>
      </c>
      <c r="N36" s="46">
        <f>M36</f>
        <v/>
      </c>
      <c r="O36" s="44" t="s">
        <v>98</v>
      </c>
    </row>
    <row r="37" spans="1:20">
      <c r="A37" s="31" t="n"/>
      <c r="B37" s="34" t="n"/>
      <c r="J37" t="s">
        <v>99</v>
      </c>
      <c r="K37" t="n">
        <v>35</v>
      </c>
      <c r="L37" t="s">
        <v>100</v>
      </c>
      <c r="M37" s="11">
        <f>#REF!</f>
        <v/>
      </c>
      <c r="N37" s="46">
        <f>M37</f>
        <v/>
      </c>
      <c r="O37" s="44" t="s">
        <v>101</v>
      </c>
    </row>
    <row r="38" spans="1:20">
      <c r="A38" s="31" t="n"/>
      <c r="B38" s="34" t="n"/>
      <c r="J38" t="s">
        <v>99</v>
      </c>
      <c r="K38" t="n">
        <v>36</v>
      </c>
      <c r="L38" t="s">
        <v>102</v>
      </c>
      <c r="M38" s="11">
        <f>#REF!</f>
        <v/>
      </c>
      <c r="N38" s="46">
        <f>M38</f>
        <v/>
      </c>
      <c r="O38" s="44" t="s">
        <v>72</v>
      </c>
    </row>
    <row r="39" spans="1:20">
      <c r="A39" s="30" t="s">
        <v>61</v>
      </c>
      <c r="B39" s="41" t="n"/>
      <c r="J39" s="47" t="s">
        <v>99</v>
      </c>
      <c r="K39" s="47" t="n">
        <v>37</v>
      </c>
      <c r="L39" s="47" t="s">
        <v>103</v>
      </c>
      <c r="M39" s="48">
        <f>#REF!</f>
        <v/>
      </c>
      <c r="N39" s="49">
        <f>B43</f>
        <v/>
      </c>
      <c r="O39" s="50" t="s">
        <v>74</v>
      </c>
    </row>
    <row r="40" spans="1:20">
      <c r="A40" s="30" t="s">
        <v>104</v>
      </c>
      <c r="B40" s="41" t="n"/>
      <c r="J40" s="47" t="s">
        <v>99</v>
      </c>
      <c r="K40" s="47" t="n">
        <v>38</v>
      </c>
      <c r="L40" s="47" t="s">
        <v>105</v>
      </c>
      <c r="M40" s="48">
        <f>#REF!</f>
        <v/>
      </c>
      <c r="N40" s="49">
        <f>B44</f>
        <v/>
      </c>
      <c r="O40" s="50" t="s">
        <v>76</v>
      </c>
    </row>
    <row customHeight="1" ht="15.75" r="41" s="43" spans="1:20">
      <c r="A41" s="31" t="n"/>
      <c r="B41" s="34" t="n"/>
      <c r="J41" s="47" t="s">
        <v>99</v>
      </c>
      <c r="K41" s="47" t="n">
        <v>39</v>
      </c>
      <c r="L41" s="47" t="s">
        <v>106</v>
      </c>
      <c r="M41" s="48">
        <f>#REF!</f>
        <v/>
      </c>
      <c r="N41" s="49">
        <f>B45</f>
        <v/>
      </c>
      <c r="O41" s="50" t="s">
        <v>78</v>
      </c>
    </row>
    <row r="42" spans="1:20">
      <c r="A42" s="32" t="s">
        <v>70</v>
      </c>
      <c r="B42" s="42" t="n"/>
      <c r="J42" s="47" t="s">
        <v>99</v>
      </c>
      <c r="K42" s="47" t="n">
        <v>40</v>
      </c>
      <c r="L42" s="47" t="s">
        <v>107</v>
      </c>
      <c r="M42" s="48">
        <f>#REF!</f>
        <v/>
      </c>
      <c r="N42" s="49">
        <f>B46</f>
        <v/>
      </c>
      <c r="O42" s="50" t="s">
        <v>90</v>
      </c>
    </row>
    <row r="43" spans="1:20">
      <c r="A43" s="16" t="s">
        <v>25</v>
      </c>
      <c r="B43" s="34">
        <f>B23+B33</f>
        <v/>
      </c>
      <c r="J43" t="s">
        <v>99</v>
      </c>
      <c r="K43" t="n">
        <v>41</v>
      </c>
      <c r="L43" t="s">
        <v>108</v>
      </c>
      <c r="M43" s="11">
        <f>#REF!</f>
        <v/>
      </c>
      <c r="N43" s="46">
        <f>M43</f>
        <v/>
      </c>
      <c r="O43" s="44" t="s">
        <v>92</v>
      </c>
    </row>
    <row r="44" spans="1:20">
      <c r="A44" s="18" t="s">
        <v>28</v>
      </c>
      <c r="B44" s="34">
        <f>B24+B34</f>
        <v/>
      </c>
      <c r="J44" t="s">
        <v>109</v>
      </c>
      <c r="K44" t="n">
        <v>42</v>
      </c>
      <c r="L44" t="s">
        <v>110</v>
      </c>
      <c r="M44" s="11">
        <f>#REF!</f>
        <v/>
      </c>
      <c r="N44" s="46">
        <f>M44</f>
        <v/>
      </c>
      <c r="O44" s="44" t="s">
        <v>111</v>
      </c>
    </row>
    <row r="45" spans="1:20">
      <c r="A45" s="18" t="s">
        <v>31</v>
      </c>
      <c r="B45" s="34">
        <f>B25+B35</f>
        <v/>
      </c>
      <c r="J45" t="s">
        <v>109</v>
      </c>
      <c r="K45" t="n">
        <v>43</v>
      </c>
      <c r="L45" t="s">
        <v>112</v>
      </c>
      <c r="M45" s="11">
        <f>#REF!</f>
        <v/>
      </c>
      <c r="N45" s="46">
        <f>M45</f>
        <v/>
      </c>
      <c r="O45" s="44" t="s">
        <v>72</v>
      </c>
    </row>
    <row customHeight="1" ht="15.75" r="46" s="43" spans="1:20">
      <c r="A46" s="35" t="s">
        <v>34</v>
      </c>
      <c r="B46" s="36">
        <f>B26+B36</f>
        <v/>
      </c>
      <c r="J46" t="s">
        <v>109</v>
      </c>
      <c r="K46" t="n">
        <v>44</v>
      </c>
      <c r="L46" t="s">
        <v>113</v>
      </c>
      <c r="M46" s="11">
        <f>#REF!</f>
        <v/>
      </c>
      <c r="N46" s="46">
        <f>M46</f>
        <v/>
      </c>
      <c r="O46" s="44" t="s">
        <v>114</v>
      </c>
    </row>
    <row r="47" spans="1:20">
      <c r="J47" t="s">
        <v>109</v>
      </c>
      <c r="K47" t="n">
        <v>45</v>
      </c>
      <c r="L47" t="s">
        <v>115</v>
      </c>
      <c r="M47" s="11">
        <f>#REF!</f>
        <v/>
      </c>
      <c r="N47" s="46">
        <f>M47</f>
        <v/>
      </c>
      <c r="O47" s="44" t="s">
        <v>116</v>
      </c>
    </row>
    <row r="48" spans="1:20">
      <c r="J48" t="s">
        <v>109</v>
      </c>
      <c r="K48" t="n">
        <v>46</v>
      </c>
      <c r="L48" t="s">
        <v>117</v>
      </c>
      <c r="M48" s="11">
        <f>#REF!</f>
        <v/>
      </c>
      <c r="N48" s="46">
        <f>M48</f>
        <v/>
      </c>
      <c r="O48" s="44" t="s">
        <v>118</v>
      </c>
    </row>
    <row r="49" spans="1:20">
      <c r="J49" t="s">
        <v>109</v>
      </c>
      <c r="K49" t="n">
        <v>47</v>
      </c>
      <c r="L49" t="s">
        <v>119</v>
      </c>
      <c r="M49" s="11">
        <f>#REF!</f>
        <v/>
      </c>
      <c r="N49" s="46">
        <f>M49</f>
        <v/>
      </c>
      <c r="O49" s="44" t="s">
        <v>120</v>
      </c>
    </row>
    <row r="50" spans="1:20">
      <c r="J50" t="s">
        <v>121</v>
      </c>
      <c r="K50" t="n">
        <v>48</v>
      </c>
      <c r="L50" t="s">
        <v>122</v>
      </c>
      <c r="M50" s="11">
        <f>#REF!</f>
        <v/>
      </c>
      <c r="N50" s="46">
        <f>M50</f>
        <v/>
      </c>
      <c r="O50" s="44" t="s">
        <v>123</v>
      </c>
    </row>
    <row r="51" spans="1:20">
      <c r="J51" t="s">
        <v>121</v>
      </c>
      <c r="K51" t="n">
        <v>49</v>
      </c>
      <c r="L51" t="s">
        <v>124</v>
      </c>
      <c r="M51" s="11">
        <f>#REF!</f>
        <v/>
      </c>
      <c r="N51" s="46">
        <f>M51</f>
        <v/>
      </c>
      <c r="O51" s="44" t="s">
        <v>72</v>
      </c>
    </row>
    <row r="52" spans="1:20">
      <c r="J52" t="s">
        <v>121</v>
      </c>
      <c r="K52" t="n">
        <v>50</v>
      </c>
      <c r="L52" t="s">
        <v>125</v>
      </c>
      <c r="M52" s="11">
        <f>#REF!</f>
        <v/>
      </c>
      <c r="N52" s="46">
        <f>M52</f>
        <v/>
      </c>
      <c r="O52" s="44" t="s">
        <v>74</v>
      </c>
    </row>
    <row r="53" spans="1:20">
      <c r="J53" t="s">
        <v>121</v>
      </c>
      <c r="K53" t="n">
        <v>51</v>
      </c>
      <c r="L53" t="s">
        <v>126</v>
      </c>
      <c r="M53" s="11">
        <f>#REF!</f>
        <v/>
      </c>
      <c r="N53" s="46">
        <f>M53</f>
        <v/>
      </c>
      <c r="O53" s="44" t="s">
        <v>76</v>
      </c>
    </row>
    <row r="54" spans="1:20">
      <c r="J54" t="s">
        <v>121</v>
      </c>
      <c r="K54" t="n">
        <v>52</v>
      </c>
      <c r="L54" t="s">
        <v>127</v>
      </c>
      <c r="M54" s="11">
        <f>#REF!</f>
        <v/>
      </c>
      <c r="N54" s="46">
        <f>M54</f>
        <v/>
      </c>
      <c r="O54" s="44" t="s">
        <v>78</v>
      </c>
    </row>
    <row r="55" spans="1:20">
      <c r="J55" t="s">
        <v>121</v>
      </c>
      <c r="K55" t="n">
        <v>53</v>
      </c>
      <c r="L55" t="s">
        <v>128</v>
      </c>
      <c r="M55" s="11">
        <f>#REF!</f>
        <v/>
      </c>
      <c r="N55" s="46">
        <f>M55</f>
        <v/>
      </c>
      <c r="O55" s="44" t="s">
        <v>90</v>
      </c>
    </row>
    <row r="56" spans="1:20">
      <c r="J56" t="s">
        <v>121</v>
      </c>
      <c r="K56" t="n">
        <v>54</v>
      </c>
      <c r="L56" t="s">
        <v>129</v>
      </c>
      <c r="M56" s="11">
        <f>#REF!</f>
        <v/>
      </c>
      <c r="N56" s="46">
        <f>M56</f>
        <v/>
      </c>
      <c r="O56" s="44" t="s">
        <v>130</v>
      </c>
    </row>
    <row r="57" spans="1:20">
      <c r="J57" t="s">
        <v>121</v>
      </c>
      <c r="K57" t="n">
        <v>55</v>
      </c>
      <c r="L57" t="s">
        <v>131</v>
      </c>
      <c r="M57" s="11">
        <f>#REF!</f>
        <v/>
      </c>
      <c r="N57" s="46">
        <f>M57</f>
        <v/>
      </c>
      <c r="O57" s="44" t="s">
        <v>94</v>
      </c>
    </row>
    <row r="58" spans="1:20">
      <c r="J58" t="s">
        <v>121</v>
      </c>
      <c r="K58" t="n">
        <v>56</v>
      </c>
      <c r="L58" t="s">
        <v>132</v>
      </c>
      <c r="M58" s="11">
        <f>#REF!</f>
        <v/>
      </c>
      <c r="N58" s="46">
        <f>M58</f>
        <v/>
      </c>
      <c r="O58" s="44" t="s">
        <v>98</v>
      </c>
    </row>
    <row r="59" spans="1:20">
      <c r="K59" t="n">
        <v>57</v>
      </c>
      <c r="L59" t="s">
        <v>133</v>
      </c>
      <c r="M59" s="11">
        <f>#REF!</f>
        <v/>
      </c>
      <c r="N59" s="46">
        <f>M59</f>
        <v/>
      </c>
      <c r="O59" s="44" t="s">
        <v>101</v>
      </c>
    </row>
    <row r="60" spans="1:20">
      <c r="J60" t="s">
        <v>67</v>
      </c>
      <c r="K60" t="n">
        <v>70</v>
      </c>
      <c r="L60" t="s">
        <v>134</v>
      </c>
      <c r="M60" s="11">
        <f>#REF!</f>
        <v/>
      </c>
      <c r="N60" s="46">
        <f>M60</f>
        <v/>
      </c>
      <c r="O60" s="44" t="n"/>
    </row>
    <row r="61" spans="1:20">
      <c r="J61" t="s">
        <v>67</v>
      </c>
      <c r="K61" t="n">
        <v>71</v>
      </c>
      <c r="L61" t="s">
        <v>135</v>
      </c>
      <c r="M61" s="11">
        <f>#REF!</f>
        <v/>
      </c>
      <c r="N61" s="46">
        <f>M61</f>
        <v/>
      </c>
      <c r="O61" t="s">
        <v>136</v>
      </c>
    </row>
    <row r="62" spans="1:20">
      <c r="J62" t="s">
        <v>67</v>
      </c>
      <c r="K62" t="n">
        <v>72</v>
      </c>
      <c r="L62" t="s">
        <v>137</v>
      </c>
      <c r="M62" s="11">
        <f>#REF!</f>
        <v/>
      </c>
      <c r="N62" s="46">
        <f>M62</f>
        <v/>
      </c>
      <c r="O62" t="s">
        <v>138</v>
      </c>
    </row>
    <row r="63" spans="1:20">
      <c r="J63" t="s">
        <v>67</v>
      </c>
      <c r="K63" t="n">
        <v>73</v>
      </c>
      <c r="L63" t="s">
        <v>139</v>
      </c>
      <c r="M63" s="11">
        <f>#REF!</f>
        <v/>
      </c>
      <c r="N63" s="46">
        <f>M63</f>
        <v/>
      </c>
      <c r="O63" t="s">
        <v>140</v>
      </c>
    </row>
    <row r="64" spans="1:20">
      <c r="J64" t="s">
        <v>67</v>
      </c>
      <c r="K64" t="n">
        <v>74</v>
      </c>
      <c r="L64" t="s">
        <v>141</v>
      </c>
      <c r="M64" s="11">
        <f>#REF!</f>
        <v/>
      </c>
      <c r="N64" s="46">
        <f>M64</f>
        <v/>
      </c>
      <c r="O64" t="s">
        <v>142</v>
      </c>
    </row>
    <row r="65" spans="1:20">
      <c r="J65" t="s">
        <v>67</v>
      </c>
      <c r="K65" t="n">
        <v>75</v>
      </c>
      <c r="L65" t="s">
        <v>143</v>
      </c>
      <c r="M65" s="11">
        <f>#REF!</f>
        <v/>
      </c>
      <c r="N65" s="46">
        <f>M65</f>
        <v/>
      </c>
      <c r="O65" t="s">
        <v>144</v>
      </c>
    </row>
    <row r="66" spans="1:20">
      <c r="J66" t="s">
        <v>67</v>
      </c>
      <c r="K66" t="n">
        <v>76</v>
      </c>
      <c r="L66" t="s">
        <v>145</v>
      </c>
      <c r="M66" s="11">
        <f>#REF!</f>
        <v/>
      </c>
      <c r="N66" s="46">
        <f>M66</f>
        <v/>
      </c>
      <c r="O66" t="s">
        <v>146</v>
      </c>
    </row>
    <row r="67" spans="1:20">
      <c r="J67" t="s">
        <v>67</v>
      </c>
      <c r="K67" t="n">
        <v>77</v>
      </c>
      <c r="L67" t="s">
        <v>147</v>
      </c>
      <c r="M67" s="11">
        <f>#REF!</f>
        <v/>
      </c>
      <c r="N67" s="46">
        <f>M67</f>
        <v/>
      </c>
      <c r="O67" t="s">
        <v>148</v>
      </c>
    </row>
    <row r="68" spans="1:20">
      <c r="J68" t="s">
        <v>67</v>
      </c>
      <c r="K68" t="n">
        <v>78</v>
      </c>
      <c r="L68" t="s">
        <v>149</v>
      </c>
      <c r="M68" s="11">
        <f>#REF!</f>
        <v/>
      </c>
      <c r="N68" s="46">
        <f>M68</f>
        <v/>
      </c>
      <c r="O68" t="s">
        <v>150</v>
      </c>
    </row>
    <row r="69" spans="1:20">
      <c r="J69" t="s">
        <v>67</v>
      </c>
      <c r="K69" t="n">
        <v>79</v>
      </c>
      <c r="L69" t="s">
        <v>151</v>
      </c>
      <c r="M69" s="11">
        <f>#REF!</f>
        <v/>
      </c>
      <c r="N69" s="46">
        <f>M69</f>
        <v/>
      </c>
      <c r="O69" t="s">
        <v>152</v>
      </c>
    </row>
    <row r="70" spans="1:20">
      <c r="J70" t="s">
        <v>67</v>
      </c>
      <c r="K70" t="n">
        <v>80</v>
      </c>
      <c r="L70" t="s">
        <v>153</v>
      </c>
      <c r="M70" s="11">
        <f>#REF!</f>
        <v/>
      </c>
      <c r="N70" s="46">
        <f>M70</f>
        <v/>
      </c>
      <c r="O70" t="s">
        <v>154</v>
      </c>
    </row>
    <row r="71" spans="1:20">
      <c r="J71" t="s">
        <v>67</v>
      </c>
      <c r="K71" t="n">
        <v>81</v>
      </c>
      <c r="L71" t="s">
        <v>155</v>
      </c>
      <c r="M71" s="11">
        <f>#REF!</f>
        <v/>
      </c>
      <c r="N71" s="46">
        <f>M71</f>
        <v/>
      </c>
      <c r="O71" t="s">
        <v>156</v>
      </c>
    </row>
    <row r="72" spans="1:20">
      <c r="J72" t="s">
        <v>67</v>
      </c>
      <c r="K72" t="n">
        <v>82</v>
      </c>
      <c r="L72" t="s">
        <v>157</v>
      </c>
      <c r="M72" s="11">
        <f>#REF!</f>
        <v/>
      </c>
      <c r="N72" s="46">
        <f>M72</f>
        <v/>
      </c>
      <c r="O72" t="s">
        <v>156</v>
      </c>
    </row>
    <row r="73" spans="1:20">
      <c r="J73" t="s">
        <v>67</v>
      </c>
      <c r="K73" t="n">
        <v>83</v>
      </c>
      <c r="L73" t="s">
        <v>158</v>
      </c>
      <c r="M73" s="11">
        <f>#REF!</f>
        <v/>
      </c>
      <c r="N73" s="46">
        <f>M73</f>
        <v/>
      </c>
      <c r="O73" t="s">
        <v>159</v>
      </c>
    </row>
    <row r="74" spans="1:20">
      <c r="J74" t="s">
        <v>67</v>
      </c>
      <c r="K74" t="n">
        <v>84</v>
      </c>
      <c r="L74" t="s">
        <v>160</v>
      </c>
      <c r="M74" s="11">
        <f>#REF!</f>
        <v/>
      </c>
      <c r="N74" s="46">
        <f>M74</f>
        <v/>
      </c>
      <c r="O74" t="s">
        <v>161</v>
      </c>
    </row>
    <row r="75" spans="1:20">
      <c r="J75" t="s">
        <v>67</v>
      </c>
      <c r="K75" t="n">
        <v>85</v>
      </c>
      <c r="L75" t="s">
        <v>162</v>
      </c>
      <c r="M75" s="11">
        <f>#REF!</f>
        <v/>
      </c>
      <c r="N75" s="46">
        <f>M75</f>
        <v/>
      </c>
      <c r="O75" t="s">
        <v>163</v>
      </c>
    </row>
    <row r="76" spans="1:20">
      <c r="J76" t="s">
        <v>67</v>
      </c>
      <c r="K76" t="n">
        <v>86</v>
      </c>
      <c r="L76" t="s">
        <v>164</v>
      </c>
      <c r="M76" s="11">
        <f>#REF!</f>
        <v/>
      </c>
      <c r="N76" s="46">
        <f>M76</f>
        <v/>
      </c>
      <c r="O76" t="s">
        <v>165</v>
      </c>
    </row>
    <row r="77" spans="1:20">
      <c r="J77" t="s">
        <v>67</v>
      </c>
      <c r="K77" t="n">
        <v>87</v>
      </c>
      <c r="L77" t="s">
        <v>166</v>
      </c>
      <c r="M77" s="11">
        <f>#REF!</f>
        <v/>
      </c>
      <c r="N77" s="46">
        <f>M77</f>
        <v/>
      </c>
      <c r="O77" t="s">
        <v>167</v>
      </c>
    </row>
    <row r="78" spans="1:20">
      <c r="J78" t="s">
        <v>81</v>
      </c>
      <c r="K78" t="n">
        <v>88</v>
      </c>
      <c r="L78" t="s">
        <v>168</v>
      </c>
      <c r="M78" s="11">
        <f>#REF!</f>
        <v/>
      </c>
      <c r="N78" s="46">
        <f>M78</f>
        <v/>
      </c>
      <c r="O78" t="s">
        <v>169</v>
      </c>
    </row>
    <row r="79" spans="1:20">
      <c r="J79" t="s">
        <v>81</v>
      </c>
      <c r="K79" t="n">
        <v>89</v>
      </c>
      <c r="L79" t="s">
        <v>170</v>
      </c>
      <c r="M79" s="11">
        <f>#REF!</f>
        <v/>
      </c>
      <c r="N79" s="46">
        <f>M79</f>
        <v/>
      </c>
      <c r="O79" t="s">
        <v>171</v>
      </c>
    </row>
    <row r="80" spans="1:20">
      <c r="J80" t="s">
        <v>81</v>
      </c>
      <c r="K80" t="n">
        <v>90</v>
      </c>
      <c r="L80" t="s">
        <v>172</v>
      </c>
      <c r="M80" s="11">
        <f>#REF!</f>
        <v/>
      </c>
      <c r="N80" s="46">
        <f>M80</f>
        <v/>
      </c>
      <c r="O80" t="s">
        <v>173</v>
      </c>
    </row>
    <row r="81" spans="1:20">
      <c r="J81" t="s">
        <v>81</v>
      </c>
      <c r="K81" t="n">
        <v>91</v>
      </c>
      <c r="L81" t="s">
        <v>174</v>
      </c>
      <c r="M81" s="11">
        <f>#REF!</f>
        <v/>
      </c>
      <c r="N81" s="46">
        <f>M81</f>
        <v/>
      </c>
      <c r="O81" t="s">
        <v>175</v>
      </c>
    </row>
    <row r="82" spans="1:20">
      <c r="J82" t="s">
        <v>81</v>
      </c>
      <c r="K82" t="n">
        <v>92</v>
      </c>
      <c r="L82" t="s">
        <v>176</v>
      </c>
      <c r="M82" s="11">
        <f>#REF!</f>
        <v/>
      </c>
      <c r="N82" s="46">
        <f>M82</f>
        <v/>
      </c>
      <c r="O82" t="s">
        <v>177</v>
      </c>
    </row>
    <row r="83" spans="1:20">
      <c r="J83" t="s">
        <v>81</v>
      </c>
      <c r="K83" t="n">
        <v>93</v>
      </c>
      <c r="L83" t="s">
        <v>178</v>
      </c>
      <c r="M83" s="11">
        <f>#REF!</f>
        <v/>
      </c>
      <c r="N83" s="46">
        <f>M83</f>
        <v/>
      </c>
      <c r="O83" t="s">
        <v>179</v>
      </c>
    </row>
    <row r="84" spans="1:20">
      <c r="J84" t="s">
        <v>81</v>
      </c>
      <c r="K84" t="n">
        <v>94</v>
      </c>
      <c r="L84" t="s">
        <v>180</v>
      </c>
      <c r="M84" s="11">
        <f>#REF!</f>
        <v/>
      </c>
      <c r="N84" s="46">
        <f>M84</f>
        <v/>
      </c>
      <c r="O84" t="s">
        <v>181</v>
      </c>
    </row>
    <row r="85" spans="1:20">
      <c r="J85" t="s">
        <v>81</v>
      </c>
      <c r="K85" t="n">
        <v>95</v>
      </c>
      <c r="L85" t="s">
        <v>182</v>
      </c>
      <c r="M85" s="11">
        <f>#REF!</f>
        <v/>
      </c>
      <c r="N85" s="46">
        <f>M85</f>
        <v/>
      </c>
      <c r="O85" t="s">
        <v>183</v>
      </c>
    </row>
    <row r="86" spans="1:20">
      <c r="J86" t="s">
        <v>81</v>
      </c>
      <c r="K86" t="n">
        <v>96</v>
      </c>
      <c r="L86" t="s">
        <v>184</v>
      </c>
      <c r="M86" s="11">
        <f>#REF!</f>
        <v/>
      </c>
      <c r="N86" s="46">
        <f>M86</f>
        <v/>
      </c>
      <c r="O86" t="s">
        <v>185</v>
      </c>
    </row>
    <row r="87" spans="1:20">
      <c r="J87" t="s">
        <v>99</v>
      </c>
      <c r="K87" t="n">
        <v>97</v>
      </c>
      <c r="L87" t="s">
        <v>186</v>
      </c>
      <c r="M87" s="11">
        <f>#REF!</f>
        <v/>
      </c>
      <c r="N87" s="46">
        <f>M87</f>
        <v/>
      </c>
      <c r="O87" t="s">
        <v>187</v>
      </c>
    </row>
    <row r="88" spans="1:20">
      <c r="J88" t="s">
        <v>99</v>
      </c>
      <c r="K88" t="n">
        <v>98</v>
      </c>
      <c r="L88" t="s">
        <v>188</v>
      </c>
      <c r="M88" s="11">
        <f>#REF!</f>
        <v/>
      </c>
      <c r="N88" s="46">
        <f>M88</f>
        <v/>
      </c>
      <c r="O88" t="s">
        <v>173</v>
      </c>
    </row>
    <row r="89" spans="1:20">
      <c r="J89" t="s">
        <v>99</v>
      </c>
      <c r="K89" t="n">
        <v>99</v>
      </c>
      <c r="L89" t="s">
        <v>189</v>
      </c>
      <c r="M89" s="11">
        <f>#REF!</f>
        <v/>
      </c>
      <c r="N89" s="46">
        <f>M89</f>
        <v/>
      </c>
      <c r="O89" t="s">
        <v>175</v>
      </c>
    </row>
    <row r="90" spans="1:20">
      <c r="J90" t="s">
        <v>99</v>
      </c>
      <c r="K90" t="n">
        <v>100</v>
      </c>
      <c r="L90" t="s">
        <v>190</v>
      </c>
      <c r="M90" s="11">
        <f>#REF!</f>
        <v/>
      </c>
      <c r="N90" s="46">
        <f>M90</f>
        <v/>
      </c>
      <c r="O90" t="s">
        <v>177</v>
      </c>
    </row>
    <row r="91" spans="1:20">
      <c r="J91" t="s">
        <v>109</v>
      </c>
      <c r="K91" t="n">
        <v>101</v>
      </c>
      <c r="L91" t="s">
        <v>191</v>
      </c>
      <c r="M91" s="11">
        <f>#REF!</f>
        <v/>
      </c>
      <c r="N91" s="46">
        <f>M91</f>
        <v/>
      </c>
      <c r="O91" t="s">
        <v>179</v>
      </c>
    </row>
    <row r="92" spans="1:20">
      <c r="J92" t="s">
        <v>109</v>
      </c>
      <c r="K92" t="n">
        <v>102</v>
      </c>
      <c r="L92" t="s">
        <v>192</v>
      </c>
      <c r="M92" s="11">
        <f>#REF!</f>
        <v/>
      </c>
      <c r="N92" s="46">
        <f>M92</f>
        <v/>
      </c>
      <c r="O92" t="s">
        <v>173</v>
      </c>
    </row>
    <row r="93" spans="1:20">
      <c r="J93" t="s">
        <v>109</v>
      </c>
      <c r="K93" t="n">
        <v>103</v>
      </c>
      <c r="L93" t="s">
        <v>193</v>
      </c>
      <c r="M93" s="11">
        <f>#REF!</f>
        <v/>
      </c>
      <c r="N93" s="46">
        <f>M93</f>
        <v/>
      </c>
      <c r="O93" t="s">
        <v>175</v>
      </c>
    </row>
    <row r="94" spans="1:20">
      <c r="J94" t="s">
        <v>109</v>
      </c>
      <c r="K94" t="n">
        <v>104</v>
      </c>
      <c r="L94" t="s">
        <v>194</v>
      </c>
      <c r="M94" s="11">
        <f>#REF!</f>
        <v/>
      </c>
      <c r="N94" s="46">
        <f>M94</f>
        <v/>
      </c>
      <c r="O94" t="s">
        <v>177</v>
      </c>
    </row>
    <row r="95" spans="1:20">
      <c r="J95" t="s">
        <v>121</v>
      </c>
      <c r="K95" t="n">
        <v>105</v>
      </c>
      <c r="L95" t="s">
        <v>195</v>
      </c>
      <c r="M95" s="11">
        <f>#REF!</f>
        <v/>
      </c>
      <c r="N95" s="46">
        <f>M95</f>
        <v/>
      </c>
      <c r="O95" t="s">
        <v>179</v>
      </c>
    </row>
    <row r="96" spans="1:20">
      <c r="J96" t="s">
        <v>121</v>
      </c>
      <c r="K96" t="n">
        <v>106</v>
      </c>
      <c r="L96" t="s">
        <v>196</v>
      </c>
      <c r="M96" s="11">
        <f>#REF!</f>
        <v/>
      </c>
      <c r="N96" s="46">
        <f>M96</f>
        <v/>
      </c>
      <c r="O96" t="s">
        <v>173</v>
      </c>
    </row>
    <row r="97" spans="1:20">
      <c r="J97" t="s">
        <v>121</v>
      </c>
      <c r="K97" t="n">
        <v>107</v>
      </c>
      <c r="L97" t="s">
        <v>197</v>
      </c>
      <c r="M97" s="11">
        <f>#REF!</f>
        <v/>
      </c>
      <c r="N97" s="46">
        <f>M97</f>
        <v/>
      </c>
      <c r="O97" t="s">
        <v>198</v>
      </c>
    </row>
    <row r="98" spans="1:20">
      <c r="J98" t="s">
        <v>121</v>
      </c>
      <c r="K98" t="n">
        <v>108</v>
      </c>
      <c r="L98" t="s">
        <v>199</v>
      </c>
      <c r="M98" s="11">
        <f>#REF!</f>
        <v/>
      </c>
      <c r="N98" s="46">
        <f>M98</f>
        <v/>
      </c>
      <c r="O98" t="s">
        <v>175</v>
      </c>
    </row>
    <row r="99" spans="1:20">
      <c r="J99" t="s">
        <v>121</v>
      </c>
      <c r="K99" t="n">
        <v>109</v>
      </c>
      <c r="L99" t="s">
        <v>200</v>
      </c>
      <c r="M99" s="11">
        <f>#REF!</f>
        <v/>
      </c>
      <c r="N99" s="46">
        <f>M99</f>
        <v/>
      </c>
      <c r="O99" t="s">
        <v>177</v>
      </c>
    </row>
    <row r="100" spans="1:20">
      <c r="J100" t="s">
        <v>121</v>
      </c>
      <c r="K100" t="n">
        <v>110</v>
      </c>
      <c r="L100" t="s">
        <v>201</v>
      </c>
      <c r="M100" s="11">
        <f>#REF!</f>
        <v/>
      </c>
      <c r="N100" s="46">
        <f>M100</f>
        <v/>
      </c>
      <c r="O100" t="s">
        <v>179</v>
      </c>
    </row>
    <row r="101" spans="1:20">
      <c r="J101" t="s">
        <v>121</v>
      </c>
      <c r="K101" t="n">
        <v>111</v>
      </c>
      <c r="L101" t="s">
        <v>202</v>
      </c>
      <c r="M101" s="11">
        <f>#REF!</f>
        <v/>
      </c>
      <c r="N101" s="46">
        <f>M101</f>
        <v/>
      </c>
      <c r="O101" t="s">
        <v>185</v>
      </c>
    </row>
    <row r="102" spans="1:20">
      <c r="J102" t="s">
        <v>121</v>
      </c>
      <c r="K102" t="n">
        <v>112</v>
      </c>
      <c r="L102" t="s">
        <v>203</v>
      </c>
      <c r="M102" s="11">
        <f>#REF!</f>
        <v/>
      </c>
      <c r="N102" s="46">
        <f>M102</f>
        <v/>
      </c>
      <c r="O102" t="s">
        <v>204</v>
      </c>
    </row>
    <row r="103" spans="1:20">
      <c r="J103" t="s">
        <v>121</v>
      </c>
      <c r="K103" t="n">
        <v>113</v>
      </c>
      <c r="L103" t="s">
        <v>205</v>
      </c>
      <c r="M103" s="11">
        <f>#REF!</f>
        <v/>
      </c>
      <c r="N103" s="46">
        <f>M103</f>
        <v/>
      </c>
      <c r="O103" t="s">
        <v>187</v>
      </c>
    </row>
  </sheetData>
  <pageMargins bottom="0.75" footer="0.3" header="0.3" left="0.7" right="0.7" top="0.75"/>
  <pageSetup orientation="portrait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L102"/>
  <sheetViews>
    <sheetView workbookViewId="0">
      <selection activeCell="Q17" sqref="Q17"/>
    </sheetView>
  </sheetViews>
  <sheetFormatPr baseColWidth="10" defaultRowHeight="15" outlineLevelCol="0"/>
  <cols>
    <col collapsed="1" customWidth="1" max="1" min="1" style="43" width="13.5703125"/>
    <col collapsed="1" customWidth="1" max="2" min="2" style="43" width="10.5703125"/>
    <col collapsed="1" customWidth="1" max="6" min="6" style="43" width="10.5703125"/>
    <col collapsed="1" customWidth="1" max="12" min="12" style="43" width="15.7109375"/>
  </cols>
  <sheetData>
    <row r="1" spans="1:12">
      <c r="A1" t="s">
        <v>0</v>
      </c>
    </row>
    <row r="2" spans="1:12">
      <c r="A2" t="s">
        <v>1</v>
      </c>
    </row>
    <row r="3" spans="1:12">
      <c r="A3" t="s">
        <v>2</v>
      </c>
    </row>
    <row r="4" spans="1:12">
      <c r="A4" t="s">
        <v>3</v>
      </c>
    </row>
    <row r="5" spans="1:12">
      <c r="A5" t="s">
        <v>4</v>
      </c>
    </row>
    <row r="7" spans="1:12">
      <c r="A7" t="s">
        <v>5</v>
      </c>
    </row>
    <row customHeight="1" ht="15.75" r="9" s="43" spans="1:12">
      <c r="A9" s="3" t="s">
        <v>6</v>
      </c>
      <c r="B9" s="1" t="n"/>
      <c r="E9" s="3" t="s">
        <v>7</v>
      </c>
      <c r="F9" s="1" t="n"/>
      <c r="J9" s="5" t="s">
        <v>16</v>
      </c>
    </row>
    <row r="10" spans="1:12">
      <c r="A10" s="2" t="s">
        <v>9</v>
      </c>
      <c r="B10" s="13" t="s">
        <v>10</v>
      </c>
      <c r="C10" s="13" t="s">
        <v>10</v>
      </c>
      <c r="E10" s="2" t="s">
        <v>9</v>
      </c>
      <c r="F10" s="13" t="s">
        <v>11</v>
      </c>
      <c r="G10" s="13" t="s">
        <v>11</v>
      </c>
      <c r="J10" s="2" t="n"/>
      <c r="K10" s="13" t="s">
        <v>10</v>
      </c>
      <c r="L10" s="13" t="s">
        <v>11</v>
      </c>
    </row>
    <row r="11" spans="1:12">
      <c r="A11" t="n">
        <v>0</v>
      </c>
      <c r="B11" s="51" t="n">
        <v>23418.2293962647</v>
      </c>
      <c r="C11" s="6" t="n">
        <v>0.03379226437069857</v>
      </c>
      <c r="E11" s="7" t="n">
        <v>0</v>
      </c>
      <c r="F11" s="53" t="n">
        <v>114820</v>
      </c>
      <c r="G11" s="6" t="n">
        <v>0.1577574859925312</v>
      </c>
      <c r="K11" s="4" t="n">
        <v>5.667919157236973</v>
      </c>
      <c r="L11" s="4" t="n">
        <v>5.293434079705722</v>
      </c>
    </row>
    <row r="12" spans="1:12">
      <c r="A12" t="n">
        <v>1</v>
      </c>
      <c r="B12" s="51" t="n">
        <v>38007.7726745204</v>
      </c>
      <c r="C12" s="6" t="n">
        <v>0.05484482539758826</v>
      </c>
      <c r="E12" s="7" t="n">
        <v>1</v>
      </c>
      <c r="F12" s="53" t="n">
        <v>86932</v>
      </c>
      <c r="G12" s="6" t="n">
        <v>0.1194406355365156</v>
      </c>
      <c r="K12" s="4" t="n"/>
      <c r="L12" s="7" t="n"/>
    </row>
    <row r="13" spans="1:12">
      <c r="A13" t="n">
        <v>2</v>
      </c>
      <c r="B13" s="51" t="n">
        <v>49372.0963588786</v>
      </c>
      <c r="C13" s="6" t="n">
        <v>0.07124342769316903</v>
      </c>
      <c r="E13" s="7" t="n">
        <v>2</v>
      </c>
      <c r="F13" s="53" t="n">
        <v>58733</v>
      </c>
      <c r="G13" s="6" t="n">
        <v>0.08069648514892296</v>
      </c>
    </row>
    <row r="14" spans="1:12">
      <c r="A14" t="n">
        <v>3</v>
      </c>
      <c r="B14" s="51" t="n">
        <v>77269.26959488761</v>
      </c>
      <c r="C14" s="6" t="n">
        <v>0.1114987619985354</v>
      </c>
      <c r="E14" s="7" t="n">
        <v>3</v>
      </c>
      <c r="F14" s="53" t="n">
        <v>37532</v>
      </c>
      <c r="G14" s="6" t="n">
        <v>0.05156727019919596</v>
      </c>
    </row>
    <row r="15" spans="1:12">
      <c r="A15" t="n">
        <v>4</v>
      </c>
      <c r="B15" s="51" t="n">
        <v>160492.4602989959</v>
      </c>
      <c r="C15" s="6" t="n">
        <v>0.2315889709745762</v>
      </c>
      <c r="E15" s="7" t="n">
        <v>4</v>
      </c>
      <c r="F15" s="53" t="n">
        <v>109389</v>
      </c>
      <c r="G15" s="6" t="n">
        <v>0.1502955376697178</v>
      </c>
    </row>
    <row r="16" spans="1:12">
      <c r="A16" t="n">
        <v>5</v>
      </c>
      <c r="B16" s="51" t="n">
        <v>82262.3493280199</v>
      </c>
      <c r="C16" s="6" t="n">
        <v>0.1187037247440492</v>
      </c>
      <c r="E16" s="7" t="n">
        <v>5</v>
      </c>
      <c r="F16" s="53" t="n">
        <v>61071</v>
      </c>
      <c r="G16" s="6" t="n">
        <v>0.08390879138695237</v>
      </c>
    </row>
    <row r="17" spans="1:12">
      <c r="A17" t="n">
        <v>6</v>
      </c>
      <c r="B17" s="51" t="n">
        <v>100071.6282669634</v>
      </c>
      <c r="C17" s="6" t="n">
        <v>0.1444023312429797</v>
      </c>
      <c r="E17" s="7" t="n">
        <v>6</v>
      </c>
      <c r="F17" s="53" t="n">
        <v>62558</v>
      </c>
      <c r="G17" s="6" t="n">
        <v>0.08595186212089154</v>
      </c>
    </row>
    <row r="18" spans="1:12">
      <c r="A18" t="n">
        <v>7</v>
      </c>
      <c r="B18" s="51" t="n">
        <v>27034.5128229956</v>
      </c>
      <c r="C18" s="6" t="n">
        <v>0.03901052419417429</v>
      </c>
      <c r="E18" s="7" t="n">
        <v>7</v>
      </c>
      <c r="F18" s="53" t="n">
        <v>25295</v>
      </c>
      <c r="G18" s="6" t="n">
        <v>0.03475418575318826</v>
      </c>
    </row>
    <row r="19" spans="1:12">
      <c r="A19" t="n">
        <v>8</v>
      </c>
      <c r="B19" s="51" t="n">
        <v>32272.5266751284</v>
      </c>
      <c r="C19" s="6" t="n">
        <v>0.04656892435643787</v>
      </c>
      <c r="E19" s="7" t="n">
        <v>8</v>
      </c>
      <c r="F19" s="53" t="n">
        <v>67590</v>
      </c>
      <c r="G19" s="6" t="n">
        <v>0.09286560249290353</v>
      </c>
    </row>
    <row r="20" spans="1:12">
      <c r="A20" t="n">
        <v>9</v>
      </c>
      <c r="B20" s="51" t="n">
        <v>20750.8140715739</v>
      </c>
      <c r="C20" s="6" t="n">
        <v>0.0299432114678014</v>
      </c>
      <c r="E20" s="7" t="n">
        <v>9</v>
      </c>
      <c r="F20" s="53" t="n">
        <v>15329</v>
      </c>
      <c r="G20" s="6" t="n">
        <v>0.02106135257602779</v>
      </c>
    </row>
    <row r="21" spans="1:12">
      <c r="A21" t="n">
        <v>10</v>
      </c>
      <c r="B21" s="51" t="n">
        <v>30541.4142343276</v>
      </c>
      <c r="C21" s="6" t="n">
        <v>0.04407094689345014</v>
      </c>
      <c r="E21" s="7" t="n">
        <v>10</v>
      </c>
      <c r="F21" s="53" t="n">
        <v>11822</v>
      </c>
      <c r="G21" s="6" t="n">
        <v>0.01624289321898366</v>
      </c>
    </row>
    <row r="22" spans="1:12">
      <c r="A22" t="n">
        <v>11</v>
      </c>
      <c r="B22" s="51" t="n">
        <v>8694.528943199701</v>
      </c>
      <c r="C22" s="6" t="n">
        <v>0.01254611591917185</v>
      </c>
      <c r="E22" s="7" t="n">
        <v>11</v>
      </c>
      <c r="F22" s="53" t="n">
        <v>12046</v>
      </c>
      <c r="G22" s="6" t="n">
        <v>0.01655065908610025</v>
      </c>
    </row>
    <row r="23" spans="1:12">
      <c r="A23" t="n">
        <v>12</v>
      </c>
      <c r="B23" s="51" t="n">
        <v>3976.4651668625</v>
      </c>
      <c r="C23" s="6" t="n">
        <v>0.005737998373221365</v>
      </c>
      <c r="E23" s="7" t="n">
        <v>12</v>
      </c>
      <c r="F23" s="53" t="n">
        <v>13480</v>
      </c>
      <c r="G23" s="6" t="n">
        <v>0.018520910217552</v>
      </c>
    </row>
    <row r="24" spans="1:12">
      <c r="A24" t="n">
        <v>13</v>
      </c>
      <c r="B24" s="51" t="n">
        <v>3093.0442014216</v>
      </c>
      <c r="C24" s="6" t="n">
        <v>0.004463230998214</v>
      </c>
      <c r="E24" s="7" t="n">
        <v>13</v>
      </c>
      <c r="F24" s="53" t="n">
        <v>16084</v>
      </c>
      <c r="G24" s="6" t="n">
        <v>0.02209868842278237</v>
      </c>
    </row>
    <row r="25" spans="1:12">
      <c r="A25" t="n">
        <v>14</v>
      </c>
      <c r="B25" s="51" t="n">
        <v>4985.9258246744</v>
      </c>
      <c r="C25" s="6" t="n">
        <v>0.007194639729123362</v>
      </c>
      <c r="E25" s="7" t="n">
        <v>14</v>
      </c>
      <c r="F25" s="53" t="n">
        <v>5595</v>
      </c>
      <c r="G25" s="6" t="n">
        <v>0.00768727690409521</v>
      </c>
    </row>
    <row r="26" spans="1:12">
      <c r="A26" t="n">
        <v>15</v>
      </c>
      <c r="B26" s="51" t="n">
        <v>4738.2773076505</v>
      </c>
      <c r="C26" s="6" t="n">
        <v>0.006837285463919268</v>
      </c>
      <c r="E26" s="7" t="n">
        <v>15</v>
      </c>
      <c r="F26" s="53" t="n">
        <v>11621</v>
      </c>
      <c r="G26" s="6" t="n">
        <v>0.01596672831143707</v>
      </c>
    </row>
    <row r="27" spans="1:12">
      <c r="A27" t="n">
        <v>16</v>
      </c>
      <c r="B27" s="51" t="n">
        <v>4568.9158708242</v>
      </c>
      <c r="C27" s="6" t="n">
        <v>0.006592898650954298</v>
      </c>
      <c r="E27" s="7" t="n">
        <v>16</v>
      </c>
      <c r="F27" s="53" t="n">
        <v>2594</v>
      </c>
      <c r="G27" s="6" t="n">
        <v>0.003564038657591237</v>
      </c>
    </row>
    <row r="28" spans="1:12">
      <c r="A28" t="n">
        <v>17</v>
      </c>
      <c r="B28" s="51" t="n">
        <v>2983.6074133344</v>
      </c>
      <c r="C28" s="6" t="n">
        <v>0.004305314837587755</v>
      </c>
      <c r="E28" s="7" t="n">
        <v>17</v>
      </c>
      <c r="F28" s="53" t="n">
        <v>4374</v>
      </c>
      <c r="G28" s="6" t="n">
        <v>0.006009678137357006</v>
      </c>
    </row>
    <row r="29" spans="1:12">
      <c r="A29" t="n">
        <v>18</v>
      </c>
      <c r="B29" s="51" t="n">
        <v>995.7219531329</v>
      </c>
      <c r="C29" s="6" t="n">
        <v>0.001436816546230529</v>
      </c>
      <c r="E29" s="7" t="n">
        <v>18</v>
      </c>
      <c r="F29" s="53" t="n">
        <v>1604</v>
      </c>
      <c r="G29" s="6" t="n">
        <v>0.002203823441317018</v>
      </c>
    </row>
    <row r="30" spans="1:12">
      <c r="A30" t="n">
        <v>19</v>
      </c>
      <c r="B30" s="51" t="n">
        <v>604.7034079683999</v>
      </c>
      <c r="C30" s="6" t="n">
        <v>0.0008725808037045666</v>
      </c>
      <c r="E30" s="7" t="n">
        <v>19</v>
      </c>
      <c r="F30" s="53" t="n">
        <v>913</v>
      </c>
      <c r="G30" s="6" t="n">
        <v>0.001254420699452891</v>
      </c>
    </row>
    <row r="31" spans="1:12">
      <c r="A31" t="n">
        <v>20</v>
      </c>
      <c r="B31" s="51" t="n">
        <v>143.9264017335</v>
      </c>
      <c r="C31" s="6" t="n">
        <v>0.0002076843186990714</v>
      </c>
      <c r="E31" s="7" t="n">
        <v>20</v>
      </c>
      <c r="F31" s="53" t="n">
        <v>1054</v>
      </c>
      <c r="G31" s="6" t="n">
        <v>0.001448148321164674</v>
      </c>
    </row>
    <row r="32" spans="1:12">
      <c r="A32" t="n">
        <v>21</v>
      </c>
      <c r="B32" s="51" t="n">
        <v>0</v>
      </c>
      <c r="C32" s="6" t="n">
        <v>0</v>
      </c>
      <c r="E32" s="7" t="n">
        <v>21</v>
      </c>
      <c r="F32" s="53" t="n">
        <v>1959</v>
      </c>
      <c r="G32" s="6" t="n">
        <v>0.002691577382506259</v>
      </c>
    </row>
    <row r="33" spans="1:12">
      <c r="A33" t="n">
        <v>22</v>
      </c>
      <c r="B33" s="51" t="n">
        <v>2237.1382937662</v>
      </c>
      <c r="C33" s="6" t="n">
        <v>0.003228167568843574</v>
      </c>
      <c r="E33" s="7" t="n">
        <v>22</v>
      </c>
      <c r="F33" s="53" t="n">
        <v>609</v>
      </c>
      <c r="G33" s="6" t="n">
        <v>0.0008367384512232319</v>
      </c>
    </row>
    <row r="34" spans="1:12">
      <c r="A34" t="n">
        <v>23</v>
      </c>
      <c r="B34" s="51" t="n">
        <v>704.037746628</v>
      </c>
      <c r="C34" s="6" t="n">
        <v>0.001015919233620584</v>
      </c>
      <c r="E34" s="7" t="n">
        <v>23</v>
      </c>
      <c r="F34" s="53" t="n">
        <v>530</v>
      </c>
      <c r="G34" s="6" t="n">
        <v>0.000728196024874077</v>
      </c>
    </row>
    <row r="35" spans="1:12">
      <c r="A35" t="n">
        <v>24</v>
      </c>
      <c r="B35" s="51" t="n">
        <v>1181.737533489</v>
      </c>
      <c r="C35" s="6" t="n">
        <v>0.001705235117169324</v>
      </c>
      <c r="E35" s="7" t="n">
        <v>24</v>
      </c>
      <c r="F35" s="53" t="n">
        <v>1073</v>
      </c>
      <c r="G35" s="6" t="n">
        <v>0.001474253461679028</v>
      </c>
    </row>
    <row r="36" spans="1:12">
      <c r="A36" t="n">
        <v>25</v>
      </c>
      <c r="B36" s="51" t="n">
        <v>0</v>
      </c>
      <c r="C36" s="6" t="n">
        <v>0</v>
      </c>
      <c r="E36" s="7" t="n">
        <v>25</v>
      </c>
      <c r="F36" s="53" t="n">
        <v>480</v>
      </c>
      <c r="G36" s="6" t="n">
        <v>0.0006594982866784094</v>
      </c>
    </row>
    <row r="37" spans="1:12">
      <c r="A37" t="n">
        <v>26</v>
      </c>
      <c r="B37" s="51" t="n">
        <v>9134.139197189999</v>
      </c>
      <c r="C37" s="6" t="n">
        <v>0.01318046899820009</v>
      </c>
      <c r="E37" s="7" t="n">
        <v>26</v>
      </c>
      <c r="F37" s="53" t="n">
        <v>236</v>
      </c>
      <c r="G37" s="6" t="n">
        <v>0.0003242533242835513</v>
      </c>
    </row>
    <row r="38" spans="1:12">
      <c r="A38" t="n">
        <v>27</v>
      </c>
      <c r="B38" s="51" t="n">
        <v>0</v>
      </c>
      <c r="C38" s="6" t="n">
        <v>0</v>
      </c>
      <c r="E38" s="7" t="n">
        <v>27</v>
      </c>
      <c r="F38" s="53" t="n">
        <v>1288</v>
      </c>
      <c r="G38" s="6" t="n">
        <v>0.001769653735920399</v>
      </c>
    </row>
    <row r="39" spans="1:12">
      <c r="A39" t="n">
        <v>28</v>
      </c>
      <c r="B39" s="51" t="n">
        <v>0</v>
      </c>
      <c r="C39" s="6" t="n">
        <v>0</v>
      </c>
      <c r="E39" s="7" t="n">
        <v>28</v>
      </c>
      <c r="F39" s="53" t="n">
        <v>179</v>
      </c>
      <c r="G39" s="6" t="n">
        <v>0.0002459379027404902</v>
      </c>
    </row>
    <row r="40" spans="1:12">
      <c r="A40" t="n">
        <v>29</v>
      </c>
      <c r="B40" s="51" t="n">
        <v>0</v>
      </c>
      <c r="C40" s="6" t="n">
        <v>0</v>
      </c>
      <c r="E40" s="7" t="n">
        <v>29</v>
      </c>
      <c r="F40" s="53" t="n">
        <v>317</v>
      </c>
      <c r="G40" s="6" t="n">
        <v>0.0004355436601605329</v>
      </c>
    </row>
    <row r="41" spans="1:12">
      <c r="A41" t="n">
        <v>30</v>
      </c>
      <c r="B41" s="51" t="n">
        <v>0</v>
      </c>
      <c r="C41" s="6" t="n">
        <v>0</v>
      </c>
      <c r="E41" s="7" t="n">
        <v>30</v>
      </c>
      <c r="F41" s="53" t="n">
        <v>184</v>
      </c>
      <c r="G41" s="6" t="n">
        <v>0.0002528076765600569</v>
      </c>
    </row>
    <row r="42" spans="1:12">
      <c r="A42" t="n">
        <v>31</v>
      </c>
      <c r="B42" s="51" t="n">
        <v>889.701534148</v>
      </c>
      <c r="C42" s="6" t="n">
        <v>0.001283830171111946</v>
      </c>
      <c r="E42" s="7" t="n">
        <v>31</v>
      </c>
      <c r="F42" s="53" t="n">
        <v>96</v>
      </c>
      <c r="G42" s="6" t="n">
        <v>0.0001318996573356819</v>
      </c>
    </row>
    <row r="43" spans="1:12">
      <c r="A43" t="n">
        <v>32</v>
      </c>
      <c r="B43" s="51" t="n">
        <v>464.442048857</v>
      </c>
      <c r="C43" s="6" t="n">
        <v>0.0006701851038468341</v>
      </c>
      <c r="E43" s="7" t="n">
        <v>32</v>
      </c>
      <c r="F43" s="53" t="n">
        <v>118</v>
      </c>
      <c r="G43" s="6" t="n">
        <v>0.0001621266621417756</v>
      </c>
    </row>
    <row r="44" spans="1:12">
      <c r="A44" t="n">
        <v>33</v>
      </c>
      <c r="B44" s="51" t="n">
        <v>0</v>
      </c>
      <c r="C44" s="6" t="n">
        <v>0</v>
      </c>
      <c r="E44" s="7" t="n">
        <v>33</v>
      </c>
      <c r="F44" s="53" t="n">
        <v>79</v>
      </c>
      <c r="G44" s="6" t="n">
        <v>0.0001085424263491549</v>
      </c>
    </row>
    <row r="45" spans="1:12">
      <c r="A45" t="n">
        <v>34</v>
      </c>
      <c r="B45" s="51" t="n">
        <v>0</v>
      </c>
      <c r="C45" s="6" t="n">
        <v>0</v>
      </c>
      <c r="E45" s="7" t="n">
        <v>34</v>
      </c>
      <c r="F45" s="53" t="n">
        <v>51</v>
      </c>
      <c r="G45" s="6" t="n">
        <v>7.007169295958099e-05</v>
      </c>
    </row>
    <row r="46" spans="1:12">
      <c r="A46" t="n">
        <v>35</v>
      </c>
      <c r="B46" s="51" t="n">
        <v>0</v>
      </c>
      <c r="C46" s="6" t="n">
        <v>0</v>
      </c>
      <c r="E46" s="7" t="n">
        <v>35</v>
      </c>
      <c r="F46" s="53" t="n">
        <v>26</v>
      </c>
      <c r="G46" s="6" t="n">
        <v>3.572282386174718e-05</v>
      </c>
    </row>
    <row r="47" spans="1:12">
      <c r="A47" t="n">
        <v>36</v>
      </c>
      <c r="B47" s="51" t="n">
        <v>183.053312801</v>
      </c>
      <c r="C47" s="6" t="n">
        <v>0.0002641440492973491</v>
      </c>
      <c r="E47" s="7" t="n">
        <v>36</v>
      </c>
      <c r="F47" s="53" t="n">
        <v>91</v>
      </c>
      <c r="G47" s="6" t="n">
        <v>0.0001250298835161151</v>
      </c>
    </row>
    <row r="48" spans="1:12">
      <c r="A48" t="n">
        <v>37</v>
      </c>
      <c r="B48" s="51" t="n">
        <v>0</v>
      </c>
      <c r="C48" s="6" t="n">
        <v>0</v>
      </c>
      <c r="E48" s="7" t="n">
        <v>37</v>
      </c>
      <c r="F48" s="53" t="n">
        <v>20</v>
      </c>
      <c r="G48" s="6" t="n">
        <v>2.747909527826706e-05</v>
      </c>
    </row>
    <row r="49" spans="1:12">
      <c r="A49" t="n">
        <v>38</v>
      </c>
      <c r="B49" s="51" t="n">
        <v>0</v>
      </c>
      <c r="C49" s="6" t="n">
        <v>0</v>
      </c>
      <c r="E49" s="7" t="n">
        <v>38</v>
      </c>
      <c r="F49" s="53" t="n">
        <v>18</v>
      </c>
      <c r="G49" s="6" t="n">
        <v>2.473118575044035e-05</v>
      </c>
    </row>
    <row r="50" spans="1:12">
      <c r="A50" t="n">
        <v>39</v>
      </c>
      <c r="B50" s="51" t="n">
        <v>0</v>
      </c>
      <c r="C50" s="6" t="n">
        <v>0</v>
      </c>
      <c r="E50" s="7" t="n">
        <v>39</v>
      </c>
      <c r="F50" s="53" t="n">
        <v>8</v>
      </c>
      <c r="G50" s="6" t="n">
        <v>1.099163811130682e-05</v>
      </c>
    </row>
    <row r="51" spans="1:12">
      <c r="A51" t="n">
        <v>40</v>
      </c>
      <c r="B51" s="51" t="n">
        <v>0</v>
      </c>
      <c r="C51" s="6" t="n">
        <v>0</v>
      </c>
      <c r="E51" s="7" t="n">
        <v>40</v>
      </c>
      <c r="F51" s="53" t="n">
        <v>3</v>
      </c>
      <c r="G51" s="6" t="n">
        <v>4.121864291740059e-06</v>
      </c>
    </row>
    <row r="52" spans="1:12">
      <c r="A52" t="n">
        <v>41</v>
      </c>
      <c r="B52" s="51" t="n">
        <v>0</v>
      </c>
      <c r="C52" s="6" t="n">
        <v>0</v>
      </c>
      <c r="E52" s="7" t="n">
        <v>41</v>
      </c>
      <c r="F52" s="53" t="n">
        <v>7</v>
      </c>
      <c r="G52" s="6" t="n">
        <v>9.61768334739347e-06</v>
      </c>
    </row>
    <row r="53" spans="1:12">
      <c r="A53" t="n">
        <v>42</v>
      </c>
      <c r="B53" s="51" t="n">
        <v>0</v>
      </c>
      <c r="C53" s="6" t="n">
        <v>0</v>
      </c>
      <c r="E53" s="7" t="n">
        <v>42</v>
      </c>
      <c r="F53" s="53" t="n">
        <v>2</v>
      </c>
      <c r="G53" s="6" t="n">
        <v>2.747909527826706e-06</v>
      </c>
    </row>
    <row r="54" spans="1:12">
      <c r="A54" t="n">
        <v>43</v>
      </c>
      <c r="B54" s="51" t="n">
        <v>0</v>
      </c>
      <c r="C54" s="6" t="n">
        <v>0</v>
      </c>
      <c r="E54" s="7" t="n">
        <v>43</v>
      </c>
      <c r="F54" s="53" t="n">
        <v>1</v>
      </c>
      <c r="G54" s="6" t="n">
        <v>1.373954763913353e-06</v>
      </c>
    </row>
    <row r="55" spans="1:12">
      <c r="A55" t="n">
        <v>44</v>
      </c>
      <c r="B55" s="51" t="n">
        <v>0</v>
      </c>
      <c r="C55" s="6" t="n">
        <v>0</v>
      </c>
      <c r="E55" s="7" t="n">
        <v>44</v>
      </c>
      <c r="F55" s="53" t="n">
        <v>2</v>
      </c>
      <c r="G55" s="6" t="n">
        <v>2.747909527826706e-06</v>
      </c>
    </row>
    <row r="56" spans="1:12">
      <c r="A56" t="n">
        <v>45</v>
      </c>
      <c r="B56" s="51" t="n">
        <v>250.40304101</v>
      </c>
      <c r="C56" s="6" t="n">
        <v>0.0003613290150102667</v>
      </c>
      <c r="E56" s="7" t="n">
        <v>45</v>
      </c>
      <c r="F56" s="53" t="n">
        <v>3</v>
      </c>
      <c r="G56" s="6" t="n">
        <v>4.121864291740059e-06</v>
      </c>
    </row>
    <row r="57" spans="1:12">
      <c r="A57" t="n">
        <v>46</v>
      </c>
      <c r="B57" s="51" t="n">
        <v>0</v>
      </c>
      <c r="C57" s="6" t="n">
        <v>0</v>
      </c>
      <c r="E57" s="7" t="n">
        <v>46</v>
      </c>
      <c r="F57" s="53" t="n">
        <v>2</v>
      </c>
      <c r="G57" s="6" t="n">
        <v>2.747909527826706e-06</v>
      </c>
    </row>
    <row r="58" spans="1:12">
      <c r="A58" t="n">
        <v>47</v>
      </c>
      <c r="B58" s="51" t="n">
        <v>0</v>
      </c>
      <c r="C58" s="6" t="n">
        <v>0</v>
      </c>
      <c r="E58" s="7" t="n">
        <v>47</v>
      </c>
      <c r="F58" s="53" t="n">
        <v>0</v>
      </c>
      <c r="G58" s="6" t="n">
        <v>0</v>
      </c>
    </row>
    <row r="59" spans="1:12">
      <c r="A59" t="n">
        <v>48</v>
      </c>
      <c r="B59" s="51" t="n">
        <v>0</v>
      </c>
      <c r="C59" s="6" t="n">
        <v>0</v>
      </c>
      <c r="E59" s="7" t="n">
        <v>48</v>
      </c>
      <c r="F59" s="53" t="n">
        <v>0</v>
      </c>
      <c r="G59" s="6" t="n">
        <v>0</v>
      </c>
    </row>
    <row r="60" spans="1:12">
      <c r="A60" t="n">
        <v>49</v>
      </c>
      <c r="B60" s="51" t="n">
        <v>0</v>
      </c>
      <c r="C60" s="6" t="n">
        <v>0</v>
      </c>
      <c r="E60" s="7" t="n">
        <v>49</v>
      </c>
      <c r="F60" s="53" t="n">
        <v>1</v>
      </c>
      <c r="G60" s="6" t="n">
        <v>1.373954763913353e-06</v>
      </c>
    </row>
    <row r="61" spans="1:12">
      <c r="A61" t="n">
        <v>50</v>
      </c>
      <c r="B61" s="51" t="n">
        <v>0</v>
      </c>
      <c r="C61" s="6" t="n">
        <v>0</v>
      </c>
      <c r="E61" s="7" t="n">
        <v>50</v>
      </c>
      <c r="F61" s="53" t="n">
        <v>1</v>
      </c>
      <c r="G61" s="6" t="n">
        <v>1.373954763913353e-06</v>
      </c>
    </row>
    <row r="62" spans="1:12">
      <c r="A62" t="n">
        <v>51</v>
      </c>
      <c r="B62" s="51" t="n">
        <v>0</v>
      </c>
      <c r="C62" s="6" t="n">
        <v>0</v>
      </c>
      <c r="E62" s="7" t="n">
        <v>51</v>
      </c>
      <c r="F62" s="53" t="n">
        <v>3</v>
      </c>
      <c r="G62" s="6" t="n">
        <v>4.121864291740059e-06</v>
      </c>
    </row>
    <row r="63" spans="1:12">
      <c r="A63" t="n">
        <v>52</v>
      </c>
      <c r="B63" s="51" t="n">
        <v>0</v>
      </c>
      <c r="C63" s="6" t="n">
        <v>0</v>
      </c>
      <c r="E63" s="7" t="n">
        <v>52</v>
      </c>
      <c r="F63" s="53" t="n">
        <v>0</v>
      </c>
      <c r="G63" s="6" t="n">
        <v>0</v>
      </c>
    </row>
    <row r="64" spans="1:12">
      <c r="A64" t="n">
        <v>53</v>
      </c>
      <c r="B64" s="51" t="n">
        <v>0</v>
      </c>
      <c r="C64" s="6" t="n">
        <v>0</v>
      </c>
      <c r="E64" s="7" t="n">
        <v>53</v>
      </c>
      <c r="F64" s="53" t="n">
        <v>2</v>
      </c>
      <c r="G64" s="6" t="n">
        <v>2.747909527826706e-06</v>
      </c>
    </row>
    <row r="65" spans="1:12">
      <c r="A65" t="n">
        <v>54</v>
      </c>
      <c r="B65" s="51" t="n">
        <v>444.572467296</v>
      </c>
      <c r="C65" s="6" t="n">
        <v>0.0006415135018361559</v>
      </c>
      <c r="E65" s="7" t="n">
        <v>54</v>
      </c>
      <c r="F65" s="53" t="n">
        <v>0</v>
      </c>
      <c r="G65" s="6" t="n">
        <v>0</v>
      </c>
    </row>
    <row r="66" spans="1:12">
      <c r="A66" t="n">
        <v>55</v>
      </c>
      <c r="B66" s="51" t="n">
        <v>0</v>
      </c>
      <c r="C66" s="6" t="n">
        <v>0</v>
      </c>
      <c r="E66" s="7" t="n">
        <v>55</v>
      </c>
      <c r="F66" s="53" t="n">
        <v>1</v>
      </c>
      <c r="G66" s="6" t="n">
        <v>1.373954763913353e-06</v>
      </c>
    </row>
    <row r="67" spans="1:12">
      <c r="A67" t="n">
        <v>56</v>
      </c>
      <c r="B67" s="51" t="n">
        <v>668.7115357709999</v>
      </c>
      <c r="C67" s="6" t="n">
        <v>0.0009649438743696753</v>
      </c>
      <c r="E67" s="7" t="n">
        <v>56</v>
      </c>
      <c r="F67" s="53" t="n">
        <v>0</v>
      </c>
      <c r="G67" s="6" t="n">
        <v>0</v>
      </c>
    </row>
    <row r="68" spans="1:12">
      <c r="A68" t="n">
        <v>57</v>
      </c>
      <c r="B68" s="51" t="n">
        <v>569.501209051</v>
      </c>
      <c r="C68" s="6" t="n">
        <v>0.0008217843924081415</v>
      </c>
      <c r="E68" s="7" t="n">
        <v>57</v>
      </c>
      <c r="F68" s="53" t="n">
        <v>0</v>
      </c>
      <c r="G68" s="6" t="n">
        <v>0</v>
      </c>
    </row>
    <row r="69" spans="1:12">
      <c r="A69" t="n">
        <v>58</v>
      </c>
      <c r="B69" s="51" t="n">
        <v>0</v>
      </c>
      <c r="C69" s="6" t="n">
        <v>0</v>
      </c>
      <c r="E69" s="7" t="n">
        <v>58</v>
      </c>
      <c r="F69" s="53" t="n">
        <v>0</v>
      </c>
      <c r="G69" s="6" t="n">
        <v>0</v>
      </c>
    </row>
    <row r="70" spans="1:12">
      <c r="A70" t="n">
        <v>59</v>
      </c>
      <c r="B70" s="51" t="n">
        <v>0</v>
      </c>
      <c r="C70" s="6" t="n">
        <v>0</v>
      </c>
      <c r="E70" s="7" t="n">
        <v>59</v>
      </c>
      <c r="F70" s="53" t="n">
        <v>0</v>
      </c>
      <c r="G70" s="6" t="n">
        <v>0</v>
      </c>
    </row>
    <row r="71" spans="1:12">
      <c r="A71" t="n">
        <v>60</v>
      </c>
      <c r="B71" s="51" t="n">
        <v>0</v>
      </c>
      <c r="C71" s="6" t="n">
        <v>0</v>
      </c>
      <c r="E71" s="7" t="n">
        <v>60</v>
      </c>
      <c r="F71" s="53" t="n">
        <v>0</v>
      </c>
      <c r="G71" s="6" t="n">
        <v>0</v>
      </c>
    </row>
    <row r="72" spans="1:12">
      <c r="A72" t="n">
        <v>61</v>
      </c>
      <c r="B72" s="51" t="n">
        <v>0</v>
      </c>
      <c r="C72" s="6" t="n">
        <v>0</v>
      </c>
      <c r="E72" s="7" t="n">
        <v>61</v>
      </c>
      <c r="F72" s="53" t="n">
        <v>0</v>
      </c>
      <c r="G72" s="6" t="n">
        <v>0</v>
      </c>
    </row>
    <row r="73" spans="1:12">
      <c r="A73" t="n">
        <v>62</v>
      </c>
      <c r="B73" s="51" t="n">
        <v>0</v>
      </c>
      <c r="C73" s="6" t="n">
        <v>0</v>
      </c>
      <c r="E73" s="7" t="n">
        <v>62</v>
      </c>
      <c r="F73" s="53" t="n">
        <v>0</v>
      </c>
      <c r="G73" s="6" t="n">
        <v>0</v>
      </c>
    </row>
    <row r="74" spans="1:12">
      <c r="A74" t="n">
        <v>63</v>
      </c>
      <c r="B74" s="51" t="n">
        <v>0</v>
      </c>
      <c r="C74" s="6" t="n">
        <v>0</v>
      </c>
      <c r="E74" s="7" t="n">
        <v>63</v>
      </c>
      <c r="F74" s="53" t="n">
        <v>0</v>
      </c>
      <c r="G74" s="6" t="n">
        <v>0</v>
      </c>
    </row>
    <row r="75" spans="1:12">
      <c r="A75" t="n">
        <v>64</v>
      </c>
      <c r="B75" s="51" t="n">
        <v>0</v>
      </c>
      <c r="C75" s="6" t="n">
        <v>0</v>
      </c>
      <c r="E75" s="7" t="n">
        <v>64</v>
      </c>
      <c r="F75" s="53" t="n">
        <v>0</v>
      </c>
      <c r="G75" s="6" t="n">
        <v>0</v>
      </c>
    </row>
    <row r="76" spans="1:12">
      <c r="A76" t="n">
        <v>65</v>
      </c>
      <c r="B76" s="51" t="n">
        <v>0</v>
      </c>
      <c r="C76" s="6" t="n">
        <v>0</v>
      </c>
      <c r="E76" s="7" t="n">
        <v>65</v>
      </c>
      <c r="F76" s="53" t="n">
        <v>0</v>
      </c>
      <c r="G76" s="6" t="n">
        <v>0</v>
      </c>
    </row>
    <row r="77" spans="1:12">
      <c r="A77" t="n">
        <v>66</v>
      </c>
      <c r="B77" s="51" t="n">
        <v>0</v>
      </c>
      <c r="C77" s="6" t="n">
        <v>0</v>
      </c>
      <c r="E77" s="7" t="n">
        <v>66</v>
      </c>
      <c r="F77" s="53" t="n">
        <v>0</v>
      </c>
      <c r="G77" s="6" t="n">
        <v>0</v>
      </c>
    </row>
    <row r="78" spans="1:12">
      <c r="A78" t="n">
        <v>67</v>
      </c>
      <c r="B78" s="51" t="n">
        <v>0</v>
      </c>
      <c r="C78" s="6" t="n">
        <v>0</v>
      </c>
      <c r="E78" s="7" t="n">
        <v>67</v>
      </c>
      <c r="F78" s="53" t="n">
        <v>0</v>
      </c>
      <c r="G78" s="6" t="n">
        <v>0</v>
      </c>
    </row>
    <row r="79" spans="1:12">
      <c r="A79" t="n">
        <v>68</v>
      </c>
      <c r="B79" s="51" t="n">
        <v>0</v>
      </c>
      <c r="C79" s="6" t="n">
        <v>0</v>
      </c>
      <c r="E79" s="7" t="n">
        <v>68</v>
      </c>
      <c r="F79" s="53" t="n">
        <v>0</v>
      </c>
      <c r="G79" s="6" t="n">
        <v>0</v>
      </c>
    </row>
    <row r="80" spans="1:12">
      <c r="A80" t="n">
        <v>69</v>
      </c>
      <c r="B80" s="51" t="n">
        <v>0</v>
      </c>
      <c r="C80" s="6" t="n">
        <v>0</v>
      </c>
      <c r="E80" s="7" t="n">
        <v>69</v>
      </c>
      <c r="F80" s="53" t="n">
        <v>0</v>
      </c>
      <c r="G80" s="6" t="n">
        <v>0</v>
      </c>
    </row>
    <row r="81" spans="1:12">
      <c r="A81" t="n">
        <v>70</v>
      </c>
      <c r="B81" s="51" t="n">
        <v>0</v>
      </c>
      <c r="C81" s="6" t="n">
        <v>0</v>
      </c>
      <c r="E81" s="7" t="n">
        <v>70</v>
      </c>
      <c r="F81" s="53" t="n">
        <v>0</v>
      </c>
      <c r="G81" s="6" t="n">
        <v>0</v>
      </c>
    </row>
    <row r="82" spans="1:12">
      <c r="A82" t="n">
        <v>71</v>
      </c>
      <c r="B82" s="51" t="n">
        <v>0</v>
      </c>
      <c r="C82" s="6" t="n">
        <v>0</v>
      </c>
      <c r="E82" s="7" t="n">
        <v>71</v>
      </c>
      <c r="F82" s="53" t="n">
        <v>0</v>
      </c>
      <c r="G82" s="6" t="n">
        <v>0</v>
      </c>
    </row>
    <row r="83" spans="1:12">
      <c r="A83" t="n">
        <v>72</v>
      </c>
      <c r="B83" s="51" t="n">
        <v>0</v>
      </c>
      <c r="C83" s="6" t="n">
        <v>0</v>
      </c>
      <c r="E83" s="7" t="n">
        <v>72</v>
      </c>
      <c r="F83" s="53" t="n">
        <v>0</v>
      </c>
      <c r="G83" s="6" t="n">
        <v>0</v>
      </c>
    </row>
    <row r="84" spans="1:12">
      <c r="A84" t="n">
        <v>73</v>
      </c>
      <c r="B84" s="51" t="n">
        <v>0</v>
      </c>
      <c r="C84" s="6" t="n">
        <v>0</v>
      </c>
      <c r="E84" s="7" t="n">
        <v>73</v>
      </c>
      <c r="F84" s="53" t="n">
        <v>0</v>
      </c>
      <c r="G84" s="6" t="n">
        <v>0</v>
      </c>
    </row>
    <row r="85" spans="1:12">
      <c r="A85" t="n">
        <v>74</v>
      </c>
      <c r="B85" s="51" t="n">
        <v>0</v>
      </c>
      <c r="C85" s="6" t="n">
        <v>0</v>
      </c>
      <c r="E85" s="7" t="n">
        <v>74</v>
      </c>
      <c r="F85" s="53" t="n">
        <v>0</v>
      </c>
      <c r="G85" s="6" t="n">
        <v>0</v>
      </c>
    </row>
    <row r="86" spans="1:12">
      <c r="A86" t="n">
        <v>75</v>
      </c>
      <c r="B86" s="51" t="n">
        <v>0</v>
      </c>
      <c r="C86" s="6" t="n">
        <v>0</v>
      </c>
      <c r="E86" s="7" t="n">
        <v>75</v>
      </c>
      <c r="F86" s="53" t="n">
        <v>0</v>
      </c>
      <c r="G86" s="6" t="n">
        <v>0</v>
      </c>
    </row>
    <row r="87" spans="1:12">
      <c r="A87" t="n">
        <v>76</v>
      </c>
      <c r="B87" s="51" t="n">
        <v>0</v>
      </c>
      <c r="C87" s="6" t="n">
        <v>0</v>
      </c>
      <c r="E87" s="7" t="n">
        <v>76</v>
      </c>
      <c r="F87" s="53" t="n">
        <v>0</v>
      </c>
      <c r="G87" s="6" t="n">
        <v>0</v>
      </c>
    </row>
    <row r="88" spans="1:12">
      <c r="A88" t="n">
        <v>77</v>
      </c>
      <c r="B88" s="51" t="n">
        <v>0</v>
      </c>
      <c r="C88" s="6" t="n">
        <v>0</v>
      </c>
      <c r="E88" s="7" t="n">
        <v>77</v>
      </c>
      <c r="F88" s="53" t="n">
        <v>0</v>
      </c>
      <c r="G88" s="6" t="n">
        <v>0</v>
      </c>
    </row>
    <row r="89" spans="1:12">
      <c r="A89" t="n">
        <v>78</v>
      </c>
      <c r="B89" s="51" t="n">
        <v>0</v>
      </c>
      <c r="C89" s="6" t="n">
        <v>0</v>
      </c>
      <c r="E89" s="7" t="n">
        <v>78</v>
      </c>
      <c r="F89" s="53" t="n">
        <v>0</v>
      </c>
      <c r="G89" s="6" t="n">
        <v>0</v>
      </c>
    </row>
    <row r="90" spans="1:12">
      <c r="A90" t="n">
        <v>79</v>
      </c>
      <c r="B90" s="51" t="n">
        <v>0</v>
      </c>
      <c r="C90" s="6" t="n">
        <v>0</v>
      </c>
      <c r="E90" s="7" t="n">
        <v>79</v>
      </c>
      <c r="F90" s="53" t="n">
        <v>0</v>
      </c>
      <c r="G90" s="6" t="n">
        <v>0</v>
      </c>
    </row>
    <row r="91" spans="1:12">
      <c r="A91" t="n">
        <v>80</v>
      </c>
      <c r="B91" s="51" t="n">
        <v>0</v>
      </c>
      <c r="C91" s="6" t="n">
        <v>0</v>
      </c>
      <c r="E91" s="7" t="n">
        <v>80</v>
      </c>
      <c r="F91" s="53" t="n">
        <v>0</v>
      </c>
      <c r="G91" s="6" t="n">
        <v>0</v>
      </c>
    </row>
    <row r="92" spans="1:12">
      <c r="A92" t="n">
        <v>81</v>
      </c>
      <c r="B92" s="51" t="n">
        <v>0</v>
      </c>
      <c r="C92" s="6" t="n">
        <v>0</v>
      </c>
      <c r="E92" s="7" t="n">
        <v>81</v>
      </c>
      <c r="F92" s="53" t="n">
        <v>0</v>
      </c>
      <c r="G92" s="6" t="n">
        <v>0</v>
      </c>
    </row>
    <row r="93" spans="1:12">
      <c r="A93" t="n">
        <v>82</v>
      </c>
      <c r="B93" s="51" t="n">
        <v>0</v>
      </c>
      <c r="C93" s="6" t="n">
        <v>0</v>
      </c>
      <c r="E93" s="7" t="n">
        <v>82</v>
      </c>
      <c r="F93" s="53" t="n">
        <v>0</v>
      </c>
      <c r="G93" s="6" t="n">
        <v>0</v>
      </c>
    </row>
    <row r="94" spans="1:12">
      <c r="A94" t="n">
        <v>83</v>
      </c>
      <c r="B94" s="51" t="n">
        <v>0</v>
      </c>
      <c r="C94" s="6" t="n">
        <v>0</v>
      </c>
      <c r="E94" s="7" t="n">
        <v>83</v>
      </c>
      <c r="F94" s="53" t="n">
        <v>0</v>
      </c>
      <c r="G94" s="6" t="n">
        <v>0</v>
      </c>
    </row>
    <row r="95" spans="1:12">
      <c r="A95" t="n">
        <v>84</v>
      </c>
      <c r="B95" s="51" t="n">
        <v>0</v>
      </c>
      <c r="C95" s="6" t="n">
        <v>0</v>
      </c>
      <c r="E95" s="7" t="n">
        <v>84</v>
      </c>
      <c r="F95" s="53" t="n">
        <v>0</v>
      </c>
      <c r="G95" s="6" t="n">
        <v>0</v>
      </c>
    </row>
    <row r="96" spans="1:12">
      <c r="A96" t="n">
        <v>85</v>
      </c>
      <c r="B96" s="51" t="n">
        <v>0</v>
      </c>
      <c r="C96" s="6" t="n">
        <v>0</v>
      </c>
      <c r="E96" s="7" t="n">
        <v>85</v>
      </c>
      <c r="F96" s="53" t="n">
        <v>0</v>
      </c>
      <c r="G96" s="6" t="n">
        <v>0</v>
      </c>
    </row>
    <row r="97" spans="1:12">
      <c r="A97" t="n">
        <v>86</v>
      </c>
      <c r="B97" s="51" t="n">
        <v>0</v>
      </c>
      <c r="C97" s="6" t="n">
        <v>0</v>
      </c>
      <c r="E97" s="7" t="n">
        <v>86</v>
      </c>
      <c r="F97" s="53" t="n">
        <v>0</v>
      </c>
      <c r="G97" s="6" t="n">
        <v>0</v>
      </c>
    </row>
    <row r="98" spans="1:12">
      <c r="A98" t="n">
        <v>87</v>
      </c>
      <c r="B98" s="51" t="n">
        <v>0</v>
      </c>
      <c r="C98" s="6" t="n">
        <v>0</v>
      </c>
      <c r="E98" s="7" t="n">
        <v>87</v>
      </c>
      <c r="F98" s="53" t="n">
        <v>0</v>
      </c>
      <c r="G98" s="6" t="n">
        <v>0</v>
      </c>
    </row>
    <row r="99" spans="1:12">
      <c r="A99" t="n">
        <v>88</v>
      </c>
      <c r="B99" s="51" t="n">
        <v>0</v>
      </c>
      <c r="C99" s="6" t="n">
        <v>0</v>
      </c>
      <c r="E99" s="7" t="n">
        <v>88</v>
      </c>
      <c r="F99" s="53" t="n">
        <v>0</v>
      </c>
      <c r="G99" s="6" t="n">
        <v>0</v>
      </c>
    </row>
    <row r="100" spans="1:12">
      <c r="A100" t="n">
        <v>89</v>
      </c>
      <c r="B100" s="51" t="n">
        <v>0</v>
      </c>
      <c r="C100" s="6" t="n">
        <v>0</v>
      </c>
      <c r="E100" s="7" t="n">
        <v>89</v>
      </c>
      <c r="F100" s="53" t="n">
        <v>0</v>
      </c>
      <c r="G100" s="6" t="n">
        <v>0</v>
      </c>
    </row>
    <row customHeight="1" ht="15.75" r="101" s="43" spans="1:12">
      <c r="A101" s="1" t="n">
        <v>90</v>
      </c>
      <c r="B101" s="52" t="n">
        <v>0</v>
      </c>
      <c r="C101" s="6" t="n">
        <v>0</v>
      </c>
      <c r="E101" s="8" t="n">
        <v>90</v>
      </c>
      <c r="F101" s="54" t="n">
        <v>0</v>
      </c>
      <c r="G101" s="6" t="n">
        <v>0</v>
      </c>
    </row>
    <row r="102" spans="1:12">
      <c r="B102" s="51" t="n">
        <v>693005.6281333653</v>
      </c>
      <c r="C102" s="6" t="n">
        <v>1</v>
      </c>
      <c r="F102" s="51" t="n">
        <v>727826</v>
      </c>
      <c r="G102" s="6" t="n">
        <v>1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L102"/>
  <sheetViews>
    <sheetView workbookViewId="0">
      <selection activeCell="Q17" sqref="Q17"/>
    </sheetView>
  </sheetViews>
  <sheetFormatPr baseColWidth="10" defaultRowHeight="15" outlineLevelCol="0"/>
  <cols>
    <col collapsed="1" customWidth="1" max="1" min="1" style="43" width="13.5703125"/>
    <col collapsed="1" customWidth="1" max="2" min="2" style="43" width="10.5703125"/>
    <col collapsed="1" customWidth="1" max="6" min="6" style="43" width="10.5703125"/>
    <col collapsed="1" customWidth="1" max="12" min="12" style="43" width="15.7109375"/>
  </cols>
  <sheetData>
    <row r="1" spans="1:12">
      <c r="A1" t="s">
        <v>0</v>
      </c>
    </row>
    <row r="2" spans="1:12">
      <c r="A2" t="s">
        <v>1</v>
      </c>
    </row>
    <row r="3" spans="1:12">
      <c r="A3" t="s">
        <v>2</v>
      </c>
    </row>
    <row r="4" spans="1:12">
      <c r="A4" t="s">
        <v>3</v>
      </c>
    </row>
    <row r="5" spans="1:12">
      <c r="A5" t="s">
        <v>4</v>
      </c>
    </row>
    <row r="7" spans="1:12">
      <c r="A7" t="s">
        <v>5</v>
      </c>
    </row>
    <row customHeight="1" ht="15.75" r="9" s="43" spans="1:12">
      <c r="A9" s="3" t="s">
        <v>6</v>
      </c>
      <c r="B9" s="1" t="n"/>
      <c r="E9" s="3" t="s">
        <v>7</v>
      </c>
      <c r="F9" s="1" t="n"/>
      <c r="J9" s="5" t="s">
        <v>16</v>
      </c>
    </row>
    <row r="10" spans="1:12">
      <c r="A10" s="2" t="s">
        <v>9</v>
      </c>
      <c r="B10" s="13" t="s">
        <v>10</v>
      </c>
      <c r="C10" s="13" t="s">
        <v>10</v>
      </c>
      <c r="E10" s="2" t="s">
        <v>9</v>
      </c>
      <c r="F10" s="13" t="s">
        <v>11</v>
      </c>
      <c r="G10" s="13" t="s">
        <v>11</v>
      </c>
      <c r="J10" s="2" t="n"/>
      <c r="K10" s="13" t="s">
        <v>10</v>
      </c>
      <c r="L10" s="13" t="s">
        <v>11</v>
      </c>
    </row>
    <row r="11" spans="1:12">
      <c r="A11" t="n">
        <v>0</v>
      </c>
      <c r="B11" s="51" t="n">
        <v>6813.2459325225</v>
      </c>
      <c r="C11" s="6" t="n">
        <v>0.1131667139152048</v>
      </c>
      <c r="E11" s="7" t="n">
        <v>0</v>
      </c>
      <c r="F11" s="53" t="n">
        <v>28394</v>
      </c>
      <c r="G11" s="6" t="n">
        <v>0.1661157556646327</v>
      </c>
      <c r="K11" s="4" t="n">
        <v>3.493832024713724</v>
      </c>
      <c r="L11" s="4" t="n">
        <v>5.596597521550164</v>
      </c>
    </row>
    <row r="12" spans="1:12">
      <c r="A12" t="n">
        <v>1</v>
      </c>
      <c r="B12" s="51" t="n">
        <v>16054.9614044188</v>
      </c>
      <c r="C12" s="6" t="n">
        <v>0.2666698431507877</v>
      </c>
      <c r="E12" s="7" t="n">
        <v>1</v>
      </c>
      <c r="F12" s="53" t="n">
        <v>21834</v>
      </c>
      <c r="G12" s="6" t="n">
        <v>0.1277372476291326</v>
      </c>
      <c r="K12" s="4" t="n"/>
      <c r="L12" s="7" t="n"/>
    </row>
    <row r="13" spans="1:12">
      <c r="A13" t="n">
        <v>2</v>
      </c>
      <c r="B13" s="51" t="n">
        <v>6872.661300003</v>
      </c>
      <c r="C13" s="6" t="n">
        <v>0.114153591823389</v>
      </c>
      <c r="E13" s="7" t="n">
        <v>2</v>
      </c>
      <c r="F13" s="53" t="n">
        <v>14436</v>
      </c>
      <c r="G13" s="6" t="n">
        <v>0.0844561192073902</v>
      </c>
    </row>
    <row r="14" spans="1:12">
      <c r="A14" t="n">
        <v>3</v>
      </c>
      <c r="B14" s="51" t="n">
        <v>8298.606192548999</v>
      </c>
      <c r="C14" s="6" t="n">
        <v>0.137838264197142</v>
      </c>
      <c r="E14" s="7" t="n">
        <v>3</v>
      </c>
      <c r="F14" s="53" t="n">
        <v>10260</v>
      </c>
      <c r="G14" s="6" t="n">
        <v>0.06002492262869379</v>
      </c>
    </row>
    <row r="15" spans="1:12">
      <c r="A15" t="n">
        <v>4</v>
      </c>
      <c r="B15" s="51" t="n">
        <v>6168.8278672598</v>
      </c>
      <c r="C15" s="6" t="n">
        <v>0.1024630529061014</v>
      </c>
      <c r="E15" s="7" t="n">
        <v>4</v>
      </c>
      <c r="F15" s="53" t="n">
        <v>21496</v>
      </c>
      <c r="G15" s="6" t="n">
        <v>0.1257598184041327</v>
      </c>
    </row>
    <row r="16" spans="1:12">
      <c r="A16" t="n">
        <v>5</v>
      </c>
      <c r="B16" s="51" t="n">
        <v>4263.1813836127</v>
      </c>
      <c r="C16" s="6" t="n">
        <v>0.07081062870561985</v>
      </c>
      <c r="E16" s="7" t="n">
        <v>5</v>
      </c>
      <c r="F16" s="53" t="n">
        <v>13370</v>
      </c>
      <c r="G16" s="6" t="n">
        <v>0.07821961165162143</v>
      </c>
    </row>
    <row r="17" spans="1:12">
      <c r="A17" t="n">
        <v>6</v>
      </c>
      <c r="B17" s="51" t="n">
        <v>3066.822492458</v>
      </c>
      <c r="C17" s="6" t="n">
        <v>0.05093933597436066</v>
      </c>
      <c r="E17" s="7" t="n">
        <v>6</v>
      </c>
      <c r="F17" s="53" t="n">
        <v>15683</v>
      </c>
      <c r="G17" s="6" t="n">
        <v>0.09175154596352872</v>
      </c>
    </row>
    <row r="18" spans="1:12">
      <c r="A18" t="n">
        <v>7</v>
      </c>
      <c r="B18" s="51" t="n">
        <v>2362.706086745</v>
      </c>
      <c r="C18" s="6" t="n">
        <v>0.03924409693007973</v>
      </c>
      <c r="E18" s="7" t="n">
        <v>7</v>
      </c>
      <c r="F18" s="53" t="n">
        <v>6349</v>
      </c>
      <c r="G18" s="6" t="n">
        <v>0.03714407736545583</v>
      </c>
    </row>
    <row r="19" spans="1:12">
      <c r="A19" t="n">
        <v>8</v>
      </c>
      <c r="B19" s="51" t="n">
        <v>1954.235867918</v>
      </c>
      <c r="C19" s="6" t="n">
        <v>0.03245948459483088</v>
      </c>
      <c r="E19" s="7" t="n">
        <v>8</v>
      </c>
      <c r="F19" s="53" t="n">
        <v>7803</v>
      </c>
      <c r="G19" s="6" t="n">
        <v>0.04565053326234869</v>
      </c>
    </row>
    <row r="20" spans="1:12">
      <c r="A20" t="n">
        <v>9</v>
      </c>
      <c r="B20" s="51" t="n">
        <v>288.824318343</v>
      </c>
      <c r="C20" s="6" t="n">
        <v>0.00479731677520337</v>
      </c>
      <c r="E20" s="7" t="n">
        <v>9</v>
      </c>
      <c r="F20" s="53" t="n">
        <v>4234</v>
      </c>
      <c r="G20" s="6" t="n">
        <v>0.02477051875340053</v>
      </c>
    </row>
    <row r="21" spans="1:12">
      <c r="A21" t="n">
        <v>10</v>
      </c>
      <c r="B21" s="51" t="n">
        <v>1266.560803917</v>
      </c>
      <c r="C21" s="6" t="n">
        <v>0.02103733309682838</v>
      </c>
      <c r="E21" s="7" t="n">
        <v>10</v>
      </c>
      <c r="F21" s="53" t="n">
        <v>3420</v>
      </c>
      <c r="G21" s="6" t="n">
        <v>0.02000830754289793</v>
      </c>
    </row>
    <row r="22" spans="1:12">
      <c r="A22" t="n">
        <v>11</v>
      </c>
      <c r="B22" s="51" t="n">
        <v>1113.06873554</v>
      </c>
      <c r="C22" s="6" t="n">
        <v>0.01848785915117823</v>
      </c>
      <c r="E22" s="7" t="n">
        <v>11</v>
      </c>
      <c r="F22" s="53" t="n">
        <v>3757</v>
      </c>
      <c r="G22" s="6" t="n">
        <v>0.0219798863855753</v>
      </c>
    </row>
    <row r="23" spans="1:12">
      <c r="A23" t="n">
        <v>12</v>
      </c>
      <c r="B23" s="51" t="n">
        <v>400.972986966</v>
      </c>
      <c r="C23" s="6" t="n">
        <v>0.00666008474567223</v>
      </c>
      <c r="E23" s="7" t="n">
        <v>12</v>
      </c>
      <c r="F23" s="53" t="n">
        <v>3335</v>
      </c>
      <c r="G23" s="6" t="n">
        <v>0.01951102504548672</v>
      </c>
    </row>
    <row r="24" spans="1:12">
      <c r="A24" t="n">
        <v>13</v>
      </c>
      <c r="B24" s="51" t="n">
        <v>276.741312538</v>
      </c>
      <c r="C24" s="6" t="n">
        <v>0.004596620356093788</v>
      </c>
      <c r="E24" s="7" t="n">
        <v>13</v>
      </c>
      <c r="F24" s="53" t="n">
        <v>2224</v>
      </c>
      <c r="G24" s="6" t="n">
        <v>0.01301125028520614</v>
      </c>
    </row>
    <row r="25" spans="1:12">
      <c r="A25" t="n">
        <v>14</v>
      </c>
      <c r="B25" s="51" t="n">
        <v>377.825669828</v>
      </c>
      <c r="C25" s="6" t="n">
        <v>0.00627561222810809</v>
      </c>
      <c r="E25" s="7" t="n">
        <v>14</v>
      </c>
      <c r="F25" s="53" t="n">
        <v>2266</v>
      </c>
      <c r="G25" s="6" t="n">
        <v>0.0132569663427505</v>
      </c>
    </row>
    <row r="26" spans="1:12">
      <c r="A26" t="n">
        <v>15</v>
      </c>
      <c r="B26" s="51" t="n">
        <v>24.97125</v>
      </c>
      <c r="C26" s="6" t="n">
        <v>0.0004147676941126953</v>
      </c>
      <c r="E26" s="7" t="n">
        <v>15</v>
      </c>
      <c r="F26" s="53" t="n">
        <v>3724</v>
      </c>
      <c r="G26" s="6" t="n">
        <v>0.0217868237689333</v>
      </c>
    </row>
    <row r="27" spans="1:12">
      <c r="A27" t="n">
        <v>16</v>
      </c>
      <c r="B27" s="51" t="n">
        <v>0</v>
      </c>
      <c r="C27" s="6" t="n">
        <v>0</v>
      </c>
      <c r="E27" s="7" t="n">
        <v>16</v>
      </c>
      <c r="F27" s="53" t="n">
        <v>1325</v>
      </c>
      <c r="G27" s="6" t="n">
        <v>0.007751756577292326</v>
      </c>
    </row>
    <row r="28" spans="1:12">
      <c r="A28" t="n">
        <v>17</v>
      </c>
      <c r="B28" s="51" t="n">
        <v>0</v>
      </c>
      <c r="C28" s="6" t="n">
        <v>0</v>
      </c>
      <c r="E28" s="7" t="n">
        <v>17</v>
      </c>
      <c r="F28" s="53" t="n">
        <v>2018</v>
      </c>
      <c r="G28" s="6" t="n">
        <v>0.01180607152677427</v>
      </c>
    </row>
    <row r="29" spans="1:12">
      <c r="A29" t="n">
        <v>18</v>
      </c>
      <c r="B29" s="51" t="n">
        <v>0</v>
      </c>
      <c r="C29" s="6" t="n">
        <v>0</v>
      </c>
      <c r="E29" s="7" t="n">
        <v>18</v>
      </c>
      <c r="F29" s="53" t="n">
        <v>914</v>
      </c>
      <c r="G29" s="6" t="n">
        <v>0.005347249442751084</v>
      </c>
    </row>
    <row r="30" spans="1:12">
      <c r="A30" t="n">
        <v>19</v>
      </c>
      <c r="B30" s="51" t="n">
        <v>92.59117685140001</v>
      </c>
      <c r="C30" s="6" t="n">
        <v>0.001537921766745195</v>
      </c>
      <c r="E30" s="7" t="n">
        <v>19</v>
      </c>
      <c r="F30" s="53" t="n">
        <v>472</v>
      </c>
      <c r="G30" s="6" t="n">
        <v>0.002761380456212814</v>
      </c>
    </row>
    <row r="31" spans="1:12">
      <c r="A31" t="n">
        <v>20</v>
      </c>
      <c r="B31" s="51" t="n">
        <v>44.1412807708</v>
      </c>
      <c r="C31" s="6" t="n">
        <v>0.0007331782446007219</v>
      </c>
      <c r="E31" s="7" t="n">
        <v>20</v>
      </c>
      <c r="F31" s="53" t="n">
        <v>492</v>
      </c>
      <c r="G31" s="6" t="n">
        <v>0.002878388102662509</v>
      </c>
    </row>
    <row r="32" spans="1:12">
      <c r="A32" t="n">
        <v>21</v>
      </c>
      <c r="B32" s="51" t="n">
        <v>0</v>
      </c>
      <c r="C32" s="6" t="n">
        <v>0</v>
      </c>
      <c r="E32" s="7" t="n">
        <v>21</v>
      </c>
      <c r="F32" s="53" t="n">
        <v>377</v>
      </c>
      <c r="G32" s="6" t="n">
        <v>0.00220559413557676</v>
      </c>
    </row>
    <row r="33" spans="1:12">
      <c r="A33" t="n">
        <v>22</v>
      </c>
      <c r="B33" s="51" t="n">
        <v>0</v>
      </c>
      <c r="C33" s="6" t="n">
        <v>0</v>
      </c>
      <c r="E33" s="7" t="n">
        <v>22</v>
      </c>
      <c r="F33" s="53" t="n">
        <v>387</v>
      </c>
      <c r="G33" s="6" t="n">
        <v>0.002264097958801608</v>
      </c>
    </row>
    <row r="34" spans="1:12">
      <c r="A34" t="n">
        <v>23</v>
      </c>
      <c r="B34" s="51" t="n">
        <v>0</v>
      </c>
      <c r="C34" s="6" t="n">
        <v>0</v>
      </c>
      <c r="E34" s="7" t="n">
        <v>23</v>
      </c>
      <c r="F34" s="53" t="n">
        <v>276</v>
      </c>
      <c r="G34" s="6" t="n">
        <v>0.001614705521005798</v>
      </c>
    </row>
    <row r="35" spans="1:12">
      <c r="A35" t="n">
        <v>24</v>
      </c>
      <c r="B35" s="51" t="n">
        <v>0</v>
      </c>
      <c r="C35" s="6" t="n">
        <v>0</v>
      </c>
      <c r="E35" s="7" t="n">
        <v>24</v>
      </c>
      <c r="F35" s="53" t="n">
        <v>814</v>
      </c>
      <c r="G35" s="6" t="n">
        <v>0.004762211210502606</v>
      </c>
    </row>
    <row r="36" spans="1:12">
      <c r="A36" t="n">
        <v>25</v>
      </c>
      <c r="B36" s="51" t="n">
        <v>0</v>
      </c>
      <c r="C36" s="6" t="n">
        <v>0</v>
      </c>
      <c r="E36" s="7" t="n">
        <v>25</v>
      </c>
      <c r="F36" s="53" t="n">
        <v>289</v>
      </c>
      <c r="G36" s="6" t="n">
        <v>0.0016907604911981</v>
      </c>
    </row>
    <row r="37" spans="1:12">
      <c r="A37" t="n">
        <v>26</v>
      </c>
      <c r="B37" s="51" t="n">
        <v>0</v>
      </c>
      <c r="C37" s="6" t="n">
        <v>0</v>
      </c>
      <c r="E37" s="7" t="n">
        <v>26</v>
      </c>
      <c r="F37" s="53" t="n">
        <v>119</v>
      </c>
      <c r="G37" s="6" t="n">
        <v>0.0006961954963756882</v>
      </c>
    </row>
    <row r="38" spans="1:12">
      <c r="A38" t="n">
        <v>27</v>
      </c>
      <c r="B38" s="51" t="n">
        <v>0</v>
      </c>
      <c r="C38" s="6" t="n">
        <v>0</v>
      </c>
      <c r="E38" s="7" t="n">
        <v>27</v>
      </c>
      <c r="F38" s="53" t="n">
        <v>160</v>
      </c>
      <c r="G38" s="6" t="n">
        <v>0.0009360611715975639</v>
      </c>
    </row>
    <row r="39" spans="1:12">
      <c r="A39" t="n">
        <v>28</v>
      </c>
      <c r="B39" s="51" t="n">
        <v>0</v>
      </c>
      <c r="C39" s="6" t="n">
        <v>0</v>
      </c>
      <c r="E39" s="7" t="n">
        <v>28</v>
      </c>
      <c r="F39" s="53" t="n">
        <v>73</v>
      </c>
      <c r="G39" s="6" t="n">
        <v>0.0004270779095413885</v>
      </c>
    </row>
    <row r="40" spans="1:12">
      <c r="A40" t="n">
        <v>29</v>
      </c>
      <c r="B40" s="51" t="n">
        <v>0</v>
      </c>
      <c r="C40" s="6" t="n">
        <v>0</v>
      </c>
      <c r="E40" s="7" t="n">
        <v>29</v>
      </c>
      <c r="F40" s="53" t="n">
        <v>196</v>
      </c>
      <c r="G40" s="6" t="n">
        <v>0.001146674935207016</v>
      </c>
    </row>
    <row r="41" spans="1:12">
      <c r="A41" t="n">
        <v>30</v>
      </c>
      <c r="B41" s="51" t="n">
        <v>0</v>
      </c>
      <c r="C41" s="6" t="n">
        <v>0</v>
      </c>
      <c r="E41" s="7" t="n">
        <v>30</v>
      </c>
      <c r="F41" s="53" t="n">
        <v>102</v>
      </c>
      <c r="G41" s="6" t="n">
        <v>0.000596738996893447</v>
      </c>
    </row>
    <row r="42" spans="1:12">
      <c r="A42" t="n">
        <v>31</v>
      </c>
      <c r="B42" s="51" t="n">
        <v>0</v>
      </c>
      <c r="C42" s="6" t="n">
        <v>0</v>
      </c>
      <c r="E42" s="7" t="n">
        <v>31</v>
      </c>
      <c r="F42" s="53" t="n">
        <v>78</v>
      </c>
      <c r="G42" s="6" t="n">
        <v>0.0004563298211538124</v>
      </c>
    </row>
    <row r="43" spans="1:12">
      <c r="A43" t="n">
        <v>32</v>
      </c>
      <c r="B43" s="51" t="n">
        <v>464.442048857</v>
      </c>
      <c r="C43" s="6" t="n">
        <v>0.007714293743941279</v>
      </c>
      <c r="E43" s="7" t="n">
        <v>32</v>
      </c>
      <c r="F43" s="53" t="n">
        <v>73</v>
      </c>
      <c r="G43" s="6" t="n">
        <v>0.0004270779095413885</v>
      </c>
    </row>
    <row r="44" spans="1:12">
      <c r="A44" t="n">
        <v>33</v>
      </c>
      <c r="B44" s="51" t="n">
        <v>0</v>
      </c>
      <c r="C44" s="6" t="n">
        <v>0</v>
      </c>
      <c r="E44" s="7" t="n">
        <v>33</v>
      </c>
      <c r="F44" s="53" t="n">
        <v>39</v>
      </c>
      <c r="G44" s="6" t="n">
        <v>0.0002281649105769062</v>
      </c>
    </row>
    <row r="45" spans="1:12">
      <c r="A45" t="n">
        <v>34</v>
      </c>
      <c r="B45" s="51" t="n">
        <v>0</v>
      </c>
      <c r="C45" s="6" t="n">
        <v>0</v>
      </c>
      <c r="E45" s="7" t="n">
        <v>34</v>
      </c>
      <c r="F45" s="53" t="n">
        <v>29</v>
      </c>
      <c r="G45" s="6" t="n">
        <v>0.0001696610873520585</v>
      </c>
    </row>
    <row r="46" spans="1:12">
      <c r="A46" t="n">
        <v>35</v>
      </c>
      <c r="B46" s="51" t="n">
        <v>0</v>
      </c>
      <c r="C46" s="6" t="n">
        <v>0</v>
      </c>
      <c r="E46" s="7" t="n">
        <v>35</v>
      </c>
      <c r="F46" s="53" t="n">
        <v>11</v>
      </c>
      <c r="G46" s="6" t="n">
        <v>6.435420554733252e-05</v>
      </c>
    </row>
    <row r="47" spans="1:12">
      <c r="A47" t="n">
        <v>36</v>
      </c>
      <c r="B47" s="51" t="n">
        <v>0</v>
      </c>
      <c r="C47" s="6" t="n">
        <v>0</v>
      </c>
      <c r="E47" s="7" t="n">
        <v>36</v>
      </c>
      <c r="F47" s="53" t="n">
        <v>67</v>
      </c>
      <c r="G47" s="6" t="n">
        <v>0.0003919756156064799</v>
      </c>
    </row>
    <row r="48" spans="1:12">
      <c r="A48" t="n">
        <v>37</v>
      </c>
      <c r="B48" s="51" t="n">
        <v>0</v>
      </c>
      <c r="C48" s="6" t="n">
        <v>0</v>
      </c>
      <c r="E48" s="7" t="n">
        <v>37</v>
      </c>
      <c r="F48" s="53" t="n">
        <v>13</v>
      </c>
      <c r="G48" s="6" t="n">
        <v>7.605497019230207e-05</v>
      </c>
    </row>
    <row r="49" spans="1:12">
      <c r="A49" t="n">
        <v>38</v>
      </c>
      <c r="B49" s="51" t="n">
        <v>0</v>
      </c>
      <c r="C49" s="6" t="n">
        <v>0</v>
      </c>
      <c r="E49" s="7" t="n">
        <v>38</v>
      </c>
      <c r="F49" s="53" t="n">
        <v>5</v>
      </c>
      <c r="G49" s="6" t="n">
        <v>2.925191161242387e-05</v>
      </c>
    </row>
    <row r="50" spans="1:12">
      <c r="A50" t="n">
        <v>39</v>
      </c>
      <c r="B50" s="51" t="n">
        <v>0</v>
      </c>
      <c r="C50" s="6" t="n">
        <v>0</v>
      </c>
      <c r="E50" s="7" t="n">
        <v>39</v>
      </c>
      <c r="F50" s="53" t="n">
        <v>4</v>
      </c>
      <c r="G50" s="6" t="n">
        <v>2.34015292899391e-05</v>
      </c>
    </row>
    <row r="51" spans="1:12">
      <c r="A51" t="n">
        <v>40</v>
      </c>
      <c r="B51" s="51" t="n">
        <v>0</v>
      </c>
      <c r="C51" s="6" t="n">
        <v>0</v>
      </c>
      <c r="E51" s="7" t="n">
        <v>40</v>
      </c>
      <c r="F51" s="53" t="n">
        <v>1</v>
      </c>
      <c r="G51" s="6" t="n">
        <v>5.850382322484775e-06</v>
      </c>
    </row>
    <row r="52" spans="1:12">
      <c r="A52" t="n">
        <v>41</v>
      </c>
      <c r="B52" s="51" t="n">
        <v>0</v>
      </c>
      <c r="C52" s="6" t="n">
        <v>0</v>
      </c>
      <c r="E52" s="7" t="n">
        <v>41</v>
      </c>
      <c r="F52" s="53" t="n">
        <v>4</v>
      </c>
      <c r="G52" s="6" t="n">
        <v>2.34015292899391e-05</v>
      </c>
    </row>
    <row r="53" spans="1:12">
      <c r="A53" t="n">
        <v>42</v>
      </c>
      <c r="B53" s="51" t="n">
        <v>0</v>
      </c>
      <c r="C53" s="6" t="n">
        <v>0</v>
      </c>
      <c r="E53" s="7" t="n">
        <v>42</v>
      </c>
      <c r="F53" s="53" t="n">
        <v>1</v>
      </c>
      <c r="G53" s="6" t="n">
        <v>5.850382322484775e-06</v>
      </c>
    </row>
    <row r="54" spans="1:12">
      <c r="A54" t="n">
        <v>43</v>
      </c>
      <c r="B54" s="51" t="n">
        <v>0</v>
      </c>
      <c r="C54" s="6" t="n">
        <v>0</v>
      </c>
      <c r="E54" s="7" t="n">
        <v>43</v>
      </c>
      <c r="F54" s="53" t="n">
        <v>0</v>
      </c>
      <c r="G54" s="6" t="n">
        <v>0</v>
      </c>
    </row>
    <row r="55" spans="1:12">
      <c r="A55" t="n">
        <v>44</v>
      </c>
      <c r="B55" s="51" t="n">
        <v>0</v>
      </c>
      <c r="C55" s="6" t="n">
        <v>0</v>
      </c>
      <c r="E55" s="7" t="n">
        <v>44</v>
      </c>
      <c r="F55" s="53" t="n">
        <v>2</v>
      </c>
      <c r="G55" s="6" t="n">
        <v>1.170076464496955e-05</v>
      </c>
    </row>
    <row r="56" spans="1:12">
      <c r="A56" t="n">
        <v>45</v>
      </c>
      <c r="B56" s="51" t="n">
        <v>0</v>
      </c>
      <c r="C56" s="6" t="n">
        <v>0</v>
      </c>
      <c r="E56" s="7" t="n">
        <v>45</v>
      </c>
      <c r="F56" s="53" t="n">
        <v>2</v>
      </c>
      <c r="G56" s="6" t="n">
        <v>1.170076464496955e-05</v>
      </c>
    </row>
    <row r="57" spans="1:12">
      <c r="A57" t="n">
        <v>46</v>
      </c>
      <c r="B57" s="51" t="n">
        <v>0</v>
      </c>
      <c r="C57" s="6" t="n">
        <v>0</v>
      </c>
      <c r="E57" s="7" t="n">
        <v>46</v>
      </c>
      <c r="F57" s="53" t="n">
        <v>1</v>
      </c>
      <c r="G57" s="6" t="n">
        <v>5.850382322484775e-06</v>
      </c>
    </row>
    <row r="58" spans="1:12">
      <c r="A58" t="n">
        <v>47</v>
      </c>
      <c r="B58" s="51" t="n">
        <v>0</v>
      </c>
      <c r="C58" s="6" t="n">
        <v>0</v>
      </c>
      <c r="E58" s="7" t="n">
        <v>47</v>
      </c>
      <c r="F58" s="53" t="n">
        <v>0</v>
      </c>
      <c r="G58" s="6" t="n">
        <v>0</v>
      </c>
    </row>
    <row r="59" spans="1:12">
      <c r="A59" t="n">
        <v>48</v>
      </c>
      <c r="B59" s="51" t="n">
        <v>0</v>
      </c>
      <c r="C59" s="6" t="n">
        <v>0</v>
      </c>
      <c r="E59" s="7" t="n">
        <v>48</v>
      </c>
      <c r="F59" s="53" t="n">
        <v>0</v>
      </c>
      <c r="G59" s="6" t="n">
        <v>0</v>
      </c>
    </row>
    <row r="60" spans="1:12">
      <c r="A60" t="n">
        <v>49</v>
      </c>
      <c r="B60" s="51" t="n">
        <v>0</v>
      </c>
      <c r="C60" s="6" t="n">
        <v>0</v>
      </c>
      <c r="E60" s="7" t="n">
        <v>49</v>
      </c>
      <c r="F60" s="53" t="n">
        <v>0</v>
      </c>
      <c r="G60" s="6" t="n">
        <v>0</v>
      </c>
    </row>
    <row r="61" spans="1:12">
      <c r="A61" t="n">
        <v>50</v>
      </c>
      <c r="B61" s="51" t="n">
        <v>0</v>
      </c>
      <c r="C61" s="6" t="n">
        <v>0</v>
      </c>
      <c r="E61" s="7" t="n">
        <v>50</v>
      </c>
      <c r="F61" s="53" t="n">
        <v>0</v>
      </c>
      <c r="G61" s="6" t="n">
        <v>0</v>
      </c>
    </row>
    <row r="62" spans="1:12">
      <c r="A62" t="n">
        <v>51</v>
      </c>
      <c r="B62" s="51" t="n">
        <v>0</v>
      </c>
      <c r="C62" s="6" t="n">
        <v>0</v>
      </c>
      <c r="E62" s="7" t="n">
        <v>51</v>
      </c>
      <c r="F62" s="53" t="n">
        <v>0</v>
      </c>
      <c r="G62" s="6" t="n">
        <v>0</v>
      </c>
    </row>
    <row r="63" spans="1:12">
      <c r="A63" t="n">
        <v>52</v>
      </c>
      <c r="B63" s="51" t="n">
        <v>0</v>
      </c>
      <c r="C63" s="6" t="n">
        <v>0</v>
      </c>
      <c r="E63" s="7" t="n">
        <v>52</v>
      </c>
      <c r="F63" s="53" t="n">
        <v>0</v>
      </c>
      <c r="G63" s="6" t="n">
        <v>0</v>
      </c>
    </row>
    <row r="64" spans="1:12">
      <c r="A64" t="n">
        <v>53</v>
      </c>
      <c r="B64" s="51" t="n">
        <v>0</v>
      </c>
      <c r="C64" s="6" t="n">
        <v>0</v>
      </c>
      <c r="E64" s="7" t="n">
        <v>53</v>
      </c>
      <c r="F64" s="53" t="n">
        <v>0</v>
      </c>
      <c r="G64" s="6" t="n">
        <v>0</v>
      </c>
    </row>
    <row r="65" spans="1:12">
      <c r="A65" t="n">
        <v>54</v>
      </c>
      <c r="B65" s="51" t="n">
        <v>0</v>
      </c>
      <c r="C65" s="6" t="n">
        <v>0</v>
      </c>
      <c r="E65" s="7" t="n">
        <v>54</v>
      </c>
      <c r="F65" s="53" t="n">
        <v>0</v>
      </c>
      <c r="G65" s="6" t="n">
        <v>0</v>
      </c>
    </row>
    <row r="66" spans="1:12">
      <c r="A66" t="n">
        <v>55</v>
      </c>
      <c r="B66" s="51" t="n">
        <v>0</v>
      </c>
      <c r="C66" s="6" t="n">
        <v>0</v>
      </c>
      <c r="E66" s="7" t="n">
        <v>55</v>
      </c>
      <c r="F66" s="53" t="n">
        <v>0</v>
      </c>
      <c r="G66" s="6" t="n">
        <v>0</v>
      </c>
    </row>
    <row r="67" spans="1:12">
      <c r="A67" t="n">
        <v>56</v>
      </c>
      <c r="B67" s="51" t="n">
        <v>0</v>
      </c>
      <c r="C67" s="6" t="n">
        <v>0</v>
      </c>
      <c r="E67" s="7" t="n">
        <v>56</v>
      </c>
      <c r="F67" s="53" t="n">
        <v>0</v>
      </c>
      <c r="G67" s="6" t="n">
        <v>0</v>
      </c>
    </row>
    <row r="68" spans="1:12">
      <c r="A68" t="n">
        <v>57</v>
      </c>
      <c r="B68" s="51" t="n">
        <v>0</v>
      </c>
      <c r="C68" s="6" t="n">
        <v>0</v>
      </c>
      <c r="E68" s="7" t="n">
        <v>57</v>
      </c>
      <c r="F68" s="53" t="n">
        <v>0</v>
      </c>
      <c r="G68" s="6" t="n">
        <v>0</v>
      </c>
    </row>
    <row r="69" spans="1:12">
      <c r="A69" t="n">
        <v>58</v>
      </c>
      <c r="B69" s="51" t="n">
        <v>0</v>
      </c>
      <c r="C69" s="6" t="n">
        <v>0</v>
      </c>
      <c r="E69" s="7" t="n">
        <v>58</v>
      </c>
      <c r="F69" s="53" t="n">
        <v>0</v>
      </c>
      <c r="G69" s="6" t="n">
        <v>0</v>
      </c>
    </row>
    <row r="70" spans="1:12">
      <c r="A70" t="n">
        <v>59</v>
      </c>
      <c r="B70" s="51" t="n">
        <v>0</v>
      </c>
      <c r="C70" s="6" t="n">
        <v>0</v>
      </c>
      <c r="E70" s="7" t="n">
        <v>59</v>
      </c>
      <c r="F70" s="53" t="n">
        <v>0</v>
      </c>
      <c r="G70" s="6" t="n">
        <v>0</v>
      </c>
    </row>
    <row r="71" spans="1:12">
      <c r="A71" t="n">
        <v>60</v>
      </c>
      <c r="B71" s="51" t="n">
        <v>0</v>
      </c>
      <c r="C71" s="6" t="n">
        <v>0</v>
      </c>
      <c r="E71" s="7" t="n">
        <v>60</v>
      </c>
      <c r="F71" s="53" t="n">
        <v>0</v>
      </c>
      <c r="G71" s="6" t="n">
        <v>0</v>
      </c>
    </row>
    <row r="72" spans="1:12">
      <c r="A72" t="n">
        <v>61</v>
      </c>
      <c r="B72" s="51" t="n">
        <v>0</v>
      </c>
      <c r="C72" s="6" t="n">
        <v>0</v>
      </c>
      <c r="E72" s="7" t="n">
        <v>61</v>
      </c>
      <c r="F72" s="53" t="n">
        <v>0</v>
      </c>
      <c r="G72" s="6" t="n">
        <v>0</v>
      </c>
    </row>
    <row r="73" spans="1:12">
      <c r="A73" t="n">
        <v>62</v>
      </c>
      <c r="B73" s="51" t="n">
        <v>0</v>
      </c>
      <c r="C73" s="6" t="n">
        <v>0</v>
      </c>
      <c r="E73" s="7" t="n">
        <v>62</v>
      </c>
      <c r="F73" s="53" t="n">
        <v>0</v>
      </c>
      <c r="G73" s="6" t="n">
        <v>0</v>
      </c>
    </row>
    <row r="74" spans="1:12">
      <c r="A74" t="n">
        <v>63</v>
      </c>
      <c r="B74" s="51" t="n">
        <v>0</v>
      </c>
      <c r="C74" s="6" t="n">
        <v>0</v>
      </c>
      <c r="E74" s="7" t="n">
        <v>63</v>
      </c>
      <c r="F74" s="53" t="n">
        <v>0</v>
      </c>
      <c r="G74" s="6" t="n">
        <v>0</v>
      </c>
    </row>
    <row r="75" spans="1:12">
      <c r="A75" t="n">
        <v>64</v>
      </c>
      <c r="B75" s="51" t="n">
        <v>0</v>
      </c>
      <c r="C75" s="6" t="n">
        <v>0</v>
      </c>
      <c r="E75" s="7" t="n">
        <v>64</v>
      </c>
      <c r="F75" s="53" t="n">
        <v>0</v>
      </c>
      <c r="G75" s="6" t="n">
        <v>0</v>
      </c>
    </row>
    <row r="76" spans="1:12">
      <c r="A76" t="n">
        <v>65</v>
      </c>
      <c r="B76" s="51" t="n">
        <v>0</v>
      </c>
      <c r="C76" s="6" t="n">
        <v>0</v>
      </c>
      <c r="E76" s="7" t="n">
        <v>65</v>
      </c>
      <c r="F76" s="53" t="n">
        <v>0</v>
      </c>
      <c r="G76" s="6" t="n">
        <v>0</v>
      </c>
    </row>
    <row r="77" spans="1:12">
      <c r="A77" t="n">
        <v>66</v>
      </c>
      <c r="B77" s="51" t="n">
        <v>0</v>
      </c>
      <c r="C77" s="6" t="n">
        <v>0</v>
      </c>
      <c r="E77" s="7" t="n">
        <v>66</v>
      </c>
      <c r="F77" s="53" t="n">
        <v>0</v>
      </c>
      <c r="G77" s="6" t="n">
        <v>0</v>
      </c>
    </row>
    <row r="78" spans="1:12">
      <c r="A78" t="n">
        <v>67</v>
      </c>
      <c r="B78" s="51" t="n">
        <v>0</v>
      </c>
      <c r="C78" s="6" t="n">
        <v>0</v>
      </c>
      <c r="E78" s="7" t="n">
        <v>67</v>
      </c>
      <c r="F78" s="53" t="n">
        <v>0</v>
      </c>
      <c r="G78" s="6" t="n">
        <v>0</v>
      </c>
    </row>
    <row r="79" spans="1:12">
      <c r="A79" t="n">
        <v>68</v>
      </c>
      <c r="B79" s="51" t="n">
        <v>0</v>
      </c>
      <c r="C79" s="6" t="n">
        <v>0</v>
      </c>
      <c r="E79" s="7" t="n">
        <v>68</v>
      </c>
      <c r="F79" s="53" t="n">
        <v>0</v>
      </c>
      <c r="G79" s="6" t="n">
        <v>0</v>
      </c>
    </row>
    <row r="80" spans="1:12">
      <c r="A80" t="n">
        <v>69</v>
      </c>
      <c r="B80" s="51" t="n">
        <v>0</v>
      </c>
      <c r="C80" s="6" t="n">
        <v>0</v>
      </c>
      <c r="E80" s="7" t="n">
        <v>69</v>
      </c>
      <c r="F80" s="53" t="n">
        <v>0</v>
      </c>
      <c r="G80" s="6" t="n">
        <v>0</v>
      </c>
    </row>
    <row r="81" spans="1:12">
      <c r="A81" t="n">
        <v>70</v>
      </c>
      <c r="B81" s="51" t="n">
        <v>0</v>
      </c>
      <c r="C81" s="6" t="n">
        <v>0</v>
      </c>
      <c r="E81" s="7" t="n">
        <v>70</v>
      </c>
      <c r="F81" s="53" t="n">
        <v>0</v>
      </c>
      <c r="G81" s="6" t="n">
        <v>0</v>
      </c>
    </row>
    <row r="82" spans="1:12">
      <c r="A82" t="n">
        <v>71</v>
      </c>
      <c r="B82" s="51" t="n">
        <v>0</v>
      </c>
      <c r="C82" s="6" t="n">
        <v>0</v>
      </c>
      <c r="E82" s="7" t="n">
        <v>71</v>
      </c>
      <c r="F82" s="53" t="n">
        <v>0</v>
      </c>
      <c r="G82" s="6" t="n">
        <v>0</v>
      </c>
    </row>
    <row r="83" spans="1:12">
      <c r="A83" t="n">
        <v>72</v>
      </c>
      <c r="B83" s="51" t="n">
        <v>0</v>
      </c>
      <c r="C83" s="6" t="n">
        <v>0</v>
      </c>
      <c r="E83" s="7" t="n">
        <v>72</v>
      </c>
      <c r="F83" s="53" t="n">
        <v>0</v>
      </c>
      <c r="G83" s="6" t="n">
        <v>0</v>
      </c>
    </row>
    <row r="84" spans="1:12">
      <c r="A84" t="n">
        <v>73</v>
      </c>
      <c r="B84" s="51" t="n">
        <v>0</v>
      </c>
      <c r="C84" s="6" t="n">
        <v>0</v>
      </c>
      <c r="E84" s="7" t="n">
        <v>73</v>
      </c>
      <c r="F84" s="53" t="n">
        <v>0</v>
      </c>
      <c r="G84" s="6" t="n">
        <v>0</v>
      </c>
    </row>
    <row r="85" spans="1:12">
      <c r="A85" t="n">
        <v>74</v>
      </c>
      <c r="B85" s="51" t="n">
        <v>0</v>
      </c>
      <c r="C85" s="6" t="n">
        <v>0</v>
      </c>
      <c r="E85" s="7" t="n">
        <v>74</v>
      </c>
      <c r="F85" s="53" t="n">
        <v>0</v>
      </c>
      <c r="G85" s="6" t="n">
        <v>0</v>
      </c>
    </row>
    <row r="86" spans="1:12">
      <c r="A86" t="n">
        <v>75</v>
      </c>
      <c r="B86" s="51" t="n">
        <v>0</v>
      </c>
      <c r="C86" s="6" t="n">
        <v>0</v>
      </c>
      <c r="E86" s="7" t="n">
        <v>75</v>
      </c>
      <c r="F86" s="53" t="n">
        <v>0</v>
      </c>
      <c r="G86" s="6" t="n">
        <v>0</v>
      </c>
    </row>
    <row r="87" spans="1:12">
      <c r="A87" t="n">
        <v>76</v>
      </c>
      <c r="B87" s="51" t="n">
        <v>0</v>
      </c>
      <c r="C87" s="6" t="n">
        <v>0</v>
      </c>
      <c r="E87" s="7" t="n">
        <v>76</v>
      </c>
      <c r="F87" s="53" t="n">
        <v>0</v>
      </c>
      <c r="G87" s="6" t="n">
        <v>0</v>
      </c>
    </row>
    <row r="88" spans="1:12">
      <c r="A88" t="n">
        <v>77</v>
      </c>
      <c r="B88" s="51" t="n">
        <v>0</v>
      </c>
      <c r="C88" s="6" t="n">
        <v>0</v>
      </c>
      <c r="E88" s="7" t="n">
        <v>77</v>
      </c>
      <c r="F88" s="53" t="n">
        <v>0</v>
      </c>
      <c r="G88" s="6" t="n">
        <v>0</v>
      </c>
    </row>
    <row r="89" spans="1:12">
      <c r="A89" t="n">
        <v>78</v>
      </c>
      <c r="B89" s="51" t="n">
        <v>0</v>
      </c>
      <c r="C89" s="6" t="n">
        <v>0</v>
      </c>
      <c r="E89" s="7" t="n">
        <v>78</v>
      </c>
      <c r="F89" s="53" t="n">
        <v>0</v>
      </c>
      <c r="G89" s="6" t="n">
        <v>0</v>
      </c>
    </row>
    <row r="90" spans="1:12">
      <c r="A90" t="n">
        <v>79</v>
      </c>
      <c r="B90" s="51" t="n">
        <v>0</v>
      </c>
      <c r="C90" s="6" t="n">
        <v>0</v>
      </c>
      <c r="E90" s="7" t="n">
        <v>79</v>
      </c>
      <c r="F90" s="53" t="n">
        <v>0</v>
      </c>
      <c r="G90" s="6" t="n">
        <v>0</v>
      </c>
    </row>
    <row r="91" spans="1:12">
      <c r="A91" t="n">
        <v>80</v>
      </c>
      <c r="B91" s="51" t="n">
        <v>0</v>
      </c>
      <c r="C91" s="6" t="n">
        <v>0</v>
      </c>
      <c r="E91" s="7" t="n">
        <v>80</v>
      </c>
      <c r="F91" s="53" t="n">
        <v>0</v>
      </c>
      <c r="G91" s="6" t="n">
        <v>0</v>
      </c>
    </row>
    <row r="92" spans="1:12">
      <c r="A92" t="n">
        <v>81</v>
      </c>
      <c r="B92" s="51" t="n">
        <v>0</v>
      </c>
      <c r="C92" s="6" t="n">
        <v>0</v>
      </c>
      <c r="E92" s="7" t="n">
        <v>81</v>
      </c>
      <c r="F92" s="53" t="n">
        <v>0</v>
      </c>
      <c r="G92" s="6" t="n">
        <v>0</v>
      </c>
    </row>
    <row r="93" spans="1:12">
      <c r="A93" t="n">
        <v>82</v>
      </c>
      <c r="B93" s="51" t="n">
        <v>0</v>
      </c>
      <c r="C93" s="6" t="n">
        <v>0</v>
      </c>
      <c r="E93" s="7" t="n">
        <v>82</v>
      </c>
      <c r="F93" s="53" t="n">
        <v>0</v>
      </c>
      <c r="G93" s="6" t="n">
        <v>0</v>
      </c>
    </row>
    <row r="94" spans="1:12">
      <c r="A94" t="n">
        <v>83</v>
      </c>
      <c r="B94" s="51" t="n">
        <v>0</v>
      </c>
      <c r="C94" s="6" t="n">
        <v>0</v>
      </c>
      <c r="E94" s="7" t="n">
        <v>83</v>
      </c>
      <c r="F94" s="53" t="n">
        <v>0</v>
      </c>
      <c r="G94" s="6" t="n">
        <v>0</v>
      </c>
    </row>
    <row r="95" spans="1:12">
      <c r="A95" t="n">
        <v>84</v>
      </c>
      <c r="B95" s="51" t="n">
        <v>0</v>
      </c>
      <c r="C95" s="6" t="n">
        <v>0</v>
      </c>
      <c r="E95" s="7" t="n">
        <v>84</v>
      </c>
      <c r="F95" s="53" t="n">
        <v>0</v>
      </c>
      <c r="G95" s="6" t="n">
        <v>0</v>
      </c>
    </row>
    <row r="96" spans="1:12">
      <c r="A96" t="n">
        <v>85</v>
      </c>
      <c r="B96" s="51" t="n">
        <v>0</v>
      </c>
      <c r="C96" s="6" t="n">
        <v>0</v>
      </c>
      <c r="E96" s="7" t="n">
        <v>85</v>
      </c>
      <c r="F96" s="53" t="n">
        <v>0</v>
      </c>
      <c r="G96" s="6" t="n">
        <v>0</v>
      </c>
    </row>
    <row r="97" spans="1:12">
      <c r="A97" t="n">
        <v>86</v>
      </c>
      <c r="B97" s="51" t="n">
        <v>0</v>
      </c>
      <c r="C97" s="6" t="n">
        <v>0</v>
      </c>
      <c r="E97" s="7" t="n">
        <v>86</v>
      </c>
      <c r="F97" s="53" t="n">
        <v>0</v>
      </c>
      <c r="G97" s="6" t="n">
        <v>0</v>
      </c>
    </row>
    <row r="98" spans="1:12">
      <c r="A98" t="n">
        <v>87</v>
      </c>
      <c r="B98" s="51" t="n">
        <v>0</v>
      </c>
      <c r="C98" s="6" t="n">
        <v>0</v>
      </c>
      <c r="E98" s="7" t="n">
        <v>87</v>
      </c>
      <c r="F98" s="53" t="n">
        <v>0</v>
      </c>
      <c r="G98" s="6" t="n">
        <v>0</v>
      </c>
    </row>
    <row r="99" spans="1:12">
      <c r="A99" t="n">
        <v>88</v>
      </c>
      <c r="B99" s="51" t="n">
        <v>0</v>
      </c>
      <c r="C99" s="6" t="n">
        <v>0</v>
      </c>
      <c r="E99" s="7" t="n">
        <v>88</v>
      </c>
      <c r="F99" s="53" t="n">
        <v>0</v>
      </c>
      <c r="G99" s="6" t="n">
        <v>0</v>
      </c>
    </row>
    <row r="100" spans="1:12">
      <c r="A100" t="n">
        <v>89</v>
      </c>
      <c r="B100" s="51" t="n">
        <v>0</v>
      </c>
      <c r="C100" s="6" t="n">
        <v>0</v>
      </c>
      <c r="E100" s="7" t="n">
        <v>89</v>
      </c>
      <c r="F100" s="53" t="n">
        <v>0</v>
      </c>
      <c r="G100" s="6" t="n">
        <v>0</v>
      </c>
    </row>
    <row customHeight="1" ht="15.75" r="101" s="43" spans="1:12">
      <c r="A101" s="1" t="n">
        <v>90</v>
      </c>
      <c r="B101" s="52" t="n">
        <v>0</v>
      </c>
      <c r="C101" s="6" t="n">
        <v>0</v>
      </c>
      <c r="E101" s="8" t="n">
        <v>90</v>
      </c>
      <c r="F101" s="54" t="n">
        <v>0</v>
      </c>
      <c r="G101" s="6" t="n">
        <v>0</v>
      </c>
    </row>
    <row r="102" spans="1:12">
      <c r="B102" s="51" t="n">
        <v>60205.388111098</v>
      </c>
      <c r="C102" s="6" t="n">
        <v>1</v>
      </c>
      <c r="F102" s="51" t="n">
        <v>170929</v>
      </c>
      <c r="G102" s="6" t="n">
        <v>1</v>
      </c>
    </row>
  </sheetData>
  <pageMargins bottom="0.75" footer="0.3" header="0.3" left="0.7" right="0.7" top="0.7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L102"/>
  <sheetViews>
    <sheetView workbookViewId="0">
      <selection activeCell="I35" sqref="I35"/>
    </sheetView>
  </sheetViews>
  <sheetFormatPr baseColWidth="10" defaultRowHeight="15" outlineLevelCol="0"/>
  <cols>
    <col collapsed="1" customWidth="1" max="1" min="1" style="43" width="13.5703125"/>
    <col collapsed="1" customWidth="1" max="2" min="2" style="43" width="10.5703125"/>
    <col collapsed="1" customWidth="1" max="6" min="6" style="43" width="10.5703125"/>
    <col collapsed="1" customWidth="1" max="12" min="12" style="43" width="15.7109375"/>
  </cols>
  <sheetData>
    <row r="1" spans="1:12">
      <c r="A1" t="s">
        <v>0</v>
      </c>
    </row>
    <row r="2" spans="1:12">
      <c r="A2" t="s">
        <v>1</v>
      </c>
    </row>
    <row r="3" spans="1:12">
      <c r="A3" t="s">
        <v>2</v>
      </c>
    </row>
    <row r="4" spans="1:12">
      <c r="A4" t="s">
        <v>3</v>
      </c>
    </row>
    <row r="5" spans="1:12">
      <c r="A5" t="s">
        <v>4</v>
      </c>
    </row>
    <row r="6" spans="1:12"/>
    <row r="7" spans="1:12">
      <c r="A7" t="s">
        <v>5</v>
      </c>
    </row>
    <row r="8" spans="1:12"/>
    <row customHeight="1" ht="15.75" r="9" s="43" spans="1:12">
      <c r="A9" s="3" t="s">
        <v>6</v>
      </c>
      <c r="B9" s="1" t="n"/>
      <c r="E9" s="3" t="s">
        <v>7</v>
      </c>
      <c r="F9" s="1" t="n"/>
      <c r="J9" s="5" t="s">
        <v>16</v>
      </c>
    </row>
    <row r="10" spans="1:12">
      <c r="A10" s="2" t="s">
        <v>9</v>
      </c>
      <c r="B10" s="13" t="s">
        <v>10</v>
      </c>
      <c r="C10" s="13" t="s">
        <v>10</v>
      </c>
      <c r="E10" s="2" t="s">
        <v>9</v>
      </c>
      <c r="F10" s="13" t="s">
        <v>11</v>
      </c>
      <c r="G10" s="13" t="s">
        <v>11</v>
      </c>
      <c r="J10" s="2" t="n"/>
      <c r="K10" s="13" t="s">
        <v>10</v>
      </c>
      <c r="L10" s="13" t="s">
        <v>11</v>
      </c>
    </row>
    <row r="11" spans="1:12">
      <c r="A11" t="n">
        <v>0</v>
      </c>
      <c r="B11" s="51" t="n">
        <v>16604.9834637422</v>
      </c>
      <c r="C11" s="6" t="n">
        <v>0.02624048224627394</v>
      </c>
      <c r="E11" s="7" t="n">
        <v>0</v>
      </c>
      <c r="F11" s="53" t="n">
        <v>86426</v>
      </c>
      <c r="G11" s="6" t="n">
        <v>0.155192073220003</v>
      </c>
      <c r="K11" s="4" t="n">
        <v>5.874764463737331</v>
      </c>
      <c r="L11" s="4" t="n">
        <v>5.200383795809368</v>
      </c>
    </row>
    <row r="12" spans="1:12">
      <c r="A12" t="n">
        <v>1</v>
      </c>
      <c r="B12" s="51" t="n">
        <v>21952.8112701016</v>
      </c>
      <c r="C12" s="6" t="n">
        <v>0.03469153436055762</v>
      </c>
      <c r="E12" s="7" t="n">
        <v>1</v>
      </c>
      <c r="F12" s="53" t="n">
        <v>65098</v>
      </c>
      <c r="G12" s="6" t="n">
        <v>0.116894147391708</v>
      </c>
      <c r="K12" s="4" t="n"/>
      <c r="L12" s="7" t="n"/>
    </row>
    <row r="13" spans="1:12">
      <c r="A13" t="n">
        <v>2</v>
      </c>
      <c r="B13" s="51" t="n">
        <v>42499.4350588756</v>
      </c>
      <c r="C13" s="6" t="n">
        <v>0.06716090224204102</v>
      </c>
      <c r="E13" s="7" t="n">
        <v>2</v>
      </c>
      <c r="F13" s="53" t="n">
        <v>44297</v>
      </c>
      <c r="G13" s="6" t="n">
        <v>0.07954253659114702</v>
      </c>
    </row>
    <row r="14" spans="1:12">
      <c r="A14" t="n">
        <v>3</v>
      </c>
      <c r="B14" s="51" t="n">
        <v>68970.6634023386</v>
      </c>
      <c r="C14" s="6" t="n">
        <v>0.1089927895727593</v>
      </c>
      <c r="E14" s="7" t="n">
        <v>3</v>
      </c>
      <c r="F14" s="53" t="n">
        <v>27272</v>
      </c>
      <c r="G14" s="6" t="n">
        <v>0.04897135376918892</v>
      </c>
    </row>
    <row r="15" spans="1:12">
      <c r="A15" t="n">
        <v>4</v>
      </c>
      <c r="B15" s="51" t="n">
        <v>154323.6324317361</v>
      </c>
      <c r="C15" s="6" t="n">
        <v>0.2438741686101536</v>
      </c>
      <c r="E15" s="7" t="n">
        <v>4</v>
      </c>
      <c r="F15" s="53" t="n">
        <v>87893</v>
      </c>
      <c r="G15" s="6" t="n">
        <v>0.1578263125856307</v>
      </c>
    </row>
    <row r="16" spans="1:12">
      <c r="A16" t="n">
        <v>5</v>
      </c>
      <c r="B16" s="51" t="n">
        <v>77999.16794440719</v>
      </c>
      <c r="C16" s="6" t="n">
        <v>0.1232603324260157</v>
      </c>
      <c r="E16" s="7" t="n">
        <v>5</v>
      </c>
      <c r="F16" s="53" t="n">
        <v>47701</v>
      </c>
      <c r="G16" s="6" t="n">
        <v>0.08565497749134938</v>
      </c>
    </row>
    <row r="17" spans="1:12">
      <c r="A17" t="n">
        <v>6</v>
      </c>
      <c r="B17" s="51" t="n">
        <v>97004.8057745054</v>
      </c>
      <c r="C17" s="6" t="n">
        <v>0.1532945148236542</v>
      </c>
      <c r="E17" s="7" t="n">
        <v>6</v>
      </c>
      <c r="F17" s="53" t="n">
        <v>46875</v>
      </c>
      <c r="G17" s="6" t="n">
        <v>0.08417175887103001</v>
      </c>
    </row>
    <row r="18" spans="1:12">
      <c r="A18" t="n">
        <v>7</v>
      </c>
      <c r="B18" s="51" t="n">
        <v>24671.8067362506</v>
      </c>
      <c r="C18" s="6" t="n">
        <v>0.03898830179865676</v>
      </c>
      <c r="E18" s="7" t="n">
        <v>7</v>
      </c>
      <c r="F18" s="53" t="n">
        <v>18946</v>
      </c>
      <c r="G18" s="6" t="n">
        <v>0.03402065372950474</v>
      </c>
    </row>
    <row r="19" spans="1:12">
      <c r="A19" t="n">
        <v>8</v>
      </c>
      <c r="B19" s="51" t="n">
        <v>30318.2908072104</v>
      </c>
      <c r="C19" s="6" t="n">
        <v>0.0479113136969473</v>
      </c>
      <c r="E19" s="7" t="n">
        <v>8</v>
      </c>
      <c r="F19" s="53" t="n">
        <v>59787</v>
      </c>
      <c r="G19" s="6" t="n">
        <v>0.1073573748826085</v>
      </c>
    </row>
    <row r="20" spans="1:12">
      <c r="A20" t="n">
        <v>9</v>
      </c>
      <c r="B20" s="51" t="n">
        <v>20461.9897532309</v>
      </c>
      <c r="C20" s="6" t="n">
        <v>0.03233562261687965</v>
      </c>
      <c r="E20" s="7" t="n">
        <v>9</v>
      </c>
      <c r="F20" s="53" t="n">
        <v>11095</v>
      </c>
      <c r="G20" s="6" t="n">
        <v>0.01992289417971366</v>
      </c>
    </row>
    <row r="21" spans="1:12">
      <c r="A21" t="n">
        <v>10</v>
      </c>
      <c r="B21" s="51" t="n">
        <v>29274.8534304106</v>
      </c>
      <c r="C21" s="6" t="n">
        <v>0.04626239305689969</v>
      </c>
      <c r="E21" s="7" t="n">
        <v>10</v>
      </c>
      <c r="F21" s="53" t="n">
        <v>8402</v>
      </c>
      <c r="G21" s="6" t="n">
        <v>0.01508717051806708</v>
      </c>
    </row>
    <row r="22" spans="1:12">
      <c r="A22" t="n">
        <v>11</v>
      </c>
      <c r="B22" s="51" t="n">
        <v>7581.4602076597</v>
      </c>
      <c r="C22" s="6" t="n">
        <v>0.01198081120732969</v>
      </c>
      <c r="E22" s="7" t="n">
        <v>11</v>
      </c>
      <c r="F22" s="53" t="n">
        <v>8289</v>
      </c>
      <c r="G22" s="6" t="n">
        <v>0.01488426046468198</v>
      </c>
    </row>
    <row r="23" spans="1:12">
      <c r="A23" t="n">
        <v>12</v>
      </c>
      <c r="B23" s="51" t="n">
        <v>3575.4921798965</v>
      </c>
      <c r="C23" s="6" t="n">
        <v>0.005650269948966333</v>
      </c>
      <c r="E23" s="7" t="n">
        <v>12</v>
      </c>
      <c r="F23" s="53" t="n">
        <v>10145</v>
      </c>
      <c r="G23" s="6" t="n">
        <v>0.01821701319992745</v>
      </c>
    </row>
    <row r="24" spans="1:12">
      <c r="A24" t="n">
        <v>13</v>
      </c>
      <c r="B24" s="51" t="n">
        <v>2816.3028888836</v>
      </c>
      <c r="C24" s="6" t="n">
        <v>0.004450540171704894</v>
      </c>
      <c r="E24" s="7" t="n">
        <v>13</v>
      </c>
      <c r="F24" s="53" t="n">
        <v>13860</v>
      </c>
      <c r="G24" s="6" t="n">
        <v>0.02488790566298615</v>
      </c>
    </row>
    <row r="25" spans="1:12">
      <c r="A25" t="n">
        <v>14</v>
      </c>
      <c r="B25" s="51" t="n">
        <v>4608.1001548464</v>
      </c>
      <c r="C25" s="6" t="n">
        <v>0.007282077128612099</v>
      </c>
      <c r="E25" s="7" t="n">
        <v>14</v>
      </c>
      <c r="F25" s="53" t="n">
        <v>3329</v>
      </c>
      <c r="G25" s="6" t="n">
        <v>0.005977766086008723</v>
      </c>
    </row>
    <row r="26" spans="1:12">
      <c r="A26" t="n">
        <v>15</v>
      </c>
      <c r="B26" s="51" t="n">
        <v>4713.306057650499</v>
      </c>
      <c r="C26" s="6" t="n">
        <v>0.007448331652789266</v>
      </c>
      <c r="E26" s="7" t="n">
        <v>15</v>
      </c>
      <c r="F26" s="53" t="n">
        <v>7897</v>
      </c>
      <c r="G26" s="6" t="n">
        <v>0.01418036010249651</v>
      </c>
    </row>
    <row r="27" spans="1:12">
      <c r="A27" t="n">
        <v>16</v>
      </c>
      <c r="B27" s="51" t="n">
        <v>4568.9158708242</v>
      </c>
      <c r="C27" s="6" t="n">
        <v>0.007220155085060375</v>
      </c>
      <c r="E27" s="7" t="n">
        <v>16</v>
      </c>
      <c r="F27" s="53" t="n">
        <v>1269</v>
      </c>
      <c r="G27" s="6" t="n">
        <v>0.002278697856156524</v>
      </c>
    </row>
    <row r="28" spans="1:12">
      <c r="A28" t="n">
        <v>17</v>
      </c>
      <c r="B28" s="51" t="n">
        <v>2983.6074133344</v>
      </c>
      <c r="C28" s="6" t="n">
        <v>0.004714927752286268</v>
      </c>
      <c r="E28" s="7" t="n">
        <v>17</v>
      </c>
      <c r="F28" s="53" t="n">
        <v>2356</v>
      </c>
      <c r="G28" s="6" t="n">
        <v>0.004230584829869796</v>
      </c>
    </row>
    <row r="29" spans="1:12">
      <c r="A29" t="n">
        <v>18</v>
      </c>
      <c r="B29" s="51" t="n">
        <v>995.7219531329</v>
      </c>
      <c r="C29" s="6" t="n">
        <v>0.00157351702821393</v>
      </c>
      <c r="E29" s="7" t="n">
        <v>18</v>
      </c>
      <c r="F29" s="53" t="n">
        <v>690</v>
      </c>
      <c r="G29" s="6" t="n">
        <v>0.001239008290581562</v>
      </c>
    </row>
    <row r="30" spans="1:12">
      <c r="A30" t="n">
        <v>19</v>
      </c>
      <c r="B30" s="51" t="n">
        <v>512.112231117</v>
      </c>
      <c r="C30" s="6" t="n">
        <v>0.0008092794514410731</v>
      </c>
      <c r="E30" s="7" t="n">
        <v>19</v>
      </c>
      <c r="F30" s="53" t="n">
        <v>441</v>
      </c>
      <c r="G30" s="6" t="n">
        <v>0.0007918879074586503</v>
      </c>
    </row>
    <row r="31" spans="1:12">
      <c r="A31" t="n">
        <v>20</v>
      </c>
      <c r="B31" s="51" t="n">
        <v>99.78512096270001</v>
      </c>
      <c r="C31" s="6" t="n">
        <v>0.0001576881844406202</v>
      </c>
      <c r="E31" s="7" t="n">
        <v>20</v>
      </c>
      <c r="F31" s="53" t="n">
        <v>562</v>
      </c>
      <c r="G31" s="6" t="n">
        <v>0.001009163274357736</v>
      </c>
    </row>
    <row r="32" spans="1:12">
      <c r="A32" t="n">
        <v>21</v>
      </c>
      <c r="B32" s="51" t="n">
        <v>0</v>
      </c>
      <c r="C32" s="6" t="n">
        <v>0</v>
      </c>
      <c r="E32" s="7" t="n">
        <v>21</v>
      </c>
      <c r="F32" s="53" t="n">
        <v>1582</v>
      </c>
      <c r="G32" s="6" t="n">
        <v>0.002840740747391349</v>
      </c>
    </row>
    <row r="33" spans="1:12">
      <c r="A33" t="n">
        <v>22</v>
      </c>
      <c r="B33" s="51" t="n">
        <v>2237.1382937662</v>
      </c>
      <c r="C33" s="6" t="n">
        <v>0.003535299376130891</v>
      </c>
      <c r="E33" s="7" t="n">
        <v>22</v>
      </c>
      <c r="F33" s="53" t="n">
        <v>222</v>
      </c>
      <c r="G33" s="6" t="n">
        <v>0.0003986374500131981</v>
      </c>
    </row>
    <row r="34" spans="1:12">
      <c r="A34" t="n">
        <v>23</v>
      </c>
      <c r="B34" s="51" t="n">
        <v>704.037746628</v>
      </c>
      <c r="C34" s="6" t="n">
        <v>0.001112575030950092</v>
      </c>
      <c r="E34" s="7" t="n">
        <v>23</v>
      </c>
      <c r="F34" s="53" t="n">
        <v>254</v>
      </c>
      <c r="G34" s="6" t="n">
        <v>0.0004560987040691546</v>
      </c>
    </row>
    <row r="35" spans="1:12">
      <c r="A35" t="n">
        <v>24</v>
      </c>
      <c r="B35" s="51" t="n">
        <v>1181.737533489</v>
      </c>
      <c r="C35" s="6" t="n">
        <v>0.001867473269996573</v>
      </c>
      <c r="E35" s="7" t="n">
        <v>24</v>
      </c>
      <c r="F35" s="53" t="n">
        <v>259</v>
      </c>
      <c r="G35" s="6" t="n">
        <v>0.0004650770250153978</v>
      </c>
    </row>
    <row r="36" spans="1:12">
      <c r="A36" t="n">
        <v>25</v>
      </c>
      <c r="B36" s="51" t="n">
        <v>0</v>
      </c>
      <c r="C36" s="6" t="n">
        <v>0</v>
      </c>
      <c r="E36" s="7" t="n">
        <v>25</v>
      </c>
      <c r="F36" s="53" t="n">
        <v>191</v>
      </c>
      <c r="G36" s="6" t="n">
        <v>0.0003429718601464903</v>
      </c>
    </row>
    <row r="37" spans="1:12">
      <c r="A37" t="n">
        <v>26</v>
      </c>
      <c r="B37" s="51" t="n">
        <v>9134.139197189999</v>
      </c>
      <c r="C37" s="6" t="n">
        <v>0.01443447492508628</v>
      </c>
      <c r="E37" s="7" t="n">
        <v>26</v>
      </c>
      <c r="F37" s="53" t="n">
        <v>117</v>
      </c>
      <c r="G37" s="6" t="n">
        <v>0.0002100927101420909</v>
      </c>
    </row>
    <row r="38" spans="1:12">
      <c r="A38" t="n">
        <v>27</v>
      </c>
      <c r="B38" s="51" t="n">
        <v>0</v>
      </c>
      <c r="C38" s="6" t="n">
        <v>0</v>
      </c>
      <c r="E38" s="7" t="n">
        <v>27</v>
      </c>
      <c r="F38" s="53" t="n">
        <v>1128</v>
      </c>
      <c r="G38" s="6" t="n">
        <v>0.002025509205472466</v>
      </c>
    </row>
    <row r="39" spans="1:12">
      <c r="A39" t="n">
        <v>28</v>
      </c>
      <c r="B39" s="51" t="n">
        <v>0</v>
      </c>
      <c r="C39" s="6" t="n">
        <v>0</v>
      </c>
      <c r="E39" s="7" t="n">
        <v>28</v>
      </c>
      <c r="F39" s="53" t="n">
        <v>106</v>
      </c>
      <c r="G39" s="6" t="n">
        <v>0.0001903404040603559</v>
      </c>
    </row>
    <row r="40" spans="1:12">
      <c r="A40" t="n">
        <v>29</v>
      </c>
      <c r="B40" s="51" t="n">
        <v>0</v>
      </c>
      <c r="C40" s="6" t="n">
        <v>0</v>
      </c>
      <c r="E40" s="7" t="n">
        <v>29</v>
      </c>
      <c r="F40" s="53" t="n">
        <v>121</v>
      </c>
      <c r="G40" s="6" t="n">
        <v>0.0002172753668990855</v>
      </c>
    </row>
    <row r="41" spans="1:12">
      <c r="A41" t="n">
        <v>30</v>
      </c>
      <c r="B41" s="51" t="n">
        <v>0</v>
      </c>
      <c r="C41" s="6" t="n">
        <v>0</v>
      </c>
      <c r="E41" s="7" t="n">
        <v>30</v>
      </c>
      <c r="F41" s="53" t="n">
        <v>82</v>
      </c>
      <c r="G41" s="6" t="n">
        <v>0.0001472444635183885</v>
      </c>
    </row>
    <row r="42" spans="1:12">
      <c r="A42" t="n">
        <v>31</v>
      </c>
      <c r="B42" s="51" t="n">
        <v>889.701534148</v>
      </c>
      <c r="C42" s="6" t="n">
        <v>0.00140597534241879</v>
      </c>
      <c r="E42" s="7" t="n">
        <v>31</v>
      </c>
      <c r="F42" s="53" t="n">
        <v>18</v>
      </c>
      <c r="G42" s="6" t="n">
        <v>3.232195540647552e-05</v>
      </c>
    </row>
    <row r="43" spans="1:12">
      <c r="A43" t="n">
        <v>32</v>
      </c>
      <c r="B43" s="51" t="n">
        <v>0</v>
      </c>
      <c r="C43" s="6" t="n">
        <v>0</v>
      </c>
      <c r="E43" s="7" t="n">
        <v>32</v>
      </c>
      <c r="F43" s="53" t="n">
        <v>45</v>
      </c>
      <c r="G43" s="6" t="n">
        <v>8.080488851618881e-05</v>
      </c>
    </row>
    <row r="44" spans="1:12">
      <c r="A44" t="n">
        <v>33</v>
      </c>
      <c r="B44" s="51" t="n">
        <v>0</v>
      </c>
      <c r="C44" s="6" t="n">
        <v>0</v>
      </c>
      <c r="E44" s="7" t="n">
        <v>33</v>
      </c>
      <c r="F44" s="53" t="n">
        <v>40</v>
      </c>
      <c r="G44" s="6" t="n">
        <v>7.18265675699456e-05</v>
      </c>
    </row>
    <row r="45" spans="1:12">
      <c r="A45" t="n">
        <v>34</v>
      </c>
      <c r="B45" s="51" t="n">
        <v>0</v>
      </c>
      <c r="C45" s="6" t="n">
        <v>0</v>
      </c>
      <c r="E45" s="7" t="n">
        <v>34</v>
      </c>
      <c r="F45" s="53" t="n">
        <v>22</v>
      </c>
      <c r="G45" s="6" t="n">
        <v>3.950461216347008e-05</v>
      </c>
    </row>
    <row r="46" spans="1:12">
      <c r="A46" t="n">
        <v>35</v>
      </c>
      <c r="B46" s="51" t="n">
        <v>0</v>
      </c>
      <c r="C46" s="6" t="n">
        <v>0</v>
      </c>
      <c r="E46" s="7" t="n">
        <v>35</v>
      </c>
      <c r="F46" s="53" t="n">
        <v>15</v>
      </c>
      <c r="G46" s="6" t="n">
        <v>2.69349628387296e-05</v>
      </c>
    </row>
    <row r="47" spans="1:12">
      <c r="A47" t="n">
        <v>36</v>
      </c>
      <c r="B47" s="51" t="n">
        <v>183.053312801</v>
      </c>
      <c r="C47" s="6" t="n">
        <v>0.000289275036928808</v>
      </c>
      <c r="E47" s="7" t="n">
        <v>36</v>
      </c>
      <c r="F47" s="53" t="n">
        <v>24</v>
      </c>
      <c r="G47" s="6" t="n">
        <v>4.309594054196737e-05</v>
      </c>
    </row>
    <row r="48" spans="1:12">
      <c r="A48" t="n">
        <v>37</v>
      </c>
      <c r="B48" s="51" t="n">
        <v>0</v>
      </c>
      <c r="C48" s="6" t="n">
        <v>0</v>
      </c>
      <c r="E48" s="7" t="n">
        <v>37</v>
      </c>
      <c r="F48" s="53" t="n">
        <v>7</v>
      </c>
      <c r="G48" s="6" t="n">
        <v>1.256964932474048e-05</v>
      </c>
    </row>
    <row r="49" spans="1:12">
      <c r="A49" t="n">
        <v>38</v>
      </c>
      <c r="B49" s="51" t="n">
        <v>0</v>
      </c>
      <c r="C49" s="6" t="n">
        <v>0</v>
      </c>
      <c r="E49" s="7" t="n">
        <v>38</v>
      </c>
      <c r="F49" s="53" t="n">
        <v>13</v>
      </c>
      <c r="G49" s="6" t="n">
        <v>2.334363446023232e-05</v>
      </c>
    </row>
    <row r="50" spans="1:12">
      <c r="A50" t="n">
        <v>39</v>
      </c>
      <c r="B50" s="51" t="n">
        <v>0</v>
      </c>
      <c r="C50" s="6" t="n">
        <v>0</v>
      </c>
      <c r="E50" s="7" t="n">
        <v>39</v>
      </c>
      <c r="F50" s="53" t="n">
        <v>4</v>
      </c>
      <c r="G50" s="6" t="n">
        <v>7.182656756994561e-06</v>
      </c>
    </row>
    <row r="51" spans="1:12">
      <c r="A51" t="n">
        <v>40</v>
      </c>
      <c r="B51" s="51" t="n">
        <v>0</v>
      </c>
      <c r="C51" s="6" t="n">
        <v>0</v>
      </c>
      <c r="E51" s="7" t="n">
        <v>40</v>
      </c>
      <c r="F51" s="53" t="n">
        <v>2</v>
      </c>
      <c r="G51" s="6" t="n">
        <v>3.59132837849728e-06</v>
      </c>
    </row>
    <row r="52" spans="1:12">
      <c r="A52" t="n">
        <v>41</v>
      </c>
      <c r="B52" s="51" t="n">
        <v>0</v>
      </c>
      <c r="C52" s="6" t="n">
        <v>0</v>
      </c>
      <c r="E52" s="7" t="n">
        <v>41</v>
      </c>
      <c r="F52" s="53" t="n">
        <v>3</v>
      </c>
      <c r="G52" s="6" t="n">
        <v>5.386992567745921e-06</v>
      </c>
    </row>
    <row r="53" spans="1:12">
      <c r="A53" t="n">
        <v>42</v>
      </c>
      <c r="B53" s="51" t="n">
        <v>0</v>
      </c>
      <c r="C53" s="6" t="n">
        <v>0</v>
      </c>
      <c r="E53" s="7" t="n">
        <v>42</v>
      </c>
      <c r="F53" s="53" t="n">
        <v>1</v>
      </c>
      <c r="G53" s="6" t="n">
        <v>1.79566418924864e-06</v>
      </c>
    </row>
    <row r="54" spans="1:12">
      <c r="A54" t="n">
        <v>43</v>
      </c>
      <c r="B54" s="51" t="n">
        <v>0</v>
      </c>
      <c r="C54" s="6" t="n">
        <v>0</v>
      </c>
      <c r="E54" s="7" t="n">
        <v>43</v>
      </c>
      <c r="F54" s="53" t="n">
        <v>1</v>
      </c>
      <c r="G54" s="6" t="n">
        <v>1.79566418924864e-06</v>
      </c>
    </row>
    <row r="55" spans="1:12">
      <c r="A55" t="n">
        <v>44</v>
      </c>
      <c r="B55" s="51" t="n">
        <v>0</v>
      </c>
      <c r="C55" s="6" t="n">
        <v>0</v>
      </c>
      <c r="E55" s="7" t="n">
        <v>44</v>
      </c>
      <c r="F55" s="53" t="n">
        <v>0</v>
      </c>
      <c r="G55" s="6" t="n">
        <v>0</v>
      </c>
    </row>
    <row r="56" spans="1:12">
      <c r="A56" t="n">
        <v>45</v>
      </c>
      <c r="B56" s="51" t="n">
        <v>250.40304101</v>
      </c>
      <c r="C56" s="6" t="n">
        <v>0.0003957062990386803</v>
      </c>
      <c r="E56" s="7" t="n">
        <v>45</v>
      </c>
      <c r="F56" s="53" t="n">
        <v>1</v>
      </c>
      <c r="G56" s="6" t="n">
        <v>1.79566418924864e-06</v>
      </c>
    </row>
    <row r="57" spans="1:12">
      <c r="A57" t="n">
        <v>46</v>
      </c>
      <c r="B57" s="51" t="n">
        <v>0</v>
      </c>
      <c r="C57" s="6" t="n">
        <v>0</v>
      </c>
      <c r="E57" s="7" t="n">
        <v>46</v>
      </c>
      <c r="F57" s="53" t="n">
        <v>1</v>
      </c>
      <c r="G57" s="6" t="n">
        <v>1.79566418924864e-06</v>
      </c>
    </row>
    <row r="58" spans="1:12">
      <c r="A58" t="n">
        <v>47</v>
      </c>
      <c r="B58" s="51" t="n">
        <v>0</v>
      </c>
      <c r="C58" s="6" t="n">
        <v>0</v>
      </c>
      <c r="E58" s="7" t="n">
        <v>47</v>
      </c>
      <c r="F58" s="53" t="n">
        <v>0</v>
      </c>
      <c r="G58" s="6" t="n">
        <v>0</v>
      </c>
    </row>
    <row r="59" spans="1:12">
      <c r="A59" t="n">
        <v>48</v>
      </c>
      <c r="B59" s="51" t="n">
        <v>0</v>
      </c>
      <c r="C59" s="6" t="n">
        <v>0</v>
      </c>
      <c r="E59" s="7" t="n">
        <v>48</v>
      </c>
      <c r="F59" s="53" t="n">
        <v>0</v>
      </c>
      <c r="G59" s="6" t="n">
        <v>0</v>
      </c>
    </row>
    <row r="60" spans="1:12">
      <c r="A60" t="n">
        <v>49</v>
      </c>
      <c r="B60" s="51" t="n">
        <v>0</v>
      </c>
      <c r="C60" s="6" t="n">
        <v>0</v>
      </c>
      <c r="E60" s="7" t="n">
        <v>49</v>
      </c>
      <c r="F60" s="53" t="n">
        <v>1</v>
      </c>
      <c r="G60" s="6" t="n">
        <v>1.79566418924864e-06</v>
      </c>
    </row>
    <row r="61" spans="1:12">
      <c r="A61" t="n">
        <v>50</v>
      </c>
      <c r="B61" s="51" t="n">
        <v>0</v>
      </c>
      <c r="C61" s="6" t="n">
        <v>0</v>
      </c>
      <c r="E61" s="7" t="n">
        <v>50</v>
      </c>
      <c r="F61" s="53" t="n">
        <v>1</v>
      </c>
      <c r="G61" s="6" t="n">
        <v>1.79566418924864e-06</v>
      </c>
    </row>
    <row r="62" spans="1:12">
      <c r="A62" t="n">
        <v>51</v>
      </c>
      <c r="B62" s="51" t="n">
        <v>0</v>
      </c>
      <c r="C62" s="6" t="n">
        <v>0</v>
      </c>
      <c r="E62" s="7" t="n">
        <v>51</v>
      </c>
      <c r="F62" s="53" t="n">
        <v>3</v>
      </c>
      <c r="G62" s="6" t="n">
        <v>5.386992567745921e-06</v>
      </c>
    </row>
    <row r="63" spans="1:12">
      <c r="A63" t="n">
        <v>52</v>
      </c>
      <c r="B63" s="51" t="n">
        <v>0</v>
      </c>
      <c r="C63" s="6" t="n">
        <v>0</v>
      </c>
      <c r="E63" s="7" t="n">
        <v>52</v>
      </c>
      <c r="F63" s="53" t="n">
        <v>0</v>
      </c>
      <c r="G63" s="6" t="n">
        <v>0</v>
      </c>
    </row>
    <row r="64" spans="1:12">
      <c r="A64" t="n">
        <v>53</v>
      </c>
      <c r="B64" s="51" t="n">
        <v>0</v>
      </c>
      <c r="C64" s="6" t="n">
        <v>0</v>
      </c>
      <c r="E64" s="7" t="n">
        <v>53</v>
      </c>
      <c r="F64" s="53" t="n">
        <v>2</v>
      </c>
      <c r="G64" s="6" t="n">
        <v>3.59132837849728e-06</v>
      </c>
    </row>
    <row r="65" spans="1:12">
      <c r="A65" t="n">
        <v>54</v>
      </c>
      <c r="B65" s="51" t="n">
        <v>444.572467296</v>
      </c>
      <c r="C65" s="6" t="n">
        <v>0.0007025478803237434</v>
      </c>
      <c r="E65" s="7" t="n">
        <v>54</v>
      </c>
      <c r="F65" s="53" t="n">
        <v>0</v>
      </c>
      <c r="G65" s="6" t="n">
        <v>0</v>
      </c>
    </row>
    <row r="66" spans="1:12">
      <c r="A66" t="n">
        <v>55</v>
      </c>
      <c r="B66" s="51" t="n">
        <v>0</v>
      </c>
      <c r="C66" s="6" t="n">
        <v>0</v>
      </c>
      <c r="E66" s="7" t="n">
        <v>55</v>
      </c>
      <c r="F66" s="53" t="n">
        <v>1</v>
      </c>
      <c r="G66" s="6" t="n">
        <v>1.79566418924864e-06</v>
      </c>
    </row>
    <row r="67" spans="1:12">
      <c r="A67" t="n">
        <v>56</v>
      </c>
      <c r="B67" s="51" t="n">
        <v>668.7115357709999</v>
      </c>
      <c r="C67" s="6" t="n">
        <v>0.001056749813728688</v>
      </c>
      <c r="E67" s="7" t="n">
        <v>56</v>
      </c>
      <c r="F67" s="53" t="n">
        <v>0</v>
      </c>
      <c r="G67" s="6" t="n">
        <v>0</v>
      </c>
    </row>
    <row r="68" spans="1:12">
      <c r="A68" t="n">
        <v>57</v>
      </c>
      <c r="B68" s="51" t="n">
        <v>569.501209051</v>
      </c>
      <c r="C68" s="6" t="n">
        <v>0.0008999699637139202</v>
      </c>
      <c r="E68" s="7" t="n">
        <v>57</v>
      </c>
      <c r="F68" s="53" t="n">
        <v>0</v>
      </c>
      <c r="G68" s="6" t="n">
        <v>0</v>
      </c>
    </row>
    <row r="69" spans="1:12">
      <c r="A69" t="n">
        <v>58</v>
      </c>
      <c r="B69" s="51" t="n">
        <v>0</v>
      </c>
      <c r="C69" s="6" t="n">
        <v>0</v>
      </c>
      <c r="E69" s="7" t="n">
        <v>58</v>
      </c>
      <c r="F69" s="53" t="n">
        <v>0</v>
      </c>
      <c r="G69" s="6" t="n">
        <v>0</v>
      </c>
    </row>
    <row r="70" spans="1:12">
      <c r="A70" t="n">
        <v>59</v>
      </c>
      <c r="B70" s="51" t="n">
        <v>0</v>
      </c>
      <c r="C70" s="6" t="n">
        <v>0</v>
      </c>
      <c r="E70" s="7" t="n">
        <v>59</v>
      </c>
      <c r="F70" s="53" t="n">
        <v>0</v>
      </c>
      <c r="G70" s="6" t="n">
        <v>0</v>
      </c>
    </row>
    <row r="71" spans="1:12">
      <c r="A71" t="n">
        <v>60</v>
      </c>
      <c r="B71" s="51" t="n">
        <v>0</v>
      </c>
      <c r="C71" s="6" t="n">
        <v>0</v>
      </c>
      <c r="E71" s="7" t="n">
        <v>60</v>
      </c>
      <c r="F71" s="53" t="n">
        <v>0</v>
      </c>
      <c r="G71" s="6" t="n">
        <v>0</v>
      </c>
    </row>
    <row r="72" spans="1:12">
      <c r="A72" t="n">
        <v>61</v>
      </c>
      <c r="B72" s="51" t="n">
        <v>0</v>
      </c>
      <c r="C72" s="6" t="n">
        <v>0</v>
      </c>
      <c r="E72" s="7" t="n">
        <v>61</v>
      </c>
      <c r="F72" s="53" t="n">
        <v>0</v>
      </c>
      <c r="G72" s="6" t="n">
        <v>0</v>
      </c>
    </row>
    <row r="73" spans="1:12">
      <c r="A73" t="n">
        <v>62</v>
      </c>
      <c r="B73" s="51" t="n">
        <v>0</v>
      </c>
      <c r="C73" s="6" t="n">
        <v>0</v>
      </c>
      <c r="E73" s="7" t="n">
        <v>62</v>
      </c>
      <c r="F73" s="53" t="n">
        <v>0</v>
      </c>
      <c r="G73" s="6" t="n">
        <v>0</v>
      </c>
    </row>
    <row r="74" spans="1:12">
      <c r="A74" t="n">
        <v>63</v>
      </c>
      <c r="B74" s="51" t="n">
        <v>0</v>
      </c>
      <c r="C74" s="6" t="n">
        <v>0</v>
      </c>
      <c r="E74" s="7" t="n">
        <v>63</v>
      </c>
      <c r="F74" s="53" t="n">
        <v>0</v>
      </c>
      <c r="G74" s="6" t="n">
        <v>0</v>
      </c>
    </row>
    <row r="75" spans="1:12">
      <c r="A75" t="n">
        <v>64</v>
      </c>
      <c r="B75" s="51" t="n">
        <v>0</v>
      </c>
      <c r="C75" s="6" t="n">
        <v>0</v>
      </c>
      <c r="E75" s="7" t="n">
        <v>64</v>
      </c>
      <c r="F75" s="53" t="n">
        <v>0</v>
      </c>
      <c r="G75" s="6" t="n">
        <v>0</v>
      </c>
    </row>
    <row r="76" spans="1:12">
      <c r="A76" t="n">
        <v>65</v>
      </c>
      <c r="B76" s="51" t="n">
        <v>0</v>
      </c>
      <c r="C76" s="6" t="n">
        <v>0</v>
      </c>
      <c r="E76" s="7" t="n">
        <v>65</v>
      </c>
      <c r="F76" s="53" t="n">
        <v>0</v>
      </c>
      <c r="G76" s="6" t="n">
        <v>0</v>
      </c>
    </row>
    <row r="77" spans="1:12">
      <c r="A77" t="n">
        <v>66</v>
      </c>
      <c r="B77" s="51" t="n">
        <v>0</v>
      </c>
      <c r="C77" s="6" t="n">
        <v>0</v>
      </c>
      <c r="E77" s="7" t="n">
        <v>66</v>
      </c>
      <c r="F77" s="53" t="n">
        <v>0</v>
      </c>
      <c r="G77" s="6" t="n">
        <v>0</v>
      </c>
    </row>
    <row r="78" spans="1:12">
      <c r="A78" t="n">
        <v>67</v>
      </c>
      <c r="B78" s="51" t="n">
        <v>0</v>
      </c>
      <c r="C78" s="6" t="n">
        <v>0</v>
      </c>
      <c r="E78" s="7" t="n">
        <v>67</v>
      </c>
      <c r="F78" s="53" t="n">
        <v>0</v>
      </c>
      <c r="G78" s="6" t="n">
        <v>0</v>
      </c>
    </row>
    <row r="79" spans="1:12">
      <c r="A79" t="n">
        <v>68</v>
      </c>
      <c r="B79" s="51" t="n">
        <v>0</v>
      </c>
      <c r="C79" s="6" t="n">
        <v>0</v>
      </c>
      <c r="E79" s="7" t="n">
        <v>68</v>
      </c>
      <c r="F79" s="53" t="n">
        <v>0</v>
      </c>
      <c r="G79" s="6" t="n">
        <v>0</v>
      </c>
    </row>
    <row r="80" spans="1:12">
      <c r="A80" t="n">
        <v>69</v>
      </c>
      <c r="B80" s="51" t="n">
        <v>0</v>
      </c>
      <c r="C80" s="6" t="n">
        <v>0</v>
      </c>
      <c r="E80" s="7" t="n">
        <v>69</v>
      </c>
      <c r="F80" s="53" t="n">
        <v>0</v>
      </c>
      <c r="G80" s="6" t="n">
        <v>0</v>
      </c>
    </row>
    <row r="81" spans="1:12">
      <c r="A81" t="n">
        <v>70</v>
      </c>
      <c r="B81" s="51" t="n">
        <v>0</v>
      </c>
      <c r="C81" s="6" t="n">
        <v>0</v>
      </c>
      <c r="E81" s="7" t="n">
        <v>70</v>
      </c>
      <c r="F81" s="53" t="n">
        <v>0</v>
      </c>
      <c r="G81" s="6" t="n">
        <v>0</v>
      </c>
    </row>
    <row r="82" spans="1:12">
      <c r="A82" t="n">
        <v>71</v>
      </c>
      <c r="B82" s="51" t="n">
        <v>0</v>
      </c>
      <c r="C82" s="6" t="n">
        <v>0</v>
      </c>
      <c r="E82" s="7" t="n">
        <v>71</v>
      </c>
      <c r="F82" s="53" t="n">
        <v>0</v>
      </c>
      <c r="G82" s="6" t="n">
        <v>0</v>
      </c>
    </row>
    <row r="83" spans="1:12">
      <c r="A83" t="n">
        <v>72</v>
      </c>
      <c r="B83" s="51" t="n">
        <v>0</v>
      </c>
      <c r="C83" s="6" t="n">
        <v>0</v>
      </c>
      <c r="E83" s="7" t="n">
        <v>72</v>
      </c>
      <c r="F83" s="53" t="n">
        <v>0</v>
      </c>
      <c r="G83" s="6" t="n">
        <v>0</v>
      </c>
    </row>
    <row r="84" spans="1:12">
      <c r="A84" t="n">
        <v>73</v>
      </c>
      <c r="B84" s="51" t="n">
        <v>0</v>
      </c>
      <c r="C84" s="6" t="n">
        <v>0</v>
      </c>
      <c r="E84" s="7" t="n">
        <v>73</v>
      </c>
      <c r="F84" s="53" t="n">
        <v>0</v>
      </c>
      <c r="G84" s="6" t="n">
        <v>0</v>
      </c>
    </row>
    <row r="85" spans="1:12">
      <c r="A85" t="n">
        <v>74</v>
      </c>
      <c r="B85" s="51" t="n">
        <v>0</v>
      </c>
      <c r="C85" s="6" t="n">
        <v>0</v>
      </c>
      <c r="E85" s="7" t="n">
        <v>74</v>
      </c>
      <c r="F85" s="53" t="n">
        <v>0</v>
      </c>
      <c r="G85" s="6" t="n">
        <v>0</v>
      </c>
    </row>
    <row r="86" spans="1:12">
      <c r="A86" t="n">
        <v>75</v>
      </c>
      <c r="B86" s="51" t="n">
        <v>0</v>
      </c>
      <c r="C86" s="6" t="n">
        <v>0</v>
      </c>
      <c r="E86" s="7" t="n">
        <v>75</v>
      </c>
      <c r="F86" s="53" t="n">
        <v>0</v>
      </c>
      <c r="G86" s="6" t="n">
        <v>0</v>
      </c>
    </row>
    <row r="87" spans="1:12">
      <c r="A87" t="n">
        <v>76</v>
      </c>
      <c r="B87" s="51" t="n">
        <v>0</v>
      </c>
      <c r="C87" s="6" t="n">
        <v>0</v>
      </c>
      <c r="E87" s="7" t="n">
        <v>76</v>
      </c>
      <c r="F87" s="53" t="n">
        <v>0</v>
      </c>
      <c r="G87" s="6" t="n">
        <v>0</v>
      </c>
    </row>
    <row r="88" spans="1:12">
      <c r="A88" t="n">
        <v>77</v>
      </c>
      <c r="B88" s="51" t="n">
        <v>0</v>
      </c>
      <c r="C88" s="6" t="n">
        <v>0</v>
      </c>
      <c r="E88" s="7" t="n">
        <v>77</v>
      </c>
      <c r="F88" s="53" t="n">
        <v>0</v>
      </c>
      <c r="G88" s="6" t="n">
        <v>0</v>
      </c>
    </row>
    <row r="89" spans="1:12">
      <c r="A89" t="n">
        <v>78</v>
      </c>
      <c r="B89" s="51" t="n">
        <v>0</v>
      </c>
      <c r="C89" s="6" t="n">
        <v>0</v>
      </c>
      <c r="E89" s="7" t="n">
        <v>78</v>
      </c>
      <c r="F89" s="53" t="n">
        <v>0</v>
      </c>
      <c r="G89" s="6" t="n">
        <v>0</v>
      </c>
    </row>
    <row r="90" spans="1:12">
      <c r="A90" t="n">
        <v>79</v>
      </c>
      <c r="B90" s="51" t="n">
        <v>0</v>
      </c>
      <c r="C90" s="6" t="n">
        <v>0</v>
      </c>
      <c r="E90" s="7" t="n">
        <v>79</v>
      </c>
      <c r="F90" s="53" t="n">
        <v>0</v>
      </c>
      <c r="G90" s="6" t="n">
        <v>0</v>
      </c>
    </row>
    <row r="91" spans="1:12">
      <c r="A91" t="n">
        <v>80</v>
      </c>
      <c r="B91" s="51" t="n">
        <v>0</v>
      </c>
      <c r="C91" s="6" t="n">
        <v>0</v>
      </c>
      <c r="E91" s="7" t="n">
        <v>80</v>
      </c>
      <c r="F91" s="53" t="n">
        <v>0</v>
      </c>
      <c r="G91" s="6" t="n">
        <v>0</v>
      </c>
    </row>
    <row r="92" spans="1:12">
      <c r="A92" t="n">
        <v>81</v>
      </c>
      <c r="B92" s="51" t="n">
        <v>0</v>
      </c>
      <c r="C92" s="6" t="n">
        <v>0</v>
      </c>
      <c r="E92" s="7" t="n">
        <v>81</v>
      </c>
      <c r="F92" s="53" t="n">
        <v>0</v>
      </c>
      <c r="G92" s="6" t="n">
        <v>0</v>
      </c>
    </row>
    <row r="93" spans="1:12">
      <c r="A93" t="n">
        <v>82</v>
      </c>
      <c r="B93" s="51" t="n">
        <v>0</v>
      </c>
      <c r="C93" s="6" t="n">
        <v>0</v>
      </c>
      <c r="E93" s="7" t="n">
        <v>82</v>
      </c>
      <c r="F93" s="53" t="n">
        <v>0</v>
      </c>
      <c r="G93" s="6" t="n">
        <v>0</v>
      </c>
    </row>
    <row r="94" spans="1:12">
      <c r="A94" t="n">
        <v>83</v>
      </c>
      <c r="B94" s="51" t="n">
        <v>0</v>
      </c>
      <c r="C94" s="6" t="n">
        <v>0</v>
      </c>
      <c r="E94" s="7" t="n">
        <v>83</v>
      </c>
      <c r="F94" s="53" t="n">
        <v>0</v>
      </c>
      <c r="G94" s="6" t="n">
        <v>0</v>
      </c>
    </row>
    <row r="95" spans="1:12">
      <c r="A95" t="n">
        <v>84</v>
      </c>
      <c r="B95" s="51" t="n">
        <v>0</v>
      </c>
      <c r="C95" s="6" t="n">
        <v>0</v>
      </c>
      <c r="E95" s="7" t="n">
        <v>84</v>
      </c>
      <c r="F95" s="53" t="n">
        <v>0</v>
      </c>
      <c r="G95" s="6" t="n">
        <v>0</v>
      </c>
    </row>
    <row r="96" spans="1:12">
      <c r="A96" t="n">
        <v>85</v>
      </c>
      <c r="B96" s="51" t="n">
        <v>0</v>
      </c>
      <c r="C96" s="6" t="n">
        <v>0</v>
      </c>
      <c r="E96" s="7" t="n">
        <v>85</v>
      </c>
      <c r="F96" s="53" t="n">
        <v>0</v>
      </c>
      <c r="G96" s="6" t="n">
        <v>0</v>
      </c>
    </row>
    <row r="97" spans="1:12">
      <c r="A97" t="n">
        <v>86</v>
      </c>
      <c r="B97" s="51" t="n">
        <v>0</v>
      </c>
      <c r="C97" s="6" t="n">
        <v>0</v>
      </c>
      <c r="E97" s="7" t="n">
        <v>86</v>
      </c>
      <c r="F97" s="53" t="n">
        <v>0</v>
      </c>
      <c r="G97" s="6" t="n">
        <v>0</v>
      </c>
    </row>
    <row r="98" spans="1:12">
      <c r="A98" t="n">
        <v>87</v>
      </c>
      <c r="B98" s="51" t="n">
        <v>0</v>
      </c>
      <c r="C98" s="6" t="n">
        <v>0</v>
      </c>
      <c r="E98" s="7" t="n">
        <v>87</v>
      </c>
      <c r="F98" s="53" t="n">
        <v>0</v>
      </c>
      <c r="G98" s="6" t="n">
        <v>0</v>
      </c>
    </row>
    <row r="99" spans="1:12">
      <c r="A99" t="n">
        <v>88</v>
      </c>
      <c r="B99" s="51" t="n">
        <v>0</v>
      </c>
      <c r="C99" s="6" t="n">
        <v>0</v>
      </c>
      <c r="E99" s="7" t="n">
        <v>88</v>
      </c>
      <c r="F99" s="53" t="n">
        <v>0</v>
      </c>
      <c r="G99" s="6" t="n">
        <v>0</v>
      </c>
    </row>
    <row r="100" spans="1:12">
      <c r="A100" t="n">
        <v>89</v>
      </c>
      <c r="B100" s="51" t="n">
        <v>0</v>
      </c>
      <c r="C100" s="6" t="n">
        <v>0</v>
      </c>
      <c r="E100" s="7" t="n">
        <v>89</v>
      </c>
      <c r="F100" s="53" t="n">
        <v>0</v>
      </c>
      <c r="G100" s="6" t="n">
        <v>0</v>
      </c>
    </row>
    <row customHeight="1" ht="15.75" r="101" s="43" spans="1:12">
      <c r="A101" s="1" t="n">
        <v>90</v>
      </c>
      <c r="B101" s="52" t="n">
        <v>0</v>
      </c>
      <c r="C101" s="6" t="n">
        <v>0</v>
      </c>
      <c r="E101" s="8" t="n">
        <v>90</v>
      </c>
      <c r="F101" s="54" t="n">
        <v>0</v>
      </c>
      <c r="G101" s="6" t="n">
        <v>0</v>
      </c>
    </row>
    <row r="102" spans="1:12">
      <c r="B102" s="51" t="n">
        <v>632800.2400222674</v>
      </c>
      <c r="C102" s="6" t="n">
        <v>1</v>
      </c>
      <c r="F102" s="51" t="n">
        <v>556897</v>
      </c>
      <c r="G102" s="6" t="n">
        <v>1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>
  <dc:creator xmlns:dc="http://purl.org/dc/elements/1.1/">Bhargava Sana</dc:creator>
  <dcterms:created xmlns:dcterms="http://purl.org/dc/terms/" xmlns:xsi="http://www.w3.org/2001/XMLSchema-instance" xsi:type="dcterms:W3CDTF">2011-01-31T15:16:09Z</dcterms:created>
  <dcterms:modified xmlns:dcterms="http://purl.org/dc/terms/" xmlns:xsi="http://www.w3.org/2001/XMLSchema-instance" xsi:type="dcterms:W3CDTF">2017-07-06T17:38:35Z</dcterms:modified>
  <cp:lastModifiedBy>Nagendra Dhakar</cp:lastModifiedBy>
</cp:coreProperties>
</file>