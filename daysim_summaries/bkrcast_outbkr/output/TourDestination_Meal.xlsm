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outbkr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7" l="1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r="AE33"/>
  <c i="1" r="AE34"/>
  <c i="1" r="AE35"/>
  <c i="1" r="AE36"/>
  <c i="1" r="AE37"/>
  <c i="1" r="AE38"/>
  <c i="1" r="AE39"/>
  <c i="1" r="U13"/>
  <c i="1" r="S20"/>
  <c i="1" r="S21"/>
  <c i="1" r="S22"/>
  <c i="1" r="S23"/>
  <c i="1" r="S24"/>
  <c i="1" r="S25"/>
  <c i="1" r="S26"/>
  <c i="1" r="L13"/>
  <c i="1" l="1" r="U7"/>
  <c i="1" r="U8"/>
  <c i="1" r="U9"/>
  <c i="1" r="U10"/>
  <c i="1" r="U11"/>
  <c i="1" r="U12"/>
  <c i="1" r="H19"/>
  <c i="1" r="A26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1" r="H15"/>
  <c i="1" r="J13"/>
  <c i="7" l="1" r="K13"/>
  <c i="7" r="D34" s="1"/>
  <c i="7" r="D44" s="1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1" r="G26"/>
  <c i="1" r="B26"/>
  <c i="1" r="E26"/>
  <c i="1" r="F26"/>
  <c i="1" r="C26"/>
  <c i="1" r="D26"/>
  <c i="1" r="H26"/>
  <c i="1" r="S15"/>
  <c i="7" l="1" r="Q55"/>
  <c i="7" r="Q49"/>
  <c i="7" r="Q53"/>
  <c i="7" r="Q47"/>
  <c i="1" r="J26"/>
  <c i="1" r="S28"/>
  <c i="1" r="U26"/>
  <c i="1" r="N26"/>
  <c i="1" r="O26"/>
  <c i="1" r="P26"/>
  <c i="1" r="Q26"/>
  <c i="1" r="R26"/>
  <c i="1" r="M26"/>
  <c i="1" r="AD32"/>
  <c i="1" r="S32"/>
  <c i="1" r="H32"/>
  <c i="1" r="S19"/>
  <c i="1" r="W39"/>
  <c i="1" r="L26"/>
  <c i="1" r="A39"/>
  <c i="1" r="L39" s="1"/>
  <c i="1" r="S6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H25"/>
  <c i="1" r="H24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7"/>
  <c i="1" r="S38"/>
  <c i="1" r="S39"/>
  <c i="1" r="S36"/>
  <c i="1" r="S35"/>
  <c i="1" r="S33"/>
  <c i="1" r="S34"/>
  <c i="1" r="R39"/>
  <c i="1" r="O39"/>
  <c i="1" r="Q39"/>
  <c i="1" r="N39"/>
  <c i="1" r="U39"/>
  <c i="1" r="M39"/>
  <c i="1" r="P39"/>
  <c i="1" r="F28"/>
  <c i="1" r="G28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l="1" r="H41"/>
  <c i="1" r="AD41" s="1"/>
  <c i="1" r="H39"/>
  <c i="1" r="C39"/>
  <c i="1" r="B39"/>
  <c i="1" r="D39"/>
  <c i="1" r="E39"/>
  <c i="1" r="F39"/>
  <c i="1" r="G39"/>
  <c i="1" r="J39"/>
  <c i="1" r="AD39"/>
  <c i="1" r="AA39"/>
  <c i="1" r="AC39"/>
  <c i="1" r="X39"/>
  <c i="1" r="AB39"/>
  <c i="1" r="AF39"/>
  <c i="1" r="Y39"/>
  <c i="1" r="Z39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<sst xmlns="http://schemas.openxmlformats.org/spreadsheetml/2006/main" count="722" uniqueCount="290">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</sst>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3.9211133201041332E-2</c:v>
                </c:pt>
                <c:pt idx="1">
                  <c:v>7.0571173661045025E-2</c:v>
                </c:pt>
                <c:pt idx="2">
                  <c:v>3.769470075716902E-2</c:v>
                </c:pt>
                <c:pt idx="3">
                  <c:v>8.8777835765744634E-2</c:v>
                </c:pt>
                <c:pt idx="4">
                  <c:v>0.18688729148350372</c:v>
                </c:pt>
                <c:pt idx="5">
                  <c:v>0.13607247966012104</c:v>
                </c:pt>
                <c:pt idx="6">
                  <c:v>0.11959621878981717</c:v>
                </c:pt>
                <c:pt idx="7">
                  <c:v>3.9818262177775954E-2</c:v>
                </c:pt>
                <c:pt idx="8">
                  <c:v>1.6343243090177515E-2</c:v>
                </c:pt>
                <c:pt idx="9">
                  <c:v>1.8953448949998484E-2</c:v>
                </c:pt>
                <c:pt idx="10">
                  <c:v>5.1086407186687832E-2</c:v>
                </c:pt>
                <c:pt idx="11">
                  <c:v>2.2603403554922769E-2</c:v>
                </c:pt>
                <c:pt idx="12">
                  <c:v>3.3901439505256939E-2</c:v>
                </c:pt>
                <c:pt idx="13">
                  <c:v>3.6561906611944535E-2</c:v>
                </c:pt>
                <c:pt idx="14">
                  <c:v>7.9427359113624762E-3</c:v>
                </c:pt>
                <c:pt idx="15">
                  <c:v>2.1321744995803346E-2</c:v>
                </c:pt>
                <c:pt idx="16">
                  <c:v>7.3024107151201242E-3</c:v>
                </c:pt>
                <c:pt idx="17">
                  <c:v>5.9472148454370729E-3</c:v>
                </c:pt>
                <c:pt idx="18">
                  <c:v>1.5840453890499651E-2</c:v>
                </c:pt>
                <c:pt idx="19">
                  <c:v>0</c:v>
                </c:pt>
                <c:pt idx="20">
                  <c:v>0</c:v>
                </c:pt>
                <c:pt idx="21">
                  <c:v>1.5746222367650012E-3</c:v>
                </c:pt>
                <c:pt idx="22">
                  <c:v>1.0901377445821673E-2</c:v>
                </c:pt>
                <c:pt idx="23">
                  <c:v>3.2337747386506418E-4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2.3216922727694761E-5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2.1859406459157144E-2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3.3227716366956127E-4</c:v>
                </c:pt>
                <c:pt idx="40">
                  <c:v>2.1292203321589321E-3</c:v>
                </c:pt>
                <c:pt idx="41">
                  <c:v>6.2102577490134774E-3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2.127394633925862E-4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0.18177729853484534</c:v>
                </c:pt>
                <c:pt idx="1">
                  <c:v>9.7251110236663108E-2</c:v>
                </c:pt>
                <c:pt idx="2">
                  <c:v>5.7139498873154504E-2</c:v>
                </c:pt>
                <c:pt idx="3">
                  <c:v>2.9200885123084237E-2</c:v>
                </c:pt>
                <c:pt idx="4">
                  <c:v>0.14355653902564916</c:v>
                </c:pt>
                <c:pt idx="5">
                  <c:v>8.569647228368911E-2</c:v>
                </c:pt>
                <c:pt idx="6">
                  <c:v>7.6559058457984761E-2</c:v>
                </c:pt>
                <c:pt idx="7">
                  <c:v>4.4818299357621411E-2</c:v>
                </c:pt>
                <c:pt idx="8">
                  <c:v>3.8961769019669967E-2</c:v>
                </c:pt>
                <c:pt idx="9">
                  <c:v>2.7320254089605936E-2</c:v>
                </c:pt>
                <c:pt idx="10">
                  <c:v>1.7084102024233567E-2</c:v>
                </c:pt>
                <c:pt idx="11">
                  <c:v>1.7140316538821233E-2</c:v>
                </c:pt>
                <c:pt idx="12">
                  <c:v>1.8259496420157503E-2</c:v>
                </c:pt>
                <c:pt idx="13">
                  <c:v>2.1141767895379679E-2</c:v>
                </c:pt>
                <c:pt idx="14">
                  <c:v>1.3716341559390634E-2</c:v>
                </c:pt>
                <c:pt idx="15">
                  <c:v>1.5970032553314358E-2</c:v>
                </c:pt>
                <c:pt idx="16">
                  <c:v>1.4007634953163088E-2</c:v>
                </c:pt>
                <c:pt idx="17">
                  <c:v>1.0215710423704128E-2</c:v>
                </c:pt>
                <c:pt idx="18">
                  <c:v>1.2765805221817365E-2</c:v>
                </c:pt>
                <c:pt idx="19">
                  <c:v>9.2089595715431904E-3</c:v>
                </c:pt>
                <c:pt idx="20">
                  <c:v>7.1085808901312861E-3</c:v>
                </c:pt>
                <c:pt idx="21">
                  <c:v>7.2414515609748615E-3</c:v>
                </c:pt>
                <c:pt idx="22">
                  <c:v>6.7508521609370448E-3</c:v>
                </c:pt>
                <c:pt idx="23">
                  <c:v>6.3777922004916218E-3</c:v>
                </c:pt>
                <c:pt idx="24">
                  <c:v>5.3608205274965634E-3</c:v>
                </c:pt>
                <c:pt idx="25">
                  <c:v>4.9775397462170183E-3</c:v>
                </c:pt>
                <c:pt idx="26">
                  <c:v>3.2911043085870227E-3</c:v>
                </c:pt>
                <c:pt idx="27">
                  <c:v>4.1445428482361421E-3</c:v>
                </c:pt>
                <c:pt idx="28">
                  <c:v>2.8362777814686297E-3</c:v>
                </c:pt>
                <c:pt idx="29">
                  <c:v>2.5296531564449943E-3</c:v>
                </c:pt>
                <c:pt idx="30">
                  <c:v>2.1054890918289649E-3</c:v>
                </c:pt>
                <c:pt idx="31">
                  <c:v>2.1514827855825102E-3</c:v>
                </c:pt>
                <c:pt idx="32">
                  <c:v>1.8755206230612381E-3</c:v>
                </c:pt>
                <c:pt idx="33">
                  <c:v>1.4820190209475722E-3</c:v>
                </c:pt>
                <c:pt idx="34">
                  <c:v>1.1191798813362701E-3</c:v>
                </c:pt>
                <c:pt idx="35">
                  <c:v>1.0271924938291795E-3</c:v>
                </c:pt>
                <c:pt idx="36">
                  <c:v>1.6506625647105719E-3</c:v>
                </c:pt>
                <c:pt idx="37">
                  <c:v>8.1766566672969508E-4</c:v>
                </c:pt>
                <c:pt idx="38">
                  <c:v>1.0425237250803613E-3</c:v>
                </c:pt>
                <c:pt idx="39">
                  <c:v>1.0169716729950583E-3</c:v>
                </c:pt>
                <c:pt idx="40">
                  <c:v>6.5924294380081668E-4</c:v>
                </c:pt>
                <c:pt idx="41">
                  <c:v>6.8479499588611963E-4</c:v>
                </c:pt>
                <c:pt idx="42">
                  <c:v>3.475079083601204E-4</c:v>
                </c:pt>
                <c:pt idx="43">
                  <c:v>2.2485805835066613E-4</c:v>
                </c:pt>
                <c:pt idx="44">
                  <c:v>2.7596216252127209E-4</c:v>
                </c:pt>
                <c:pt idx="45">
                  <c:v>1.8908518543124197E-4</c:v>
                </c:pt>
                <c:pt idx="46">
                  <c:v>1.4820190209475722E-4</c:v>
                </c:pt>
                <c:pt idx="47">
                  <c:v>1.2776026042651486E-4</c:v>
                </c:pt>
                <c:pt idx="48">
                  <c:v>5.6214514587666533E-5</c:v>
                </c:pt>
                <c:pt idx="49">
                  <c:v>1.1753943959239367E-4</c:v>
                </c:pt>
                <c:pt idx="50">
                  <c:v>4.0883283336484755E-5</c:v>
                </c:pt>
                <c:pt idx="51">
                  <c:v>1.5842272292887843E-4</c:v>
                </c:pt>
                <c:pt idx="52">
                  <c:v>8.6876977090030101E-5</c:v>
                </c:pt>
                <c:pt idx="53">
                  <c:v>4.5993693753545346E-5</c:v>
                </c:pt>
                <c:pt idx="54">
                  <c:v>3.0662462502363568E-5</c:v>
                </c:pt>
                <c:pt idx="55">
                  <c:v>4.5993693753545346E-5</c:v>
                </c:pt>
                <c:pt idx="56">
                  <c:v>2.0441641668242378E-5</c:v>
                </c:pt>
                <c:pt idx="57">
                  <c:v>1.5331231251181784E-5</c:v>
                </c:pt>
                <c:pt idx="58">
                  <c:v>5.1104104170605944E-6</c:v>
                </c:pt>
                <c:pt idx="59">
                  <c:v>0</c:v>
                </c:pt>
                <c:pt idx="60">
                  <c:v>5.1104104170605944E-6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130448"/>
        <c:axId val="344123392"/>
      </c:lineChart>
      <c:catAx>
        <c:axId val="344130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4123392"/>
        <c:crosses val="autoZero"/>
        <c:auto val="1"/>
        <c:lblAlgn val="ctr"/>
        <c:lblOffset val="100"/>
        <c:tickLblSkip val="10"/>
        <c:noMultiLvlLbl val="0"/>
      </c:catAx>
      <c:valAx>
        <c:axId val="3441233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41304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3.1596143450651772E-3</c:v>
                </c:pt>
                <c:pt idx="4">
                  <c:v>4.9877815684455399E-3</c:v>
                </c:pt>
                <c:pt idx="5">
                  <c:v>3.1063737287530611E-2</c:v>
                </c:pt>
                <c:pt idx="6">
                  <c:v>1.4787069807080956E-2</c:v>
                </c:pt>
                <c:pt idx="7">
                  <c:v>4.5698018698337298E-2</c:v>
                </c:pt>
                <c:pt idx="8">
                  <c:v>6.8945370048925309E-3</c:v>
                </c:pt>
                <c:pt idx="9">
                  <c:v>3.1915481507342482E-3</c:v>
                </c:pt>
                <c:pt idx="10">
                  <c:v>0</c:v>
                </c:pt>
                <c:pt idx="11">
                  <c:v>1.695619121241115E-3</c:v>
                </c:pt>
                <c:pt idx="12">
                  <c:v>4.4749469662813141E-3</c:v>
                </c:pt>
                <c:pt idx="13">
                  <c:v>3.152413466964659E-2</c:v>
                </c:pt>
                <c:pt idx="14">
                  <c:v>9.1657233133549797E-3</c:v>
                </c:pt>
                <c:pt idx="15">
                  <c:v>1.5713514714597069E-3</c:v>
                </c:pt>
                <c:pt idx="16">
                  <c:v>6.1302935969846657E-2</c:v>
                </c:pt>
                <c:pt idx="17">
                  <c:v>1.6737825011083285E-2</c:v>
                </c:pt>
                <c:pt idx="18">
                  <c:v>9.6152951581420565E-2</c:v>
                </c:pt>
                <c:pt idx="19">
                  <c:v>6.412617871484895E-2</c:v>
                </c:pt>
                <c:pt idx="20">
                  <c:v>6.0259687206688756E-2</c:v>
                </c:pt>
                <c:pt idx="21">
                  <c:v>4.6890977435218681E-2</c:v>
                </c:pt>
                <c:pt idx="22">
                  <c:v>7.8683493513370922E-2</c:v>
                </c:pt>
                <c:pt idx="23">
                  <c:v>3.7477490901377961E-2</c:v>
                </c:pt>
                <c:pt idx="24">
                  <c:v>4.4985653214156089E-2</c:v>
                </c:pt>
                <c:pt idx="25">
                  <c:v>1.1142425757758626E-2</c:v>
                </c:pt>
                <c:pt idx="26">
                  <c:v>3.8533502184015626E-2</c:v>
                </c:pt>
                <c:pt idx="27">
                  <c:v>7.3568267807565778E-3</c:v>
                </c:pt>
                <c:pt idx="28">
                  <c:v>1.6489430958076121E-2</c:v>
                </c:pt>
                <c:pt idx="29">
                  <c:v>8.8515482091076556E-3</c:v>
                </c:pt>
                <c:pt idx="30">
                  <c:v>3.5230104589364666E-2</c:v>
                </c:pt>
                <c:pt idx="31">
                  <c:v>3.9492171748209702E-2</c:v>
                </c:pt>
                <c:pt idx="32">
                  <c:v>5.1941384027636307E-3</c:v>
                </c:pt>
                <c:pt idx="33">
                  <c:v>1.4677703138634863E-2</c:v>
                </c:pt>
                <c:pt idx="34">
                  <c:v>2.0936382751579663E-2</c:v>
                </c:pt>
                <c:pt idx="35">
                  <c:v>9.386046683030452E-3</c:v>
                </c:pt>
                <c:pt idx="36">
                  <c:v>0</c:v>
                </c:pt>
                <c:pt idx="37">
                  <c:v>5.3494862685029808E-3</c:v>
                </c:pt>
                <c:pt idx="38">
                  <c:v>5.841065985066592E-3</c:v>
                </c:pt>
                <c:pt idx="39">
                  <c:v>2.8830863740350997E-3</c:v>
                </c:pt>
                <c:pt idx="40">
                  <c:v>3.7946584388679687E-3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5.4233651529711976E-2</c:v>
                </c:pt>
                <c:pt idx="46">
                  <c:v>9.9284572162061527E-4</c:v>
                </c:pt>
                <c:pt idx="47">
                  <c:v>0</c:v>
                </c:pt>
                <c:pt idx="48">
                  <c:v>1.4083859864295094E-2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9.9556884404105304E-4</c:v>
                </c:pt>
                <c:pt idx="55">
                  <c:v>0</c:v>
                </c:pt>
                <c:pt idx="56">
                  <c:v>6.2102577490134774E-3</c:v>
                </c:pt>
                <c:pt idx="57">
                  <c:v>2.2191683622826707E-2</c:v>
                </c:pt>
                <c:pt idx="58">
                  <c:v>0</c:v>
                </c:pt>
                <c:pt idx="59">
                  <c:v>0</c:v>
                </c:pt>
                <c:pt idx="60">
                  <c:v>1.3404367489712593E-3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2.5715585218648911E-2</c:v>
                </c:pt>
                <c:pt idx="1">
                  <c:v>4.0351800653110448E-2</c:v>
                </c:pt>
                <c:pt idx="2">
                  <c:v>4.3556027984607441E-2</c:v>
                </c:pt>
                <c:pt idx="3">
                  <c:v>4.0663535688551147E-2</c:v>
                </c:pt>
                <c:pt idx="4">
                  <c:v>3.1991169210799322E-2</c:v>
                </c:pt>
                <c:pt idx="5">
                  <c:v>2.7631989125046632E-2</c:v>
                </c:pt>
                <c:pt idx="6">
                  <c:v>2.4509528360222608E-2</c:v>
                </c:pt>
                <c:pt idx="7">
                  <c:v>2.1177540768299103E-2</c:v>
                </c:pt>
                <c:pt idx="8">
                  <c:v>1.8336152576413411E-2</c:v>
                </c:pt>
                <c:pt idx="9">
                  <c:v>1.6205111432499145E-2</c:v>
                </c:pt>
                <c:pt idx="10">
                  <c:v>1.4651546665712724E-2</c:v>
                </c:pt>
                <c:pt idx="11">
                  <c:v>1.2326309925950152E-2</c:v>
                </c:pt>
                <c:pt idx="12">
                  <c:v>1.1503533848803397E-2</c:v>
                </c:pt>
                <c:pt idx="13">
                  <c:v>9.9653003132681578E-3</c:v>
                </c:pt>
                <c:pt idx="14">
                  <c:v>8.2328711818846177E-3</c:v>
                </c:pt>
                <c:pt idx="15">
                  <c:v>7.4867512609937707E-3</c:v>
                </c:pt>
                <c:pt idx="16">
                  <c:v>6.8070666755247113E-3</c:v>
                </c:pt>
                <c:pt idx="17">
                  <c:v>6.2295902983968646E-3</c:v>
                </c:pt>
                <c:pt idx="18">
                  <c:v>0.10491672586225399</c:v>
                </c:pt>
                <c:pt idx="19">
                  <c:v>3.1142841081567261E-2</c:v>
                </c:pt>
                <c:pt idx="20">
                  <c:v>4.6658047107763223E-2</c:v>
                </c:pt>
                <c:pt idx="21">
                  <c:v>4.8543788551658584E-2</c:v>
                </c:pt>
                <c:pt idx="22">
                  <c:v>4.1772494749053299E-2</c:v>
                </c:pt>
                <c:pt idx="23">
                  <c:v>3.1127509850316079E-2</c:v>
                </c:pt>
                <c:pt idx="24">
                  <c:v>3.1444355296173836E-2</c:v>
                </c:pt>
                <c:pt idx="25">
                  <c:v>2.7396910245861845E-2</c:v>
                </c:pt>
                <c:pt idx="26">
                  <c:v>2.2281389418384191E-2</c:v>
                </c:pt>
                <c:pt idx="27">
                  <c:v>2.0181010736972288E-2</c:v>
                </c:pt>
                <c:pt idx="28">
                  <c:v>1.7124985307570052E-2</c:v>
                </c:pt>
                <c:pt idx="29">
                  <c:v>2.0007256782792224E-2</c:v>
                </c:pt>
                <c:pt idx="30">
                  <c:v>2.0043029655711649E-2</c:v>
                </c:pt>
                <c:pt idx="31">
                  <c:v>1.4498234353200905E-2</c:v>
                </c:pt>
                <c:pt idx="32">
                  <c:v>1.3895205923987755E-2</c:v>
                </c:pt>
                <c:pt idx="33">
                  <c:v>1.5331231251181783E-2</c:v>
                </c:pt>
                <c:pt idx="34">
                  <c:v>1.1483092207135155E-2</c:v>
                </c:pt>
                <c:pt idx="35">
                  <c:v>1.1820379294661154E-2</c:v>
                </c:pt>
                <c:pt idx="36">
                  <c:v>9.2805053173820387E-3</c:v>
                </c:pt>
                <c:pt idx="37">
                  <c:v>1.0031735648689945E-2</c:v>
                </c:pt>
                <c:pt idx="38">
                  <c:v>9.0863097215337363E-3</c:v>
                </c:pt>
                <c:pt idx="39">
                  <c:v>7.7524926026809214E-3</c:v>
                </c:pt>
                <c:pt idx="40">
                  <c:v>6.8632811901123778E-3</c:v>
                </c:pt>
                <c:pt idx="41">
                  <c:v>6.0558363442168037E-3</c:v>
                </c:pt>
                <c:pt idx="42">
                  <c:v>6.0251738817144402E-3</c:v>
                </c:pt>
                <c:pt idx="43">
                  <c:v>5.6827763837713806E-3</c:v>
                </c:pt>
                <c:pt idx="44">
                  <c:v>4.2620822878285357E-3</c:v>
                </c:pt>
                <c:pt idx="45">
                  <c:v>3.7970349398760215E-3</c:v>
                </c:pt>
                <c:pt idx="46">
                  <c:v>3.5006311356865069E-3</c:v>
                </c:pt>
                <c:pt idx="47">
                  <c:v>3.5568456502741734E-3</c:v>
                </c:pt>
                <c:pt idx="48">
                  <c:v>2.5143219251938121E-3</c:v>
                </c:pt>
                <c:pt idx="49">
                  <c:v>2.7851736772980238E-3</c:v>
                </c:pt>
                <c:pt idx="50">
                  <c:v>2.279243046009025E-3</c:v>
                </c:pt>
                <c:pt idx="51">
                  <c:v>2.4632178210232062E-3</c:v>
                </c:pt>
                <c:pt idx="52">
                  <c:v>2.0135017043218743E-3</c:v>
                </c:pt>
                <c:pt idx="53">
                  <c:v>1.7579811834688443E-3</c:v>
                </c:pt>
                <c:pt idx="54">
                  <c:v>1.6455521542935113E-3</c:v>
                </c:pt>
                <c:pt idx="55">
                  <c:v>1.1549527542556942E-3</c:v>
                </c:pt>
                <c:pt idx="56">
                  <c:v>1.2060568584263002E-3</c:v>
                </c:pt>
                <c:pt idx="57">
                  <c:v>1.4462461480281481E-3</c:v>
                </c:pt>
                <c:pt idx="58">
                  <c:v>9.9653003132681595E-4</c:v>
                </c:pt>
                <c:pt idx="59">
                  <c:v>8.3810730839793744E-4</c:v>
                </c:pt>
                <c:pt idx="60">
                  <c:v>6.8479499588611963E-4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124176"/>
        <c:axId val="344129664"/>
      </c:lineChart>
      <c:catAx>
        <c:axId val="34412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4129664"/>
        <c:crosses val="autoZero"/>
        <c:auto val="1"/>
        <c:lblAlgn val="ctr"/>
        <c:lblOffset val="100"/>
        <c:tickLblSkip val="10"/>
        <c:noMultiLvlLbl val="0"/>
      </c:catAx>
      <c:valAx>
        <c:axId val="34412966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412417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O10" sqref="O10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7697.1759634008</v>
      </c>
      <c r="C11" s="10">
        <f>B11/B$102</f>
        <v>3.9211133201041332E-2</v>
      </c>
      <c r="E11" s="18">
        <v>0</v>
      </c>
      <c r="F11" s="248" t="n">
        <v>35104.0</v>
      </c>
      <c r="G11" s="10">
        <f>F11/F$102</f>
        <v>0.18177729853484534</v>
      </c>
      <c r="K11" s="8" t="n">
        <v>7.101334854706915</v>
      </c>
      <c r="L11" s="8" t="n">
        <v>6.992005769255481</v>
      </c>
    </row>
    <row r="12" spans="1:12" x14ac:dyDescent="0.25">
      <c r="A12">
        <v>1</v>
      </c>
      <c r="B12" s="246" t="n">
        <v>13853.1763116286</v>
      </c>
      <c r="C12" s="10">
        <f>B12/B$102</f>
        <v>7.0571173661045025E-2</v>
      </c>
      <c r="E12" s="19">
        <v>1</v>
      </c>
      <c r="F12" s="248" t="n">
        <v>19001.0</v>
      </c>
      <c r="G12" s="10">
        <f>F12/F$102</f>
        <v>9.7251110236663108E-2</v>
      </c>
      <c r="K12" s="8"/>
      <c r="L12" s="198"/>
    </row>
    <row r="13" spans="1:12" x14ac:dyDescent="0.25">
      <c r="A13">
        <v>2</v>
      </c>
      <c r="B13" s="246" t="n">
        <v>7399.4990945062</v>
      </c>
      <c r="C13" s="10">
        <f ref="C13:C76" si="0" t="shared">B13/B$102</f>
        <v>3.769470075716902E-2</v>
      </c>
      <c r="E13" s="20">
        <v>2</v>
      </c>
      <c r="F13" s="248" t="n">
        <v>11148.0</v>
      </c>
      <c r="G13" s="10">
        <f ref="G13:G76" si="1" t="shared">F13/F$102</f>
        <v>5.7139498873154504E-2</v>
      </c>
    </row>
    <row r="14" spans="1:12" x14ac:dyDescent="0.25">
      <c r="A14">
        <v>3</v>
      </c>
      <c r="B14" s="246" t="n">
        <v>17427.1582521029</v>
      </c>
      <c r="C14" s="10">
        <f si="0" t="shared"/>
        <v>8.8777835765744634E-2</v>
      </c>
      <c r="E14" s="21">
        <v>3</v>
      </c>
      <c r="F14" s="248" t="n">
        <v>5814.0</v>
      </c>
      <c r="G14" s="10">
        <f si="1" t="shared"/>
        <v>2.9200885123084237E-2</v>
      </c>
    </row>
    <row r="15" spans="1:12" x14ac:dyDescent="0.25">
      <c r="A15">
        <v>4</v>
      </c>
      <c r="B15" s="246" t="n">
        <v>36686.1207631128</v>
      </c>
      <c r="C15" s="10">
        <f si="0" t="shared"/>
        <v>0.18688729148350372</v>
      </c>
      <c r="E15" s="22">
        <v>4</v>
      </c>
      <c r="F15" s="248" t="n">
        <v>28443.0</v>
      </c>
      <c r="G15" s="10">
        <f si="1" t="shared"/>
        <v>0.14355653902564916</v>
      </c>
    </row>
    <row r="16" spans="1:12" x14ac:dyDescent="0.25">
      <c r="A16">
        <v>5</v>
      </c>
      <c r="B16" s="246" t="n">
        <v>26711.1336555918</v>
      </c>
      <c r="C16" s="10">
        <f si="0" t="shared"/>
        <v>0.13607247966012104</v>
      </c>
      <c r="E16" s="23">
        <v>5</v>
      </c>
      <c r="F16" s="248" t="n">
        <v>17406.0</v>
      </c>
      <c r="G16" s="10">
        <f si="1" t="shared"/>
        <v>8.569647228368911E-2</v>
      </c>
    </row>
    <row r="17" spans="1:7" x14ac:dyDescent="0.25">
      <c r="A17">
        <v>6</v>
      </c>
      <c r="B17" s="246" t="n">
        <v>23476.8308241129</v>
      </c>
      <c r="C17" s="10">
        <f si="0" t="shared"/>
        <v>0.11959621878981717</v>
      </c>
      <c r="E17" s="24">
        <v>6</v>
      </c>
      <c r="F17" s="248" t="n">
        <v>14447.0</v>
      </c>
      <c r="G17" s="10">
        <f si="1" t="shared"/>
        <v>7.6559058457984761E-2</v>
      </c>
    </row>
    <row r="18" spans="1:7" x14ac:dyDescent="0.25">
      <c r="A18">
        <v>7</v>
      </c>
      <c r="B18" s="246" t="n">
        <v>7816.3558540315</v>
      </c>
      <c r="C18" s="10">
        <f si="0" t="shared"/>
        <v>3.9818262177775954E-2</v>
      </c>
      <c r="E18" s="25">
        <v>7</v>
      </c>
      <c r="F18" s="248" t="n">
        <v>8655.0</v>
      </c>
      <c r="G18" s="10">
        <f si="1" t="shared"/>
        <v>4.4818299357621411E-2</v>
      </c>
    </row>
    <row r="19" spans="1:7" x14ac:dyDescent="0.25">
      <c r="A19">
        <v>8</v>
      </c>
      <c r="B19" s="246" t="n">
        <v>3208.1913377191</v>
      </c>
      <c r="C19" s="10">
        <f si="0" t="shared"/>
        <v>1.6343243090177515E-2</v>
      </c>
      <c r="E19" s="26">
        <v>8</v>
      </c>
      <c r="F19" s="248" t="n">
        <v>7178.0</v>
      </c>
      <c r="G19" s="10">
        <f si="1" t="shared"/>
        <v>3.8961769019669967E-2</v>
      </c>
    </row>
    <row r="20" spans="1:7" x14ac:dyDescent="0.25">
      <c r="A20">
        <v>9</v>
      </c>
      <c r="B20" s="246" t="n">
        <v>3720.5767793928003</v>
      </c>
      <c r="C20" s="10">
        <f si="0" t="shared"/>
        <v>1.8953448949998484E-2</v>
      </c>
      <c r="E20" s="27">
        <v>9</v>
      </c>
      <c r="F20" s="248" t="n">
        <v>6430.0</v>
      </c>
      <c r="G20" s="10">
        <f si="1" t="shared"/>
        <v>2.7320254089605936E-2</v>
      </c>
    </row>
    <row r="21" spans="1:7" x14ac:dyDescent="0.25">
      <c r="A21">
        <v>10</v>
      </c>
      <c r="B21" s="246" t="n">
        <v>10028.3014887067</v>
      </c>
      <c r="C21" s="10">
        <f si="0" t="shared"/>
        <v>5.1086407186687832E-2</v>
      </c>
      <c r="E21" s="28">
        <v>10</v>
      </c>
      <c r="F21" s="248" t="n">
        <v>3003.0</v>
      </c>
      <c r="G21" s="10">
        <f si="1" t="shared"/>
        <v>1.7084102024233567E-2</v>
      </c>
    </row>
    <row r="22" spans="1:7" x14ac:dyDescent="0.25">
      <c r="A22">
        <v>11</v>
      </c>
      <c r="B22" s="246" t="n">
        <v>4437.065708914</v>
      </c>
      <c r="C22" s="10">
        <f si="0" t="shared"/>
        <v>2.2603403554922769E-2</v>
      </c>
      <c r="E22" s="29">
        <v>11</v>
      </c>
      <c r="F22" s="248" t="n">
        <v>3781.0</v>
      </c>
      <c r="G22" s="10">
        <f si="1" t="shared"/>
        <v>1.7140316538821233E-2</v>
      </c>
    </row>
    <row r="23" spans="1:7" x14ac:dyDescent="0.25">
      <c r="A23">
        <v>12</v>
      </c>
      <c r="B23" s="246" t="n">
        <v>6654.878958653</v>
      </c>
      <c r="C23" s="10">
        <f si="0" t="shared"/>
        <v>3.3901439505256939E-2</v>
      </c>
      <c r="E23" s="30">
        <v>12</v>
      </c>
      <c r="F23" s="248" t="n">
        <v>3135.0</v>
      </c>
      <c r="G23" s="10">
        <f si="1" t="shared"/>
        <v>1.8259496420157503E-2</v>
      </c>
    </row>
    <row r="24" spans="1:7" x14ac:dyDescent="0.25">
      <c r="A24">
        <v>13</v>
      </c>
      <c r="B24" s="246" t="n">
        <v>7177.130722202401</v>
      </c>
      <c r="C24" s="10">
        <f si="0" t="shared"/>
        <v>3.6561906611944535E-2</v>
      </c>
      <c r="E24" s="31">
        <v>13</v>
      </c>
      <c r="F24" s="248" t="n">
        <v>4192.0</v>
      </c>
      <c r="G24" s="10">
        <f si="1" t="shared"/>
        <v>2.1141767895379679E-2</v>
      </c>
    </row>
    <row r="25" spans="1:7" x14ac:dyDescent="0.25">
      <c r="A25">
        <v>14</v>
      </c>
      <c r="B25" s="246" t="n">
        <v>1559.165240829</v>
      </c>
      <c r="C25" s="10">
        <f si="0" t="shared"/>
        <v>7.9427359113624762E-3</v>
      </c>
      <c r="E25" s="32">
        <v>14</v>
      </c>
      <c r="F25" s="248" t="n">
        <v>2494.0</v>
      </c>
      <c r="G25" s="10">
        <f si="1" t="shared"/>
        <v>1.3716341559390634E-2</v>
      </c>
    </row>
    <row r="26" spans="1:7" x14ac:dyDescent="0.25">
      <c r="A26">
        <v>15</v>
      </c>
      <c r="B26" s="246" t="n">
        <v>4185.475136309</v>
      </c>
      <c r="C26" s="10">
        <f si="0" t="shared"/>
        <v>2.1321744995803346E-2</v>
      </c>
      <c r="E26" s="33">
        <v>15</v>
      </c>
      <c r="F26" s="248" t="n">
        <v>3302.0</v>
      </c>
      <c r="G26" s="10">
        <f si="1" t="shared"/>
        <v>1.5970032553314358E-2</v>
      </c>
    </row>
    <row r="27" spans="1:7" x14ac:dyDescent="0.25">
      <c r="A27">
        <v>16</v>
      </c>
      <c r="B27" s="246" t="n">
        <v>1433.468906474</v>
      </c>
      <c r="C27" s="10">
        <f si="0" t="shared"/>
        <v>7.3024107151201242E-3</v>
      </c>
      <c r="E27" s="34">
        <v>16</v>
      </c>
      <c r="F27" s="248" t="n">
        <v>2760.0</v>
      </c>
      <c r="G27" s="10">
        <f si="1" t="shared"/>
        <v>1.4007634953163088E-2</v>
      </c>
    </row>
    <row r="28" spans="1:7" x14ac:dyDescent="0.25">
      <c r="A28">
        <v>17</v>
      </c>
      <c r="B28" s="246" t="n">
        <v>1167.442902575</v>
      </c>
      <c r="C28" s="10">
        <f si="0" t="shared"/>
        <v>5.9472148454370729E-3</v>
      </c>
      <c r="E28" s="35">
        <v>17</v>
      </c>
      <c r="F28" s="248" t="n">
        <v>2019.0</v>
      </c>
      <c r="G28" s="10">
        <f si="1" t="shared"/>
        <v>1.0215710423704128E-2</v>
      </c>
    </row>
    <row r="29" spans="1:7" x14ac:dyDescent="0.25">
      <c r="A29">
        <v>18</v>
      </c>
      <c r="B29" s="246" t="n">
        <v>3109.493426527</v>
      </c>
      <c r="C29" s="10">
        <f si="0" t="shared"/>
        <v>1.5840453890499651E-2</v>
      </c>
      <c r="E29" s="36">
        <v>18</v>
      </c>
      <c r="F29" s="248" t="n">
        <v>2367.0</v>
      </c>
      <c r="G29" s="10">
        <f si="1" t="shared"/>
        <v>1.2765805221817365E-2</v>
      </c>
    </row>
    <row r="30" spans="1:7" x14ac:dyDescent="0.25">
      <c r="A30">
        <v>19</v>
      </c>
      <c r="B30" s="246" t="n">
        <v>0.0</v>
      </c>
      <c r="C30" s="10">
        <f si="0" t="shared"/>
        <v>0</v>
      </c>
      <c r="E30" s="37">
        <v>19</v>
      </c>
      <c r="F30" s="248" t="n">
        <v>1708.0</v>
      </c>
      <c r="G30" s="10">
        <f si="1" t="shared"/>
        <v>9.2089595715431904E-3</v>
      </c>
    </row>
    <row r="31" spans="1:7" x14ac:dyDescent="0.25">
      <c r="A31">
        <v>20</v>
      </c>
      <c r="B31" s="246" t="n">
        <v>0.0</v>
      </c>
      <c r="C31" s="10">
        <f si="0" t="shared"/>
        <v>0</v>
      </c>
      <c r="E31" s="38">
        <v>20</v>
      </c>
      <c r="F31" s="248" t="n">
        <v>1425.0</v>
      </c>
      <c r="G31" s="10">
        <f si="1" t="shared"/>
        <v>7.1085808901312861E-3</v>
      </c>
    </row>
    <row r="32" spans="1:7" x14ac:dyDescent="0.25">
      <c r="A32">
        <v>21</v>
      </c>
      <c r="B32" s="246" t="n">
        <v>309.09957052560003</v>
      </c>
      <c r="C32" s="10">
        <f si="0" t="shared"/>
        <v>1.5746222367650012E-3</v>
      </c>
      <c r="E32" s="39">
        <v>21</v>
      </c>
      <c r="F32" s="248" t="n">
        <v>1382.0</v>
      </c>
      <c r="G32" s="10">
        <f si="1" t="shared"/>
        <v>7.2414515609748615E-3</v>
      </c>
    </row>
    <row r="33" spans="1:7" x14ac:dyDescent="0.25">
      <c r="A33">
        <v>22</v>
      </c>
      <c r="B33" s="246" t="n">
        <v>2139.948876604</v>
      </c>
      <c r="C33" s="10">
        <f si="0" t="shared"/>
        <v>1.0901377445821673E-2</v>
      </c>
      <c r="E33" s="40">
        <v>22</v>
      </c>
      <c r="F33" s="248" t="n">
        <v>1292.0</v>
      </c>
      <c r="G33" s="10">
        <f si="1" t="shared"/>
        <v>6.7508521609370448E-3</v>
      </c>
    </row>
    <row r="34" spans="1:7" x14ac:dyDescent="0.25">
      <c r="A34">
        <v>23</v>
      </c>
      <c r="B34" s="246" t="n">
        <v>63.479249788</v>
      </c>
      <c r="C34" s="10">
        <f si="0" t="shared"/>
        <v>3.2337747386506418E-4</v>
      </c>
      <c r="E34" s="41">
        <v>23</v>
      </c>
      <c r="F34" s="248" t="n">
        <v>1121.0</v>
      </c>
      <c r="G34" s="10">
        <f si="1" t="shared"/>
        <v>6.3777922004916218E-3</v>
      </c>
    </row>
    <row r="35" spans="1:7" x14ac:dyDescent="0.25">
      <c r="A35">
        <v>24</v>
      </c>
      <c r="B35" s="246" t="n">
        <v>0.0</v>
      </c>
      <c r="C35" s="10">
        <f si="0" t="shared"/>
        <v>0</v>
      </c>
      <c r="E35" s="42">
        <v>24</v>
      </c>
      <c r="F35" s="248" t="n">
        <v>1090.0</v>
      </c>
      <c r="G35" s="10">
        <f si="1" t="shared"/>
        <v>5.3608205274965634E-3</v>
      </c>
    </row>
    <row r="36" spans="1:7" x14ac:dyDescent="0.25">
      <c r="A36">
        <v>25</v>
      </c>
      <c r="B36" s="246" t="n">
        <v>0.0</v>
      </c>
      <c r="C36" s="10">
        <f si="0" t="shared"/>
        <v>0</v>
      </c>
      <c r="E36" s="43">
        <v>25</v>
      </c>
      <c r="F36" s="248" t="n">
        <v>962.0</v>
      </c>
      <c r="G36" s="10">
        <f si="1" t="shared"/>
        <v>4.9775397462170183E-3</v>
      </c>
    </row>
    <row r="37" spans="1:7" x14ac:dyDescent="0.25">
      <c r="A37">
        <v>26</v>
      </c>
      <c r="B37" s="246" t="n">
        <v>0.0</v>
      </c>
      <c r="C37" s="10">
        <f si="0" t="shared"/>
        <v>0</v>
      </c>
      <c r="E37" s="44">
        <v>26</v>
      </c>
      <c r="F37" s="248" t="n">
        <v>729.0</v>
      </c>
      <c r="G37" s="10">
        <f si="1" t="shared"/>
        <v>3.2911043085870227E-3</v>
      </c>
    </row>
    <row r="38" spans="1:7" x14ac:dyDescent="0.25">
      <c r="A38">
        <v>27</v>
      </c>
      <c r="B38" s="246" t="n">
        <v>4.5575</v>
      </c>
      <c r="C38" s="10">
        <f si="0" t="shared"/>
        <v>2.3216922727694761E-5</v>
      </c>
      <c r="E38" s="45">
        <v>27</v>
      </c>
      <c r="F38" s="248" t="n">
        <v>801.0</v>
      </c>
      <c r="G38" s="10">
        <f si="1" t="shared"/>
        <v>4.1445428482361421E-3</v>
      </c>
    </row>
    <row r="39" spans="1:7" x14ac:dyDescent="0.25">
      <c r="A39">
        <v>28</v>
      </c>
      <c r="B39" s="246" t="n">
        <v>0.0</v>
      </c>
      <c r="C39" s="10">
        <f si="0" t="shared"/>
        <v>0</v>
      </c>
      <c r="E39" s="46">
        <v>28</v>
      </c>
      <c r="F39" s="248" t="n">
        <v>539.0</v>
      </c>
      <c r="G39" s="10">
        <f si="1" t="shared"/>
        <v>2.8362777814686297E-3</v>
      </c>
    </row>
    <row r="40" spans="1:7" x14ac:dyDescent="0.25">
      <c r="A40">
        <v>29</v>
      </c>
      <c r="B40" s="246" t="n">
        <v>0.0</v>
      </c>
      <c r="C40" s="10">
        <f si="0" t="shared"/>
        <v>0</v>
      </c>
      <c r="E40" s="47">
        <v>29</v>
      </c>
      <c r="F40" s="248" t="n">
        <v>442.0</v>
      </c>
      <c r="G40" s="10">
        <f si="1" t="shared"/>
        <v>2.5296531564449943E-3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502.0</v>
      </c>
      <c r="G41" s="10">
        <f si="1" t="shared"/>
        <v>2.1054890918289649E-3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49">
        <v>31</v>
      </c>
      <c r="F42" s="248" t="n">
        <v>449.0</v>
      </c>
      <c r="G42" s="10">
        <f si="1" t="shared"/>
        <v>2.1514827855825102E-3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50">
        <v>32</v>
      </c>
      <c r="F43" s="248" t="n">
        <v>285.0</v>
      </c>
      <c r="G43" s="10">
        <f si="1" t="shared"/>
        <v>1.8755206230612381E-3</v>
      </c>
    </row>
    <row r="44" spans="1:7" x14ac:dyDescent="0.25">
      <c r="A44">
        <v>33</v>
      </c>
      <c r="B44" s="246" t="n">
        <v>0.0</v>
      </c>
      <c r="C44" s="10">
        <f si="0" t="shared"/>
        <v>0</v>
      </c>
      <c r="E44" s="51">
        <v>33</v>
      </c>
      <c r="F44" s="248" t="n">
        <v>281.0</v>
      </c>
      <c r="G44" s="10">
        <f si="1" t="shared"/>
        <v>1.4820190209475722E-3</v>
      </c>
    </row>
    <row r="45" spans="1:7" x14ac:dyDescent="0.25">
      <c r="A45">
        <v>34</v>
      </c>
      <c r="B45" s="246" t="n">
        <v>4291.0185</v>
      </c>
      <c r="C45" s="10">
        <f si="0" t="shared"/>
        <v>2.1859406459157144E-2</v>
      </c>
      <c r="E45" s="52">
        <v>34</v>
      </c>
      <c r="F45" s="248" t="n">
        <v>230.0</v>
      </c>
      <c r="G45" s="10">
        <f si="1" t="shared"/>
        <v>1.1191798813362701E-3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249.0</v>
      </c>
      <c r="G46" s="10">
        <f si="1" t="shared"/>
        <v>1.0271924938291795E-3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281.0</v>
      </c>
      <c r="G47" s="10">
        <f si="1" t="shared"/>
        <v>1.6506625647105719E-3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55">
        <v>37</v>
      </c>
      <c r="F48" s="248" t="n">
        <v>198.0</v>
      </c>
      <c r="G48" s="10">
        <f si="1" t="shared"/>
        <v>8.1766566672969508E-4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191.0</v>
      </c>
      <c r="G49" s="10">
        <f si="1" t="shared"/>
        <v>1.0425237250803613E-3</v>
      </c>
    </row>
    <row r="50" spans="1:7" x14ac:dyDescent="0.25">
      <c r="A50">
        <v>39</v>
      </c>
      <c r="B50" s="246" t="n">
        <v>65.2262658228</v>
      </c>
      <c r="C50" s="10">
        <f si="0" t="shared"/>
        <v>3.3227716366956127E-4</v>
      </c>
      <c r="E50" s="57">
        <v>39</v>
      </c>
      <c r="F50" s="248" t="n">
        <v>227.0</v>
      </c>
      <c r="G50" s="10">
        <f si="1" t="shared"/>
        <v>1.0169716729950583E-3</v>
      </c>
    </row>
    <row r="51" spans="1:7" x14ac:dyDescent="0.25">
      <c r="A51">
        <v>40</v>
      </c>
      <c r="B51" s="246" t="n">
        <v>417.967608267</v>
      </c>
      <c r="C51" s="10">
        <f si="0" t="shared"/>
        <v>2.1292203321589321E-3</v>
      </c>
      <c r="E51" s="58">
        <v>40</v>
      </c>
      <c r="F51" s="248" t="n">
        <v>131.0</v>
      </c>
      <c r="G51" s="10">
        <f si="1" t="shared"/>
        <v>6.5924294380081668E-4</v>
      </c>
    </row>
    <row r="52" spans="1:7" x14ac:dyDescent="0.25">
      <c r="A52">
        <v>41</v>
      </c>
      <c r="B52" s="246" t="n">
        <v>1219.07842926</v>
      </c>
      <c r="C52" s="10">
        <f si="0" t="shared"/>
        <v>6.2102577490134774E-3</v>
      </c>
      <c r="E52" s="59">
        <v>41</v>
      </c>
      <c r="F52" s="248" t="n">
        <v>172.0</v>
      </c>
      <c r="G52" s="10">
        <f si="1" t="shared"/>
        <v>6.8479499588611963E-4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47.0</v>
      </c>
      <c r="G53" s="10">
        <f si="1" t="shared"/>
        <v>3.475079083601204E-4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33.0</v>
      </c>
      <c r="G54" s="10">
        <f si="1" t="shared"/>
        <v>2.2485805835066613E-4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40.0</v>
      </c>
      <c r="G55" s="10">
        <f si="1" t="shared"/>
        <v>2.7596216252127209E-4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24.0</v>
      </c>
      <c r="G56" s="10">
        <f si="1" t="shared"/>
        <v>1.8908518543124197E-4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25.0</v>
      </c>
      <c r="G57" s="10">
        <f si="1" t="shared"/>
        <v>1.4820190209475722E-4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37.0</v>
      </c>
      <c r="G58" s="10">
        <f si="1" t="shared"/>
        <v>1.2776026042651486E-4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15.0</v>
      </c>
      <c r="G59" s="10">
        <f si="1" t="shared"/>
        <v>5.6214514587666533E-5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28.0</v>
      </c>
      <c r="G60" s="10">
        <f si="1" t="shared"/>
        <v>1.1753943959239367E-4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25.0</v>
      </c>
      <c r="G61" s="10">
        <f si="1" t="shared"/>
        <v>4.0883283336484755E-5</v>
      </c>
    </row>
    <row r="62" spans="1:7" x14ac:dyDescent="0.25">
      <c r="A62">
        <v>51</v>
      </c>
      <c r="B62" s="246" t="n">
        <v>41.7609222283</v>
      </c>
      <c r="C62" s="10">
        <f si="0" t="shared"/>
        <v>2.127394633925862E-4</v>
      </c>
      <c r="E62" s="69">
        <v>51</v>
      </c>
      <c r="F62" s="248" t="n">
        <v>36.0</v>
      </c>
      <c r="G62" s="10">
        <f si="1" t="shared"/>
        <v>1.5842272292887843E-4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21.0</v>
      </c>
      <c r="G63" s="10">
        <f si="1" t="shared"/>
        <v>8.6876977090030101E-5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13.0</v>
      </c>
      <c r="G64" s="10">
        <f si="1" t="shared"/>
        <v>4.5993693753545346E-5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3.0</v>
      </c>
      <c r="G65" s="10">
        <f si="1" t="shared"/>
        <v>3.0662462502363568E-5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6.0</v>
      </c>
      <c r="G66" s="10">
        <f si="1" t="shared"/>
        <v>4.5993693753545346E-5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0.0</v>
      </c>
      <c r="G67" s="10">
        <f si="1" t="shared"/>
        <v>2.0441641668242378E-5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0.0</v>
      </c>
      <c r="G68" s="10">
        <f si="1" t="shared"/>
        <v>1.5331231251181784E-5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4.0</v>
      </c>
      <c r="G69" s="10">
        <f si="1" t="shared"/>
        <v>5.1104104170605944E-6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3.0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0.0</v>
      </c>
      <c r="G71" s="10">
        <f si="1" t="shared"/>
        <v>5.1104104170605944E-6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1.0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1.0</v>
      </c>
      <c r="G73" s="10">
        <f si="1" t="shared"/>
        <v>5.1104104170605944E-6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0.0</v>
      </c>
      <c r="G74" s="10">
        <f si="1" t="shared"/>
        <v>5.1104104170605944E-6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0.0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0.0</v>
      </c>
      <c r="G76" s="10">
        <f si="1" t="shared"/>
        <v>5.1104104170605944E-6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0.0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0.0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0.0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0.0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0.0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0.0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0.0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0.0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0.0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0.0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1.0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0.0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0.0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0.0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0.0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0.0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0.0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0.0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0.0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0.0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0.0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0.0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0.0</v>
      </c>
      <c r="G101" s="10">
        <f si="3" t="shared"/>
        <v>0</v>
      </c>
    </row>
    <row r="102" spans="1:7" x14ac:dyDescent="0.25">
      <c r="B102" s="246">
        <f>SUM(B11:B101)</f>
        <v>196300.77824928524</v>
      </c>
      <c r="C102" s="10">
        <f si="2" t="shared"/>
        <v>1</v>
      </c>
      <c r="F102" s="246">
        <f>SUM(F11:F101)</f>
        <v>195679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I7" sqref="I7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4664.0</v>
      </c>
      <c r="G11" s="10">
        <f>F11/F$102</f>
        <v>2.5715585218648911E-2</v>
      </c>
      <c r="K11" s="8" t="n">
        <v>23.924324970410346</v>
      </c>
      <c r="L11" s="8" t="n">
        <v>19.55708052711301</v>
      </c>
    </row>
    <row r="12" spans="1:12" x14ac:dyDescent="0.2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7913.0</v>
      </c>
      <c r="G12" s="10">
        <f>F12/F$102</f>
        <v>4.0351800653110448E-2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0</v>
      </c>
      <c r="E13" s="110">
        <v>2</v>
      </c>
      <c r="F13" s="248" t="n">
        <v>8473.0</v>
      </c>
      <c r="G13" s="10">
        <f ref="G13:G76" si="1" t="shared">F13/F$102</f>
        <v>4.3556027984607441E-2</v>
      </c>
    </row>
    <row r="14" spans="1:12" x14ac:dyDescent="0.25">
      <c r="A14">
        <v>3</v>
      </c>
      <c r="B14" s="246" t="n">
        <v>620.2347549039</v>
      </c>
      <c r="C14" s="10">
        <f si="0" t="shared"/>
        <v>3.1596143450651772E-3</v>
      </c>
      <c r="E14" s="111">
        <v>3</v>
      </c>
      <c r="F14" s="248" t="n">
        <v>7893.0</v>
      </c>
      <c r="G14" s="10">
        <f si="1" t="shared"/>
        <v>4.0663535688551147E-2</v>
      </c>
    </row>
    <row r="15" spans="1:12" x14ac:dyDescent="0.25">
      <c r="A15">
        <v>4</v>
      </c>
      <c r="B15" s="246" t="n">
        <v>979.1054036233</v>
      </c>
      <c r="C15" s="10">
        <f si="0" t="shared"/>
        <v>4.9877815684455399E-3</v>
      </c>
      <c r="E15" s="112">
        <v>4</v>
      </c>
      <c r="F15" s="248" t="n">
        <v>6243.0</v>
      </c>
      <c r="G15" s="10">
        <f si="1" t="shared"/>
        <v>3.1991169210799322E-2</v>
      </c>
    </row>
    <row r="16" spans="1:12" x14ac:dyDescent="0.25">
      <c r="A16">
        <v>5</v>
      </c>
      <c r="B16" s="246" t="n">
        <v>6097.8358048736</v>
      </c>
      <c r="C16" s="10">
        <f si="0" t="shared"/>
        <v>3.1063737287530611E-2</v>
      </c>
      <c r="E16" s="113">
        <v>5</v>
      </c>
      <c r="F16" s="248" t="n">
        <v>5417.0</v>
      </c>
      <c r="G16" s="10">
        <f si="1" t="shared"/>
        <v>2.7631989125046632E-2</v>
      </c>
    </row>
    <row r="17" spans="1:7" x14ac:dyDescent="0.25">
      <c r="A17">
        <v>6</v>
      </c>
      <c r="B17" s="246" t="n">
        <v>2902.7133111565</v>
      </c>
      <c r="C17" s="10">
        <f si="0" t="shared"/>
        <v>1.4787069807080956E-2</v>
      </c>
      <c r="E17" s="114">
        <v>6</v>
      </c>
      <c r="F17" s="248" t="n">
        <v>4845.0</v>
      </c>
      <c r="G17" s="10">
        <f si="1" t="shared"/>
        <v>2.4509528360222608E-2</v>
      </c>
    </row>
    <row r="18" spans="1:7" x14ac:dyDescent="0.25">
      <c r="A18">
        <v>7</v>
      </c>
      <c r="B18" s="246" t="n">
        <v>8970.556634934</v>
      </c>
      <c r="C18" s="10">
        <f si="0" t="shared"/>
        <v>4.5698018698337298E-2</v>
      </c>
      <c r="E18" s="115">
        <v>7</v>
      </c>
      <c r="F18" s="248" t="n">
        <v>4120.0</v>
      </c>
      <c r="G18" s="10">
        <f si="1" t="shared"/>
        <v>2.1177540768299103E-2</v>
      </c>
    </row>
    <row r="19" spans="1:7" x14ac:dyDescent="0.25">
      <c r="A19">
        <v>8</v>
      </c>
      <c r="B19" s="246" t="n">
        <v>1353.4029797289</v>
      </c>
      <c r="C19" s="10">
        <f si="0" t="shared"/>
        <v>6.8945370048925309E-3</v>
      </c>
      <c r="E19" s="116">
        <v>8</v>
      </c>
      <c r="F19" s="248" t="n">
        <v>3575.0</v>
      </c>
      <c r="G19" s="10">
        <f si="1" t="shared"/>
        <v>1.8336152576413411E-2</v>
      </c>
    </row>
    <row r="20" spans="1:7" x14ac:dyDescent="0.25">
      <c r="A20">
        <v>9</v>
      </c>
      <c r="B20" s="246" t="n">
        <v>626.5033858092</v>
      </c>
      <c r="C20" s="10">
        <f si="0" t="shared"/>
        <v>3.1915481507342482E-3</v>
      </c>
      <c r="E20" s="117">
        <v>9</v>
      </c>
      <c r="F20" s="248" t="n">
        <v>3107.0</v>
      </c>
      <c r="G20" s="10">
        <f si="1" t="shared"/>
        <v>1.6205111432499145E-2</v>
      </c>
    </row>
    <row r="21" spans="1:7" x14ac:dyDescent="0.25">
      <c r="A21">
        <v>10</v>
      </c>
      <c r="B21" s="246" t="n">
        <v>0.0</v>
      </c>
      <c r="C21" s="10">
        <f si="0" t="shared"/>
        <v>0</v>
      </c>
      <c r="E21" s="118">
        <v>10</v>
      </c>
      <c r="F21" s="248" t="n">
        <v>2856.0</v>
      </c>
      <c r="G21" s="10">
        <f si="1" t="shared"/>
        <v>1.4651546665712724E-2</v>
      </c>
    </row>
    <row r="22" spans="1:7" x14ac:dyDescent="0.25">
      <c r="A22">
        <v>11</v>
      </c>
      <c r="B22" s="246" t="n">
        <v>332.851353114</v>
      </c>
      <c r="C22" s="10">
        <f si="0" t="shared"/>
        <v>1.695619121241115E-3</v>
      </c>
      <c r="E22" s="119">
        <v>11</v>
      </c>
      <c r="F22" s="248" t="n">
        <v>2395.0</v>
      </c>
      <c r="G22" s="10">
        <f si="1" t="shared"/>
        <v>1.2326309925950152E-2</v>
      </c>
    </row>
    <row r="23" spans="1:7" x14ac:dyDescent="0.25">
      <c r="A23">
        <v>12</v>
      </c>
      <c r="B23" s="246" t="n">
        <v>878.4355721053</v>
      </c>
      <c r="C23" s="10">
        <f si="0" t="shared"/>
        <v>4.4749469662813141E-3</v>
      </c>
      <c r="E23" s="120">
        <v>12</v>
      </c>
      <c r="F23" s="248" t="n">
        <v>2234.0</v>
      </c>
      <c r="G23" s="10">
        <f si="1" t="shared"/>
        <v>1.1503533848803397E-2</v>
      </c>
    </row>
    <row r="24" spans="1:7" x14ac:dyDescent="0.25">
      <c r="A24">
        <v>13</v>
      </c>
      <c r="B24" s="246" t="n">
        <v>6188.2121692869</v>
      </c>
      <c r="C24" s="10">
        <f si="0" t="shared"/>
        <v>3.152413466964659E-2</v>
      </c>
      <c r="E24" s="121">
        <v>13</v>
      </c>
      <c r="F24" s="248" t="n">
        <v>1996.0</v>
      </c>
      <c r="G24" s="10">
        <f si="1" t="shared"/>
        <v>9.9653003132681578E-3</v>
      </c>
    </row>
    <row r="25" spans="1:7" x14ac:dyDescent="0.25">
      <c r="A25">
        <v>14</v>
      </c>
      <c r="B25" s="246" t="n">
        <v>1799.2386196292</v>
      </c>
      <c r="C25" s="10">
        <f si="0" t="shared"/>
        <v>9.1657233133549797E-3</v>
      </c>
      <c r="E25" s="122">
        <v>14</v>
      </c>
      <c r="F25" s="248" t="n">
        <v>1584.0</v>
      </c>
      <c r="G25" s="10">
        <f si="1" t="shared"/>
        <v>8.2328711818846177E-3</v>
      </c>
    </row>
    <row r="26" spans="1:7" x14ac:dyDescent="0.25">
      <c r="A26">
        <v>15</v>
      </c>
      <c r="B26" s="246" t="n">
        <v>308.4575167507</v>
      </c>
      <c r="C26" s="10">
        <f si="0" t="shared"/>
        <v>1.5713514714597069E-3</v>
      </c>
      <c r="E26" s="123">
        <v>15</v>
      </c>
      <c r="F26" s="248" t="n">
        <v>1555.0</v>
      </c>
      <c r="G26" s="10">
        <f si="1" t="shared"/>
        <v>7.4867512609937707E-3</v>
      </c>
    </row>
    <row r="27" spans="1:7" x14ac:dyDescent="0.25">
      <c r="A27">
        <v>16</v>
      </c>
      <c r="B27" s="246" t="n">
        <v>12033.814039847</v>
      </c>
      <c r="C27" s="10">
        <f si="0" t="shared"/>
        <v>6.1302935969846657E-2</v>
      </c>
      <c r="E27" s="124">
        <v>16</v>
      </c>
      <c r="F27" s="248" t="n">
        <v>1389.0</v>
      </c>
      <c r="G27" s="10">
        <f si="1" t="shared"/>
        <v>6.8070666755247113E-3</v>
      </c>
    </row>
    <row r="28" spans="1:7" x14ac:dyDescent="0.25">
      <c r="A28">
        <v>17</v>
      </c>
      <c r="B28" s="246" t="n">
        <v>3285.648075876</v>
      </c>
      <c r="C28" s="10">
        <f si="0" t="shared"/>
        <v>1.6737825011083285E-2</v>
      </c>
      <c r="E28" s="125">
        <v>17</v>
      </c>
      <c r="F28" s="248" t="n">
        <v>1211.0</v>
      </c>
      <c r="G28" s="10">
        <f si="1" t="shared"/>
        <v>6.2295902983968646E-3</v>
      </c>
    </row>
    <row r="29" spans="1:7" x14ac:dyDescent="0.25">
      <c r="A29">
        <v>18</v>
      </c>
      <c r="B29" s="246" t="n">
        <v>18874.8992263987</v>
      </c>
      <c r="C29" s="10">
        <f si="0" t="shared"/>
        <v>9.6152951581420565E-2</v>
      </c>
      <c r="E29" s="126">
        <v>18</v>
      </c>
      <c r="F29" s="248" t="n">
        <v>20612.0</v>
      </c>
      <c r="G29" s="10">
        <f si="1" t="shared"/>
        <v>0.10491672586225399</v>
      </c>
    </row>
    <row r="30" spans="1:7" x14ac:dyDescent="0.25">
      <c r="A30">
        <v>19</v>
      </c>
      <c r="B30" s="246" t="n">
        <v>12588.0187878776</v>
      </c>
      <c r="C30" s="10">
        <f si="0" t="shared"/>
        <v>6.412617871484895E-2</v>
      </c>
      <c r="E30" s="127">
        <v>19</v>
      </c>
      <c r="F30" s="248" t="n">
        <v>6339.0</v>
      </c>
      <c r="G30" s="10">
        <f si="1" t="shared"/>
        <v>3.1142841081567261E-2</v>
      </c>
    </row>
    <row r="31" spans="1:7" x14ac:dyDescent="0.25">
      <c r="A31">
        <v>20</v>
      </c>
      <c r="B31" s="246" t="n">
        <v>11829.0234957315</v>
      </c>
      <c r="C31" s="10">
        <f si="0" t="shared"/>
        <v>6.0259687206688756E-2</v>
      </c>
      <c r="E31" s="128">
        <v>20</v>
      </c>
      <c r="F31" s="248" t="n">
        <v>8906.0</v>
      </c>
      <c r="G31" s="10">
        <f si="1" t="shared"/>
        <v>4.6658047107763223E-2</v>
      </c>
    </row>
    <row r="32" spans="1:7" x14ac:dyDescent="0.25">
      <c r="A32">
        <v>21</v>
      </c>
      <c r="B32" s="246" t="n">
        <v>9204.7353634031</v>
      </c>
      <c r="C32" s="10">
        <f si="0" t="shared"/>
        <v>4.6890977435218681E-2</v>
      </c>
      <c r="E32" s="129">
        <v>21</v>
      </c>
      <c r="F32" s="248" t="n">
        <v>9709.0</v>
      </c>
      <c r="G32" s="10">
        <f si="1" t="shared"/>
        <v>4.8543788551658584E-2</v>
      </c>
    </row>
    <row r="33" spans="1:7" x14ac:dyDescent="0.25">
      <c r="A33">
        <v>22</v>
      </c>
      <c r="B33" s="246" t="n">
        <v>15445.631012047299</v>
      </c>
      <c r="C33" s="10">
        <f si="0" t="shared"/>
        <v>7.8683493513370922E-2</v>
      </c>
      <c r="E33" s="130">
        <v>22</v>
      </c>
      <c r="F33" s="248" t="n">
        <v>8499.0</v>
      </c>
      <c r="G33" s="10">
        <f si="1" t="shared"/>
        <v>4.1772494749053299E-2</v>
      </c>
    </row>
    <row r="34" spans="1:7" x14ac:dyDescent="0.25">
      <c r="A34">
        <v>23</v>
      </c>
      <c r="B34" s="246" t="n">
        <v>7356.860630771</v>
      </c>
      <c r="C34" s="10">
        <f si="0" t="shared"/>
        <v>3.7477490901377961E-2</v>
      </c>
      <c r="E34" s="131">
        <v>23</v>
      </c>
      <c r="F34" s="248" t="n">
        <v>6156.0</v>
      </c>
      <c r="G34" s="10">
        <f si="1" t="shared"/>
        <v>3.1127509850316079E-2</v>
      </c>
    </row>
    <row r="35" spans="1:7" x14ac:dyDescent="0.25">
      <c r="A35">
        <v>24</v>
      </c>
      <c r="B35" s="246" t="n">
        <v>8830.7187359913</v>
      </c>
      <c r="C35" s="10">
        <f si="0" t="shared"/>
        <v>4.4985653214156089E-2</v>
      </c>
      <c r="E35" s="132">
        <v>24</v>
      </c>
      <c r="F35" s="248" t="n">
        <v>5722.0</v>
      </c>
      <c r="G35" s="10">
        <f si="1" t="shared"/>
        <v>3.1444355296173836E-2</v>
      </c>
    </row>
    <row r="36" spans="1:7" x14ac:dyDescent="0.25">
      <c r="A36">
        <v>25</v>
      </c>
      <c r="B36" s="246" t="n">
        <v>2187.2668478329</v>
      </c>
      <c r="C36" s="10">
        <f si="0" t="shared"/>
        <v>1.1142425757758626E-2</v>
      </c>
      <c r="E36" s="133">
        <v>25</v>
      </c>
      <c r="F36" s="248" t="n">
        <v>6035.0</v>
      </c>
      <c r="G36" s="10">
        <f si="1" t="shared"/>
        <v>2.7396910245861845E-2</v>
      </c>
    </row>
    <row r="37" spans="1:7" x14ac:dyDescent="0.25">
      <c r="A37">
        <v>26</v>
      </c>
      <c r="B37" s="246" t="n">
        <v>7564.156467392801</v>
      </c>
      <c r="C37" s="10">
        <f si="0" t="shared"/>
        <v>3.8533502184015626E-2</v>
      </c>
      <c r="E37" s="134">
        <v>26</v>
      </c>
      <c r="F37" s="248" t="n">
        <v>4364.0</v>
      </c>
      <c r="G37" s="10">
        <f si="1" t="shared"/>
        <v>2.2281389418384191E-2</v>
      </c>
    </row>
    <row r="38" spans="1:7" x14ac:dyDescent="0.25">
      <c r="A38">
        <v>27</v>
      </c>
      <c r="B38" s="246" t="n">
        <v>1444.1508225077</v>
      </c>
      <c r="C38" s="10">
        <f si="0" t="shared"/>
        <v>7.3568267807565778E-3</v>
      </c>
      <c r="E38" s="135">
        <v>27</v>
      </c>
      <c r="F38" s="248" t="n">
        <v>3446.0</v>
      </c>
      <c r="G38" s="10">
        <f si="1" t="shared"/>
        <v>2.0181010736972288E-2</v>
      </c>
    </row>
    <row r="39" spans="1:7" x14ac:dyDescent="0.25">
      <c r="A39">
        <v>28</v>
      </c>
      <c r="B39" s="246" t="n">
        <v>3236.8881299582</v>
      </c>
      <c r="C39" s="10">
        <f si="0" t="shared"/>
        <v>1.6489430958076121E-2</v>
      </c>
      <c r="E39" s="136">
        <v>28</v>
      </c>
      <c r="F39" s="248" t="n">
        <v>4156.0</v>
      </c>
      <c r="G39" s="10">
        <f si="1" t="shared"/>
        <v>1.7124985307570052E-2</v>
      </c>
    </row>
    <row r="40" spans="1:7" x14ac:dyDescent="0.25">
      <c r="A40">
        <v>29</v>
      </c>
      <c r="B40" s="246" t="n">
        <v>1737.5658021589</v>
      </c>
      <c r="C40" s="10">
        <f si="0" t="shared"/>
        <v>8.8515482091076556E-3</v>
      </c>
      <c r="E40" s="137">
        <v>29</v>
      </c>
      <c r="F40" s="248" t="n">
        <v>3652.0</v>
      </c>
      <c r="G40" s="10">
        <f si="1" t="shared"/>
        <v>2.0007256782792224E-2</v>
      </c>
    </row>
    <row r="41" spans="1:7" x14ac:dyDescent="0.25">
      <c r="A41">
        <v>30</v>
      </c>
      <c r="B41" s="246" t="n">
        <v>6915.696948696</v>
      </c>
      <c r="C41" s="10">
        <f si="0" t="shared"/>
        <v>3.5230104589364666E-2</v>
      </c>
      <c r="E41" s="138">
        <v>30</v>
      </c>
      <c r="F41" s="248" t="n">
        <v>3862.0</v>
      </c>
      <c r="G41" s="10">
        <f si="1" t="shared"/>
        <v>2.0043029655711649E-2</v>
      </c>
    </row>
    <row r="42" spans="1:7" x14ac:dyDescent="0.25">
      <c r="A42">
        <v>31</v>
      </c>
      <c r="B42" s="246" t="n">
        <v>7752.344048928</v>
      </c>
      <c r="C42" s="10">
        <f si="0" t="shared"/>
        <v>3.9492171748209702E-2</v>
      </c>
      <c r="E42" s="139">
        <v>31</v>
      </c>
      <c r="F42" s="248" t="n">
        <v>2694.0</v>
      </c>
      <c r="G42" s="10">
        <f si="1" t="shared"/>
        <v>1.4498234353200905E-2</v>
      </c>
    </row>
    <row r="43" spans="1:7" x14ac:dyDescent="0.25">
      <c r="A43">
        <v>32</v>
      </c>
      <c r="B43" s="246" t="n">
        <v>1019.613410797</v>
      </c>
      <c r="C43" s="10">
        <f si="0" t="shared"/>
        <v>5.1941384027636307E-3</v>
      </c>
      <c r="E43" s="140">
        <v>32</v>
      </c>
      <c r="F43" s="248" t="n">
        <v>3055.0</v>
      </c>
      <c r="G43" s="10">
        <f si="1" t="shared"/>
        <v>1.3895205923987755E-2</v>
      </c>
    </row>
    <row r="44" spans="1:7" x14ac:dyDescent="0.25">
      <c r="A44">
        <v>33</v>
      </c>
      <c r="B44" s="246" t="n">
        <v>2881.244549026</v>
      </c>
      <c r="C44" s="10">
        <f si="0" t="shared"/>
        <v>1.4677703138634863E-2</v>
      </c>
      <c r="E44" s="141">
        <v>33</v>
      </c>
      <c r="F44" s="248" t="n">
        <v>2913.0</v>
      </c>
      <c r="G44" s="10">
        <f si="1" t="shared"/>
        <v>1.5331231251181783E-2</v>
      </c>
    </row>
    <row r="45" spans="1:7" x14ac:dyDescent="0.25">
      <c r="A45">
        <v>34</v>
      </c>
      <c r="B45" s="246" t="n">
        <v>4109.82822786</v>
      </c>
      <c r="C45" s="10">
        <f si="0" t="shared"/>
        <v>2.0936382751579663E-2</v>
      </c>
      <c r="E45" s="142">
        <v>34</v>
      </c>
      <c r="F45" s="248" t="n">
        <v>2462.0</v>
      </c>
      <c r="G45" s="10">
        <f si="1" t="shared"/>
        <v>1.1483092207135155E-2</v>
      </c>
    </row>
    <row r="46" spans="1:7" x14ac:dyDescent="0.25">
      <c r="A46">
        <v>35</v>
      </c>
      <c r="B46" s="246" t="n">
        <v>1842.488268563</v>
      </c>
      <c r="C46" s="10">
        <f si="0" t="shared"/>
        <v>9.386046683030452E-3</v>
      </c>
      <c r="E46" s="143">
        <v>35</v>
      </c>
      <c r="F46" s="248" t="n">
        <v>2128.0</v>
      </c>
      <c r="G46" s="10">
        <f si="1" t="shared"/>
        <v>1.1820379294661154E-2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144">
        <v>36</v>
      </c>
      <c r="F47" s="248" t="n">
        <v>1759.0</v>
      </c>
      <c r="G47" s="10">
        <f si="1" t="shared"/>
        <v>9.2805053173820387E-3</v>
      </c>
    </row>
    <row r="48" spans="1:7" x14ac:dyDescent="0.25">
      <c r="A48">
        <v>37</v>
      </c>
      <c r="B48" s="246" t="n">
        <v>1050.108317741</v>
      </c>
      <c r="C48" s="10">
        <f si="0" t="shared"/>
        <v>5.3494862685029808E-3</v>
      </c>
      <c r="E48" s="145">
        <v>37</v>
      </c>
      <c r="F48" s="248" t="n">
        <v>2125.0</v>
      </c>
      <c r="G48" s="10">
        <f si="1" t="shared"/>
        <v>1.0031735648689945E-2</v>
      </c>
    </row>
    <row r="49" spans="1:7" x14ac:dyDescent="0.25">
      <c r="A49">
        <v>38</v>
      </c>
      <c r="B49" s="246" t="n">
        <v>1146.605798674</v>
      </c>
      <c r="C49" s="10">
        <f si="0" t="shared"/>
        <v>5.841065985066592E-3</v>
      </c>
      <c r="E49" s="146">
        <v>38</v>
      </c>
      <c r="F49" s="248" t="n">
        <v>1734.0</v>
      </c>
      <c r="G49" s="10">
        <f si="1" t="shared"/>
        <v>9.0863097215337363E-3</v>
      </c>
    </row>
    <row r="50" spans="1:7" x14ac:dyDescent="0.25">
      <c r="A50">
        <v>39</v>
      </c>
      <c r="B50" s="246" t="n">
        <v>565.9520989829999</v>
      </c>
      <c r="C50" s="10">
        <f si="0" t="shared"/>
        <v>2.8830863740350997E-3</v>
      </c>
      <c r="E50" s="147">
        <v>39</v>
      </c>
      <c r="F50" s="248" t="n">
        <v>1585.0</v>
      </c>
      <c r="G50" s="10">
        <f si="1" t="shared"/>
        <v>7.7524926026809214E-3</v>
      </c>
    </row>
    <row r="51" spans="1:7" x14ac:dyDescent="0.25">
      <c r="A51">
        <v>40</v>
      </c>
      <c r="B51" s="246" t="n">
        <v>744.89440474</v>
      </c>
      <c r="C51" s="10">
        <f si="0" t="shared"/>
        <v>3.7946584388679687E-3</v>
      </c>
      <c r="E51" s="148">
        <v>40</v>
      </c>
      <c r="F51" s="248" t="n">
        <v>1339.0</v>
      </c>
      <c r="G51" s="10">
        <f si="1" t="shared"/>
        <v>6.8632811901123778E-3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149">
        <v>41</v>
      </c>
      <c r="F52" s="248" t="n">
        <v>1084.0</v>
      </c>
      <c r="G52" s="10">
        <f si="1" t="shared"/>
        <v>6.0558363442168037E-3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1045.0</v>
      </c>
      <c r="G53" s="10">
        <f si="1" t="shared"/>
        <v>6.0251738817144402E-3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151">
        <v>43</v>
      </c>
      <c r="F54" s="248" t="n">
        <v>1223.0</v>
      </c>
      <c r="G54" s="10">
        <f si="1" t="shared"/>
        <v>5.6827763837713806E-3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152">
        <v>44</v>
      </c>
      <c r="F55" s="248" t="n">
        <v>766.0</v>
      </c>
      <c r="G55" s="10">
        <f si="1" t="shared"/>
        <v>4.2620822878285357E-3</v>
      </c>
    </row>
    <row r="56" spans="1:7" x14ac:dyDescent="0.25">
      <c r="A56">
        <v>45</v>
      </c>
      <c r="B56" s="246" t="n">
        <v>10646.108002583</v>
      </c>
      <c r="C56" s="10">
        <f si="0" t="shared"/>
        <v>5.4233651529711976E-2</v>
      </c>
      <c r="E56" s="153">
        <v>45</v>
      </c>
      <c r="F56" s="248" t="n">
        <v>674.0</v>
      </c>
      <c r="G56" s="10">
        <f si="1" t="shared"/>
        <v>3.7970349398760215E-3</v>
      </c>
    </row>
    <row r="57" spans="1:7" x14ac:dyDescent="0.25">
      <c r="A57">
        <v>46</v>
      </c>
      <c r="B57" s="246" t="n">
        <v>194.8963878356</v>
      </c>
      <c r="C57" s="10">
        <f si="0" t="shared"/>
        <v>9.9284572162061527E-4</v>
      </c>
      <c r="E57" s="154">
        <v>46</v>
      </c>
      <c r="F57" s="248" t="n">
        <v>650.0</v>
      </c>
      <c r="G57" s="10">
        <f si="1" t="shared"/>
        <v>3.5006311356865069E-3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155">
        <v>47</v>
      </c>
      <c r="F58" s="248" t="n">
        <v>630.0</v>
      </c>
      <c r="G58" s="10">
        <f si="1" t="shared"/>
        <v>3.5568456502741734E-3</v>
      </c>
    </row>
    <row r="59" spans="1:7" x14ac:dyDescent="0.25">
      <c r="A59">
        <v>48</v>
      </c>
      <c r="B59" s="246" t="n">
        <v>2764.672652115</v>
      </c>
      <c r="C59" s="10">
        <f si="0" t="shared"/>
        <v>1.4083859864295094E-2</v>
      </c>
      <c r="E59" s="156">
        <v>48</v>
      </c>
      <c r="F59" s="248" t="n">
        <v>607.0</v>
      </c>
      <c r="G59" s="10">
        <f si="1" t="shared"/>
        <v>2.5143219251938121E-3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157">
        <v>49</v>
      </c>
      <c r="F60" s="248" t="n">
        <v>468.0</v>
      </c>
      <c r="G60" s="10">
        <f si="1" t="shared"/>
        <v>2.7851736772980238E-3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158">
        <v>50</v>
      </c>
      <c r="F61" s="248" t="n">
        <v>423.0</v>
      </c>
      <c r="G61" s="10">
        <f si="1" t="shared"/>
        <v>2.279243046009025E-3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415.0</v>
      </c>
      <c r="G62" s="10">
        <f si="1" t="shared"/>
        <v>2.4632178210232062E-3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361.0</v>
      </c>
      <c r="G63" s="10">
        <f si="1" t="shared"/>
        <v>2.0135017043218743E-3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293.0</v>
      </c>
      <c r="G64" s="10">
        <f si="1" t="shared"/>
        <v>1.7579811834688443E-3</v>
      </c>
    </row>
    <row r="65" spans="1:7" x14ac:dyDescent="0.25">
      <c r="A65">
        <v>54</v>
      </c>
      <c r="B65" s="246" t="n">
        <v>195.430938886</v>
      </c>
      <c r="C65" s="10">
        <f si="0" t="shared"/>
        <v>9.9556884404105304E-4</v>
      </c>
      <c r="E65" s="162">
        <v>54</v>
      </c>
      <c r="F65" s="248" t="n">
        <v>292.0</v>
      </c>
      <c r="G65" s="10">
        <f si="1" t="shared"/>
        <v>1.6455521542935113E-3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245.0</v>
      </c>
      <c r="G66" s="10">
        <f si="1" t="shared"/>
        <v>1.1549527542556942E-3</v>
      </c>
    </row>
    <row r="67" spans="1:7" x14ac:dyDescent="0.25">
      <c r="A67">
        <v>56</v>
      </c>
      <c r="B67" s="246" t="n">
        <v>1219.07842926</v>
      </c>
      <c r="C67" s="10">
        <f si="0" t="shared"/>
        <v>6.2102577490134774E-3</v>
      </c>
      <c r="E67" s="164">
        <v>56</v>
      </c>
      <c r="F67" s="248" t="n">
        <v>262.0</v>
      </c>
      <c r="G67" s="10">
        <f si="1" t="shared"/>
        <v>1.2060568584263002E-3</v>
      </c>
    </row>
    <row r="68" spans="1:7" x14ac:dyDescent="0.25">
      <c r="A68">
        <v>57</v>
      </c>
      <c r="B68" s="246" t="n">
        <v>4356.2447658228</v>
      </c>
      <c r="C68" s="10">
        <f si="0" t="shared"/>
        <v>2.2191683622826707E-2</v>
      </c>
      <c r="E68" s="165">
        <v>57</v>
      </c>
      <c r="F68" s="248" t="n">
        <v>215.0</v>
      </c>
      <c r="G68" s="10">
        <f si="1" t="shared"/>
        <v>1.4462461480281481E-3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166">
        <v>58</v>
      </c>
      <c r="F69" s="248" t="n">
        <v>176.0</v>
      </c>
      <c r="G69" s="10">
        <f si="1" t="shared"/>
        <v>9.9653003132681595E-4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156.0</v>
      </c>
      <c r="G70" s="10">
        <f si="1" t="shared"/>
        <v>8.3810730839793744E-4</v>
      </c>
    </row>
    <row r="71" spans="1:7" x14ac:dyDescent="0.25">
      <c r="A71">
        <v>60</v>
      </c>
      <c r="B71" s="246" t="n">
        <v>263.128777017</v>
      </c>
      <c r="C71" s="10">
        <f si="0" t="shared"/>
        <v>1.3404367489712593E-3</v>
      </c>
      <c r="E71" s="168">
        <v>60</v>
      </c>
      <c r="F71" s="248" t="n">
        <v>133.0</v>
      </c>
      <c r="G71" s="10">
        <f si="1" t="shared"/>
        <v>6.8479499588611963E-4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105.0</v>
      </c>
      <c r="G72" s="10">
        <f si="1" t="shared"/>
        <v>6.7457417505199845E-4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140.0</v>
      </c>
      <c r="G73" s="10">
        <f si="1" t="shared"/>
        <v>5.9791801879608949E-4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118.0</v>
      </c>
      <c r="G74" s="10">
        <f si="1" t="shared"/>
        <v>6.2347007088139244E-4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172">
        <v>64</v>
      </c>
      <c r="F75" s="248" t="n">
        <v>94.0</v>
      </c>
      <c r="G75" s="10">
        <f si="1" t="shared"/>
        <v>4.8037857920369586E-4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71.0</v>
      </c>
      <c r="G76" s="10">
        <f si="1" t="shared"/>
        <v>4.292744750330899E-4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55.0</v>
      </c>
      <c r="G77" s="10">
        <f ref="G77:G102" si="3" t="shared">F77/F$102</f>
        <v>3.9861201253072636E-4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47.0</v>
      </c>
      <c r="G78" s="10">
        <f si="3" t="shared"/>
        <v>2.7596216252127209E-4</v>
      </c>
    </row>
    <row r="79" spans="1:7" x14ac:dyDescent="0.25">
      <c r="A79">
        <v>68</v>
      </c>
      <c r="B79" s="246" t="n">
        <v>417.967608267</v>
      </c>
      <c r="C79" s="10">
        <f si="2" t="shared"/>
        <v>2.1292203321589321E-3</v>
      </c>
      <c r="E79" s="176">
        <v>68</v>
      </c>
      <c r="F79" s="248" t="n">
        <v>24.0</v>
      </c>
      <c r="G79" s="10">
        <f si="3" t="shared"/>
        <v>3.1684544585775686E-4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25.0</v>
      </c>
      <c r="G80" s="10">
        <f si="3" t="shared"/>
        <v>2.5552052085302973E-4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22.0</v>
      </c>
      <c r="G81" s="10">
        <f si="3" t="shared"/>
        <v>1.0731861875827248E-4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39.0</v>
      </c>
      <c r="G82" s="10">
        <f si="3" t="shared"/>
        <v>1.5331231251181781E-4</v>
      </c>
    </row>
    <row r="83" spans="1:7" x14ac:dyDescent="0.25">
      <c r="A83">
        <v>72</v>
      </c>
      <c r="B83" s="246" t="n">
        <v>257.712041459</v>
      </c>
      <c r="C83" s="10">
        <f si="2" t="shared"/>
        <v>1.3128426884366584E-3</v>
      </c>
      <c r="E83" s="180">
        <v>72</v>
      </c>
      <c r="F83" s="248" t="n">
        <v>21.0</v>
      </c>
      <c r="G83" s="10">
        <f si="3" t="shared"/>
        <v>1.3287067084357545E-4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19.0</v>
      </c>
      <c r="G84" s="10">
        <f si="3" t="shared"/>
        <v>1.2776026042651486E-4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15.0</v>
      </c>
      <c r="G85" s="10">
        <f si="3" t="shared"/>
        <v>1.5331231251181781E-4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16.0</v>
      </c>
      <c r="G86" s="10">
        <f si="3" t="shared"/>
        <v>8.1766566672969511E-5</v>
      </c>
    </row>
    <row r="87" spans="1:7" x14ac:dyDescent="0.25">
      <c r="A87">
        <v>76</v>
      </c>
      <c r="B87" s="246" t="n">
        <v>41.7609222283</v>
      </c>
      <c r="C87" s="10">
        <f si="2" t="shared"/>
        <v>2.127394633925862E-4</v>
      </c>
      <c r="E87" s="184">
        <v>76</v>
      </c>
      <c r="F87" s="248" t="n">
        <v>9.0</v>
      </c>
      <c r="G87" s="10">
        <f si="3" t="shared"/>
        <v>6.1324925004727136E-5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9.0</v>
      </c>
      <c r="G88" s="10">
        <f si="3" t="shared"/>
        <v>9.7097797924151295E-5</v>
      </c>
    </row>
    <row r="89" spans="1:7" x14ac:dyDescent="0.25">
      <c r="A89">
        <v>78</v>
      </c>
      <c r="B89" s="246" t="n">
        <v>396.701349191</v>
      </c>
      <c r="C89" s="10">
        <f si="2" t="shared"/>
        <v>2.0208852594930781E-3</v>
      </c>
      <c r="E89" s="186">
        <v>78</v>
      </c>
      <c r="F89" s="248" t="n">
        <v>6.0</v>
      </c>
      <c r="G89" s="10">
        <f si="3" t="shared"/>
        <v>6.1324925004727136E-5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7.0</v>
      </c>
      <c r="G90" s="10">
        <f si="3" t="shared"/>
        <v>3.0662462502363568E-5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7.0</v>
      </c>
      <c r="G91" s="10">
        <f si="3" t="shared"/>
        <v>4.0883283336484755E-5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5.0</v>
      </c>
      <c r="G92" s="10">
        <f si="3" t="shared"/>
        <v>2.0441641668242378E-5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5.0</v>
      </c>
      <c r="G93" s="10">
        <f si="3" t="shared"/>
        <v>2.0441641668242378E-5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6.0</v>
      </c>
      <c r="G94" s="10">
        <f si="3" t="shared"/>
        <v>2.0441641668242378E-5</v>
      </c>
    </row>
    <row r="95" spans="1:7" x14ac:dyDescent="0.25">
      <c r="A95">
        <v>84</v>
      </c>
      <c r="B95" s="246" t="n">
        <v>841.375356903</v>
      </c>
      <c r="C95" s="10">
        <f si="2" t="shared"/>
        <v>4.2861539541861884E-3</v>
      </c>
      <c r="E95" s="192">
        <v>84</v>
      </c>
      <c r="F95" s="248" t="n">
        <v>4.0</v>
      </c>
      <c r="G95" s="10">
        <f si="3" t="shared"/>
        <v>3.0662462502363568E-5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0.0</v>
      </c>
      <c r="G96" s="10">
        <f si="3" t="shared"/>
        <v>2.0441641668242378E-5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5.0</v>
      </c>
      <c r="G97" s="10">
        <f si="3" t="shared"/>
        <v>3.0662462502363568E-5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1.0</v>
      </c>
      <c r="G98" s="10">
        <f si="3" t="shared"/>
        <v>2.0441641668242378E-5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3.0</v>
      </c>
      <c r="G99" s="10">
        <f si="3" t="shared"/>
        <v>1.0220820834121189E-5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2.0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9.0</v>
      </c>
      <c r="G101" s="10">
        <f si="3" t="shared"/>
        <v>3.5772872919424158E-5</v>
      </c>
    </row>
    <row r="102" spans="1:7" x14ac:dyDescent="0.25">
      <c r="B102" s="246">
        <f>SUM(B11:B101)</f>
        <v>196300.77824928524</v>
      </c>
      <c r="C102" s="10">
        <f si="2" t="shared"/>
        <v>1</v>
      </c>
      <c r="F102" s="246">
        <f>SUM(F11:F101)</f>
        <v>195679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A10" workbookViewId="0">
      <selection activeCell="V36" sqref="V36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 t="n">
        <v>0.0</v>
      </c>
      <c r="C7" s="11" t="n">
        <v>0.0</v>
      </c>
      <c r="D7" s="11" t="n">
        <v>0.0</v>
      </c>
      <c r="E7" s="11" t="n">
        <v>0.0</v>
      </c>
      <c r="F7" s="11" t="n">
        <v>0.0</v>
      </c>
      <c r="G7" s="11" t="n">
        <v>0.0</v>
      </c>
      <c r="H7" s="11" t="n">
        <v>0.0</v>
      </c>
      <c r="I7" s="11"/>
      <c r="J7" s="11">
        <f>SUM(B7:I7)</f>
        <v>0</v>
      </c>
      <c r="K7" s="11"/>
      <c r="L7" t="str">
        <f>$A$7</f>
        <v>Bellevue</v>
      </c>
      <c r="M7" s="248" t="n">
        <v>0.0</v>
      </c>
      <c r="N7" s="248" t="n">
        <v>0.0</v>
      </c>
      <c r="O7" s="248" t="n">
        <v>0.0</v>
      </c>
      <c r="P7" s="248" t="n">
        <v>0.0</v>
      </c>
      <c r="Q7" s="248" t="n">
        <v>0.0</v>
      </c>
      <c r="R7" s="248" t="n">
        <v>0.0</v>
      </c>
      <c r="S7" s="248" t="n">
        <v>0.0</v>
      </c>
      <c r="T7" s="248"/>
      <c r="U7" s="246">
        <f>SUM(M7:T7)</f>
        <v>0</v>
      </c>
    </row>
    <row r="8" spans="1:21" x14ac:dyDescent="0.25">
      <c r="A8" t="s">
        <v>255</v>
      </c>
      <c r="B8" s="11" t="n">
        <v>0.0</v>
      </c>
      <c r="C8" s="11" t="n">
        <v>0.0</v>
      </c>
      <c r="D8" s="11" t="n">
        <v>0.0</v>
      </c>
      <c r="E8" s="11" t="n">
        <v>0.0</v>
      </c>
      <c r="F8" s="11" t="n">
        <v>0.0</v>
      </c>
      <c r="G8" s="11" t="n">
        <v>0.0</v>
      </c>
      <c r="H8" s="11" t="n">
        <v>0.0</v>
      </c>
      <c r="I8" s="11"/>
      <c r="J8" s="11">
        <f ref="J8:J14" si="0" t="shared">SUM(B8:I8)</f>
        <v>0</v>
      </c>
      <c r="K8" s="11"/>
      <c r="L8" t="str">
        <f>$A$8</f>
        <v>Bellevue Downtown</v>
      </c>
      <c r="M8" s="248" t="n">
        <v>0.0</v>
      </c>
      <c r="N8" s="248" t="n">
        <v>0.0</v>
      </c>
      <c r="O8" s="248" t="n">
        <v>0.0</v>
      </c>
      <c r="P8" s="248" t="n">
        <v>0.0</v>
      </c>
      <c r="Q8" s="248" t="n">
        <v>0.0</v>
      </c>
      <c r="R8" s="248" t="n">
        <v>0.0</v>
      </c>
      <c r="S8" s="248" t="n">
        <v>0.0</v>
      </c>
      <c r="T8" s="248"/>
      <c r="U8" s="246">
        <f ref="U8:U13" si="1" t="shared">SUM(M8:T8)</f>
        <v>0</v>
      </c>
    </row>
    <row r="9" spans="1:21" x14ac:dyDescent="0.25">
      <c r="A9" t="s">
        <v>256</v>
      </c>
      <c r="B9" s="11" t="n">
        <v>0.0</v>
      </c>
      <c r="C9" s="11" t="n">
        <v>0.0</v>
      </c>
      <c r="D9" s="11" t="n">
        <v>0.0</v>
      </c>
      <c r="E9" s="11" t="n">
        <v>0.0</v>
      </c>
      <c r="F9" s="11" t="n">
        <v>0.0</v>
      </c>
      <c r="G9" s="11" t="n">
        <v>0.0</v>
      </c>
      <c r="H9" s="11" t="n">
        <v>0.0</v>
      </c>
      <c r="I9" s="11"/>
      <c r="J9" s="11">
        <f si="0" t="shared"/>
        <v>0</v>
      </c>
      <c r="K9" s="12"/>
      <c r="L9" t="str">
        <f>$A$9</f>
        <v>Kirkland</v>
      </c>
      <c r="M9" s="248" t="n">
        <v>0.0</v>
      </c>
      <c r="N9" s="248" t="n">
        <v>0.0</v>
      </c>
      <c r="O9" s="248" t="n">
        <v>0.0</v>
      </c>
      <c r="P9" s="248" t="n">
        <v>0.0</v>
      </c>
      <c r="Q9" s="248" t="n">
        <v>0.0</v>
      </c>
      <c r="R9" s="248" t="n">
        <v>0.0</v>
      </c>
      <c r="S9" s="248" t="n">
        <v>0.0</v>
      </c>
      <c r="T9" s="248"/>
      <c r="U9" s="246">
        <f si="1" t="shared"/>
        <v>0</v>
      </c>
    </row>
    <row r="10" spans="1:21" x14ac:dyDescent="0.25">
      <c r="A10" t="s">
        <v>257</v>
      </c>
      <c r="B10" s="11" t="n">
        <v>0.0</v>
      </c>
      <c r="C10" s="11" t="n">
        <v>0.0</v>
      </c>
      <c r="D10" s="11" t="n">
        <v>0.0</v>
      </c>
      <c r="E10" s="11" t="n">
        <v>0.0</v>
      </c>
      <c r="F10" s="11" t="n">
        <v>0.0</v>
      </c>
      <c r="G10" s="11" t="n">
        <v>0.0</v>
      </c>
      <c r="H10" s="11" t="n">
        <v>0.0</v>
      </c>
      <c r="I10" s="11"/>
      <c r="J10" s="11">
        <f si="0" t="shared"/>
        <v>0</v>
      </c>
      <c r="K10" s="12"/>
      <c r="L10" t="str">
        <f>$A$10</f>
        <v>Redmond</v>
      </c>
      <c r="M10" s="248" t="n">
        <v>0.0</v>
      </c>
      <c r="N10" s="248" t="n">
        <v>0.0</v>
      </c>
      <c r="O10" s="248" t="n">
        <v>0.0</v>
      </c>
      <c r="P10" s="248" t="n">
        <v>0.0</v>
      </c>
      <c r="Q10" s="248" t="n">
        <v>0.0</v>
      </c>
      <c r="R10" s="248" t="n">
        <v>0.0</v>
      </c>
      <c r="S10" s="248" t="n">
        <v>0.0</v>
      </c>
      <c r="T10" s="248"/>
      <c r="U10" s="246">
        <f si="1" t="shared"/>
        <v>0</v>
      </c>
    </row>
    <row r="11" spans="1:21" x14ac:dyDescent="0.25">
      <c r="A11" t="s">
        <v>252</v>
      </c>
      <c r="B11" s="11" t="n">
        <v>161.51425</v>
      </c>
      <c r="C11" s="11" t="n">
        <v>1825.827595923</v>
      </c>
      <c r="D11" s="11" t="n">
        <v>1328.141469276</v>
      </c>
      <c r="E11" s="11" t="n">
        <v>0.0</v>
      </c>
      <c r="F11" s="11" t="n">
        <v>38457.0516862257</v>
      </c>
      <c r="G11" s="11" t="n">
        <v>4468.4450829937</v>
      </c>
      <c r="H11" s="11" t="n">
        <v>5075.7600519444</v>
      </c>
      <c r="I11" s="11"/>
      <c r="J11" s="11">
        <f si="0" t="shared"/>
        <v>51316.740136362801</v>
      </c>
      <c r="K11" s="12"/>
      <c r="L11" t="str">
        <f>$A$11</f>
        <v>Seattle</v>
      </c>
      <c r="M11" s="248" t="n">
        <v>459.0</v>
      </c>
      <c r="N11" s="248" t="n">
        <v>562.0</v>
      </c>
      <c r="O11" s="248" t="n">
        <v>553.0</v>
      </c>
      <c r="P11" s="248" t="n">
        <v>287.0</v>
      </c>
      <c r="Q11" s="248" t="n">
        <v>31737.0</v>
      </c>
      <c r="R11" s="248" t="n">
        <v>7984.0</v>
      </c>
      <c r="S11" s="248" t="n">
        <v>2162.0</v>
      </c>
      <c r="T11" s="248"/>
      <c r="U11" s="246">
        <f si="1" t="shared"/>
        <v>43865</v>
      </c>
    </row>
    <row r="12" spans="1:21" x14ac:dyDescent="0.25">
      <c r="A12" t="s">
        <v>258</v>
      </c>
      <c r="B12" s="11" t="n">
        <v>0.0</v>
      </c>
      <c r="C12" s="11" t="n">
        <v>0.0</v>
      </c>
      <c r="D12" s="11" t="n">
        <v>118.76068269</v>
      </c>
      <c r="E12" s="11" t="n">
        <v>0.0</v>
      </c>
      <c r="F12" s="11" t="n">
        <v>1766.7422404534</v>
      </c>
      <c r="G12" s="11" t="n">
        <v>4688.9401726328</v>
      </c>
      <c r="H12" s="11" t="n">
        <v>0.0</v>
      </c>
      <c r="I12" s="11"/>
      <c r="J12" s="11">
        <f si="0" t="shared"/>
        <v>6574.4430957761997</v>
      </c>
      <c r="K12" s="12"/>
      <c r="L12" t="str">
        <f>$A$12</f>
        <v>Seattle Downtown</v>
      </c>
      <c r="M12" s="248" t="n">
        <v>1.0</v>
      </c>
      <c r="N12" s="248" t="n">
        <v>5.0</v>
      </c>
      <c r="O12" s="248" t="n">
        <v>4.0</v>
      </c>
      <c r="P12" s="248" t="n">
        <v>3.0</v>
      </c>
      <c r="Q12" s="248" t="n">
        <v>246.0</v>
      </c>
      <c r="R12" s="248" t="n">
        <v>4874.0</v>
      </c>
      <c r="S12" s="248" t="n">
        <v>13.0</v>
      </c>
      <c r="T12" s="248"/>
      <c r="U12" s="246">
        <f si="1" t="shared"/>
        <v>5155</v>
      </c>
    </row>
    <row r="13" spans="1:21" x14ac:dyDescent="0.25">
      <c r="A13" t="s">
        <v>259</v>
      </c>
      <c r="B13" s="11" t="n">
        <v>218.679820599</v>
      </c>
      <c r="C13" s="11" t="n">
        <v>106.057123419</v>
      </c>
      <c r="D13" s="11" t="n">
        <v>0.0</v>
      </c>
      <c r="E13" s="11" t="n">
        <v>0.0</v>
      </c>
      <c r="F13" s="11" t="n">
        <v>2574.566675832</v>
      </c>
      <c r="G13" s="11" t="n">
        <v>3586.3049094350004</v>
      </c>
      <c r="H13" s="11" t="n">
        <v>132212.3106002502</v>
      </c>
      <c r="I13" s="11"/>
      <c r="J13" s="11">
        <f si="0" t="shared"/>
        <v>138697.91912953521</v>
      </c>
      <c r="K13" s="12"/>
      <c r="L13" t="str">
        <f>A13</f>
        <v>Rest</v>
      </c>
      <c r="M13" s="248" t="n">
        <v>2839.0</v>
      </c>
      <c r="N13" s="248" t="n">
        <v>2831.0</v>
      </c>
      <c r="O13" s="248" t="n">
        <v>2626.0</v>
      </c>
      <c r="P13" s="248" t="n">
        <v>2458.0</v>
      </c>
      <c r="Q13" s="248" t="n">
        <v>7898.0</v>
      </c>
      <c r="R13" s="248" t="n">
        <v>5659.0</v>
      </c>
      <c r="S13" s="248" t="n">
        <v>121886.0</v>
      </c>
      <c r="T13" s="248"/>
      <c r="U13" s="246">
        <f si="1" t="shared"/>
        <v>145816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ht="15.75" r="15" spans="1:21" thickBot="1" x14ac:dyDescent="0.3">
      <c r="A15" s="1" t="s">
        <v>4</v>
      </c>
      <c r="B15" s="14">
        <f ref="B15:J15" si="2" t="shared">SUM(B7:B14)</f>
        <v>380.19407059900004</v>
      </c>
      <c r="C15" s="14">
        <f si="2" t="shared"/>
        <v>1931.8847193419999</v>
      </c>
      <c r="D15" s="14">
        <f si="2" t="shared"/>
        <v>1446.902151966</v>
      </c>
      <c r="E15" s="14">
        <f si="2" t="shared"/>
        <v>0</v>
      </c>
      <c r="F15" s="14">
        <f si="2" t="shared"/>
        <v>42798.3606025111</v>
      </c>
      <c r="G15" s="14">
        <f si="2" t="shared"/>
        <v>12743.690165061502</v>
      </c>
      <c r="H15" s="14">
        <f si="2" t="shared"/>
        <v>137288.07065219461</v>
      </c>
      <c r="I15" s="14">
        <f si="2" t="shared"/>
        <v>0</v>
      </c>
      <c r="J15" s="14">
        <f si="2" t="shared"/>
        <v>196589.10236167422</v>
      </c>
      <c r="K15" s="11"/>
      <c r="L15" s="14" t="s">
        <v>4</v>
      </c>
      <c r="M15" s="14">
        <f ref="M15:U15" si="3" t="shared">SUM(M7:M14)</f>
        <v>3111</v>
      </c>
      <c r="N15" s="14">
        <f si="3" t="shared"/>
        <v>3742</v>
      </c>
      <c r="O15" s="14">
        <f si="3" t="shared"/>
        <v>3143</v>
      </c>
      <c r="P15" s="14">
        <f si="3" t="shared"/>
        <v>3044</v>
      </c>
      <c r="Q15" s="14">
        <f si="3" t="shared"/>
        <v>39756</v>
      </c>
      <c r="R15" s="14">
        <f si="3" t="shared"/>
        <v>18732</v>
      </c>
      <c r="S15" s="14">
        <f si="3" t="shared"/>
        <v>123308</v>
      </c>
      <c r="T15" s="14">
        <f si="3" t="shared"/>
        <v>0</v>
      </c>
      <c r="U15" s="14">
        <f si="3" t="shared"/>
        <v>194836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 t="e">
        <f ref="B20:H20" si="4" t="shared">($U7/$J7)*B7</f>
        <v>#DIV/0!</v>
      </c>
      <c r="C20" s="11" t="e">
        <f si="4" t="shared"/>
        <v>#DIV/0!</v>
      </c>
      <c r="D20" s="11" t="e">
        <f si="4" t="shared"/>
        <v>#DIV/0!</v>
      </c>
      <c r="E20" s="11" t="e">
        <f si="4" t="shared"/>
        <v>#DIV/0!</v>
      </c>
      <c r="F20" s="11" t="e">
        <f si="4" t="shared"/>
        <v>#DIV/0!</v>
      </c>
      <c r="G20" s="11" t="e">
        <f si="4" t="shared"/>
        <v>#DIV/0!</v>
      </c>
      <c r="H20" s="11" t="e">
        <f si="4" t="shared"/>
        <v>#DIV/0!</v>
      </c>
      <c r="I20" s="11"/>
      <c r="J20" s="11" t="e">
        <f>SUM(B20:I20)</f>
        <v>#DIV/0!</v>
      </c>
      <c r="K20" s="11"/>
      <c r="L20" t="str">
        <f>$A$7</f>
        <v>Bellevue</v>
      </c>
      <c r="M20" s="11">
        <f ref="M20:M26" si="5" t="shared">M7</f>
        <v>0</v>
      </c>
      <c r="N20" s="11">
        <f ref="N20:U20" si="6" t="shared">N7</f>
        <v>0</v>
      </c>
      <c r="O20" s="11">
        <f si="6" t="shared"/>
        <v>0</v>
      </c>
      <c r="P20" s="11">
        <f si="6" t="shared"/>
        <v>0</v>
      </c>
      <c r="Q20" s="11">
        <f si="6" t="shared"/>
        <v>0</v>
      </c>
      <c r="R20" s="11">
        <f si="6" t="shared"/>
        <v>0</v>
      </c>
      <c r="S20" s="11">
        <f ref="S20" si="7" t="shared">S7</f>
        <v>0</v>
      </c>
      <c r="T20" s="11"/>
      <c r="U20" s="11">
        <f si="6" t="shared"/>
        <v>0</v>
      </c>
    </row>
    <row r="21" spans="1:32" x14ac:dyDescent="0.25">
      <c r="A21" t="str">
        <f>$A$8</f>
        <v>Bellevue Downtown</v>
      </c>
      <c r="B21" s="11" t="e">
        <f ref="B21:G26" si="8" t="shared">($U8/$J8)*B8</f>
        <v>#DIV/0!</v>
      </c>
      <c r="C21" s="11" t="e">
        <f si="8" t="shared"/>
        <v>#DIV/0!</v>
      </c>
      <c r="D21" s="11" t="e">
        <f si="8" t="shared"/>
        <v>#DIV/0!</v>
      </c>
      <c r="E21" s="11" t="e">
        <f si="8" t="shared"/>
        <v>#DIV/0!</v>
      </c>
      <c r="F21" s="11" t="e">
        <f si="8" t="shared"/>
        <v>#DIV/0!</v>
      </c>
      <c r="G21" s="11" t="e">
        <f si="8" t="shared"/>
        <v>#DIV/0!</v>
      </c>
      <c r="H21" s="11" t="e">
        <f ref="H21:H26" si="9" t="shared">($U8/$J8)*H8</f>
        <v>#DIV/0!</v>
      </c>
      <c r="I21" s="11"/>
      <c r="J21" s="11" t="e">
        <f ref="J21:J26" si="10" t="shared">SUM(B21:I21)</f>
        <v>#DIV/0!</v>
      </c>
      <c r="K21" s="11"/>
      <c r="L21" t="str">
        <f>$A$8</f>
        <v>Bellevue Downtown</v>
      </c>
      <c r="M21" s="11">
        <f si="5" t="shared"/>
        <v>0</v>
      </c>
      <c r="N21" s="11">
        <f ref="N21:R25" si="11" t="shared">N8</f>
        <v>0</v>
      </c>
      <c r="O21" s="11">
        <f si="11" t="shared"/>
        <v>0</v>
      </c>
      <c r="P21" s="11">
        <f si="11" t="shared"/>
        <v>0</v>
      </c>
      <c r="Q21" s="11">
        <f si="11" t="shared"/>
        <v>0</v>
      </c>
      <c r="R21" s="11">
        <f si="11" t="shared"/>
        <v>0</v>
      </c>
      <c r="S21" s="11">
        <f ref="S21" si="12" t="shared">S8</f>
        <v>0</v>
      </c>
      <c r="T21" s="11"/>
      <c r="U21" s="11">
        <f ref="U21:U26" si="13" t="shared">U8</f>
        <v>0</v>
      </c>
    </row>
    <row r="22" spans="1:32" x14ac:dyDescent="0.25">
      <c r="A22" t="str">
        <f>$A$9</f>
        <v>Kirkland</v>
      </c>
      <c r="B22" s="11" t="e">
        <f si="8" t="shared"/>
        <v>#DIV/0!</v>
      </c>
      <c r="C22" s="11" t="e">
        <f si="8" t="shared"/>
        <v>#DIV/0!</v>
      </c>
      <c r="D22" s="11" t="e">
        <f si="8" t="shared"/>
        <v>#DIV/0!</v>
      </c>
      <c r="E22" s="11" t="e">
        <f si="8" t="shared"/>
        <v>#DIV/0!</v>
      </c>
      <c r="F22" s="11" t="e">
        <f si="8" t="shared"/>
        <v>#DIV/0!</v>
      </c>
      <c r="G22" s="11" t="e">
        <f si="8" t="shared"/>
        <v>#DIV/0!</v>
      </c>
      <c r="H22" s="11" t="e">
        <f si="9" t="shared"/>
        <v>#DIV/0!</v>
      </c>
      <c r="I22" s="11"/>
      <c r="J22" s="11" t="e">
        <f si="10" t="shared"/>
        <v>#DIV/0!</v>
      </c>
      <c r="K22" s="12"/>
      <c r="L22" t="str">
        <f>$A$9</f>
        <v>Kirkland</v>
      </c>
      <c r="M22" s="11">
        <f si="5" t="shared"/>
        <v>0</v>
      </c>
      <c r="N22" s="11">
        <f si="11" t="shared"/>
        <v>0</v>
      </c>
      <c r="O22" s="11">
        <f si="11" t="shared"/>
        <v>0</v>
      </c>
      <c r="P22" s="11">
        <f si="11" t="shared"/>
        <v>0</v>
      </c>
      <c r="Q22" s="11">
        <f si="11" t="shared"/>
        <v>0</v>
      </c>
      <c r="R22" s="11">
        <f si="11" t="shared"/>
        <v>0</v>
      </c>
      <c r="S22" s="11">
        <f ref="S22" si="14" t="shared">S9</f>
        <v>0</v>
      </c>
      <c r="T22" s="11"/>
      <c r="U22" s="11">
        <f si="13" t="shared"/>
        <v>0</v>
      </c>
    </row>
    <row r="23" spans="1:32" x14ac:dyDescent="0.25">
      <c r="A23" t="str">
        <f>$A$10</f>
        <v>Redmond</v>
      </c>
      <c r="B23" s="11" t="e">
        <f si="8" t="shared"/>
        <v>#DIV/0!</v>
      </c>
      <c r="C23" s="11" t="e">
        <f si="8" t="shared"/>
        <v>#DIV/0!</v>
      </c>
      <c r="D23" s="11" t="e">
        <f si="8" t="shared"/>
        <v>#DIV/0!</v>
      </c>
      <c r="E23" s="11" t="e">
        <f si="8" t="shared"/>
        <v>#DIV/0!</v>
      </c>
      <c r="F23" s="11" t="e">
        <f si="8" t="shared"/>
        <v>#DIV/0!</v>
      </c>
      <c r="G23" s="11" t="e">
        <f si="8" t="shared"/>
        <v>#DIV/0!</v>
      </c>
      <c r="H23" s="11" t="e">
        <f si="9" t="shared"/>
        <v>#DIV/0!</v>
      </c>
      <c r="I23" s="11"/>
      <c r="J23" s="11" t="e">
        <f>SUM(B23:I23)</f>
        <v>#DIV/0!</v>
      </c>
      <c r="K23" s="12"/>
      <c r="L23" t="str">
        <f>$A$10</f>
        <v>Redmond</v>
      </c>
      <c r="M23" s="11">
        <f si="5" t="shared"/>
        <v>0</v>
      </c>
      <c r="N23" s="11">
        <f si="11" t="shared"/>
        <v>0</v>
      </c>
      <c r="O23" s="11">
        <f si="11" t="shared"/>
        <v>0</v>
      </c>
      <c r="P23" s="11">
        <f si="11" t="shared"/>
        <v>0</v>
      </c>
      <c r="Q23" s="11">
        <f si="11" t="shared"/>
        <v>0</v>
      </c>
      <c r="R23" s="11">
        <f si="11" t="shared"/>
        <v>0</v>
      </c>
      <c r="S23" s="11">
        <f ref="S23" si="15" t="shared">S10</f>
        <v>0</v>
      </c>
      <c r="T23" s="11"/>
      <c r="U23" s="11">
        <f si="13" t="shared"/>
        <v>0</v>
      </c>
    </row>
    <row r="24" spans="1:32" x14ac:dyDescent="0.25">
      <c r="A24" t="str">
        <f>$A$11</f>
        <v>Seattle</v>
      </c>
      <c r="B24" s="11">
        <f si="8" t="shared"/>
        <v>138.06065150326509</v>
      </c>
      <c r="C24" s="11">
        <f si="8" t="shared"/>
        <v>1560.6978791392685</v>
      </c>
      <c r="D24" s="11">
        <f si="8" t="shared"/>
        <v>1135.2811070029318</v>
      </c>
      <c r="E24" s="11">
        <f si="8" t="shared"/>
        <v>0</v>
      </c>
      <c r="F24" s="11">
        <f si="8" t="shared"/>
        <v>32872.676006575632</v>
      </c>
      <c r="G24" s="11">
        <f si="8" t="shared"/>
        <v>3819.5790115402924</v>
      </c>
      <c r="H24" s="11">
        <f si="9" t="shared"/>
        <v>4338.7053442386077</v>
      </c>
      <c r="I24" s="11"/>
      <c r="J24" s="11">
        <f si="10" t="shared"/>
        <v>43865</v>
      </c>
      <c r="K24" s="12"/>
      <c r="L24" t="str">
        <f>$A$11</f>
        <v>Seattle</v>
      </c>
      <c r="M24" s="11">
        <f si="5" t="shared"/>
        <v>445</v>
      </c>
      <c r="N24" s="11">
        <f si="11" t="shared"/>
        <v>612</v>
      </c>
      <c r="O24" s="11">
        <f si="11" t="shared"/>
        <v>529</v>
      </c>
      <c r="P24" s="11">
        <f si="11" t="shared"/>
        <v>263</v>
      </c>
      <c r="Q24" s="11">
        <f si="11" t="shared"/>
        <v>31721</v>
      </c>
      <c r="R24" s="11">
        <f si="11" t="shared"/>
        <v>8007</v>
      </c>
      <c r="S24" s="11">
        <f ref="S24" si="16" t="shared">S11</f>
        <v>2288</v>
      </c>
      <c r="T24" s="11"/>
      <c r="U24" s="11">
        <f si="13" t="shared"/>
        <v>43865</v>
      </c>
    </row>
    <row r="25" spans="1:32" x14ac:dyDescent="0.25">
      <c r="A25" t="str">
        <f>$A$12</f>
        <v>Seattle Downtown</v>
      </c>
      <c r="B25" s="11">
        <f si="8" t="shared"/>
        <v>0</v>
      </c>
      <c r="C25" s="11">
        <f si="8" t="shared"/>
        <v>0</v>
      </c>
      <c r="D25" s="11">
        <f si="8" t="shared"/>
        <v>93.119874999035233</v>
      </c>
      <c r="E25" s="11">
        <f si="8" t="shared"/>
        <v>0</v>
      </c>
      <c r="F25" s="11">
        <f si="8" t="shared"/>
        <v>1385.296992742776</v>
      </c>
      <c r="G25" s="11">
        <f si="8" t="shared"/>
        <v>3676.5831322581885</v>
      </c>
      <c r="H25" s="11">
        <f si="9" t="shared"/>
        <v>0</v>
      </c>
      <c r="I25" s="11"/>
      <c r="J25" s="11">
        <f si="10" t="shared"/>
        <v>5155</v>
      </c>
      <c r="K25" s="12"/>
      <c r="L25" t="str">
        <f>$A$12</f>
        <v>Seattle Downtown</v>
      </c>
      <c r="M25" s="11">
        <f si="5" t="shared"/>
        <v>2</v>
      </c>
      <c r="N25" s="11">
        <f si="11" t="shared"/>
        <v>5</v>
      </c>
      <c r="O25" s="11">
        <f si="11" t="shared"/>
        <v>4</v>
      </c>
      <c r="P25" s="11">
        <f si="11" t="shared"/>
        <v>4</v>
      </c>
      <c r="Q25" s="11">
        <f si="11" t="shared"/>
        <v>226</v>
      </c>
      <c r="R25" s="11">
        <f si="11" t="shared"/>
        <v>4905</v>
      </c>
      <c r="S25" s="11">
        <f ref="S25" si="17" t="shared">S12</f>
        <v>9</v>
      </c>
      <c r="T25" s="11"/>
      <c r="U25" s="11">
        <f si="13" t="shared"/>
        <v>5155</v>
      </c>
    </row>
    <row r="26" spans="1:32" x14ac:dyDescent="0.25">
      <c r="A26" t="str">
        <f>$A$13</f>
        <v>Rest</v>
      </c>
      <c r="B26" s="11">
        <f si="8" t="shared"/>
        <v>229.90263243014698</v>
      </c>
      <c r="C26" s="11">
        <f si="8" t="shared"/>
        <v>111.50005425836073</v>
      </c>
      <c r="D26" s="11">
        <f si="8" t="shared"/>
        <v>0</v>
      </c>
      <c r="E26" s="11">
        <f si="8" t="shared"/>
        <v>0</v>
      </c>
      <c r="F26" s="11">
        <f si="8" t="shared"/>
        <v>2706.6953618280786</v>
      </c>
      <c r="G26" s="11">
        <f si="8" t="shared"/>
        <v>3770.356757737512</v>
      </c>
      <c r="H26" s="11">
        <f si="9" t="shared"/>
        <v>138997.5451937459</v>
      </c>
      <c r="I26" s="11"/>
      <c r="J26" s="11">
        <f si="10" t="shared"/>
        <v>145816</v>
      </c>
      <c r="K26" s="12"/>
      <c r="L26" t="str">
        <f>$A$13</f>
        <v>Rest</v>
      </c>
      <c r="M26" s="11">
        <f si="5" t="shared"/>
        <v>2664</v>
      </c>
      <c r="N26" s="11">
        <f ref="N26:R26" si="18" t="shared">N13</f>
        <v>3125</v>
      </c>
      <c r="O26" s="11">
        <f si="18" t="shared"/>
        <v>2610</v>
      </c>
      <c r="P26" s="11">
        <f si="18" t="shared"/>
        <v>2777</v>
      </c>
      <c r="Q26" s="11">
        <f si="18" t="shared"/>
        <v>7809</v>
      </c>
      <c r="R26" s="11">
        <f si="18" t="shared"/>
        <v>5820</v>
      </c>
      <c r="S26" s="11">
        <f ref="S26" si="19" t="shared">S13</f>
        <v>121011</v>
      </c>
      <c r="T26" s="11"/>
      <c r="U26" s="11">
        <f si="13" t="shared"/>
        <v>145816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ht="15.75" r="28" spans="1:32" thickBot="1" x14ac:dyDescent="0.3">
      <c r="A28" s="1" t="s">
        <v>4</v>
      </c>
      <c r="B28" s="14" t="e">
        <f ref="B28:J28" si="20" t="shared">SUM(B20:B27)</f>
        <v>#DIV/0!</v>
      </c>
      <c r="C28" s="14" t="e">
        <f si="20" t="shared"/>
        <v>#DIV/0!</v>
      </c>
      <c r="D28" s="14" t="e">
        <f si="20" t="shared"/>
        <v>#DIV/0!</v>
      </c>
      <c r="E28" s="14" t="e">
        <f si="20" t="shared"/>
        <v>#DIV/0!</v>
      </c>
      <c r="F28" s="14" t="e">
        <f si="20" t="shared"/>
        <v>#DIV/0!</v>
      </c>
      <c r="G28" s="14" t="e">
        <f si="20" t="shared"/>
        <v>#DIV/0!</v>
      </c>
      <c r="H28" s="14" t="e">
        <f si="20" t="shared"/>
        <v>#DIV/0!</v>
      </c>
      <c r="I28" s="14">
        <f si="20" t="shared"/>
        <v>0</v>
      </c>
      <c r="J28" s="14" t="e">
        <f si="20" t="shared"/>
        <v>#DIV/0!</v>
      </c>
      <c r="K28" s="11"/>
      <c r="L28" s="14" t="s">
        <v>4</v>
      </c>
      <c r="M28" s="14">
        <f ref="M28:U28" si="21" t="shared">M15</f>
        <v>3111</v>
      </c>
      <c r="N28" s="14">
        <f si="21" t="shared"/>
        <v>3742</v>
      </c>
      <c r="O28" s="14">
        <f si="21" t="shared"/>
        <v>3143</v>
      </c>
      <c r="P28" s="14">
        <f si="21" t="shared"/>
        <v>3044</v>
      </c>
      <c r="Q28" s="14">
        <f si="21" t="shared"/>
        <v>39756</v>
      </c>
      <c r="R28" s="14">
        <f si="21" t="shared"/>
        <v>18732</v>
      </c>
      <c r="S28" s="14">
        <f si="21" t="shared"/>
        <v>123308</v>
      </c>
      <c r="T28" s="14"/>
      <c r="U28" s="14">
        <f si="21" t="shared"/>
        <v>194836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 t="e">
        <f ref="B33:H33" si="22" t="shared">B20/$J$28</f>
        <v>#DIV/0!</v>
      </c>
      <c r="C33" s="15" t="e">
        <f si="22" t="shared"/>
        <v>#DIV/0!</v>
      </c>
      <c r="D33" s="15" t="e">
        <f si="22" t="shared"/>
        <v>#DIV/0!</v>
      </c>
      <c r="E33" s="15" t="e">
        <f si="22" t="shared"/>
        <v>#DIV/0!</v>
      </c>
      <c r="F33" s="15" t="e">
        <f si="22" t="shared"/>
        <v>#DIV/0!</v>
      </c>
      <c r="G33" s="15" t="e">
        <f si="22" t="shared"/>
        <v>#DIV/0!</v>
      </c>
      <c r="H33" s="15" t="e">
        <f si="22" t="shared"/>
        <v>#DIV/0!</v>
      </c>
      <c r="I33" s="11"/>
      <c r="J33" s="15" t="e">
        <f ref="J33:J39" si="23" t="shared">J20/$J$28</f>
        <v>#DIV/0!</v>
      </c>
      <c r="K33" s="11"/>
      <c r="L33" t="str">
        <f>$A$7</f>
        <v>Bellevue</v>
      </c>
      <c r="M33" s="15">
        <f ref="M33:R33" si="24" t="shared">M20/$U$28</f>
        <v>0</v>
      </c>
      <c r="N33" s="15">
        <f si="24" t="shared"/>
        <v>0</v>
      </c>
      <c r="O33" s="15">
        <f si="24" t="shared"/>
        <v>0</v>
      </c>
      <c r="P33" s="15">
        <f si="24" t="shared"/>
        <v>0</v>
      </c>
      <c r="Q33" s="15">
        <f si="24" t="shared"/>
        <v>0</v>
      </c>
      <c r="R33" s="15">
        <f si="24" t="shared"/>
        <v>0</v>
      </c>
      <c r="S33" s="15">
        <f ref="S33" si="25" t="shared">S20/$U$28</f>
        <v>0</v>
      </c>
      <c r="T33" s="15"/>
      <c r="U33" s="15">
        <f ref="U33:U39" si="26" t="shared">U20/$U$28</f>
        <v>0</v>
      </c>
      <c r="W33" t="str">
        <f>$A$7</f>
        <v>Bellevue</v>
      </c>
      <c r="X33" s="15" t="e">
        <f ref="X33:AE33" si="27" t="shared">M33-B33</f>
        <v>#DIV/0!</v>
      </c>
      <c r="Y33" s="15" t="e">
        <f si="27" t="shared"/>
        <v>#DIV/0!</v>
      </c>
      <c r="Z33" s="15" t="e">
        <f si="27" t="shared"/>
        <v>#DIV/0!</v>
      </c>
      <c r="AA33" s="15" t="e">
        <f si="27" t="shared"/>
        <v>#DIV/0!</v>
      </c>
      <c r="AB33" s="15" t="e">
        <f si="27" t="shared"/>
        <v>#DIV/0!</v>
      </c>
      <c r="AC33" s="15" t="e">
        <f si="27" t="shared"/>
        <v>#DIV/0!</v>
      </c>
      <c r="AD33" s="15" t="e">
        <f si="27" t="shared"/>
        <v>#DIV/0!</v>
      </c>
      <c r="AE33" s="15">
        <f si="27" t="shared"/>
        <v>0</v>
      </c>
      <c r="AF33" s="15" t="e">
        <f ref="AF33:AF39" si="28" t="shared">U33-J33</f>
        <v>#DIV/0!</v>
      </c>
    </row>
    <row r="34" spans="1:32" x14ac:dyDescent="0.25">
      <c r="A34" t="str">
        <f>$A$8</f>
        <v>Bellevue Downtown</v>
      </c>
      <c r="B34" s="15" t="e">
        <f ref="B34:G39" si="29" t="shared">B21/$J$28</f>
        <v>#DIV/0!</v>
      </c>
      <c r="C34" s="15" t="e">
        <f si="29" t="shared"/>
        <v>#DIV/0!</v>
      </c>
      <c r="D34" s="15" t="e">
        <f si="29" t="shared"/>
        <v>#DIV/0!</v>
      </c>
      <c r="E34" s="15" t="e">
        <f si="29" t="shared"/>
        <v>#DIV/0!</v>
      </c>
      <c r="F34" s="15" t="e">
        <f si="29" t="shared"/>
        <v>#DIV/0!</v>
      </c>
      <c r="G34" s="15" t="e">
        <f si="29" t="shared"/>
        <v>#DIV/0!</v>
      </c>
      <c r="H34" s="15" t="e">
        <f ref="H34:H39" si="30" t="shared">H21/$J$28</f>
        <v>#DIV/0!</v>
      </c>
      <c r="I34" s="11"/>
      <c r="J34" s="15" t="e">
        <f si="23" t="shared"/>
        <v>#DIV/0!</v>
      </c>
      <c r="K34" s="11"/>
      <c r="L34" t="str">
        <f>$A$8</f>
        <v>Bellevue Downtown</v>
      </c>
      <c r="M34" s="15">
        <f ref="M34:R39" si="31" t="shared">M21/$U$28</f>
        <v>0</v>
      </c>
      <c r="N34" s="15">
        <f si="31" t="shared"/>
        <v>0</v>
      </c>
      <c r="O34" s="15">
        <f si="31" t="shared"/>
        <v>0</v>
      </c>
      <c r="P34" s="15">
        <f si="31" t="shared"/>
        <v>0</v>
      </c>
      <c r="Q34" s="15">
        <f si="31" t="shared"/>
        <v>0</v>
      </c>
      <c r="R34" s="15">
        <f si="31" t="shared"/>
        <v>0</v>
      </c>
      <c r="S34" s="15">
        <f ref="S34" si="32" t="shared">S21/$U$28</f>
        <v>0</v>
      </c>
      <c r="T34" s="15"/>
      <c r="U34" s="15">
        <f si="26" t="shared"/>
        <v>0</v>
      </c>
      <c r="W34" t="str">
        <f>$A$8</f>
        <v>Bellevue Downtown</v>
      </c>
      <c r="X34" s="15" t="e">
        <f ref="X34:X39" si="33" t="shared">M34-B34</f>
        <v>#DIV/0!</v>
      </c>
      <c r="Y34" s="15" t="e">
        <f ref="Y34:AC38" si="34" t="shared">N34-C34</f>
        <v>#DIV/0!</v>
      </c>
      <c r="Z34" s="15" t="e">
        <f si="34" t="shared"/>
        <v>#DIV/0!</v>
      </c>
      <c r="AA34" s="15" t="e">
        <f si="34" t="shared"/>
        <v>#DIV/0!</v>
      </c>
      <c r="AB34" s="15" t="e">
        <f si="34" t="shared"/>
        <v>#DIV/0!</v>
      </c>
      <c r="AC34" s="15" t="e">
        <f si="34" t="shared"/>
        <v>#DIV/0!</v>
      </c>
      <c r="AD34" s="15" t="e">
        <f ref="AD34:AE39" si="35" t="shared">S34-H34</f>
        <v>#DIV/0!</v>
      </c>
      <c r="AE34" s="15">
        <f si="35" t="shared"/>
        <v>0</v>
      </c>
      <c r="AF34" s="15" t="e">
        <f si="28" t="shared"/>
        <v>#DIV/0!</v>
      </c>
    </row>
    <row r="35" spans="1:32" x14ac:dyDescent="0.25">
      <c r="A35" t="str">
        <f>$A$9</f>
        <v>Kirkland</v>
      </c>
      <c r="B35" s="15" t="e">
        <f si="29" t="shared"/>
        <v>#DIV/0!</v>
      </c>
      <c r="C35" s="15" t="e">
        <f si="29" t="shared"/>
        <v>#DIV/0!</v>
      </c>
      <c r="D35" s="15" t="e">
        <f si="29" t="shared"/>
        <v>#DIV/0!</v>
      </c>
      <c r="E35" s="15" t="e">
        <f si="29" t="shared"/>
        <v>#DIV/0!</v>
      </c>
      <c r="F35" s="15" t="e">
        <f si="29" t="shared"/>
        <v>#DIV/0!</v>
      </c>
      <c r="G35" s="15" t="e">
        <f si="29" t="shared"/>
        <v>#DIV/0!</v>
      </c>
      <c r="H35" s="15" t="e">
        <f si="30" t="shared"/>
        <v>#DIV/0!</v>
      </c>
      <c r="I35" s="11"/>
      <c r="J35" s="15" t="e">
        <f si="23" t="shared"/>
        <v>#DIV/0!</v>
      </c>
      <c r="K35" s="12"/>
      <c r="L35" t="str">
        <f>$A$9</f>
        <v>Kirkland</v>
      </c>
      <c r="M35" s="15">
        <f si="31" t="shared"/>
        <v>0</v>
      </c>
      <c r="N35" s="15">
        <f si="31" t="shared"/>
        <v>0</v>
      </c>
      <c r="O35" s="15">
        <f si="31" t="shared"/>
        <v>0</v>
      </c>
      <c r="P35" s="15">
        <f si="31" t="shared"/>
        <v>0</v>
      </c>
      <c r="Q35" s="15">
        <f si="31" t="shared"/>
        <v>0</v>
      </c>
      <c r="R35" s="15">
        <f si="31" t="shared"/>
        <v>0</v>
      </c>
      <c r="S35" s="15">
        <f ref="S35" si="36" t="shared">S22/$U$28</f>
        <v>0</v>
      </c>
      <c r="T35" s="15"/>
      <c r="U35" s="15">
        <f si="26" t="shared"/>
        <v>0</v>
      </c>
      <c r="W35" t="str">
        <f>$A$9</f>
        <v>Kirkland</v>
      </c>
      <c r="X35" s="15" t="e">
        <f si="33" t="shared"/>
        <v>#DIV/0!</v>
      </c>
      <c r="Y35" s="15" t="e">
        <f si="34" t="shared"/>
        <v>#DIV/0!</v>
      </c>
      <c r="Z35" s="15" t="e">
        <f si="34" t="shared"/>
        <v>#DIV/0!</v>
      </c>
      <c r="AA35" s="15" t="e">
        <f si="34" t="shared"/>
        <v>#DIV/0!</v>
      </c>
      <c r="AB35" s="15" t="e">
        <f si="34" t="shared"/>
        <v>#DIV/0!</v>
      </c>
      <c r="AC35" s="15" t="e">
        <f si="34" t="shared"/>
        <v>#DIV/0!</v>
      </c>
      <c r="AD35" s="15" t="e">
        <f si="35" t="shared"/>
        <v>#DIV/0!</v>
      </c>
      <c r="AE35" s="15">
        <f si="35" t="shared"/>
        <v>0</v>
      </c>
      <c r="AF35" s="15" t="e">
        <f si="28" t="shared"/>
        <v>#DIV/0!</v>
      </c>
    </row>
    <row r="36" spans="1:32" x14ac:dyDescent="0.25">
      <c r="A36" t="str">
        <f>$A$10</f>
        <v>Redmond</v>
      </c>
      <c r="B36" s="15" t="e">
        <f si="29" t="shared"/>
        <v>#DIV/0!</v>
      </c>
      <c r="C36" s="15" t="e">
        <f si="29" t="shared"/>
        <v>#DIV/0!</v>
      </c>
      <c r="D36" s="15" t="e">
        <f si="29" t="shared"/>
        <v>#DIV/0!</v>
      </c>
      <c r="E36" s="15" t="e">
        <f si="29" t="shared"/>
        <v>#DIV/0!</v>
      </c>
      <c r="F36" s="15" t="e">
        <f si="29" t="shared"/>
        <v>#DIV/0!</v>
      </c>
      <c r="G36" s="15" t="e">
        <f si="29" t="shared"/>
        <v>#DIV/0!</v>
      </c>
      <c r="H36" s="15" t="e">
        <f si="30" t="shared"/>
        <v>#DIV/0!</v>
      </c>
      <c r="I36" s="11"/>
      <c r="J36" s="15" t="e">
        <f si="23" t="shared"/>
        <v>#DIV/0!</v>
      </c>
      <c r="K36" s="12"/>
      <c r="L36" t="str">
        <f>$A$10</f>
        <v>Redmond</v>
      </c>
      <c r="M36" s="15">
        <f si="31" t="shared"/>
        <v>0</v>
      </c>
      <c r="N36" s="15">
        <f si="31" t="shared"/>
        <v>0</v>
      </c>
      <c r="O36" s="15">
        <f si="31" t="shared"/>
        <v>0</v>
      </c>
      <c r="P36" s="15">
        <f si="31" t="shared"/>
        <v>0</v>
      </c>
      <c r="Q36" s="15">
        <f si="31" t="shared"/>
        <v>0</v>
      </c>
      <c r="R36" s="15">
        <f si="31" t="shared"/>
        <v>0</v>
      </c>
      <c r="S36" s="15">
        <f ref="S36" si="37" t="shared">S23/$U$28</f>
        <v>0</v>
      </c>
      <c r="T36" s="15"/>
      <c r="U36" s="15">
        <f si="26" t="shared"/>
        <v>0</v>
      </c>
      <c r="W36" t="str">
        <f>$A$10</f>
        <v>Redmond</v>
      </c>
      <c r="X36" s="15" t="e">
        <f si="33" t="shared"/>
        <v>#DIV/0!</v>
      </c>
      <c r="Y36" s="15" t="e">
        <f si="34" t="shared"/>
        <v>#DIV/0!</v>
      </c>
      <c r="Z36" s="15" t="e">
        <f si="34" t="shared"/>
        <v>#DIV/0!</v>
      </c>
      <c r="AA36" s="15" t="e">
        <f si="34" t="shared"/>
        <v>#DIV/0!</v>
      </c>
      <c r="AB36" s="15" t="e">
        <f si="34" t="shared"/>
        <v>#DIV/0!</v>
      </c>
      <c r="AC36" s="15" t="e">
        <f si="34" t="shared"/>
        <v>#DIV/0!</v>
      </c>
      <c r="AD36" s="15" t="e">
        <f si="35" t="shared"/>
        <v>#DIV/0!</v>
      </c>
      <c r="AE36" s="15">
        <f si="35" t="shared"/>
        <v>0</v>
      </c>
      <c r="AF36" s="15" t="e">
        <f si="28" t="shared"/>
        <v>#DIV/0!</v>
      </c>
    </row>
    <row r="37" spans="1:32" x14ac:dyDescent="0.25">
      <c r="A37" t="str">
        <f>$A$11</f>
        <v>Seattle</v>
      </c>
      <c r="B37" s="15" t="e">
        <f si="29" t="shared"/>
        <v>#DIV/0!</v>
      </c>
      <c r="C37" s="15" t="e">
        <f si="29" t="shared"/>
        <v>#DIV/0!</v>
      </c>
      <c r="D37" s="15" t="e">
        <f si="29" t="shared"/>
        <v>#DIV/0!</v>
      </c>
      <c r="E37" s="15" t="e">
        <f si="29" t="shared"/>
        <v>#DIV/0!</v>
      </c>
      <c r="F37" s="15" t="e">
        <f si="29" t="shared"/>
        <v>#DIV/0!</v>
      </c>
      <c r="G37" s="15" t="e">
        <f si="29" t="shared"/>
        <v>#DIV/0!</v>
      </c>
      <c r="H37" s="15" t="e">
        <f si="30" t="shared"/>
        <v>#DIV/0!</v>
      </c>
      <c r="I37" s="11"/>
      <c r="J37" s="15" t="e">
        <f si="23" t="shared"/>
        <v>#DIV/0!</v>
      </c>
      <c r="K37" s="12"/>
      <c r="L37" t="str">
        <f>$A$11</f>
        <v>Seattle</v>
      </c>
      <c r="M37" s="15">
        <f si="31" t="shared"/>
        <v>2.2839721612022421E-3</v>
      </c>
      <c r="N37" s="15">
        <f si="31" t="shared"/>
        <v>3.1411032868669036E-3</v>
      </c>
      <c r="O37" s="15">
        <f si="31" t="shared"/>
        <v>2.7151039848898563E-3</v>
      </c>
      <c r="P37" s="15">
        <f si="31" t="shared"/>
        <v>1.3498532098790777E-3</v>
      </c>
      <c r="Q37" s="15">
        <f si="31" t="shared"/>
        <v>0.1628087211808906</v>
      </c>
      <c r="R37" s="15">
        <f si="31" t="shared"/>
        <v>4.109610133650865E-2</v>
      </c>
      <c r="S37" s="15">
        <f ref="S37" si="38" t="shared">S24/$U$28</f>
        <v>1.1743209673776921E-2</v>
      </c>
      <c r="T37" s="15"/>
      <c r="U37" s="15">
        <f si="26" t="shared"/>
        <v>0.22513806483401425</v>
      </c>
      <c r="W37" t="str">
        <f>$A$11</f>
        <v>Seattle</v>
      </c>
      <c r="X37" s="15" t="e">
        <f si="33" t="shared"/>
        <v>#DIV/0!</v>
      </c>
      <c r="Y37" s="15" t="e">
        <f si="34" t="shared"/>
        <v>#DIV/0!</v>
      </c>
      <c r="Z37" s="15" t="e">
        <f si="34" t="shared"/>
        <v>#DIV/0!</v>
      </c>
      <c r="AA37" s="15" t="e">
        <f si="34" t="shared"/>
        <v>#DIV/0!</v>
      </c>
      <c r="AB37" s="15" t="e">
        <f si="34" t="shared"/>
        <v>#DIV/0!</v>
      </c>
      <c r="AC37" s="15" t="e">
        <f si="34" t="shared"/>
        <v>#DIV/0!</v>
      </c>
      <c r="AD37" s="15" t="e">
        <f si="35" t="shared"/>
        <v>#DIV/0!</v>
      </c>
      <c r="AE37" s="15">
        <f si="35" t="shared"/>
        <v>0</v>
      </c>
      <c r="AF37" s="15" t="e">
        <f si="28" t="shared"/>
        <v>#DIV/0!</v>
      </c>
    </row>
    <row r="38" spans="1:32" x14ac:dyDescent="0.25">
      <c r="A38" t="str">
        <f>$A$12</f>
        <v>Seattle Downtown</v>
      </c>
      <c r="B38" s="15" t="e">
        <f si="29" t="shared"/>
        <v>#DIV/0!</v>
      </c>
      <c r="C38" s="15" t="e">
        <f si="29" t="shared"/>
        <v>#DIV/0!</v>
      </c>
      <c r="D38" s="15" t="e">
        <f si="29" t="shared"/>
        <v>#DIV/0!</v>
      </c>
      <c r="E38" s="15" t="e">
        <f si="29" t="shared"/>
        <v>#DIV/0!</v>
      </c>
      <c r="F38" s="15" t="e">
        <f si="29" t="shared"/>
        <v>#DIV/0!</v>
      </c>
      <c r="G38" s="15" t="e">
        <f si="29" t="shared"/>
        <v>#DIV/0!</v>
      </c>
      <c r="H38" s="15" t="e">
        <f si="30" t="shared"/>
        <v>#DIV/0!</v>
      </c>
      <c r="I38" s="11"/>
      <c r="J38" s="15" t="e">
        <f si="23" t="shared"/>
        <v>#DIV/0!</v>
      </c>
      <c r="K38" s="12"/>
      <c r="L38" t="str">
        <f>$A$12</f>
        <v>Seattle Downtown</v>
      </c>
      <c r="M38" s="15">
        <f si="31" t="shared"/>
        <v>1.0265043421133672E-5</v>
      </c>
      <c r="N38" s="15">
        <f si="31" t="shared"/>
        <v>2.5662608552834179E-5</v>
      </c>
      <c r="O38" s="15">
        <f si="31" t="shared"/>
        <v>2.0530086842267344E-5</v>
      </c>
      <c r="P38" s="15">
        <f si="31" t="shared"/>
        <v>2.0530086842267344E-5</v>
      </c>
      <c r="Q38" s="15">
        <f si="31" t="shared"/>
        <v>1.1599499065881049E-3</v>
      </c>
      <c r="R38" s="15">
        <f si="31" t="shared"/>
        <v>2.5175018990330329E-2</v>
      </c>
      <c r="S38" s="15">
        <f ref="S38" si="39" t="shared">S25/$U$28</f>
        <v>4.6192695395101522E-5</v>
      </c>
      <c r="T38" s="15"/>
      <c r="U38" s="15">
        <f si="26" t="shared"/>
        <v>2.6458149417972039E-2</v>
      </c>
      <c r="W38" t="str">
        <f>$A$12</f>
        <v>Seattle Downtown</v>
      </c>
      <c r="X38" s="15" t="e">
        <f si="33" t="shared"/>
        <v>#DIV/0!</v>
      </c>
      <c r="Y38" s="15" t="e">
        <f si="34" t="shared"/>
        <v>#DIV/0!</v>
      </c>
      <c r="Z38" s="15" t="e">
        <f si="34" t="shared"/>
        <v>#DIV/0!</v>
      </c>
      <c r="AA38" s="15" t="e">
        <f si="34" t="shared"/>
        <v>#DIV/0!</v>
      </c>
      <c r="AB38" s="15" t="e">
        <f si="34" t="shared"/>
        <v>#DIV/0!</v>
      </c>
      <c r="AC38" s="15" t="e">
        <f si="34" t="shared"/>
        <v>#DIV/0!</v>
      </c>
      <c r="AD38" s="15" t="e">
        <f si="35" t="shared"/>
        <v>#DIV/0!</v>
      </c>
      <c r="AE38" s="15">
        <f si="35" t="shared"/>
        <v>0</v>
      </c>
      <c r="AF38" s="15" t="e">
        <f si="28" t="shared"/>
        <v>#DIV/0!</v>
      </c>
    </row>
    <row r="39" spans="1:32" x14ac:dyDescent="0.25">
      <c r="A39" t="str">
        <f>$A$13</f>
        <v>Rest</v>
      </c>
      <c r="B39" s="15" t="e">
        <f si="29" t="shared"/>
        <v>#DIV/0!</v>
      </c>
      <c r="C39" s="15" t="e">
        <f si="29" t="shared"/>
        <v>#DIV/0!</v>
      </c>
      <c r="D39" s="15" t="e">
        <f si="29" t="shared"/>
        <v>#DIV/0!</v>
      </c>
      <c r="E39" s="15" t="e">
        <f si="29" t="shared"/>
        <v>#DIV/0!</v>
      </c>
      <c r="F39" s="15" t="e">
        <f si="29" t="shared"/>
        <v>#DIV/0!</v>
      </c>
      <c r="G39" s="15" t="e">
        <f si="29" t="shared"/>
        <v>#DIV/0!</v>
      </c>
      <c r="H39" s="15" t="e">
        <f si="30" t="shared"/>
        <v>#DIV/0!</v>
      </c>
      <c r="I39" s="11"/>
      <c r="J39" s="15" t="e">
        <f si="23" t="shared"/>
        <v>#DIV/0!</v>
      </c>
      <c r="K39" s="12"/>
      <c r="L39" t="str">
        <f>A39</f>
        <v>Rest</v>
      </c>
      <c r="M39" s="15">
        <f si="31" t="shared"/>
        <v>1.367303783695005E-2</v>
      </c>
      <c r="N39" s="15">
        <f si="31" t="shared"/>
        <v>1.603913034552136E-2</v>
      </c>
      <c r="O39" s="15">
        <f si="31" t="shared"/>
        <v>1.3395881664579442E-2</v>
      </c>
      <c r="P39" s="15">
        <f si="31" t="shared"/>
        <v>1.4253012790244103E-2</v>
      </c>
      <c r="Q39" s="15">
        <f si="31" t="shared"/>
        <v>4.0079862037816417E-2</v>
      </c>
      <c r="R39" s="15">
        <f si="31" t="shared"/>
        <v>2.9871276355498983E-2</v>
      </c>
      <c r="S39" s="15">
        <f ref="S39" si="40" t="shared">S26/$U$28</f>
        <v>0.62109158471740333</v>
      </c>
      <c r="T39" s="15"/>
      <c r="U39" s="15">
        <f si="26" t="shared"/>
        <v>0.74840378574801369</v>
      </c>
      <c r="W39" t="str">
        <f>$A$13</f>
        <v>Rest</v>
      </c>
      <c r="X39" s="15" t="e">
        <f si="33" t="shared"/>
        <v>#DIV/0!</v>
      </c>
      <c r="Y39" s="15" t="e">
        <f ref="Y39" si="41" t="shared">N39-C39</f>
        <v>#DIV/0!</v>
      </c>
      <c r="Z39" s="15" t="e">
        <f ref="Z39" si="42" t="shared">O39-D39</f>
        <v>#DIV/0!</v>
      </c>
      <c r="AA39" s="15" t="e">
        <f ref="AA39" si="43" t="shared">P39-E39</f>
        <v>#DIV/0!</v>
      </c>
      <c r="AB39" s="15" t="e">
        <f ref="AB39" si="44" t="shared">Q39-F39</f>
        <v>#DIV/0!</v>
      </c>
      <c r="AC39" s="15" t="e">
        <f ref="AC39" si="45" t="shared">R39-G39</f>
        <v>#DIV/0!</v>
      </c>
      <c r="AD39" s="15" t="e">
        <f si="35" t="shared"/>
        <v>#DIV/0!</v>
      </c>
      <c r="AE39" s="15">
        <f si="35" t="shared"/>
        <v>0</v>
      </c>
      <c r="AF39" s="15" t="e">
        <f si="28" t="shared"/>
        <v>#DIV/0!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ht="15.75" r="41" spans="1:32" thickBot="1" x14ac:dyDescent="0.3">
      <c r="A41" s="1" t="s">
        <v>4</v>
      </c>
      <c r="B41" s="17" t="e">
        <f ref="B41:J41" si="46" t="shared">B28/$J$28</f>
        <v>#DIV/0!</v>
      </c>
      <c r="C41" s="17" t="e">
        <f si="46" t="shared"/>
        <v>#DIV/0!</v>
      </c>
      <c r="D41" s="17" t="e">
        <f si="46" t="shared"/>
        <v>#DIV/0!</v>
      </c>
      <c r="E41" s="17" t="e">
        <f si="46" t="shared"/>
        <v>#DIV/0!</v>
      </c>
      <c r="F41" s="17" t="e">
        <f si="46" t="shared"/>
        <v>#DIV/0!</v>
      </c>
      <c r="G41" s="17" t="e">
        <f si="46" t="shared"/>
        <v>#DIV/0!</v>
      </c>
      <c r="H41" s="17" t="e">
        <f si="46" t="shared"/>
        <v>#DIV/0!</v>
      </c>
      <c r="I41" s="17" t="e">
        <f si="46" t="shared"/>
        <v>#DIV/0!</v>
      </c>
      <c r="J41" s="17" t="e">
        <f si="46" t="shared"/>
        <v>#DIV/0!</v>
      </c>
      <c r="K41" s="11"/>
      <c r="L41" s="14" t="s">
        <v>4</v>
      </c>
      <c r="M41" s="17">
        <f>M28/$U$28</f>
        <v>1.5967275041573425E-2</v>
      </c>
      <c r="N41" s="17">
        <f>N28/$U$28</f>
        <v>1.92058962409411E-2</v>
      </c>
      <c r="O41" s="17">
        <f>O28/$U$28</f>
        <v>1.6131515736311566E-2</v>
      </c>
      <c r="P41" s="17">
        <f>P28/$U$28</f>
        <v>1.5623396086965448E-2</v>
      </c>
      <c r="Q41" s="17">
        <f ref="Q41:S41" si="47" t="shared">Q28/$U$28</f>
        <v>0.20404853312529511</v>
      </c>
      <c r="R41" s="17">
        <f si="47" t="shared"/>
        <v>9.6142396682337969E-2</v>
      </c>
      <c r="S41" s="17">
        <f si="47" t="shared"/>
        <v>0.63288098708657536</v>
      </c>
      <c r="T41" s="17">
        <f>T28/$U$28</f>
        <v>0</v>
      </c>
      <c r="U41" s="17">
        <f>U28/$U$28</f>
        <v>1</v>
      </c>
      <c r="W41" s="14" t="s">
        <v>4</v>
      </c>
      <c r="X41" s="17" t="e">
        <f ref="X41:AF41" si="48" t="shared">M41-B41</f>
        <v>#DIV/0!</v>
      </c>
      <c r="Y41" s="17" t="e">
        <f si="48" t="shared"/>
        <v>#DIV/0!</v>
      </c>
      <c r="Z41" s="17" t="e">
        <f si="48" t="shared"/>
        <v>#DIV/0!</v>
      </c>
      <c r="AA41" s="17" t="e">
        <f si="48" t="shared"/>
        <v>#DIV/0!</v>
      </c>
      <c r="AB41" s="17" t="e">
        <f si="48" t="shared"/>
        <v>#DIV/0!</v>
      </c>
      <c r="AC41" s="17" t="e">
        <f si="48" t="shared"/>
        <v>#DIV/0!</v>
      </c>
      <c r="AD41" s="17" t="e">
        <f si="48" t="shared"/>
        <v>#DIV/0!</v>
      </c>
      <c r="AE41" s="17" t="e">
        <f si="48" t="shared"/>
        <v>#DIV/0!</v>
      </c>
      <c r="AF41" s="17" t="e">
        <f si="48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workbookViewId="0">
      <selection activeCell="D49" sqref="D4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E7" sqref="E7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A8" t="s">
        <v>232</v>
      </c>
      <c r="B8" t="s">
        <v>233</v>
      </c>
      <c r="C8" t="s">
        <v>234</v>
      </c>
      <c r="D8" t="s">
        <v>270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0.46135416666666668</v>
      </c>
      <c r="G9" t="s">
        <v>239</v>
      </c>
      <c r="H9">
        <v>31</v>
      </c>
      <c r="I9" t="s">
        <v>271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40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42</v>
      </c>
      <c r="D13" t="s">
        <v>241</v>
      </c>
      <c r="E13" s="243">
        <v>-0.2117</v>
      </c>
      <c r="F13">
        <v>0</v>
      </c>
    </row>
    <row r="14" spans="1:11" x14ac:dyDescent="0.25">
      <c r="B14">
        <v>4</v>
      </c>
      <c r="C14" t="s">
        <v>43</v>
      </c>
      <c r="D14" t="s">
        <v>242</v>
      </c>
      <c r="E14" s="243">
        <v>0.27120783067900001</v>
      </c>
      <c r="F14">
        <v>0.28080475059900001</v>
      </c>
    </row>
    <row r="15" spans="1:11" x14ac:dyDescent="0.25">
      <c r="B15">
        <v>5</v>
      </c>
      <c r="C15" t="s">
        <v>44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45</v>
      </c>
      <c r="D16" t="s">
        <v>242</v>
      </c>
      <c r="E16" s="243">
        <v>-8.2865473150899996E-2</v>
      </c>
      <c r="F16">
        <v>0.12955742148800001</v>
      </c>
    </row>
    <row r="17" spans="2:6" x14ac:dyDescent="0.25">
      <c r="B17">
        <v>7</v>
      </c>
      <c r="C17" t="s">
        <v>46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47</v>
      </c>
      <c r="D18" t="s">
        <v>241</v>
      </c>
      <c r="E18" s="243">
        <v>6.9400000000000003E-2</v>
      </c>
      <c r="F18">
        <v>0</v>
      </c>
    </row>
    <row r="19" spans="2:6" x14ac:dyDescent="0.25">
      <c r="B19">
        <v>9</v>
      </c>
      <c r="C19" t="s">
        <v>48</v>
      </c>
      <c r="D19" t="s">
        <v>242</v>
      </c>
      <c r="E19" s="243">
        <v>-9.5820044919499997E-2</v>
      </c>
      <c r="F19">
        <v>0.17082561533000001</v>
      </c>
    </row>
    <row r="20" spans="2:6" x14ac:dyDescent="0.25">
      <c r="B20">
        <v>10</v>
      </c>
      <c r="C20" t="s">
        <v>49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50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51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52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53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54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55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56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242</v>
      </c>
      <c r="E30">
        <v>0.63771148688699997</v>
      </c>
      <c r="F30" s="243">
        <v>6.0015015733300002E-2</v>
      </c>
    </row>
    <row r="31" spans="2:6" x14ac:dyDescent="0.25">
      <c r="B31">
        <v>21</v>
      </c>
      <c r="C31" t="s">
        <v>60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61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62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63</v>
      </c>
      <c r="D34" t="s">
        <v>242</v>
      </c>
      <c r="E34">
        <v>0.10429329553199999</v>
      </c>
      <c r="F34" s="243">
        <v>1.6423300294899999E-2</v>
      </c>
    </row>
    <row r="35" spans="2:6" x14ac:dyDescent="0.25">
      <c r="B35">
        <v>25</v>
      </c>
      <c r="C35" t="s">
        <v>64</v>
      </c>
      <c r="D35" t="s">
        <v>241</v>
      </c>
      <c r="E35">
        <v>0</v>
      </c>
      <c r="F35" s="243">
        <v>0</v>
      </c>
    </row>
    <row r="36" spans="2:6" x14ac:dyDescent="0.25">
      <c r="B36">
        <v>26</v>
      </c>
      <c r="C36" t="s">
        <v>65</v>
      </c>
      <c r="D36" t="s">
        <v>242</v>
      </c>
      <c r="E36">
        <v>0.417326479157</v>
      </c>
      <c r="F36" s="243">
        <v>9.4301876730200004E-2</v>
      </c>
    </row>
    <row r="37" spans="2:6" x14ac:dyDescent="0.25">
      <c r="B37">
        <v>27</v>
      </c>
      <c r="C37" t="s">
        <v>66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67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68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69</v>
      </c>
      <c r="D40" t="s">
        <v>242</v>
      </c>
      <c r="E40">
        <v>-0.91046169190000004</v>
      </c>
      <c r="F40" s="243">
        <v>9.2244527309799998E-2</v>
      </c>
    </row>
    <row r="41" spans="2:6" x14ac:dyDescent="0.25">
      <c r="B41">
        <v>31</v>
      </c>
      <c r="C41" t="s">
        <v>70</v>
      </c>
      <c r="D41" t="s">
        <v>242</v>
      </c>
      <c r="E41" s="243">
        <v>5.7553461640599997E-2</v>
      </c>
      <c r="F41" s="243">
        <v>1.69631861578E-2</v>
      </c>
    </row>
    <row r="42" spans="2:6" x14ac:dyDescent="0.25">
      <c r="B42">
        <v>32</v>
      </c>
      <c r="C42" t="s">
        <v>71</v>
      </c>
      <c r="D42" t="s">
        <v>242</v>
      </c>
      <c r="E42">
        <v>0.237798002151</v>
      </c>
      <c r="F42" s="243">
        <v>2.05709725741E-2</v>
      </c>
    </row>
    <row r="43" spans="2:6" x14ac:dyDescent="0.25">
      <c r="B43">
        <v>33</v>
      </c>
      <c r="C43" t="s">
        <v>72</v>
      </c>
      <c r="D43" t="s">
        <v>241</v>
      </c>
      <c r="E43">
        <v>0</v>
      </c>
      <c r="F43" s="243">
        <v>0</v>
      </c>
    </row>
    <row r="44" spans="2:6" x14ac:dyDescent="0.25">
      <c r="B44">
        <v>34</v>
      </c>
      <c r="C44" t="s">
        <v>73</v>
      </c>
      <c r="D44" t="s">
        <v>241</v>
      </c>
      <c r="E44">
        <v>0</v>
      </c>
      <c r="F44" s="243">
        <v>0</v>
      </c>
    </row>
    <row r="45" spans="2:6" x14ac:dyDescent="0.25">
      <c r="B45">
        <v>35</v>
      </c>
      <c r="C45" t="s">
        <v>74</v>
      </c>
      <c r="D45" t="s">
        <v>241</v>
      </c>
      <c r="E45">
        <v>0</v>
      </c>
      <c r="F45" s="243">
        <v>0</v>
      </c>
    </row>
    <row r="46" spans="2:6" x14ac:dyDescent="0.25">
      <c r="B46">
        <v>36</v>
      </c>
      <c r="C46" t="s">
        <v>75</v>
      </c>
      <c r="D46" t="s">
        <v>242</v>
      </c>
      <c r="E46" s="243">
        <v>0.61259135262599995</v>
      </c>
      <c r="F46" s="243">
        <v>9.8788050589500007E-2</v>
      </c>
    </row>
    <row r="47" spans="2:6" x14ac:dyDescent="0.25">
      <c r="B47">
        <v>37</v>
      </c>
      <c r="C47" t="s">
        <v>76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77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78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79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80</v>
      </c>
      <c r="D51" t="s">
        <v>242</v>
      </c>
      <c r="E51">
        <v>-0.22141031751900001</v>
      </c>
      <c r="F51" s="243">
        <v>1.8224220405400001E-2</v>
      </c>
    </row>
    <row r="52" spans="2:6" x14ac:dyDescent="0.25">
      <c r="B52">
        <v>42</v>
      </c>
      <c r="C52" t="s">
        <v>81</v>
      </c>
      <c r="D52" t="s">
        <v>242</v>
      </c>
      <c r="E52">
        <v>0.64228876129599999</v>
      </c>
      <c r="F52" s="243">
        <v>2.3327425635499999E-2</v>
      </c>
    </row>
    <row r="53" spans="2:6" x14ac:dyDescent="0.25">
      <c r="B53">
        <v>43</v>
      </c>
      <c r="C53" t="s">
        <v>82</v>
      </c>
      <c r="D53" t="s">
        <v>242</v>
      </c>
      <c r="E53">
        <v>0.74588429254199995</v>
      </c>
      <c r="F53" s="243">
        <v>9.8514285453599998E-2</v>
      </c>
    </row>
    <row r="54" spans="2:6" x14ac:dyDescent="0.25">
      <c r="B54">
        <v>44</v>
      </c>
      <c r="C54" t="s">
        <v>83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84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85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86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87</v>
      </c>
      <c r="D58" t="s">
        <v>242</v>
      </c>
      <c r="E58">
        <v>0.65760260093900003</v>
      </c>
      <c r="F58" s="243">
        <v>2.9500746847800002E-2</v>
      </c>
    </row>
    <row r="59" spans="2:6" x14ac:dyDescent="0.25">
      <c r="B59">
        <v>49</v>
      </c>
      <c r="C59" t="s">
        <v>88</v>
      </c>
      <c r="D59" t="s">
        <v>242</v>
      </c>
      <c r="E59">
        <v>0.201576719663</v>
      </c>
      <c r="F59" s="243">
        <v>0.11309559824400001</v>
      </c>
    </row>
    <row r="60" spans="2:6" x14ac:dyDescent="0.25">
      <c r="B60">
        <v>50</v>
      </c>
      <c r="C60" t="s">
        <v>89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90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91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92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93</v>
      </c>
      <c r="D64" t="s">
        <v>242</v>
      </c>
      <c r="E64">
        <v>0.20818008309700001</v>
      </c>
      <c r="F64" s="243">
        <v>4.2700310294800002E-2</v>
      </c>
    </row>
    <row r="65" spans="2:6" x14ac:dyDescent="0.25">
      <c r="B65">
        <v>55</v>
      </c>
      <c r="C65" t="s">
        <v>94</v>
      </c>
      <c r="D65" t="s">
        <v>242</v>
      </c>
      <c r="E65">
        <v>0.42522231451499998</v>
      </c>
      <c r="F65" s="243">
        <v>4.5274903018000003E-2</v>
      </c>
    </row>
    <row r="66" spans="2:6" x14ac:dyDescent="0.25">
      <c r="B66">
        <v>56</v>
      </c>
      <c r="C66" t="s">
        <v>95</v>
      </c>
      <c r="D66" t="s">
        <v>242</v>
      </c>
      <c r="E66">
        <v>-0.743588483327</v>
      </c>
      <c r="F66" s="243">
        <v>4.4293261467400001E-2</v>
      </c>
    </row>
    <row r="67" spans="2:6" x14ac:dyDescent="0.25">
      <c r="B67">
        <v>57</v>
      </c>
      <c r="C67" t="s">
        <v>96</v>
      </c>
      <c r="D67" t="s">
        <v>241</v>
      </c>
      <c r="E67" s="243">
        <v>6.2100000000000002E-2</v>
      </c>
      <c r="F67" s="243">
        <v>0</v>
      </c>
    </row>
    <row r="68" spans="2:6" x14ac:dyDescent="0.25">
      <c r="B68">
        <v>118</v>
      </c>
      <c r="C68" t="s">
        <v>268</v>
      </c>
      <c r="D68" t="s">
        <v>241</v>
      </c>
      <c r="E68" s="243">
        <v>-3</v>
      </c>
      <c r="F68" s="243">
        <v>0</v>
      </c>
    </row>
    <row r="69" spans="2:6" x14ac:dyDescent="0.25">
      <c r="B69">
        <v>70</v>
      </c>
      <c r="C69" t="s">
        <v>97</v>
      </c>
      <c r="D69" t="s">
        <v>242</v>
      </c>
      <c r="E69">
        <v>0.29394695214400002</v>
      </c>
      <c r="F69" s="243">
        <v>8.1089668188599993E-3</v>
      </c>
    </row>
    <row r="70" spans="2:6" x14ac:dyDescent="0.25">
      <c r="B70">
        <v>71</v>
      </c>
      <c r="C70" t="s">
        <v>98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99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100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101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102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103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104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105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106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107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108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109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110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111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112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113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114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115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116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117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118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119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120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121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122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123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124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125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126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127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128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129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130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131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132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133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134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135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136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137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138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139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140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243">
        <v>-5981.59020986</v>
      </c>
      <c r="D114" s="243">
        <v>-29805.783655800002</v>
      </c>
      <c r="E114" s="243">
        <v>-17292.021287899999</v>
      </c>
    </row>
    <row r="115" spans="1:11" x14ac:dyDescent="0.25">
      <c r="B115">
        <v>17</v>
      </c>
      <c r="C115" t="s">
        <v>272</v>
      </c>
      <c r="D115" t="s">
        <v>239</v>
      </c>
      <c r="E115">
        <v>31</v>
      </c>
      <c r="F115" t="s">
        <v>271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workbookViewId="0">
      <selection activeCell="U42" sqref="U42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273</v>
      </c>
      <c r="S1" s="203"/>
      <c r="T1" s="203" t="s">
        <v>273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274</v>
      </c>
      <c r="Q2" s="284" t="s">
        <v>275</v>
      </c>
      <c r="T2" s="208"/>
      <c r="U2" s="203" t="s">
        <v>277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278</v>
      </c>
      <c r="V3"/>
      <c r="W3" s="208"/>
    </row>
    <row r="4" spans="3:23" x14ac:dyDescent="0.25">
      <c r="C4" s="217" t="s">
        <v>217</v>
      </c>
      <c r="D4" s="218">
        <f>TLFD!B11</f>
        <v>7697.1759634008004</v>
      </c>
      <c r="F4" s="217" t="s">
        <v>217</v>
      </c>
      <c r="G4" s="218">
        <f>TLFD!F11</f>
        <v>35570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11.7146172749</v>
      </c>
      <c r="Q4" s="285">
        <f>_xlfn.IFNA(VLOOKUP(N4,$B$43:$D$46,3,FALSE),P4)</f>
        <v>11.7146172749</v>
      </c>
      <c r="T4">
        <v>2</v>
      </c>
      <c r="U4" s="202" t="s">
        <v>279</v>
      </c>
      <c r="V4"/>
      <c r="W4" s="208"/>
    </row>
    <row r="5" spans="3:23" x14ac:dyDescent="0.25">
      <c r="C5" s="204" t="s">
        <v>218</v>
      </c>
      <c r="D5" s="220">
        <f>TLFD!B12+TLFD!B13+(TLFD!B14/2)</f>
        <v>29966.254532186249</v>
      </c>
      <c r="F5" s="204" t="s">
        <v>218</v>
      </c>
      <c r="G5" s="220">
        <f>TLFD!F12+TLFD!F13+(TLFD!F14/2)</f>
        <v>33068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-0.2117</v>
      </c>
      <c r="Q5" s="285">
        <f ref="Q5:Q68" si="0" t="shared">_xlfn.IFNA(VLOOKUP(N5,$B$43:$D$46,3,FALSE),P5)</f>
        <v>-0.2117</v>
      </c>
      <c r="T5">
        <v>3</v>
      </c>
      <c r="U5" s="208" t="s">
        <v>280</v>
      </c>
      <c r="V5" s="208"/>
      <c r="W5" s="208"/>
    </row>
    <row r="6" spans="3:23" x14ac:dyDescent="0.25">
      <c r="C6" s="204" t="s">
        <v>214</v>
      </c>
      <c r="D6" s="220">
        <f>(TLFD!B14/2)+SUM(TLFD!B15:B20)</f>
        <v>110332.78834001234</v>
      </c>
      <c r="F6" s="204" t="s">
        <v>214</v>
      </c>
      <c r="G6" s="220">
        <f>(TLFD!F14/2)+SUM(TLFD!F15:F20)</f>
        <v>84438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0.27120783067900001</v>
      </c>
      <c r="Q6" s="285">
        <f si="0" t="shared"/>
        <v>0.27120783067900001</v>
      </c>
      <c r="T6">
        <v>4</v>
      </c>
      <c r="U6" s="208" t="s">
        <v>281</v>
      </c>
      <c r="V6" s="208"/>
      <c r="W6" s="208"/>
    </row>
    <row r="7" spans="3:23" x14ac:dyDescent="0.25">
      <c r="C7" s="205" t="s">
        <v>215</v>
      </c>
      <c r="D7" s="222">
        <f>SUM(TLFD!B21:B101)</f>
        <v>48304.559413685798</v>
      </c>
      <c r="F7" s="205" t="s">
        <v>215</v>
      </c>
      <c r="G7" s="222">
        <f>SUM(TLFD!F21:F101)</f>
        <v>42603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-0.34490013167299999</v>
      </c>
      <c r="Q7" s="285">
        <f si="0" t="shared"/>
        <v>-0.34490013167299999</v>
      </c>
      <c r="T7" s="208">
        <v>5</v>
      </c>
      <c r="U7" s="208" t="s">
        <v>282</v>
      </c>
      <c r="V7" s="208"/>
      <c r="W7" s="208"/>
    </row>
    <row ht="15.75" r="8" spans="3:23" thickBot="1" x14ac:dyDescent="0.3">
      <c r="C8" s="206" t="s">
        <v>4</v>
      </c>
      <c r="D8" s="224">
        <f>SUM(D4:D7)</f>
        <v>196300.77824928518</v>
      </c>
      <c r="E8" s="225"/>
      <c r="F8" s="206" t="s">
        <v>4</v>
      </c>
      <c r="G8" s="224">
        <f>SUM(G4:G7)</f>
        <v>195679</v>
      </c>
      <c r="H8" s="254"/>
      <c r="I8" s="254" t="s">
        <v>276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-8.2865473150899996E-2</v>
      </c>
      <c r="Q8" s="285">
        <f si="0" t="shared"/>
        <v>-8.2865473150899996E-2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-3.9895313632499998</v>
      </c>
      <c r="Q9" s="285">
        <f si="0" t="shared"/>
        <v>-3.9895313632499998</v>
      </c>
      <c r="T9" s="208"/>
      <c r="U9" s="289" t="s">
        <v>283</v>
      </c>
      <c r="V9" s="208"/>
      <c r="W9" s="208"/>
    </row>
    <row ht="15.75" r="10" spans="3:23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6.9400000000000003E-2</v>
      </c>
      <c r="Q10" s="285">
        <f si="0" t="shared"/>
        <v>6.9400000000000003E-2</v>
      </c>
      <c r="T10" s="208">
        <v>1</v>
      </c>
      <c r="U10" s="202" t="s">
        <v>278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-9.5820044919499997E-2</v>
      </c>
      <c r="Q11" s="285">
        <f si="0" t="shared"/>
        <v>-9.5820044919499997E-2</v>
      </c>
      <c r="T11" s="208">
        <v>2</v>
      </c>
      <c r="U11" s="208" t="s">
        <v>284</v>
      </c>
      <c r="V11" s="208"/>
      <c r="W11" s="208"/>
    </row>
    <row r="12" spans="3:23" x14ac:dyDescent="0.25">
      <c r="C12" s="217" t="s">
        <v>217</v>
      </c>
      <c r="D12" s="227">
        <f>D4/D$8</f>
        <v>3.9211133201041339E-2</v>
      </c>
      <c r="F12" s="217" t="s">
        <v>217</v>
      </c>
      <c r="G12" s="227">
        <f>G4/G$8</f>
        <v>0.18177729853484534</v>
      </c>
      <c r="H12" s="227"/>
      <c r="I12" s="258">
        <f>D12/G12</f>
        <v>0.21570973667828416</v>
      </c>
      <c r="J12" s="259">
        <f>LN(I12)</f>
        <v>-1.5338215866972054</v>
      </c>
      <c r="K12" s="259">
        <f>J8*J12</f>
        <v>-1.5338215866972054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0.517563261484</v>
      </c>
      <c r="Q12" s="285">
        <f si="0" t="shared"/>
        <v>0.517563261484</v>
      </c>
      <c r="T12" s="208">
        <v>3</v>
      </c>
      <c r="U12" s="208" t="s">
        <v>285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0.15265479230108639</v>
      </c>
      <c r="F13" s="204" t="s">
        <v>218</v>
      </c>
      <c r="G13" s="228">
        <f ref="G13:G16" si="2" t="shared">G5/G$8</f>
        <v>0.16899105167135972</v>
      </c>
      <c r="H13" s="228"/>
      <c r="I13" s="258">
        <f ref="I13:I15" si="3" t="shared">D13/G13</f>
        <v>0.90333062485436932</v>
      </c>
      <c r="J13" s="259">
        <f ref="J13:J15" si="4" t="shared">LN(I13)</f>
        <v>-0.10166665209719145</v>
      </c>
      <c r="K13" s="259">
        <f>J8*(J13-J12)</f>
        <v>1.432154934600014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-0.80352358260699996</v>
      </c>
      <c r="Q13" s="285">
        <f si="0" t="shared"/>
        <v>-0.80352358260699996</v>
      </c>
      <c r="T13" s="208">
        <v>4</v>
      </c>
      <c r="U13" s="208" t="s">
        <v>286</v>
      </c>
      <c r="V13" s="208"/>
      <c r="W13" s="208"/>
    </row>
    <row r="14" spans="3:23" x14ac:dyDescent="0.25">
      <c r="C14" s="204" t="s">
        <v>214</v>
      </c>
      <c r="D14" s="228">
        <f si="1" t="shared"/>
        <v>0.56205986203426628</v>
      </c>
      <c r="F14" s="204" t="s">
        <v>214</v>
      </c>
      <c r="G14" s="228">
        <f si="2" t="shared"/>
        <v>0.43151283479576247</v>
      </c>
      <c r="H14" s="228"/>
      <c r="I14" s="258">
        <f si="3" t="shared"/>
        <v>1.3025333587129395</v>
      </c>
      <c r="J14" s="259">
        <f si="4" t="shared"/>
        <v>0.26431110561334414</v>
      </c>
      <c r="K14" s="259">
        <f>J8*(J14-J13-J12)</f>
        <v>1.899799344407741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-0.80534348065299999</v>
      </c>
      <c r="Q14" s="285">
        <f si="0" t="shared"/>
        <v>-0.80534348065299999</v>
      </c>
      <c r="T14" s="208">
        <v>5</v>
      </c>
      <c r="U14" s="202" t="s">
        <v>287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0.24607421246360595</v>
      </c>
      <c r="F15" s="205" t="s">
        <v>215</v>
      </c>
      <c r="G15" s="228">
        <f si="2" t="shared"/>
        <v>0.2177188149980325</v>
      </c>
      <c r="H15" s="228"/>
      <c r="I15" s="260">
        <f si="3" t="shared"/>
        <v>1.1302386174838848</v>
      </c>
      <c r="J15" s="261">
        <f si="4" t="shared"/>
        <v>0.12242877634680786</v>
      </c>
      <c r="K15" s="261">
        <f>J8*(J15-J14-J13-J12)</f>
        <v>1.4936059095278607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-0.51977799879300002</v>
      </c>
      <c r="Q15" s="285">
        <f si="0" t="shared"/>
        <v>-0.51977799879300002</v>
      </c>
      <c r="T15" s="208">
        <v>6</v>
      </c>
      <c r="U15" s="208" t="s">
        <v>288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-0.27562686954600002</v>
      </c>
      <c r="Q16" s="285">
        <f si="0" t="shared"/>
        <v>-0.27562686954600002</v>
      </c>
      <c r="T16" s="208">
        <v>7</v>
      </c>
      <c r="U16" s="208" t="s">
        <v>281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-0.55245424085299999</v>
      </c>
      <c r="Q17" s="285">
        <f si="0" t="shared"/>
        <v>-0.55245424085299999</v>
      </c>
      <c r="T17" s="208">
        <v>8</v>
      </c>
      <c r="U17" s="208" t="s">
        <v>289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-0.493022087256</v>
      </c>
      <c r="Q18" s="285">
        <f si="0" t="shared"/>
        <v>-0.493022087256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0.63771148688699997</v>
      </c>
      <c r="Q22" s="285">
        <f si="0" t="shared"/>
        <v>0.63771148688699997</v>
      </c>
    </row>
    <row r="23" spans="2:23" x14ac:dyDescent="0.25">
      <c r="B23" s="263">
        <v>44</v>
      </c>
      <c r="C23" s="217" t="s">
        <v>217</v>
      </c>
      <c r="D23" s="267">
        <f>VLOOKUP($B23,$N:$P,3,FALSE)</f>
        <v>-32.156094092099998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-12.0946718381</v>
      </c>
      <c r="Q23" s="285">
        <f si="0" t="shared"/>
        <v>-12.0946718381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-7.5551873767200002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-4.03623745316</v>
      </c>
      <c r="Q24" s="285">
        <f si="0" t="shared"/>
        <v>-4.03623745316</v>
      </c>
    </row>
    <row r="25" spans="2:23" x14ac:dyDescent="0.25">
      <c r="B25" s="263">
        <v>46</v>
      </c>
      <c r="C25" s="204" t="s">
        <v>214</v>
      </c>
      <c r="D25" s="267">
        <f si="5" t="shared"/>
        <v>-3.4784098231399998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-2.16371815818</v>
      </c>
      <c r="Q25" s="285">
        <f si="0" t="shared"/>
        <v>-2.16371815818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-0.79171784712299997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0.10429329553199999</v>
      </c>
      <c r="Q26" s="285">
        <f si="0" t="shared"/>
        <v>0.10429329553199999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0</v>
      </c>
      <c r="Q27" s="285">
        <f si="0" t="shared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0.417326479157</v>
      </c>
      <c r="Q28" s="285">
        <f si="0" t="shared"/>
        <v>0.417326479157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-14.8384910501</v>
      </c>
      <c r="Q29" s="285">
        <f si="0" t="shared"/>
        <v>-14.8384910501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-5.1880432348000003</v>
      </c>
      <c r="Q30" s="285">
        <f si="0" t="shared"/>
        <v>-5.1880432348000003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-2.6156308707</v>
      </c>
      <c r="Q31" s="285">
        <f si="0" t="shared"/>
        <v>-2.6156308707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-0.91046169190000004</v>
      </c>
      <c r="Q32" s="285">
        <f si="0" t="shared"/>
        <v>-0.91046169190000004</v>
      </c>
    </row>
    <row r="33" spans="2:18" x14ac:dyDescent="0.25">
      <c r="B33" s="263">
        <f>B23</f>
        <v>44</v>
      </c>
      <c r="C33" s="217" t="s">
        <v>217</v>
      </c>
      <c r="D33" s="269">
        <f>K12</f>
        <v>-1.5338215866972054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5.7553461640599997E-2</v>
      </c>
      <c r="Q33" s="285">
        <f si="0" t="shared"/>
        <v>5.7553461640599997E-2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1.432154934600014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0.237798002151</v>
      </c>
      <c r="Q34" s="285">
        <f si="0" t="shared"/>
        <v>0.237798002151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1.899799344407741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</v>
      </c>
      <c r="Q35" s="285">
        <f si="0" t="shared"/>
        <v>0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1.4936059095278607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0</v>
      </c>
      <c r="Q36" s="285">
        <f si="0" t="shared"/>
        <v>0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0</v>
      </c>
      <c r="Q37" s="285">
        <f si="0" t="shared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0.61259135262599995</v>
      </c>
      <c r="Q38" s="285">
        <f si="0" t="shared"/>
        <v>0.61259135262599995</v>
      </c>
    </row>
    <row r="39" spans="2:18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-20.810228388700001</v>
      </c>
      <c r="Q39" s="285">
        <f si="0" t="shared"/>
        <v>-20.810228388700001</v>
      </c>
    </row>
    <row r="40" spans="2:18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-7.1836373472300004</v>
      </c>
      <c r="Q40" s="285">
        <f si="0" t="shared"/>
        <v>-7.1836373472300004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-3.6600975390500001</v>
      </c>
      <c r="Q41" s="285">
        <f si="0" t="shared"/>
        <v>-3.6600975390500001</v>
      </c>
    </row>
    <row r="42" spans="2:18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-1.3605457273599999</v>
      </c>
      <c r="Q42" s="285">
        <f si="0" t="shared"/>
        <v>-1.3605457273599999</v>
      </c>
    </row>
    <row r="43" spans="2:18" x14ac:dyDescent="0.25">
      <c r="B43" s="263">
        <f>B33</f>
        <v>44</v>
      </c>
      <c r="C43" s="217" t="s">
        <v>217</v>
      </c>
      <c r="D43" s="271">
        <f>D23+D33</f>
        <v>-33.689915678797206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-0.22141031751900001</v>
      </c>
      <c r="Q43" s="285">
        <f si="0" t="shared"/>
        <v>-0.22141031751900001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-6.1230324421199862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0.64228876129599999</v>
      </c>
      <c r="Q44" s="285">
        <f si="0" t="shared"/>
        <v>0.64228876129599999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-1.5786104787322588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0.74588429254199995</v>
      </c>
      <c r="Q45" s="285">
        <f si="0" t="shared"/>
        <v>0.74588429254199995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0.70188806240486068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-32.156094092099998</v>
      </c>
      <c r="Q46" s="286">
        <f si="0" t="shared"/>
        <v>-33.689915678797206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-7.5551873767200002</v>
      </c>
      <c r="Q47" s="286">
        <f si="0" t="shared"/>
        <v>-6.1230324421199862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-3.4784098231399998</v>
      </c>
      <c r="Q48" s="286">
        <f si="0" t="shared"/>
        <v>-1.5786104787322588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-0.79171784712299997</v>
      </c>
      <c r="Q49" s="286">
        <f si="0" t="shared"/>
        <v>0.70188806240486068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0.65760260093900003</v>
      </c>
      <c r="Q50" s="285">
        <f si="0" t="shared"/>
        <v>0.65760260093900003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0.201576719663</v>
      </c>
      <c r="Q51" s="285">
        <f si="0" t="shared"/>
        <v>0.201576719663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-28.552058518999999</v>
      </c>
      <c r="Q52" s="285">
        <f si="0" t="shared"/>
        <v>-28.552058518999999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-7.25833529236</v>
      </c>
      <c r="Q53" s="285">
        <f si="0" t="shared"/>
        <v>-7.25833529236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-2.64524710889</v>
      </c>
      <c r="Q54" s="285">
        <f si="0" t="shared"/>
        <v>-2.64524710889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-0.76461618005800003</v>
      </c>
      <c r="Q55" s="285">
        <f si="0" t="shared"/>
        <v>-0.76461618005800003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0.20818008309700001</v>
      </c>
      <c r="Q56" s="285">
        <f si="0" t="shared"/>
        <v>0.20818008309700001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0.42522231451499998</v>
      </c>
      <c r="Q57" s="285">
        <f si="0" t="shared"/>
        <v>0.42522231451499998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-0.743588483327</v>
      </c>
      <c r="Q58" s="285">
        <f si="0" t="shared"/>
        <v>-0.743588483327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6.2100000000000002E-2</v>
      </c>
      <c r="Q59" s="285">
        <f si="0" t="shared"/>
        <v>6.2100000000000002E-2</v>
      </c>
    </row>
    <row r="60" spans="13:18" x14ac:dyDescent="0.25">
      <c r="M60" s="212">
        <f>VLOOKUP(N60,Coeff_Descr!$A:$D,3,FALSE)</f>
        <v>0</v>
      </c>
      <c r="N60" s="212">
        <f>OtherTourDestination!B68</f>
        <v>118</v>
      </c>
      <c r="O60" s="212" t="str">
        <f>OtherTourDestination!C68</f>
        <v>Beta00118</v>
      </c>
      <c r="P60" s="213">
        <f>OtherTourDestination!E68</f>
        <v>-3</v>
      </c>
      <c r="Q60" s="285">
        <f si="0" t="shared"/>
        <v>-3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70</v>
      </c>
      <c r="O61" s="212" t="str">
        <f>OtherTourDestination!C69</f>
        <v>LSM_0070</v>
      </c>
      <c r="P61" s="213">
        <f>OtherTourDestination!E69</f>
        <v>0.29394695214400002</v>
      </c>
      <c r="Q61" s="285">
        <f si="0" t="shared"/>
        <v>0.29394695214400002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71</v>
      </c>
      <c r="O62" s="212" t="str">
        <f>OtherTourDestination!C70</f>
        <v>Gamma071</v>
      </c>
      <c r="P62" s="213">
        <f>OtherTourDestination!E70</f>
        <v>0</v>
      </c>
      <c r="Q62" s="285">
        <f si="0" t="shared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72</v>
      </c>
      <c r="O63" s="212" t="str">
        <f>OtherTourDestination!C71</f>
        <v>Gamma072</v>
      </c>
      <c r="P63" s="213">
        <f>OtherTourDestination!E71</f>
        <v>-6.2798471793299999</v>
      </c>
      <c r="Q63" s="285">
        <f si="0" t="shared"/>
        <v>-6.2798471793299999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73</v>
      </c>
      <c r="O64" s="212" t="str">
        <f>OtherTourDestination!C72</f>
        <v>Gamma073</v>
      </c>
      <c r="P64" s="213">
        <f>OtherTourDestination!E72</f>
        <v>3.2962256518299999</v>
      </c>
      <c r="Q64" s="285">
        <f si="0" t="shared"/>
        <v>3.2962256518299999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74</v>
      </c>
      <c r="O65" s="212" t="str">
        <f>OtherTourDestination!C73</f>
        <v>Gamma074</v>
      </c>
      <c r="P65" s="213">
        <f>OtherTourDestination!E73</f>
        <v>-5.4150639062700003</v>
      </c>
      <c r="Q65" s="285">
        <f si="0" t="shared"/>
        <v>-5.4150639062700003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75</v>
      </c>
      <c r="O66" s="212" t="str">
        <f>OtherTourDestination!C74</f>
        <v>Gamma075</v>
      </c>
      <c r="P66" s="213">
        <f>OtherTourDestination!E74</f>
        <v>-5.94820877094</v>
      </c>
      <c r="Q66" s="285">
        <f si="0" t="shared"/>
        <v>-5.94820877094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76</v>
      </c>
      <c r="O67" s="212" t="str">
        <f>OtherTourDestination!C75</f>
        <v>Gamma076</v>
      </c>
      <c r="P67" s="213">
        <f>OtherTourDestination!E75</f>
        <v>-4.8479831726300002</v>
      </c>
      <c r="Q67" s="285">
        <f si="0" t="shared"/>
        <v>-4.8479831726300002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77</v>
      </c>
      <c r="O68" s="212" t="str">
        <f>OtherTourDestination!C76</f>
        <v>Gamma077</v>
      </c>
      <c r="P68" s="213">
        <f>OtherTourDestination!E76</f>
        <v>-5.4883496585599998</v>
      </c>
      <c r="Q68" s="285">
        <f si="0" t="shared"/>
        <v>-5.4883496585599998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78</v>
      </c>
      <c r="O69" s="212" t="str">
        <f>OtherTourDestination!C77</f>
        <v>Gamma078</v>
      </c>
      <c r="P69" s="213">
        <f>OtherTourDestination!E77</f>
        <v>-6.9308352438999998</v>
      </c>
      <c r="Q69" s="285">
        <f ref="Q69:Q104" si="10" t="shared">_xlfn.IFNA(VLOOKUP(N69,$B$43:$D$46,3,FALSE),P69)</f>
        <v>-6.9308352438999998</v>
      </c>
    </row>
    <row r="70" spans="13:17" x14ac:dyDescent="0.25">
      <c r="M70" s="212" t="str">
        <f>VLOOKUP(N70,Coeff_Descr!$A:$D,3,FALSE)</f>
        <v>ESCORT</v>
      </c>
      <c r="N70" s="212">
        <f>OtherTourDestination!B78</f>
        <v>79</v>
      </c>
      <c r="O70" s="212" t="str">
        <f>OtherTourDestination!C78</f>
        <v>Gamma079</v>
      </c>
      <c r="P70" s="213">
        <f>OtherTourDestination!E78</f>
        <v>-22.404820174200001</v>
      </c>
      <c r="Q70" s="285">
        <f si="10" t="shared"/>
        <v>-22.404820174200001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80</v>
      </c>
      <c r="O71" s="212" t="str">
        <f>OtherTourDestination!C79</f>
        <v>Gamma080</v>
      </c>
      <c r="P71" s="213">
        <f>OtherTourDestination!E79</f>
        <v>-2.8929233973800002</v>
      </c>
      <c r="Q71" s="285">
        <f si="10" t="shared"/>
        <v>-2.8929233973800002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81</v>
      </c>
      <c r="O72" s="212" t="str">
        <f>OtherTourDestination!C80</f>
        <v>Gamma081</v>
      </c>
      <c r="P72" s="213">
        <f>OtherTourDestination!E80</f>
        <v>-2.5610724948299999</v>
      </c>
      <c r="Q72" s="285">
        <f si="10" t="shared"/>
        <v>-2.5610724948299999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82</v>
      </c>
      <c r="O73" s="212" t="str">
        <f>OtherTourDestination!C81</f>
        <v>Gamma082</v>
      </c>
      <c r="P73" s="213">
        <f>OtherTourDestination!E81</f>
        <v>-6.7871010869299999</v>
      </c>
      <c r="Q73" s="285">
        <f si="10" t="shared"/>
        <v>-6.7871010869299999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83</v>
      </c>
      <c r="O74" s="212" t="str">
        <f>OtherTourDestination!C82</f>
        <v>Gamma083</v>
      </c>
      <c r="P74" s="213">
        <f>OtherTourDestination!E82</f>
        <v>-7.1983706387300002</v>
      </c>
      <c r="Q74" s="285">
        <f si="10" t="shared"/>
        <v>-7.1983706387300002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84</v>
      </c>
      <c r="O75" s="212" t="str">
        <f>OtherTourDestination!C83</f>
        <v>Gamma084</v>
      </c>
      <c r="P75" s="213">
        <f>OtherTourDestination!E83</f>
        <v>-6.5584328775399996</v>
      </c>
      <c r="Q75" s="285">
        <f si="10" t="shared"/>
        <v>-6.5584328775399996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85</v>
      </c>
      <c r="O76" s="212" t="str">
        <f>OtherTourDestination!C84</f>
        <v>Gamma085</v>
      </c>
      <c r="P76" s="213">
        <f>OtherTourDestination!E84</f>
        <v>-7.3832576457999997</v>
      </c>
      <c r="Q76" s="285">
        <f si="10" t="shared"/>
        <v>-7.3832576457999997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86</v>
      </c>
      <c r="O77" s="212" t="str">
        <f>OtherTourDestination!C85</f>
        <v>Gamma086</v>
      </c>
      <c r="P77" s="213">
        <f>OtherTourDestination!E85</f>
        <v>-8.5452246906399996</v>
      </c>
      <c r="Q77" s="285">
        <f si="10" t="shared"/>
        <v>-8.5452246906399996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87</v>
      </c>
      <c r="O78" s="212" t="str">
        <f>OtherTourDestination!C86</f>
        <v>Gamma087</v>
      </c>
      <c r="P78" s="213">
        <f>OtherTourDestination!E86</f>
        <v>-24.633851965200002</v>
      </c>
      <c r="Q78" s="285">
        <f si="10" t="shared"/>
        <v>-24.633851965200002</v>
      </c>
    </row>
    <row r="79" spans="13:17" x14ac:dyDescent="0.25">
      <c r="M79" s="212" t="str">
        <f>VLOOKUP(N79,Coeff_Descr!$A:$D,3,FALSE)</f>
        <v>ESCORT</v>
      </c>
      <c r="N79" s="212">
        <f>OtherTourDestination!B87</f>
        <v>88</v>
      </c>
      <c r="O79" s="212" t="str">
        <f>OtherTourDestination!C87</f>
        <v>Gamma088</v>
      </c>
      <c r="P79" s="213">
        <f>OtherTourDestination!E87</f>
        <v>0</v>
      </c>
      <c r="Q79" s="285">
        <f si="10" t="shared"/>
        <v>0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89</v>
      </c>
      <c r="O80" s="212" t="str">
        <f>OtherTourDestination!C88</f>
        <v>Gamma089</v>
      </c>
      <c r="P80" s="213">
        <f>OtherTourDestination!E88</f>
        <v>-0.55009338373399996</v>
      </c>
      <c r="Q80" s="285">
        <f si="10" t="shared"/>
        <v>-0.55009338373399996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90</v>
      </c>
      <c r="O81" s="212" t="str">
        <f>OtherTourDestination!C89</f>
        <v>Gamma090</v>
      </c>
      <c r="P81" s="213">
        <f>OtherTourDestination!E89</f>
        <v>-9.9117567037699992</v>
      </c>
      <c r="Q81" s="285">
        <f si="10" t="shared"/>
        <v>-9.9117567037699992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91</v>
      </c>
      <c r="O82" s="212" t="str">
        <f>OtherTourDestination!C90</f>
        <v>Gamma091</v>
      </c>
      <c r="P82" s="213">
        <f>OtherTourDestination!E90</f>
        <v>-9.3194311560499994</v>
      </c>
      <c r="Q82" s="285">
        <f si="10" t="shared"/>
        <v>-9.3194311560499994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92</v>
      </c>
      <c r="O83" s="212" t="str">
        <f>OtherTourDestination!C91</f>
        <v>Gamma092</v>
      </c>
      <c r="P83" s="213">
        <f>OtherTourDestination!E91</f>
        <v>-0.20086270196799999</v>
      </c>
      <c r="Q83" s="285">
        <f si="10" t="shared"/>
        <v>-0.20086270196799999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93</v>
      </c>
      <c r="O84" s="212" t="str">
        <f>OtherTourDestination!C92</f>
        <v>Gamma093</v>
      </c>
      <c r="P84" s="213">
        <f>OtherTourDestination!E92</f>
        <v>-2.1843835309699999</v>
      </c>
      <c r="Q84" s="285">
        <f si="10" t="shared"/>
        <v>-2.1843835309699999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94</v>
      </c>
      <c r="O85" s="212" t="str">
        <f>OtherTourDestination!C93</f>
        <v>Gamma094</v>
      </c>
      <c r="P85" s="213">
        <f>OtherTourDestination!E93</f>
        <v>0</v>
      </c>
      <c r="Q85" s="285">
        <f si="10" t="shared"/>
        <v>0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95</v>
      </c>
      <c r="O86" s="212" t="str">
        <f>OtherTourDestination!C94</f>
        <v>Gamma095</v>
      </c>
      <c r="P86" s="213">
        <f>OtherTourDestination!E94</f>
        <v>-9.9476357147400005</v>
      </c>
      <c r="Q86" s="285">
        <f si="10" t="shared"/>
        <v>-9.9476357147400005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96</v>
      </c>
      <c r="O87" s="212" t="str">
        <f>OtherTourDestination!C95</f>
        <v>Gamma096</v>
      </c>
      <c r="P87" s="213">
        <f>OtherTourDestination!E95</f>
        <v>-12.800107987600001</v>
      </c>
      <c r="Q87" s="285">
        <f si="10" t="shared"/>
        <v>-12.800107987600001</v>
      </c>
    </row>
    <row r="88" spans="13:17" x14ac:dyDescent="0.25">
      <c r="M88" s="212" t="str">
        <f>VLOOKUP(N88,Coeff_Descr!$A:$D,3,FALSE)</f>
        <v>PERSBUS/MED</v>
      </c>
      <c r="N88" s="212">
        <f>OtherTourDestination!B96</f>
        <v>97</v>
      </c>
      <c r="O88" s="212" t="str">
        <f>OtherTourDestination!C96</f>
        <v>Gamma097</v>
      </c>
      <c r="P88" s="213">
        <f>OtherTourDestination!E96</f>
        <v>-30</v>
      </c>
      <c r="Q88" s="285">
        <f si="10" t="shared"/>
        <v>-30</v>
      </c>
    </row>
    <row r="89" spans="13:17" x14ac:dyDescent="0.25">
      <c r="M89" s="212" t="str">
        <f>VLOOKUP(N89,Coeff_Descr!$A:$D,3,FALSE)</f>
        <v>SHOP</v>
      </c>
      <c r="N89" s="212">
        <f>OtherTourDestination!B97</f>
        <v>98</v>
      </c>
      <c r="O89" s="212" t="str">
        <f>OtherTourDestination!C97</f>
        <v>Gamma098</v>
      </c>
      <c r="P89" s="213">
        <f>OtherTourDestination!E97</f>
        <v>-21.699928591700001</v>
      </c>
      <c r="Q89" s="285">
        <f si="10" t="shared"/>
        <v>-21.699928591700001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99</v>
      </c>
      <c r="O90" s="212" t="str">
        <f>OtherTourDestination!C98</f>
        <v>Gamma099</v>
      </c>
      <c r="P90" s="213">
        <f>OtherTourDestination!E98</f>
        <v>-17.700475093400001</v>
      </c>
      <c r="Q90" s="285">
        <f si="10" t="shared"/>
        <v>-17.700475093400001</v>
      </c>
    </row>
    <row r="91" spans="13:17" x14ac:dyDescent="0.25">
      <c r="M91" s="212" t="str">
        <f>VLOOKUP(N91,Coeff_Descr!$A:$D,3,FALSE)</f>
        <v>SHOP</v>
      </c>
      <c r="N91" s="212">
        <f>OtherTourDestination!B99</f>
        <v>100</v>
      </c>
      <c r="O91" s="212" t="str">
        <f>OtherTourDestination!C99</f>
        <v>Gamma100</v>
      </c>
      <c r="P91" s="213">
        <f>OtherTourDestination!E99</f>
        <v>-0.7</v>
      </c>
      <c r="Q91" s="285">
        <f si="10" t="shared"/>
        <v>-0.7</v>
      </c>
    </row>
    <row r="92" spans="13:17" x14ac:dyDescent="0.25">
      <c r="M92" s="212" t="str">
        <f>VLOOKUP(N92,Coeff_Descr!$A:$D,3,FALSE)</f>
        <v>SHOP</v>
      </c>
      <c r="N92" s="212">
        <f>OtherTourDestination!B100</f>
        <v>101</v>
      </c>
      <c r="O92" s="212" t="str">
        <f>OtherTourDestination!C100</f>
        <v>Gamma101</v>
      </c>
      <c r="P92" s="213">
        <f>OtherTourDestination!E100</f>
        <v>-17.8758745875</v>
      </c>
      <c r="Q92" s="285">
        <f si="10" t="shared"/>
        <v>-17.8758745875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102</v>
      </c>
      <c r="O93" s="212" t="str">
        <f>OtherTourDestination!C101</f>
        <v>Gamma102</v>
      </c>
      <c r="P93" s="213">
        <f>OtherTourDestination!E101</f>
        <v>0</v>
      </c>
      <c r="Q93" s="285">
        <f si="10" t="shared"/>
        <v>0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103</v>
      </c>
      <c r="O94" s="212" t="str">
        <f>OtherTourDestination!C102</f>
        <v>Gamma103</v>
      </c>
      <c r="P94" s="213">
        <f>OtherTourDestination!E102</f>
        <v>5</v>
      </c>
      <c r="Q94" s="285">
        <f si="10" t="shared"/>
        <v>5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104</v>
      </c>
      <c r="O95" s="212" t="str">
        <f>OtherTourDestination!C103</f>
        <v>Gamma104</v>
      </c>
      <c r="P95" s="213">
        <f>OtherTourDestination!E103</f>
        <v>-30</v>
      </c>
      <c r="Q95" s="285">
        <f si="10" t="shared"/>
        <v>-30</v>
      </c>
    </row>
    <row r="96" spans="13:17" x14ac:dyDescent="0.25">
      <c r="M96" s="212" t="str">
        <f>VLOOKUP(N96,Coeff_Descr!$A:$D,3,FALSE)</f>
        <v>MEAL</v>
      </c>
      <c r="N96" s="212">
        <f>OtherTourDestination!B104</f>
        <v>105</v>
      </c>
      <c r="O96" s="212" t="str">
        <f>OtherTourDestination!C104</f>
        <v>Gamma105</v>
      </c>
      <c r="P96" s="213">
        <f>OtherTourDestination!E104</f>
        <v>-24.158093970700001</v>
      </c>
      <c r="Q96" s="285">
        <f si="10" t="shared"/>
        <v>-24.158093970700001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106</v>
      </c>
      <c r="O97" s="212" t="str">
        <f>OtherTourDestination!C105</f>
        <v>Gamma106</v>
      </c>
      <c r="P97" s="213">
        <f>OtherTourDestination!E105</f>
        <v>-9.5803170794600003</v>
      </c>
      <c r="Q97" s="285">
        <f si="10" t="shared"/>
        <v>-9.5803170794600003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107</v>
      </c>
      <c r="O98" s="212" t="str">
        <f>OtherTourDestination!C106</f>
        <v>Gamma107</v>
      </c>
      <c r="P98" s="213">
        <f>OtherTourDestination!E106</f>
        <v>0</v>
      </c>
      <c r="Q98" s="285">
        <f si="10" t="shared"/>
        <v>0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108</v>
      </c>
      <c r="O99" s="212" t="str">
        <f>OtherTourDestination!C107</f>
        <v>Gamma108</v>
      </c>
      <c r="P99" s="213">
        <f>OtherTourDestination!E107</f>
        <v>-15.671349338700001</v>
      </c>
      <c r="Q99" s="285">
        <f si="10" t="shared"/>
        <v>-15.671349338700001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109</v>
      </c>
      <c r="O100" s="212" t="str">
        <f>OtherTourDestination!C108</f>
        <v>Gamma109</v>
      </c>
      <c r="P100" s="213">
        <f>OtherTourDestination!E108</f>
        <v>-18.208541213899998</v>
      </c>
      <c r="Q100" s="285">
        <f si="10" t="shared"/>
        <v>-18.208541213899998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110</v>
      </c>
      <c r="O101" s="212" t="str">
        <f>OtherTourDestination!C109</f>
        <v>Gamma110</v>
      </c>
      <c r="P101" s="213">
        <f>OtherTourDestination!E109</f>
        <v>-11.2471450075</v>
      </c>
      <c r="Q101" s="285">
        <f si="10" t="shared"/>
        <v>-11.2471450075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111</v>
      </c>
      <c r="O102" s="212" t="str">
        <f>OtherTourDestination!C110</f>
        <v>Gamma111</v>
      </c>
      <c r="P102" s="213">
        <f>OtherTourDestination!E110</f>
        <v>-10.0807778908</v>
      </c>
      <c r="Q102" s="285">
        <f si="10" t="shared"/>
        <v>-10.0807778908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112</v>
      </c>
      <c r="O103" s="212" t="str">
        <f>OtherTourDestination!C111</f>
        <v>Gamma112</v>
      </c>
      <c r="P103" s="213">
        <f>OtherTourDestination!E111</f>
        <v>-5.6623999999999999</v>
      </c>
      <c r="Q103" s="285">
        <f si="10" t="shared"/>
        <v>-5.6623999999999999</v>
      </c>
    </row>
    <row r="104" spans="13:17" x14ac:dyDescent="0.25">
      <c r="M104" s="212" t="str">
        <f>VLOOKUP(N104,Coeff_Descr!$A:$D,3,FALSE)</f>
        <v>SOCREC</v>
      </c>
      <c r="N104" s="212">
        <f>OtherTourDestination!B112</f>
        <v>113</v>
      </c>
      <c r="O104" s="212" t="str">
        <f>OtherTourDestination!C112</f>
        <v>Gamma113</v>
      </c>
      <c r="P104" s="213">
        <f>OtherTourDestination!E112</f>
        <v>-12.0597581892</v>
      </c>
      <c r="Q104" s="285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2017-10-26T15:42:31Z</dcterms:modified>
</cp:coreProperties>
</file>