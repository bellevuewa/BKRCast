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M54" s="1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M31" s="1"/>
  <c i="6" r="P30"/>
  <c i="6" r="O30"/>
  <c i="6" r="N30"/>
  <c i="6" r="M30" s="1"/>
  <c i="6" r="P29"/>
  <c i="6" r="O29"/>
  <c i="6" r="N29"/>
  <c i="6" r="M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Q80"/>
  <c i="6" r="Q79"/>
  <c i="6" r="Q4"/>
  <c i="6" r="Q12"/>
  <c i="6" r="Q77"/>
  <c i="6" r="Q11"/>
  <c i="6" r="Q78"/>
  <c i="6" r="Q84"/>
  <c i="6" r="D25"/>
  <c i="6" r="M4"/>
  <c i="6" r="Q58"/>
  <c i="6" r="Q82"/>
  <c i="6" r="Q28"/>
  <c i="6" r="M12"/>
  <c i="6" r="Q13"/>
  <c i="6" r="Q14"/>
  <c i="6" r="Q15"/>
  <c i="6" r="Q22"/>
  <c i="6" r="Q17"/>
  <c i="6" r="Q16"/>
  <c i="6" r="Q18"/>
  <c i="6" r="Q10"/>
  <c i="6" r="Q47"/>
  <c i="6" r="Q48"/>
  <c i="6" r="Q49"/>
  <c i="6" r="Q50"/>
  <c i="6" r="Q98"/>
  <c i="6" r="Q53"/>
  <c i="6" r="Q54"/>
  <c i="6" r="Q75"/>
  <c i="6" r="Q70"/>
  <c i="6" r="Q38"/>
  <c i="6" r="Q43"/>
  <c i="6" r="Q103"/>
  <c i="6" r="Q99"/>
  <c i="6" r="Q41"/>
  <c i="6" r="Q37"/>
  <c i="6" r="Q6"/>
  <c i="6" r="Q71"/>
  <c i="6" r="Q72"/>
  <c i="6" r="Q8"/>
  <c i="6" r="Q44"/>
  <c i="6" r="Q73"/>
  <c i="6" r="Q104"/>
  <c i="6" r="Q45"/>
  <c i="6" r="Q51"/>
  <c i="6" r="Q57"/>
  <c i="6" r="Q81"/>
  <c i="6" r="Q93"/>
  <c i="6" r="Q101"/>
  <c i="6" r="Q102"/>
  <c i="6" r="Q7"/>
  <c i="6" r="Q9"/>
  <c i="6" r="Q46"/>
  <c i="6" r="Q74"/>
  <c i="6" r="Q85"/>
  <c i="6" r="Q59"/>
  <c i="6" r="Q29"/>
  <c i="6" r="Q21"/>
  <c i="6" r="Q60"/>
  <c i="6" r="Q88"/>
  <c i="6" r="Q26"/>
  <c i="6" r="Q61"/>
  <c i="6" r="Q89"/>
  <c i="6" r="Q83"/>
  <c i="6" r="Q86"/>
  <c i="6" r="Q87"/>
  <c i="6" r="Q27"/>
  <c i="6" r="Q90"/>
  <c i="6" r="Q55"/>
  <c i="6" r="Q20"/>
  <c i="6" r="Q23"/>
  <c i="6" r="Q62"/>
  <c i="6" r="Q30"/>
  <c i="6" r="Q63"/>
  <c i="6" r="Q91"/>
  <c i="6" r="Q31"/>
  <c i="6" r="Q64"/>
  <c i="6" r="Q92"/>
  <c i="6" r="Q94"/>
  <c i="6" r="Q19"/>
  <c i="6" r="Q33"/>
  <c i="6" r="Q95"/>
  <c i="6" r="Q67"/>
  <c i="6" r="Q25"/>
  <c i="6" r="Q35"/>
  <c i="6" r="Q68"/>
  <c i="6" r="Q97"/>
  <c i="6" r="Q56"/>
  <c i="6" r="Q32"/>
  <c i="6" r="Q65"/>
  <c i="6" r="Q66"/>
  <c i="6" r="Q34"/>
  <c i="6" r="Q96"/>
  <c i="6" r="Q3"/>
  <c i="6" r="Q36"/>
  <c i="6" r="Q69"/>
  <c i="6" r="M40"/>
  <c i="6" r="M42"/>
  <c i="6" r="Q24"/>
  <c i="6" r="Q52"/>
  <c i="6" r="Q76"/>
  <c i="6" r="Q100"/>
  <c i="6" r="D24"/>
  <c i="6" r="D26"/>
  <c i="6" r="Q5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6"/>
  <c i="6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5"/>
  <c i="6" r="D13"/>
  <c i="6" r="D12"/>
  <c i="6" r="G13"/>
  <c i="6" r="D14"/>
  <c i="6" r="I14" s="1"/>
  <c i="6" r="J14" s="1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I12"/>
  <c i="6" r="J12" s="1"/>
  <c i="6" r="K12" s="1"/>
  <c i="6" r="D33" s="1"/>
  <c i="6" r="D43" s="1"/>
  <c i="6" r="Q39" s="1"/>
  <c i="6" r="I13"/>
  <c i="6" r="J13" s="1"/>
  <c i="6" r="I15"/>
  <c i="6" r="J15" s="1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  <c i="6" l="1" r="K13"/>
  <c i="6" r="D34" s="1"/>
  <c i="6" r="D44" s="1"/>
  <c i="6" r="Q40" s="1"/>
  <c i="6" r="K15"/>
  <c i="6" r="D36" s="1"/>
  <c i="6" r="D46" s="1"/>
  <c i="6" r="Q42" s="1"/>
  <c i="6" r="K14"/>
  <c i="6" r="D35" s="1"/>
  <c i="6" r="D45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<sst xmlns="http://schemas.openxmlformats.org/spreadsheetml/2006/main" count="736" uniqueCount="288">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</sst>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0.17092484515318238</c:v>
                </c:pt>
                <c:pt idx="1">
                  <c:v>0.11621197856123507</c:v>
                </c:pt>
                <c:pt idx="2">
                  <c:v>5.4236536617405032E-2</c:v>
                </c:pt>
                <c:pt idx="3">
                  <c:v>0.15379214225060819</c:v>
                </c:pt>
                <c:pt idx="4">
                  <c:v>0.21742203070526714</c:v>
                </c:pt>
                <c:pt idx="5">
                  <c:v>0.11110435366445065</c:v>
                </c:pt>
                <c:pt idx="6">
                  <c:v>4.9943185093530365E-2</c:v>
                </c:pt>
                <c:pt idx="7">
                  <c:v>7.3997848708011339E-3</c:v>
                </c:pt>
                <c:pt idx="8">
                  <c:v>3.9511143341651553E-2</c:v>
                </c:pt>
                <c:pt idx="9">
                  <c:v>7.6695744970419547E-3</c:v>
                </c:pt>
                <c:pt idx="10">
                  <c:v>3.998194459097229E-2</c:v>
                </c:pt>
                <c:pt idx="11">
                  <c:v>0</c:v>
                </c:pt>
                <c:pt idx="12">
                  <c:v>8.2018168813869745E-3</c:v>
                </c:pt>
                <c:pt idx="13">
                  <c:v>7.0398755907580518E-4</c:v>
                </c:pt>
                <c:pt idx="14">
                  <c:v>1.5887980653984143E-3</c:v>
                </c:pt>
                <c:pt idx="15">
                  <c:v>0</c:v>
                </c:pt>
                <c:pt idx="16">
                  <c:v>2.3701444408156707E-3</c:v>
                </c:pt>
                <c:pt idx="17">
                  <c:v>1.4960690518516491E-3</c:v>
                </c:pt>
                <c:pt idx="18">
                  <c:v>1.6355247261579822E-3</c:v>
                </c:pt>
                <c:pt idx="19">
                  <c:v>1.1566321258401912E-4</c:v>
                </c:pt>
                <c:pt idx="20">
                  <c:v>8.4912022109178917E-4</c:v>
                </c:pt>
                <c:pt idx="21">
                  <c:v>2.0227516626245986E-3</c:v>
                </c:pt>
                <c:pt idx="22">
                  <c:v>0</c:v>
                </c:pt>
                <c:pt idx="23">
                  <c:v>0</c:v>
                </c:pt>
                <c:pt idx="24">
                  <c:v>4.1133007441038671E-4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5.1581813582433759E-4</c:v>
                </c:pt>
                <c:pt idx="29">
                  <c:v>1.1249903985677051E-3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1.7028004854396574E-3</c:v>
                </c:pt>
                <c:pt idx="34">
                  <c:v>5.8441161285546946E-3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3.2195496100703561E-3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0.33441549195500497</c:v>
                </c:pt>
                <c:pt idx="1">
                  <c:v>0.10977644881104941</c:v>
                </c:pt>
                <c:pt idx="2">
                  <c:v>6.6296454506621097E-2</c:v>
                </c:pt>
                <c:pt idx="3">
                  <c:v>3.3757653424462478E-2</c:v>
                </c:pt>
                <c:pt idx="4">
                  <c:v>0.1034714509468888</c:v>
                </c:pt>
                <c:pt idx="5">
                  <c:v>6.8244340025630068E-2</c:v>
                </c:pt>
                <c:pt idx="6">
                  <c:v>5.8032179980065497E-2</c:v>
                </c:pt>
                <c:pt idx="7">
                  <c:v>3.3427310266267975E-2</c:v>
                </c:pt>
                <c:pt idx="8">
                  <c:v>3.5175850776021644E-2</c:v>
                </c:pt>
                <c:pt idx="9">
                  <c:v>1.7320233518439414E-2</c:v>
                </c:pt>
                <c:pt idx="10">
                  <c:v>1.4107931083582515E-2</c:v>
                </c:pt>
                <c:pt idx="11">
                  <c:v>1.2621386871707248E-2</c:v>
                </c:pt>
                <c:pt idx="12">
                  <c:v>1.364658977644881E-2</c:v>
                </c:pt>
                <c:pt idx="13">
                  <c:v>1.4347145094688879E-2</c:v>
                </c:pt>
                <c:pt idx="14">
                  <c:v>8.8964829844795663E-3</c:v>
                </c:pt>
                <c:pt idx="15">
                  <c:v>8.492097394275951E-3</c:v>
                </c:pt>
                <c:pt idx="16">
                  <c:v>8.702833546917272E-3</c:v>
                </c:pt>
                <c:pt idx="17">
                  <c:v>6.1284351416773459E-3</c:v>
                </c:pt>
                <c:pt idx="18">
                  <c:v>7.0909867577958136E-3</c:v>
                </c:pt>
                <c:pt idx="19">
                  <c:v>5.0975366652427738E-3</c:v>
                </c:pt>
                <c:pt idx="20">
                  <c:v>4.3685034885376619E-3</c:v>
                </c:pt>
                <c:pt idx="21">
                  <c:v>4.2318097679054532E-3</c:v>
                </c:pt>
                <c:pt idx="22">
                  <c:v>3.7476861739997153E-3</c:v>
                </c:pt>
                <c:pt idx="23">
                  <c:v>3.1781290046988468E-3</c:v>
                </c:pt>
                <c:pt idx="24">
                  <c:v>2.7737434144952298E-3</c:v>
                </c:pt>
                <c:pt idx="25">
                  <c:v>2.5117471166168303E-3</c:v>
                </c:pt>
                <c:pt idx="26">
                  <c:v>2.2782286772034745E-3</c:v>
                </c:pt>
                <c:pt idx="27">
                  <c:v>1.7656272248326925E-3</c:v>
                </c:pt>
                <c:pt idx="28">
                  <c:v>1.7314537946746405E-3</c:v>
                </c:pt>
                <c:pt idx="29">
                  <c:v>1.4125017798661541E-3</c:v>
                </c:pt>
                <c:pt idx="30">
                  <c:v>1.2644169158479283E-3</c:v>
                </c:pt>
                <c:pt idx="31">
                  <c:v>1.2359390573828848E-3</c:v>
                </c:pt>
                <c:pt idx="32">
                  <c:v>9.7963833119749403E-4</c:v>
                </c:pt>
                <c:pt idx="33">
                  <c:v>9.169870425743984E-4</c:v>
                </c:pt>
                <c:pt idx="34">
                  <c:v>8.7711804072333765E-4</c:v>
                </c:pt>
                <c:pt idx="35">
                  <c:v>6.0373059945892068E-4</c:v>
                </c:pt>
                <c:pt idx="36">
                  <c:v>1.1163320518297025E-3</c:v>
                </c:pt>
                <c:pt idx="37">
                  <c:v>6.7207745977502489E-4</c:v>
                </c:pt>
                <c:pt idx="38">
                  <c:v>7.461198917841378E-4</c:v>
                </c:pt>
                <c:pt idx="39">
                  <c:v>5.5816602591485123E-4</c:v>
                </c:pt>
                <c:pt idx="40">
                  <c:v>5.4107931083582515E-4</c:v>
                </c:pt>
                <c:pt idx="41">
                  <c:v>4.7273245051972093E-4</c:v>
                </c:pt>
                <c:pt idx="42">
                  <c:v>3.8160330343158194E-4</c:v>
                </c:pt>
                <c:pt idx="43">
                  <c:v>3.2464758650149511E-4</c:v>
                </c:pt>
                <c:pt idx="44">
                  <c:v>2.4490958279937351E-4</c:v>
                </c:pt>
                <c:pt idx="45">
                  <c:v>2.3921401110636481E-4</c:v>
                </c:pt>
                <c:pt idx="46">
                  <c:v>2.2212729602733873E-4</c:v>
                </c:pt>
                <c:pt idx="47">
                  <c:v>1.5947600740424321E-4</c:v>
                </c:pt>
                <c:pt idx="48">
                  <c:v>1.6517157909725188E-4</c:v>
                </c:pt>
                <c:pt idx="49">
                  <c:v>1.3099814893919977E-4</c:v>
                </c:pt>
                <c:pt idx="50">
                  <c:v>1.7086715079026057E-4</c:v>
                </c:pt>
                <c:pt idx="51">
                  <c:v>1.7656272248326926E-4</c:v>
                </c:pt>
                <c:pt idx="52">
                  <c:v>1.0821586216716503E-4</c:v>
                </c:pt>
                <c:pt idx="53">
                  <c:v>7.9738003702121605E-5</c:v>
                </c:pt>
                <c:pt idx="54">
                  <c:v>4.5564573544069483E-5</c:v>
                </c:pt>
                <c:pt idx="55">
                  <c:v>3.4173430158052115E-5</c:v>
                </c:pt>
                <c:pt idx="56">
                  <c:v>6.8346860316104231E-5</c:v>
                </c:pt>
                <c:pt idx="57">
                  <c:v>2.2782286772034741E-5</c:v>
                </c:pt>
                <c:pt idx="58">
                  <c:v>8.5433575395130285E-5</c:v>
                </c:pt>
                <c:pt idx="59">
                  <c:v>3.4173430158052115E-5</c:v>
                </c:pt>
                <c:pt idx="60">
                  <c:v>2.2782286772034741E-5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13416"/>
        <c:axId val="317413808"/>
      </c:lineChart>
      <c:catAx>
        <c:axId val="317413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317413808"/>
        <c:crosses val="autoZero"/>
        <c:auto val="1"/>
        <c:lblAlgn val="ctr"/>
        <c:lblOffset val="100"/>
        <c:tickLblSkip val="10"/>
        <c:noMultiLvlLbl val="0"/>
      </c:catAx>
      <c:valAx>
        <c:axId val="317413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174134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9.7457258292929765E-4</c:v>
                </c:pt>
                <c:pt idx="3">
                  <c:v>4.0776975810223305E-2</c:v>
                </c:pt>
                <c:pt idx="4">
                  <c:v>5.0033277407391268E-2</c:v>
                </c:pt>
                <c:pt idx="5">
                  <c:v>8.5354715779624238E-2</c:v>
                </c:pt>
                <c:pt idx="6">
                  <c:v>4.462766977085076E-2</c:v>
                </c:pt>
                <c:pt idx="7">
                  <c:v>3.8792810778981744E-2</c:v>
                </c:pt>
                <c:pt idx="8">
                  <c:v>1.9945634098510957E-2</c:v>
                </c:pt>
                <c:pt idx="9">
                  <c:v>3.5269516416511035E-2</c:v>
                </c:pt>
                <c:pt idx="10">
                  <c:v>4.9059834083734783E-3</c:v>
                </c:pt>
                <c:pt idx="11">
                  <c:v>1.8467470370671105E-2</c:v>
                </c:pt>
                <c:pt idx="12">
                  <c:v>1.3414069198329099E-2</c:v>
                </c:pt>
                <c:pt idx="13">
                  <c:v>1.2016535323688082E-2</c:v>
                </c:pt>
                <c:pt idx="14">
                  <c:v>4.1216725646138777E-2</c:v>
                </c:pt>
                <c:pt idx="15">
                  <c:v>3.0911462945124982E-2</c:v>
                </c:pt>
                <c:pt idx="16">
                  <c:v>5.8220342394401554E-2</c:v>
                </c:pt>
                <c:pt idx="17">
                  <c:v>2.0095991675132298E-2</c:v>
                </c:pt>
                <c:pt idx="18">
                  <c:v>8.5241182247350417E-2</c:v>
                </c:pt>
                <c:pt idx="19">
                  <c:v>8.3553671990352837E-2</c:v>
                </c:pt>
                <c:pt idx="20">
                  <c:v>5.1016236675034576E-2</c:v>
                </c:pt>
                <c:pt idx="21">
                  <c:v>6.2521936549512241E-2</c:v>
                </c:pt>
                <c:pt idx="22">
                  <c:v>4.0408962318294335E-2</c:v>
                </c:pt>
                <c:pt idx="23">
                  <c:v>1.115131223967275E-2</c:v>
                </c:pt>
                <c:pt idx="24">
                  <c:v>1.8114371741961195E-2</c:v>
                </c:pt>
                <c:pt idx="25">
                  <c:v>2.3702756792754907E-3</c:v>
                </c:pt>
                <c:pt idx="26">
                  <c:v>1.9036052913813804E-2</c:v>
                </c:pt>
                <c:pt idx="27">
                  <c:v>8.817422448132271E-3</c:v>
                </c:pt>
                <c:pt idx="28">
                  <c:v>7.2709755319880741E-4</c:v>
                </c:pt>
                <c:pt idx="29">
                  <c:v>2.27620239258065E-3</c:v>
                </c:pt>
                <c:pt idx="30">
                  <c:v>4.2573032086471001E-3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2.7865419632531533E-2</c:v>
                </c:pt>
                <c:pt idx="35">
                  <c:v>3.5980538877533001E-4</c:v>
                </c:pt>
                <c:pt idx="36">
                  <c:v>2.7267392217004039E-3</c:v>
                </c:pt>
                <c:pt idx="37">
                  <c:v>1.3271497314203591E-3</c:v>
                </c:pt>
                <c:pt idx="38">
                  <c:v>7.6695744970419547E-3</c:v>
                </c:pt>
                <c:pt idx="39">
                  <c:v>0</c:v>
                </c:pt>
                <c:pt idx="40">
                  <c:v>4.1133007441038671E-4</c:v>
                </c:pt>
                <c:pt idx="41">
                  <c:v>2.3701444408156707E-3</c:v>
                </c:pt>
                <c:pt idx="42">
                  <c:v>0</c:v>
                </c:pt>
                <c:pt idx="43">
                  <c:v>4.8931483231645916E-4</c:v>
                </c:pt>
                <c:pt idx="44">
                  <c:v>0</c:v>
                </c:pt>
                <c:pt idx="45">
                  <c:v>3.9894448334858064E-2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5.8441161285546946E-3</c:v>
                </c:pt>
                <c:pt idx="53">
                  <c:v>0</c:v>
                </c:pt>
                <c:pt idx="54">
                  <c:v>5.1581813582433759E-4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1.7028004854396574E-3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5.8282785134557882E-2</c:v>
                </c:pt>
                <c:pt idx="1">
                  <c:v>7.7886942901893783E-2</c:v>
                </c:pt>
                <c:pt idx="2">
                  <c:v>7.0477004129289478E-2</c:v>
                </c:pt>
                <c:pt idx="3">
                  <c:v>6.2833546917271818E-2</c:v>
                </c:pt>
                <c:pt idx="4">
                  <c:v>4.8725615833689305E-2</c:v>
                </c:pt>
                <c:pt idx="5">
                  <c:v>4.2956001708671511E-2</c:v>
                </c:pt>
                <c:pt idx="6">
                  <c:v>3.4987896910152354E-2</c:v>
                </c:pt>
                <c:pt idx="7">
                  <c:v>2.9816317812900471E-2</c:v>
                </c:pt>
                <c:pt idx="8">
                  <c:v>2.4268830983910011E-2</c:v>
                </c:pt>
                <c:pt idx="9">
                  <c:v>2.0617969528691441E-2</c:v>
                </c:pt>
                <c:pt idx="10">
                  <c:v>1.6722198490673502E-2</c:v>
                </c:pt>
                <c:pt idx="11">
                  <c:v>1.4529403388865157E-2</c:v>
                </c:pt>
                <c:pt idx="12">
                  <c:v>1.3424462480421472E-2</c:v>
                </c:pt>
                <c:pt idx="13">
                  <c:v>1.1174711661683042E-2</c:v>
                </c:pt>
                <c:pt idx="14">
                  <c:v>8.913569699558593E-3</c:v>
                </c:pt>
                <c:pt idx="15">
                  <c:v>7.8086287911149086E-3</c:v>
                </c:pt>
                <c:pt idx="16">
                  <c:v>7.8200199345009255E-3</c:v>
                </c:pt>
                <c:pt idx="17">
                  <c:v>7.2390716218140392E-3</c:v>
                </c:pt>
                <c:pt idx="18">
                  <c:v>6.2298163178129001E-2</c:v>
                </c:pt>
                <c:pt idx="19">
                  <c:v>3.137690445678485E-2</c:v>
                </c:pt>
                <c:pt idx="20">
                  <c:v>3.5563149651146236E-2</c:v>
                </c:pt>
                <c:pt idx="21">
                  <c:v>3.0454221842517441E-2</c:v>
                </c:pt>
                <c:pt idx="22">
                  <c:v>3.5432151502207035E-2</c:v>
                </c:pt>
                <c:pt idx="23">
                  <c:v>2.3687882671223123E-2</c:v>
                </c:pt>
                <c:pt idx="24">
                  <c:v>2.3226541364089422E-2</c:v>
                </c:pt>
                <c:pt idx="25">
                  <c:v>1.8624519436138402E-2</c:v>
                </c:pt>
                <c:pt idx="26">
                  <c:v>1.6198205894916703E-2</c:v>
                </c:pt>
                <c:pt idx="27">
                  <c:v>1.4244624804214723E-2</c:v>
                </c:pt>
                <c:pt idx="28">
                  <c:v>1.2797949594190517E-2</c:v>
                </c:pt>
                <c:pt idx="29">
                  <c:v>1.5286914424035312E-2</c:v>
                </c:pt>
                <c:pt idx="30">
                  <c:v>1.0252029047415635E-2</c:v>
                </c:pt>
                <c:pt idx="31">
                  <c:v>7.9396269400541074E-3</c:v>
                </c:pt>
                <c:pt idx="32">
                  <c:v>1.5047700412928947E-2</c:v>
                </c:pt>
                <c:pt idx="33">
                  <c:v>9.3578242916132707E-3</c:v>
                </c:pt>
                <c:pt idx="34">
                  <c:v>7.2447671935070481E-3</c:v>
                </c:pt>
                <c:pt idx="35">
                  <c:v>7.5352413498504913E-3</c:v>
                </c:pt>
                <c:pt idx="36">
                  <c:v>9.0844368503488534E-3</c:v>
                </c:pt>
                <c:pt idx="37">
                  <c:v>6.1455218567563717E-3</c:v>
                </c:pt>
                <c:pt idx="38">
                  <c:v>6.8973373202335184E-3</c:v>
                </c:pt>
                <c:pt idx="39">
                  <c:v>3.9413356115620109E-3</c:v>
                </c:pt>
                <c:pt idx="40">
                  <c:v>3.5426455930514023E-3</c:v>
                </c:pt>
                <c:pt idx="41">
                  <c:v>3.3489961554891072E-3</c:v>
                </c:pt>
                <c:pt idx="42">
                  <c:v>2.8193079880392993E-3</c:v>
                </c:pt>
                <c:pt idx="43">
                  <c:v>3.1667378613128294E-3</c:v>
                </c:pt>
                <c:pt idx="44">
                  <c:v>2.6769186957140822E-3</c:v>
                </c:pt>
                <c:pt idx="45">
                  <c:v>2.1529260999572832E-3</c:v>
                </c:pt>
                <c:pt idx="46">
                  <c:v>1.7485405097536666E-3</c:v>
                </c:pt>
                <c:pt idx="47">
                  <c:v>2.5516161184678914E-3</c:v>
                </c:pt>
                <c:pt idx="48">
                  <c:v>1.2473302007689022E-3</c:v>
                </c:pt>
                <c:pt idx="49">
                  <c:v>1.2644169158479283E-3</c:v>
                </c:pt>
                <c:pt idx="50">
                  <c:v>1.1618966253737718E-3</c:v>
                </c:pt>
                <c:pt idx="51">
                  <c:v>1.3726327780150933E-3</c:v>
                </c:pt>
                <c:pt idx="52">
                  <c:v>1.1618966253737718E-3</c:v>
                </c:pt>
                <c:pt idx="53">
                  <c:v>1.0821586216716503E-3</c:v>
                </c:pt>
                <c:pt idx="54">
                  <c:v>7.461198917841378E-4</c:v>
                </c:pt>
                <c:pt idx="55">
                  <c:v>9.5116047273245056E-4</c:v>
                </c:pt>
                <c:pt idx="56">
                  <c:v>8.1446675210024202E-4</c:v>
                </c:pt>
                <c:pt idx="57">
                  <c:v>9.3407375765342448E-4</c:v>
                </c:pt>
                <c:pt idx="58">
                  <c:v>6.3790402961697284E-4</c:v>
                </c:pt>
                <c:pt idx="59">
                  <c:v>5.6386159760785993E-4</c:v>
                </c:pt>
                <c:pt idx="60">
                  <c:v>5.1829702406379038E-4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16552"/>
        <c:axId val="388691488"/>
      </c:lineChart>
      <c:catAx>
        <c:axId val="3174165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691488"/>
        <c:crosses val="autoZero"/>
        <c:auto val="1"/>
        <c:lblAlgn val="ctr"/>
        <c:lblOffset val="100"/>
        <c:tickLblSkip val="10"/>
        <c:noMultiLvlLbl val="0"/>
      </c:catAx>
      <c:valAx>
        <c:axId val="3886914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174165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25355.8677967829</v>
      </c>
      <c r="C11" s="520" t="n">
        <v>585.5319068026</v>
      </c>
      <c r="D11" s="520" t="n">
        <v>1693.8448047706</v>
      </c>
      <c r="E11" s="520">
        <f>SUM(B11:D11)</f>
        <v>27635.2445083561</v>
      </c>
      <c r="F11" s="21">
        <f>E11/$E$102</f>
        <v>0.17092484515318238</v>
      </c>
      <c r="H11" s="23">
        <v>0</v>
      </c>
      <c r="I11" s="522" t="n">
        <v>49038.0</v>
      </c>
      <c r="J11" s="522" t="n">
        <v>6694.0</v>
      </c>
      <c r="K11" s="522" t="n">
        <v>2407.0</v>
      </c>
      <c r="L11" s="520">
        <f>SUM(I11:K11)</f>
        <v>58715</v>
      </c>
      <c r="M11" s="21">
        <f>L11/$L$102</f>
        <v>0.33441549195500497</v>
      </c>
      <c r="P11" t="s">
        <v>9</v>
      </c>
      <c r="Q11" s="8" t="n">
        <v>3.917304119234497</v>
      </c>
      <c r="R11" s="8" t="n">
        <v>5.133375928604913</v>
      </c>
    </row>
    <row r="12" spans="1:18" x14ac:dyDescent="0.25">
      <c r="A12">
        <v>1</v>
      </c>
      <c r="B12" s="520" t="n">
        <v>16518.2922769167</v>
      </c>
      <c r="C12" s="520" t="n">
        <v>1000.3858103575</v>
      </c>
      <c r="D12" s="520" t="n">
        <v>1270.553164984</v>
      </c>
      <c r="E12" s="520">
        <f ref="E12:E75" si="0" t="shared">SUM(B12:D12)</f>
        <v>18789.231252258203</v>
      </c>
      <c r="F12" s="21">
        <f ref="F12:F75" si="1" t="shared">E12/$E$102</f>
        <v>0.11621197856123507</v>
      </c>
      <c r="H12" s="24">
        <v>1</v>
      </c>
      <c r="I12" s="522" t="n">
        <v>16043.0</v>
      </c>
      <c r="J12" s="522" t="n">
        <v>2524.0</v>
      </c>
      <c r="K12" s="522" t="n">
        <v>890.0</v>
      </c>
      <c r="L12" s="520">
        <f ref="L12:L75" si="2" t="shared">SUM(I12:K12)</f>
        <v>19274</v>
      </c>
      <c r="M12" s="21">
        <f ref="M12:M75" si="3" t="shared">L12/$L$102</f>
        <v>0.10977644881104941</v>
      </c>
      <c r="P12" t="s">
        <v>10</v>
      </c>
      <c r="Q12" s="8" t="n">
        <v>4.6972442458229375</v>
      </c>
      <c r="R12" s="8" t="n">
        <v>5.0892403329719444</v>
      </c>
    </row>
    <row r="13" spans="1:18" x14ac:dyDescent="0.25">
      <c r="A13">
        <v>2</v>
      </c>
      <c r="B13" s="520" t="n">
        <v>8768.9999038182</v>
      </c>
      <c r="C13" s="520" t="n">
        <v>0.0</v>
      </c>
      <c r="D13" s="520" t="n">
        <v>0.0</v>
      </c>
      <c r="E13" s="520">
        <f si="0" t="shared"/>
        <v>8768.9999038181995</v>
      </c>
      <c r="F13" s="21">
        <f si="1" t="shared"/>
        <v>5.4236536617405032E-2</v>
      </c>
      <c r="H13" s="25">
        <v>2</v>
      </c>
      <c r="I13" s="522" t="n">
        <v>9772.0</v>
      </c>
      <c r="J13" s="522" t="n">
        <v>1521.0</v>
      </c>
      <c r="K13" s="522" t="n">
        <v>455.0</v>
      </c>
      <c r="L13" s="520">
        <f si="2" t="shared"/>
        <v>11640</v>
      </c>
      <c r="M13" s="21">
        <f si="3" t="shared"/>
        <v>6.6296454506621097E-2</v>
      </c>
      <c r="P13" s="6" t="s">
        <v>11</v>
      </c>
      <c r="Q13" s="11" t="n">
        <v>4.455458028041579</v>
      </c>
      <c r="R13" s="11" t="n">
        <v>4.582168866451798</v>
      </c>
    </row>
    <row ht="15.75" r="14" spans="1:18" thickBot="1" x14ac:dyDescent="0.3">
      <c r="A14">
        <v>3</v>
      </c>
      <c r="B14" s="520" t="n">
        <v>24100.8544129426</v>
      </c>
      <c r="C14" s="520" t="n">
        <v>764.363108539</v>
      </c>
      <c r="D14" s="520" t="n">
        <v>0.0</v>
      </c>
      <c r="E14" s="520">
        <f si="0" t="shared"/>
        <v>24865.217521481602</v>
      </c>
      <c r="F14" s="21">
        <f si="1" t="shared"/>
        <v>0.15379214225060819</v>
      </c>
      <c r="H14" s="26">
        <v>3</v>
      </c>
      <c r="I14" s="522" t="n">
        <v>4880.0</v>
      </c>
      <c r="J14" s="522" t="n">
        <v>813.0</v>
      </c>
      <c r="K14" s="522" t="n">
        <v>248.0</v>
      </c>
      <c r="L14" s="520">
        <f si="2" t="shared"/>
        <v>5927</v>
      </c>
      <c r="M14" s="21">
        <f si="3" t="shared"/>
        <v>3.3757653424462478E-2</v>
      </c>
      <c r="P14" s="1" t="s">
        <v>4</v>
      </c>
      <c r="Q14" s="9" t="n">
        <v>3.9661080723263598</v>
      </c>
      <c r="R14" s="9" t="n">
        <v>5.105463085194345</v>
      </c>
    </row>
    <row r="15" spans="1:18" x14ac:dyDescent="0.25">
      <c r="A15">
        <v>4</v>
      </c>
      <c r="B15" s="520" t="n">
        <v>33855.9141608991</v>
      </c>
      <c r="C15" s="520" t="n">
        <v>1001.4134433272001</v>
      </c>
      <c r="D15" s="520" t="n">
        <v>295.6132959603</v>
      </c>
      <c r="E15" s="520">
        <f si="0" t="shared"/>
        <v>35152.940900186593</v>
      </c>
      <c r="F15" s="21">
        <f si="1" t="shared"/>
        <v>0.21742203070526714</v>
      </c>
      <c r="H15" s="27">
        <v>4</v>
      </c>
      <c r="I15" s="522" t="n">
        <v>15305.0</v>
      </c>
      <c r="J15" s="522" t="n">
        <v>2737.0</v>
      </c>
      <c r="K15" s="522" t="n">
        <v>825.0</v>
      </c>
      <c r="L15" s="520">
        <f si="2" t="shared"/>
        <v>18167</v>
      </c>
      <c r="M15" s="21">
        <f si="3" t="shared"/>
        <v>0.1034714509468888</v>
      </c>
    </row>
    <row r="16" spans="1:18" x14ac:dyDescent="0.25">
      <c r="A16">
        <v>5</v>
      </c>
      <c r="B16" s="520" t="n">
        <v>16114.7541682545</v>
      </c>
      <c r="C16" s="520" t="n">
        <v>1762.380686484</v>
      </c>
      <c r="D16" s="520" t="n">
        <v>86.2921514892</v>
      </c>
      <c r="E16" s="520">
        <f si="0" t="shared"/>
        <v>17963.427006227699</v>
      </c>
      <c r="F16" s="21">
        <f si="1" t="shared"/>
        <v>0.11110435366445065</v>
      </c>
      <c r="H16" s="28">
        <v>5</v>
      </c>
      <c r="I16" s="522" t="n">
        <v>10290.0</v>
      </c>
      <c r="J16" s="522" t="n">
        <v>1751.0</v>
      </c>
      <c r="K16" s="522" t="n">
        <v>509.0</v>
      </c>
      <c r="L16" s="520">
        <f si="2" t="shared"/>
        <v>11982</v>
      </c>
      <c r="M16" s="21">
        <f si="3" t="shared"/>
        <v>6.8244340025630068E-2</v>
      </c>
    </row>
    <row r="17" spans="1:13" x14ac:dyDescent="0.25">
      <c r="A17">
        <v>6</v>
      </c>
      <c r="B17" s="520" t="n">
        <v>7753.7434936679</v>
      </c>
      <c r="C17" s="520" t="n">
        <v>321.1044334949</v>
      </c>
      <c r="D17" s="520" t="n">
        <v>0.0</v>
      </c>
      <c r="E17" s="520">
        <f si="0" t="shared"/>
        <v>8074.8479271628003</v>
      </c>
      <c r="F17" s="21">
        <f si="1" t="shared"/>
        <v>4.9943185093530365E-2</v>
      </c>
      <c r="H17" s="29">
        <v>6</v>
      </c>
      <c r="I17" s="522" t="n">
        <v>7920.0</v>
      </c>
      <c r="J17" s="522" t="n">
        <v>1465.0</v>
      </c>
      <c r="K17" s="522" t="n">
        <v>392.0</v>
      </c>
      <c r="L17" s="520">
        <f si="2" t="shared"/>
        <v>10189</v>
      </c>
      <c r="M17" s="21">
        <f si="3" t="shared"/>
        <v>5.8032179980065497E-2</v>
      </c>
    </row>
    <row r="18" spans="1:13" x14ac:dyDescent="0.2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si="0" t="shared"/>
        <v>1196.4022201134999</v>
      </c>
      <c r="F18" s="21">
        <f si="1" t="shared"/>
        <v>7.3997848708011339E-3</v>
      </c>
      <c r="H18" s="30">
        <v>7</v>
      </c>
      <c r="I18" s="522" t="n">
        <v>4972.0</v>
      </c>
      <c r="J18" s="522" t="n">
        <v>841.0</v>
      </c>
      <c r="K18" s="522" t="n">
        <v>267.0</v>
      </c>
      <c r="L18" s="520">
        <f si="2" t="shared"/>
        <v>5869</v>
      </c>
      <c r="M18" s="21">
        <f si="3" t="shared"/>
        <v>3.3427310266267975E-2</v>
      </c>
    </row>
    <row r="19" spans="1:13" x14ac:dyDescent="0.2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si="0" t="shared"/>
        <v>6388.1883647323994</v>
      </c>
      <c r="F19" s="21">
        <f si="1" t="shared"/>
        <v>3.9511143341651553E-2</v>
      </c>
      <c r="H19" s="31">
        <v>8</v>
      </c>
      <c r="I19" s="522" t="n">
        <v>5325.0</v>
      </c>
      <c r="J19" s="522" t="n">
        <v>755.0</v>
      </c>
      <c r="K19" s="522" t="n">
        <v>194.0</v>
      </c>
      <c r="L19" s="520">
        <f si="2" t="shared"/>
        <v>6176</v>
      </c>
      <c r="M19" s="21">
        <f si="3" t="shared"/>
        <v>3.5175850776021644E-2</v>
      </c>
    </row>
    <row r="20" spans="1:13" x14ac:dyDescent="0.25">
      <c r="A20">
        <v>9</v>
      </c>
      <c r="B20" s="520" t="n">
        <v>1240.02198926</v>
      </c>
      <c r="C20" s="520" t="n">
        <v>0.0</v>
      </c>
      <c r="D20" s="520" t="n">
        <v>0.0</v>
      </c>
      <c r="E20" s="520">
        <f si="0" t="shared"/>
        <v>1240.0219892600001</v>
      </c>
      <c r="F20" s="21">
        <f si="1" t="shared"/>
        <v>7.6695744970419547E-3</v>
      </c>
      <c r="H20" s="32">
        <v>9</v>
      </c>
      <c r="I20" s="522" t="n">
        <v>3042.0</v>
      </c>
      <c r="J20" s="522" t="n">
        <v>529.0</v>
      </c>
      <c r="K20" s="522" t="n">
        <v>173.0</v>
      </c>
      <c r="L20" s="520">
        <f si="2" t="shared"/>
        <v>3041</v>
      </c>
      <c r="M20" s="21">
        <f si="3" t="shared"/>
        <v>1.7320233518439414E-2</v>
      </c>
    </row>
    <row r="21" spans="1:13" x14ac:dyDescent="0.25">
      <c r="A21">
        <v>10</v>
      </c>
      <c r="B21" s="520" t="n">
        <v>6464.3078289809</v>
      </c>
      <c r="C21" s="520" t="n">
        <v>0.0</v>
      </c>
      <c r="D21" s="520" t="n">
        <v>0.0</v>
      </c>
      <c r="E21" s="520">
        <f si="0" t="shared"/>
        <v>6464.3078289809</v>
      </c>
      <c r="F21" s="21">
        <f si="1" t="shared"/>
        <v>3.998194459097229E-2</v>
      </c>
      <c r="H21" s="33">
        <v>10</v>
      </c>
      <c r="I21" s="522" t="n">
        <v>1754.0</v>
      </c>
      <c r="J21" s="522" t="n">
        <v>293.0</v>
      </c>
      <c r="K21" s="522" t="n">
        <v>81.0</v>
      </c>
      <c r="L21" s="520">
        <f si="2" t="shared"/>
        <v>2477</v>
      </c>
      <c r="M21" s="21">
        <f si="3" t="shared"/>
        <v>1.4107931083582515E-2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1728.0</v>
      </c>
      <c r="J22" s="522" t="n">
        <v>278.0</v>
      </c>
      <c r="K22" s="522" t="n">
        <v>69.0</v>
      </c>
      <c r="L22" s="520">
        <f si="2" t="shared"/>
        <v>2216</v>
      </c>
      <c r="M22" s="21">
        <f si="3" t="shared"/>
        <v>1.2621386871707248E-2</v>
      </c>
    </row>
    <row r="23" spans="1:13" x14ac:dyDescent="0.2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si="0" t="shared"/>
        <v>1326.0752977530001</v>
      </c>
      <c r="F23" s="21">
        <f si="1" t="shared"/>
        <v>8.2018168813869745E-3</v>
      </c>
      <c r="H23" s="35">
        <v>12</v>
      </c>
      <c r="I23" s="522" t="n">
        <v>2318.0</v>
      </c>
      <c r="J23" s="522" t="n">
        <v>280.0</v>
      </c>
      <c r="K23" s="522" t="n">
        <v>90.0</v>
      </c>
      <c r="L23" s="520">
        <f si="2" t="shared"/>
        <v>2396</v>
      </c>
      <c r="M23" s="21">
        <f si="3" t="shared"/>
        <v>1.364658977644881E-2</v>
      </c>
    </row>
    <row r="24" spans="1:13" x14ac:dyDescent="0.25">
      <c r="A24">
        <v>13</v>
      </c>
      <c r="B24" s="520" t="n">
        <v>113.821184442</v>
      </c>
      <c r="C24" s="520" t="n">
        <v>0.0</v>
      </c>
      <c r="D24" s="520" t="n">
        <v>0.0</v>
      </c>
      <c r="E24" s="520">
        <f si="0" t="shared"/>
        <v>113.821184442</v>
      </c>
      <c r="F24" s="21">
        <f si="1" t="shared"/>
        <v>7.0398755907580518E-4</v>
      </c>
      <c r="H24" s="36">
        <v>13</v>
      </c>
      <c r="I24" s="522" t="n">
        <v>1961.0</v>
      </c>
      <c r="J24" s="522" t="n">
        <v>283.0</v>
      </c>
      <c r="K24" s="522" t="n">
        <v>64.0</v>
      </c>
      <c r="L24" s="520">
        <f si="2" t="shared"/>
        <v>2519</v>
      </c>
      <c r="M24" s="21">
        <f si="3" t="shared"/>
        <v>1.4347145094688879E-2</v>
      </c>
    </row>
    <row r="25" spans="1:13" x14ac:dyDescent="0.25">
      <c r="A25">
        <v>14</v>
      </c>
      <c r="B25" s="520" t="n">
        <v>47.4452354385</v>
      </c>
      <c r="C25" s="520" t="n">
        <v>209.43270979140001</v>
      </c>
      <c r="D25" s="520" t="n">
        <v>0.0</v>
      </c>
      <c r="E25" s="520">
        <f si="0" t="shared"/>
        <v>256.87794522990004</v>
      </c>
      <c r="F25" s="21">
        <f si="1" t="shared"/>
        <v>1.5887980653984143E-3</v>
      </c>
      <c r="H25" s="37">
        <v>14</v>
      </c>
      <c r="I25" s="522" t="n">
        <v>1372.0</v>
      </c>
      <c r="J25" s="522" t="n">
        <v>214.0</v>
      </c>
      <c r="K25" s="522" t="n">
        <v>53.0</v>
      </c>
      <c r="L25" s="520">
        <f si="2" t="shared"/>
        <v>1562</v>
      </c>
      <c r="M25" s="21">
        <f si="3" t="shared"/>
        <v>8.8964829844795663E-3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si="0" t="shared"/>
        <v>0</v>
      </c>
      <c r="F26" s="21">
        <f si="1" t="shared"/>
        <v>0</v>
      </c>
      <c r="H26" s="38">
        <v>15</v>
      </c>
      <c r="I26" s="522" t="n">
        <v>1456.0</v>
      </c>
      <c r="J26" s="522" t="n">
        <v>218.0</v>
      </c>
      <c r="K26" s="522" t="n">
        <v>62.0</v>
      </c>
      <c r="L26" s="520">
        <f si="2" t="shared"/>
        <v>1491</v>
      </c>
      <c r="M26" s="21">
        <f si="3" t="shared"/>
        <v>8.492097394275951E-3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si="0" t="shared"/>
        <v>383.20655539199998</v>
      </c>
      <c r="F27" s="21">
        <f si="1" t="shared"/>
        <v>2.3701444408156707E-3</v>
      </c>
      <c r="H27" s="39">
        <v>16</v>
      </c>
      <c r="I27" s="522" t="n">
        <v>1312.0</v>
      </c>
      <c r="J27" s="522" t="n">
        <v>208.0</v>
      </c>
      <c r="K27" s="522" t="n">
        <v>52.0</v>
      </c>
      <c r="L27" s="520">
        <f si="2" t="shared"/>
        <v>1528</v>
      </c>
      <c r="M27" s="21">
        <f si="3" t="shared"/>
        <v>8.702833546917272E-3</v>
      </c>
    </row>
    <row r="28" spans="1:13" x14ac:dyDescent="0.2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si="0" t="shared"/>
        <v>241.88545563549999</v>
      </c>
      <c r="F28" s="21">
        <f si="1" t="shared"/>
        <v>1.4960690518516491E-3</v>
      </c>
      <c r="H28" s="40">
        <v>17</v>
      </c>
      <c r="I28" s="522" t="n">
        <v>1011.0</v>
      </c>
      <c r="J28" s="522" t="n">
        <v>160.0</v>
      </c>
      <c r="K28" s="522" t="n">
        <v>34.0</v>
      </c>
      <c r="L28" s="520">
        <f si="2" t="shared"/>
        <v>1076</v>
      </c>
      <c r="M28" s="21">
        <f si="3" t="shared"/>
        <v>6.1284351416773459E-3</v>
      </c>
    </row>
    <row r="29" spans="1:13" x14ac:dyDescent="0.2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si="0" t="shared"/>
        <v>264.43274332840002</v>
      </c>
      <c r="F29" s="21">
        <f si="1" t="shared"/>
        <v>1.6355247261579822E-3</v>
      </c>
      <c r="H29" s="41">
        <v>18</v>
      </c>
      <c r="I29" s="522" t="n">
        <v>910.0</v>
      </c>
      <c r="J29" s="522" t="n">
        <v>140.0</v>
      </c>
      <c r="K29" s="522" t="n">
        <v>49.0</v>
      </c>
      <c r="L29" s="520">
        <f si="2" t="shared"/>
        <v>1245</v>
      </c>
      <c r="M29" s="21">
        <f si="3" t="shared"/>
        <v>7.0909867577958136E-3</v>
      </c>
    </row>
    <row r="30" spans="1:13" x14ac:dyDescent="0.25">
      <c r="A30">
        <v>19</v>
      </c>
      <c r="B30" s="520" t="n">
        <v>18.7005063981</v>
      </c>
      <c r="C30" s="520" t="n">
        <v>0.0</v>
      </c>
      <c r="D30" s="520" t="n">
        <v>0.0</v>
      </c>
      <c r="E30" s="520">
        <f si="0" t="shared"/>
        <v>18.7005063981</v>
      </c>
      <c r="F30" s="21">
        <f si="1" t="shared"/>
        <v>1.1566321258401912E-4</v>
      </c>
      <c r="H30" s="42">
        <v>19</v>
      </c>
      <c r="I30" s="522" t="n">
        <v>689.0</v>
      </c>
      <c r="J30" s="522" t="n">
        <v>115.0</v>
      </c>
      <c r="K30" s="522" t="n">
        <v>33.0</v>
      </c>
      <c r="L30" s="520">
        <f si="2" t="shared"/>
        <v>895</v>
      </c>
      <c r="M30" s="21">
        <f si="3" t="shared"/>
        <v>5.0975366652427738E-3</v>
      </c>
    </row>
    <row r="31" spans="1:13" x14ac:dyDescent="0.2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si="0" t="shared"/>
        <v>137.28633134540001</v>
      </c>
      <c r="F31" s="21">
        <f si="1" t="shared"/>
        <v>8.4912022109178917E-4</v>
      </c>
      <c r="H31" s="43">
        <v>20</v>
      </c>
      <c r="I31" s="522" t="n">
        <v>726.0</v>
      </c>
      <c r="J31" s="522" t="n">
        <v>93.0</v>
      </c>
      <c r="K31" s="522" t="n">
        <v>28.0</v>
      </c>
      <c r="L31" s="520">
        <f si="2" t="shared"/>
        <v>767</v>
      </c>
      <c r="M31" s="21">
        <f si="3" t="shared"/>
        <v>4.3685034885376619E-3</v>
      </c>
    </row>
    <row r="32" spans="1:13" x14ac:dyDescent="0.2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si="0" t="shared"/>
        <v>327.03985617900003</v>
      </c>
      <c r="F32" s="21">
        <f si="1" t="shared"/>
        <v>2.0227516626245986E-3</v>
      </c>
      <c r="H32" s="44">
        <v>21</v>
      </c>
      <c r="I32" s="522" t="n">
        <v>625.0</v>
      </c>
      <c r="J32" s="522" t="n">
        <v>70.0</v>
      </c>
      <c r="K32" s="522" t="n">
        <v>17.0</v>
      </c>
      <c r="L32" s="520">
        <f si="2" t="shared"/>
        <v>743</v>
      </c>
      <c r="M32" s="21">
        <f si="3" t="shared"/>
        <v>4.2318097679054532E-3</v>
      </c>
    </row>
    <row r="33" spans="1:13" x14ac:dyDescent="0.25">
      <c r="A33">
        <v>22</v>
      </c>
      <c r="B33" s="520" t="n">
        <v>0.0</v>
      </c>
      <c r="C33" s="520" t="n">
        <v>0.0</v>
      </c>
      <c r="D33" s="520" t="n">
        <v>0.0</v>
      </c>
      <c r="E33" s="520">
        <f si="0" t="shared"/>
        <v>0</v>
      </c>
      <c r="F33" s="21">
        <f si="1" t="shared"/>
        <v>0</v>
      </c>
      <c r="H33" s="45">
        <v>22</v>
      </c>
      <c r="I33" s="522" t="n">
        <v>571.0</v>
      </c>
      <c r="J33" s="522" t="n">
        <v>82.0</v>
      </c>
      <c r="K33" s="522" t="n">
        <v>18.0</v>
      </c>
      <c r="L33" s="520">
        <f si="2" t="shared"/>
        <v>658</v>
      </c>
      <c r="M33" s="21">
        <f si="3" t="shared"/>
        <v>3.7476861739997153E-3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452.0</v>
      </c>
      <c r="J34" s="522" t="n">
        <v>75.0</v>
      </c>
      <c r="K34" s="522" t="n">
        <v>18.0</v>
      </c>
      <c r="L34" s="520">
        <f si="2" t="shared"/>
        <v>558</v>
      </c>
      <c r="M34" s="21">
        <f si="3" t="shared"/>
        <v>3.1781290046988468E-3</v>
      </c>
    </row>
    <row r="35" spans="1:13" x14ac:dyDescent="0.2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si="0" t="shared"/>
        <v>66.504124486899997</v>
      </c>
      <c r="F35" s="21">
        <f si="1" t="shared"/>
        <v>4.1133007441038671E-4</v>
      </c>
      <c r="H35" s="47">
        <v>24</v>
      </c>
      <c r="I35" s="522" t="n">
        <v>387.0</v>
      </c>
      <c r="J35" s="522" t="n">
        <v>53.0</v>
      </c>
      <c r="K35" s="522" t="n">
        <v>17.0</v>
      </c>
      <c r="L35" s="520">
        <f si="2" t="shared"/>
        <v>487</v>
      </c>
      <c r="M35" s="21">
        <f si="3" t="shared"/>
        <v>2.7737434144952298E-3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438.0</v>
      </c>
      <c r="J36" s="522" t="n">
        <v>55.0</v>
      </c>
      <c r="K36" s="522" t="n">
        <v>9.0</v>
      </c>
      <c r="L36" s="520">
        <f si="2" t="shared"/>
        <v>441</v>
      </c>
      <c r="M36" s="21">
        <f si="3" t="shared"/>
        <v>2.5117471166168303E-3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282.0</v>
      </c>
      <c r="J37" s="522" t="n">
        <v>32.0</v>
      </c>
      <c r="K37" s="522" t="n">
        <v>14.0</v>
      </c>
      <c r="L37" s="520">
        <f si="2" t="shared"/>
        <v>400</v>
      </c>
      <c r="M37" s="21">
        <f si="3" t="shared"/>
        <v>2.2782286772034745E-3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294.0</v>
      </c>
      <c r="J38" s="522" t="n">
        <v>28.0</v>
      </c>
      <c r="K38" s="522" t="n">
        <v>12.0</v>
      </c>
      <c r="L38" s="520">
        <f si="2" t="shared"/>
        <v>310</v>
      </c>
      <c r="M38" s="21">
        <f si="3" t="shared"/>
        <v>1.7656272248326925E-3</v>
      </c>
    </row>
    <row r="39" spans="1:13" x14ac:dyDescent="0.2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si="0" t="shared"/>
        <v>83.397824889500001</v>
      </c>
      <c r="F39" s="21">
        <f si="1" t="shared"/>
        <v>5.1581813582433759E-4</v>
      </c>
      <c r="H39" s="51">
        <v>28</v>
      </c>
      <c r="I39" s="522" t="n">
        <v>239.0</v>
      </c>
      <c r="J39" s="522" t="n">
        <v>25.0</v>
      </c>
      <c r="K39" s="522" t="n">
        <v>8.0</v>
      </c>
      <c r="L39" s="520">
        <f si="2" t="shared"/>
        <v>304</v>
      </c>
      <c r="M39" s="21">
        <f si="3" t="shared"/>
        <v>1.7314537946746405E-3</v>
      </c>
    </row>
    <row r="40" spans="1:13" x14ac:dyDescent="0.2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si="0" t="shared"/>
        <v>181.889208126</v>
      </c>
      <c r="F40" s="21">
        <f si="1" t="shared"/>
        <v>1.1249903985677051E-3</v>
      </c>
      <c r="H40" s="52">
        <v>29</v>
      </c>
      <c r="I40" s="522" t="n">
        <v>195.0</v>
      </c>
      <c r="J40" s="522" t="n">
        <v>18.0</v>
      </c>
      <c r="K40" s="522" t="n">
        <v>4.0</v>
      </c>
      <c r="L40" s="520">
        <f si="2" t="shared"/>
        <v>248</v>
      </c>
      <c r="M40" s="21">
        <f si="3" t="shared"/>
        <v>1.4125017798661541E-3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250.0</v>
      </c>
      <c r="J41" s="522" t="n">
        <v>29.0</v>
      </c>
      <c r="K41" s="522" t="n">
        <v>10.0</v>
      </c>
      <c r="L41" s="520">
        <f si="2" t="shared"/>
        <v>222</v>
      </c>
      <c r="M41" s="21">
        <f si="3" t="shared"/>
        <v>1.2644169158479283E-3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193.0</v>
      </c>
      <c r="J42" s="522" t="n">
        <v>23.0</v>
      </c>
      <c r="K42" s="522" t="n">
        <v>9.0</v>
      </c>
      <c r="L42" s="520">
        <f si="2" t="shared"/>
        <v>217</v>
      </c>
      <c r="M42" s="21">
        <f si="3" t="shared"/>
        <v>1.2359390573828848E-3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129.0</v>
      </c>
      <c r="J43" s="522" t="n">
        <v>17.0</v>
      </c>
      <c r="K43" s="522" t="n">
        <v>6.0</v>
      </c>
      <c r="L43" s="520">
        <f si="2" t="shared"/>
        <v>172</v>
      </c>
      <c r="M43" s="21">
        <f si="3" t="shared"/>
        <v>9.7963833119749403E-4</v>
      </c>
    </row>
    <row r="44" spans="1:13" x14ac:dyDescent="0.2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si="0" t="shared"/>
        <v>275.30993356699997</v>
      </c>
      <c r="F44" s="21">
        <f si="1" t="shared"/>
        <v>1.7028004854396574E-3</v>
      </c>
      <c r="H44" s="56">
        <v>33</v>
      </c>
      <c r="I44" s="522" t="n">
        <v>127.0</v>
      </c>
      <c r="J44" s="522" t="n">
        <v>24.0</v>
      </c>
      <c r="K44" s="522" t="n">
        <v>7.0</v>
      </c>
      <c r="L44" s="520">
        <f si="2" t="shared"/>
        <v>161</v>
      </c>
      <c r="M44" s="21">
        <f si="3" t="shared"/>
        <v>9.169870425743984E-4</v>
      </c>
    </row>
    <row r="45" spans="1:13" x14ac:dyDescent="0.2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si="0" t="shared"/>
        <v>944.88064624599997</v>
      </c>
      <c r="F45" s="21">
        <f si="1" t="shared"/>
        <v>5.8441161285546946E-3</v>
      </c>
      <c r="H45" s="57">
        <v>34</v>
      </c>
      <c r="I45" s="522" t="n">
        <v>133.0</v>
      </c>
      <c r="J45" s="522" t="n">
        <v>12.0</v>
      </c>
      <c r="K45" s="522" t="n">
        <v>8.0</v>
      </c>
      <c r="L45" s="520">
        <f si="2" t="shared"/>
        <v>154</v>
      </c>
      <c r="M45" s="21">
        <f si="3" t="shared"/>
        <v>8.7711804072333765E-4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109.0</v>
      </c>
      <c r="J46" s="522" t="n">
        <v>13.0</v>
      </c>
      <c r="K46" s="522" t="n">
        <v>5.0</v>
      </c>
      <c r="L46" s="520">
        <f si="2" t="shared"/>
        <v>106</v>
      </c>
      <c r="M46" s="21">
        <f si="3" t="shared"/>
        <v>6.0373059945892068E-4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146.0</v>
      </c>
      <c r="J47" s="522" t="n">
        <v>25.0</v>
      </c>
      <c r="K47" s="522" t="n">
        <v>5.0</v>
      </c>
      <c r="L47" s="520">
        <f si="2" t="shared"/>
        <v>196</v>
      </c>
      <c r="M47" s="21">
        <f si="3" t="shared"/>
        <v>1.1163320518297025E-3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88.0</v>
      </c>
      <c r="J48" s="522" t="n">
        <v>10.0</v>
      </c>
      <c r="K48" s="522" t="n">
        <v>2.0</v>
      </c>
      <c r="L48" s="520">
        <f si="2" t="shared"/>
        <v>118</v>
      </c>
      <c r="M48" s="21">
        <f si="3" t="shared"/>
        <v>6.7207745977502489E-4</v>
      </c>
    </row>
    <row r="49" spans="1:13" x14ac:dyDescent="0.2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si="0" t="shared"/>
        <v>520.53895734900004</v>
      </c>
      <c r="F49" s="21">
        <f si="1" t="shared"/>
        <v>3.2195496100703561E-3</v>
      </c>
      <c r="H49" s="61">
        <v>38</v>
      </c>
      <c r="I49" s="522" t="n">
        <v>137.0</v>
      </c>
      <c r="J49" s="522" t="n">
        <v>11.0</v>
      </c>
      <c r="K49" s="522" t="n">
        <v>4.0</v>
      </c>
      <c r="L49" s="520">
        <f si="2" t="shared"/>
        <v>131</v>
      </c>
      <c r="M49" s="21">
        <f si="3" t="shared"/>
        <v>7.461198917841378E-4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88.0</v>
      </c>
      <c r="J50" s="522" t="n">
        <v>7.0</v>
      </c>
      <c r="K50" s="522" t="n">
        <v>2.0</v>
      </c>
      <c r="L50" s="520">
        <f si="2" t="shared"/>
        <v>98</v>
      </c>
      <c r="M50" s="21">
        <f si="3" t="shared"/>
        <v>5.5816602591485123E-4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88.0</v>
      </c>
      <c r="J51" s="522" t="n">
        <v>11.0</v>
      </c>
      <c r="K51" s="522" t="n">
        <v>2.0</v>
      </c>
      <c r="L51" s="520">
        <f si="2" t="shared"/>
        <v>95</v>
      </c>
      <c r="M51" s="21">
        <f si="3" t="shared"/>
        <v>5.4107931083582515E-4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64.0</v>
      </c>
      <c r="J52" s="522" t="n">
        <v>10.0</v>
      </c>
      <c r="K52" s="522" t="n">
        <v>0.0</v>
      </c>
      <c r="L52" s="520">
        <f si="2" t="shared"/>
        <v>83</v>
      </c>
      <c r="M52" s="21">
        <f si="3" t="shared"/>
        <v>4.7273245051972093E-4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61.0</v>
      </c>
      <c r="J53" s="522" t="n">
        <v>8.0</v>
      </c>
      <c r="K53" s="522" t="n">
        <v>1.0</v>
      </c>
      <c r="L53" s="520">
        <f si="2" t="shared"/>
        <v>67</v>
      </c>
      <c r="M53" s="21">
        <f si="3" t="shared"/>
        <v>3.8160330343158194E-4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52.0</v>
      </c>
      <c r="J54" s="522" t="n">
        <v>6.0</v>
      </c>
      <c r="K54" s="522" t="n">
        <v>0.0</v>
      </c>
      <c r="L54" s="520">
        <f si="2" t="shared"/>
        <v>57</v>
      </c>
      <c r="M54" s="21">
        <f si="3" t="shared"/>
        <v>3.2464758650149511E-4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54.0</v>
      </c>
      <c r="J55" s="522" t="n">
        <v>5.0</v>
      </c>
      <c r="K55" s="522" t="n">
        <v>1.0</v>
      </c>
      <c r="L55" s="520">
        <f si="2" t="shared"/>
        <v>43</v>
      </c>
      <c r="M55" s="21">
        <f si="3" t="shared"/>
        <v>2.4490958279937351E-4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44.0</v>
      </c>
      <c r="J56" s="522" t="n">
        <v>12.0</v>
      </c>
      <c r="K56" s="522" t="n">
        <v>0.0</v>
      </c>
      <c r="L56" s="520">
        <f si="2" t="shared"/>
        <v>42</v>
      </c>
      <c r="M56" s="21">
        <f si="3" t="shared"/>
        <v>2.3921401110636481E-4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36.0</v>
      </c>
      <c r="J57" s="522" t="n">
        <v>8.0</v>
      </c>
      <c r="K57" s="522" t="n">
        <v>1.0</v>
      </c>
      <c r="L57" s="520">
        <f si="2" t="shared"/>
        <v>39</v>
      </c>
      <c r="M57" s="21">
        <f si="3" t="shared"/>
        <v>2.2212729602733873E-4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40.0</v>
      </c>
      <c r="J58" s="522" t="n">
        <v>5.0</v>
      </c>
      <c r="K58" s="522" t="n">
        <v>0.0</v>
      </c>
      <c r="L58" s="520">
        <f si="2" t="shared"/>
        <v>28</v>
      </c>
      <c r="M58" s="21">
        <f si="3" t="shared"/>
        <v>1.5947600740424321E-4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30.0</v>
      </c>
      <c r="J59" s="522" t="n">
        <v>2.0</v>
      </c>
      <c r="K59" s="522" t="n">
        <v>0.0</v>
      </c>
      <c r="L59" s="520">
        <f si="2" t="shared"/>
        <v>29</v>
      </c>
      <c r="M59" s="21">
        <f si="3" t="shared"/>
        <v>1.6517157909725188E-4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19.0</v>
      </c>
      <c r="J60" s="522" t="n">
        <v>2.0</v>
      </c>
      <c r="K60" s="522" t="n">
        <v>0.0</v>
      </c>
      <c r="L60" s="520">
        <f si="2" t="shared"/>
        <v>23</v>
      </c>
      <c r="M60" s="21">
        <f si="3" t="shared"/>
        <v>1.3099814893919977E-4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22.0</v>
      </c>
      <c r="J61" s="522" t="n">
        <v>2.0</v>
      </c>
      <c r="K61" s="522" t="n">
        <v>0.0</v>
      </c>
      <c r="L61" s="520">
        <f si="2" t="shared"/>
        <v>30</v>
      </c>
      <c r="M61" s="21">
        <f si="3" t="shared"/>
        <v>1.7086715079026057E-4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29.0</v>
      </c>
      <c r="J62" s="522" t="n">
        <v>3.0</v>
      </c>
      <c r="K62" s="522" t="n">
        <v>0.0</v>
      </c>
      <c r="L62" s="520">
        <f si="2" t="shared"/>
        <v>31</v>
      </c>
      <c r="M62" s="21">
        <f si="3" t="shared"/>
        <v>1.7656272248326926E-4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17.0</v>
      </c>
      <c r="J63" s="522" t="n">
        <v>0.0</v>
      </c>
      <c r="K63" s="522" t="n">
        <v>1.0</v>
      </c>
      <c r="L63" s="520">
        <f si="2" t="shared"/>
        <v>19</v>
      </c>
      <c r="M63" s="21">
        <f si="3" t="shared"/>
        <v>1.0821586216716503E-4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13.0</v>
      </c>
      <c r="J64" s="522" t="n">
        <v>0.0</v>
      </c>
      <c r="K64" s="522" t="n">
        <v>1.0</v>
      </c>
      <c r="L64" s="520">
        <f si="2" t="shared"/>
        <v>14</v>
      </c>
      <c r="M64" s="21">
        <f si="3" t="shared"/>
        <v>7.9738003702121605E-5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19.0</v>
      </c>
      <c r="J65" s="522" t="n">
        <v>0.0</v>
      </c>
      <c r="K65" s="522" t="n">
        <v>0.0</v>
      </c>
      <c r="L65" s="520">
        <f si="2" t="shared"/>
        <v>8</v>
      </c>
      <c r="M65" s="21">
        <f si="3" t="shared"/>
        <v>4.5564573544069483E-5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19.0</v>
      </c>
      <c r="J66" s="522" t="n">
        <v>1.0</v>
      </c>
      <c r="K66" s="522" t="n">
        <v>1.0</v>
      </c>
      <c r="L66" s="520">
        <f si="2" t="shared"/>
        <v>6</v>
      </c>
      <c r="M66" s="21">
        <f si="3" t="shared"/>
        <v>3.4173430158052115E-5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13.0</v>
      </c>
      <c r="J67" s="522" t="n">
        <v>1.0</v>
      </c>
      <c r="K67" s="522" t="n">
        <v>2.0</v>
      </c>
      <c r="L67" s="520">
        <f si="2" t="shared"/>
        <v>12</v>
      </c>
      <c r="M67" s="21">
        <f si="3" t="shared"/>
        <v>6.8346860316104231E-5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6.0</v>
      </c>
      <c r="J68" s="522" t="n">
        <v>0.0</v>
      </c>
      <c r="K68" s="522" t="n">
        <v>0.0</v>
      </c>
      <c r="L68" s="520">
        <f si="2" t="shared"/>
        <v>4</v>
      </c>
      <c r="M68" s="21">
        <f si="3" t="shared"/>
        <v>2.2782286772034741E-5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6.0</v>
      </c>
      <c r="J69" s="522" t="n">
        <v>2.0</v>
      </c>
      <c r="K69" s="522" t="n">
        <v>0.0</v>
      </c>
      <c r="L69" s="520">
        <f si="2" t="shared"/>
        <v>15</v>
      </c>
      <c r="M69" s="21">
        <f si="3" t="shared"/>
        <v>8.5433575395130285E-5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10.0</v>
      </c>
      <c r="J70" s="522" t="n">
        <v>0.0</v>
      </c>
      <c r="K70" s="522" t="n">
        <v>0.0</v>
      </c>
      <c r="L70" s="520">
        <f si="2" t="shared"/>
        <v>6</v>
      </c>
      <c r="M70" s="21">
        <f si="3" t="shared"/>
        <v>3.4173430158052115E-5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8.0</v>
      </c>
      <c r="J71" s="522" t="n">
        <v>0.0</v>
      </c>
      <c r="K71" s="522" t="n">
        <v>0.0</v>
      </c>
      <c r="L71" s="520">
        <f si="2" t="shared"/>
        <v>4</v>
      </c>
      <c r="M71" s="21">
        <f si="3" t="shared"/>
        <v>2.2782286772034741E-5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9.0</v>
      </c>
      <c r="J72" s="522" t="n">
        <v>1.0</v>
      </c>
      <c r="K72" s="522" t="n">
        <v>0.0</v>
      </c>
      <c r="L72" s="520">
        <f si="2" t="shared"/>
        <v>6</v>
      </c>
      <c r="M72" s="21">
        <f si="3" t="shared"/>
        <v>3.4173430158052115E-5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3.0</v>
      </c>
      <c r="J73" s="522" t="n">
        <v>1.0</v>
      </c>
      <c r="K73" s="522" t="n">
        <v>0.0</v>
      </c>
      <c r="L73" s="520">
        <f si="2" t="shared"/>
        <v>7</v>
      </c>
      <c r="M73" s="21">
        <f si="3" t="shared"/>
        <v>3.9869001851060802E-5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11.0</v>
      </c>
      <c r="J74" s="522" t="n">
        <v>2.0</v>
      </c>
      <c r="K74" s="522" t="n">
        <v>0.0</v>
      </c>
      <c r="L74" s="520">
        <f si="2" t="shared"/>
        <v>2</v>
      </c>
      <c r="M74" s="21">
        <f si="3" t="shared"/>
        <v>1.1391143386017371E-5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6.0</v>
      </c>
      <c r="J75" s="522" t="n">
        <v>0.0</v>
      </c>
      <c r="K75" s="522" t="n">
        <v>0.0</v>
      </c>
      <c r="L75" s="520">
        <f si="2" t="shared"/>
        <v>2</v>
      </c>
      <c r="M75" s="21">
        <f si="3" t="shared"/>
        <v>1.1391143386017371E-5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3.0</v>
      </c>
      <c r="J76" s="522" t="n">
        <v>1.0</v>
      </c>
      <c r="K76" s="522" t="n">
        <v>0.0</v>
      </c>
      <c r="L76" s="520">
        <f ref="L76:L101" si="6" t="shared">SUM(I76:K76)</f>
        <v>5</v>
      </c>
      <c r="M76" s="21">
        <f ref="M76:M102" si="7" t="shared">L76/$L$102</f>
        <v>2.8477858465043428E-5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3.0</v>
      </c>
      <c r="J77" s="522" t="n">
        <v>0.0</v>
      </c>
      <c r="K77" s="522" t="n">
        <v>1.0</v>
      </c>
      <c r="L77" s="520">
        <f si="6" t="shared"/>
        <v>3</v>
      </c>
      <c r="M77" s="21">
        <f si="7" t="shared"/>
        <v>1.7086715079026058E-5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2.0</v>
      </c>
      <c r="J78" s="522" t="n">
        <v>0.0</v>
      </c>
      <c r="K78" s="522" t="n">
        <v>0.0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4.0</v>
      </c>
      <c r="J79" s="522" t="n">
        <v>1.0</v>
      </c>
      <c r="K79" s="522" t="n">
        <v>0.0</v>
      </c>
      <c r="L79" s="520">
        <f si="6" t="shared"/>
        <v>3</v>
      </c>
      <c r="M79" s="21">
        <f si="7" t="shared"/>
        <v>1.7086715079026058E-5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1.0</v>
      </c>
      <c r="J80" s="522" t="n">
        <v>0.0</v>
      </c>
      <c r="K80" s="522" t="n">
        <v>0.0</v>
      </c>
      <c r="L80" s="520">
        <f si="6" t="shared"/>
        <v>3</v>
      </c>
      <c r="M80" s="21">
        <f si="7" t="shared"/>
        <v>1.7086715079026058E-5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3.0</v>
      </c>
      <c r="J81" s="522" t="n">
        <v>0.0</v>
      </c>
      <c r="K81" s="522" t="n">
        <v>0.0</v>
      </c>
      <c r="L81" s="520">
        <f si="6" t="shared"/>
        <v>3</v>
      </c>
      <c r="M81" s="21">
        <f si="7" t="shared"/>
        <v>1.7086715079026058E-5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1.0</v>
      </c>
      <c r="J82" s="522" t="n">
        <v>0.0</v>
      </c>
      <c r="K82" s="522" t="n">
        <v>0.0</v>
      </c>
      <c r="L82" s="520">
        <f si="6" t="shared"/>
        <v>1</v>
      </c>
      <c r="M82" s="21">
        <f si="7" t="shared"/>
        <v>5.6955716930086853E-6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0.0</v>
      </c>
      <c r="J83" s="522" t="n">
        <v>0.0</v>
      </c>
      <c r="K83" s="522" t="n">
        <v>0.0</v>
      </c>
      <c r="L83" s="520">
        <f si="6" t="shared"/>
        <v>2</v>
      </c>
      <c r="M83" s="21">
        <f si="7" t="shared"/>
        <v>1.1391143386017371E-5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si="6" t="shared"/>
        <v>2</v>
      </c>
      <c r="M84" s="21">
        <f si="7" t="shared"/>
        <v>1.1391143386017371E-5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si="6" t="shared"/>
        <v>1</v>
      </c>
      <c r="M87" s="21">
        <f si="7" t="shared"/>
        <v>5.6955716930086853E-6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1.0</v>
      </c>
      <c r="J88" s="522" t="n">
        <v>0.0</v>
      </c>
      <c r="K88" s="522" t="n">
        <v>1.0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2</v>
      </c>
      <c r="M89" s="21">
        <f si="7" t="shared"/>
        <v>1.1391143386017371E-5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1</v>
      </c>
      <c r="M93" s="21">
        <f si="7" t="shared"/>
        <v>5.6955716930086853E-6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2.0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1.0</v>
      </c>
      <c r="J99" s="522" t="n">
        <v>0.0</v>
      </c>
      <c r="K99" s="522" t="n">
        <v>0.0</v>
      </c>
      <c r="L99" s="520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1</v>
      </c>
      <c r="M100" s="21">
        <f si="7" t="shared"/>
        <v>5.6955716930086853E-6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si="6" t="shared"/>
        <v>0</v>
      </c>
      <c r="M101" s="21">
        <f si="7" t="shared"/>
        <v>0</v>
      </c>
    </row>
    <row r="102" spans="1:13" x14ac:dyDescent="0.25">
      <c r="B102" s="520"/>
      <c r="C102" s="520"/>
      <c r="D102" s="520"/>
      <c r="E102" s="520">
        <f>SUM(E11:E101)</f>
        <v>161680.67599294573</v>
      </c>
      <c r="F102" s="21">
        <f si="5" t="shared"/>
        <v>1</v>
      </c>
      <c r="I102" s="520"/>
      <c r="J102" s="520"/>
      <c r="K102" s="520"/>
      <c r="L102" s="520">
        <f>SUM(L11:L101)</f>
        <v>175575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8179.0</v>
      </c>
      <c r="J11" s="293" t="n">
        <v>1296.0</v>
      </c>
      <c r="K11" s="383" t="n">
        <v>417.0</v>
      </c>
      <c r="L11">
        <f>SUM(I11:K11)</f>
        <v>10233</v>
      </c>
      <c r="M11" s="21">
        <f>L11/$L$102</f>
        <v>5.8282785134557882E-2</v>
      </c>
      <c r="P11" t="s">
        <v>9</v>
      </c>
      <c r="Q11" s="8" t="n">
        <v>16.663906667885954</v>
      </c>
      <c r="R11" s="8" t="n">
        <v>15.112470560296174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0</v>
      </c>
      <c r="F12" s="21">
        <f ref="F12:F75" si="1" t="shared">E12/$E$102</f>
        <v>0</v>
      </c>
      <c r="H12" s="114">
        <v>1</v>
      </c>
      <c r="I12" s="204" t="n">
        <v>11730.0</v>
      </c>
      <c r="J12" s="294" t="n">
        <v>1590.0</v>
      </c>
      <c r="K12" s="384" t="n">
        <v>615.0</v>
      </c>
      <c r="L12">
        <f ref="L12:L75" si="2" t="shared">SUM(I12:K12)</f>
        <v>13675</v>
      </c>
      <c r="M12" s="21">
        <f ref="M12:M75" si="3" t="shared">L12/$L$102</f>
        <v>7.7886942901893783E-2</v>
      </c>
      <c r="P12" t="s">
        <v>10</v>
      </c>
      <c r="Q12" s="8" t="n">
        <v>17.31263647786032</v>
      </c>
      <c r="R12" s="8" t="n">
        <v>15.313836283979617</v>
      </c>
    </row>
    <row r="13" spans="1:18" x14ac:dyDescent="0.25">
      <c r="A13">
        <v>2</v>
      </c>
      <c r="B13" s="8" t="n">
        <v>157.5695540122</v>
      </c>
      <c r="C13" s="8" t="n">
        <v>0.0</v>
      </c>
      <c r="D13" s="8" t="n">
        <v>0.0</v>
      </c>
      <c r="E13" s="8">
        <f si="0" t="shared"/>
        <v>157.5695540122</v>
      </c>
      <c r="F13" s="21">
        <f si="1" t="shared"/>
        <v>9.7457258292929765E-4</v>
      </c>
      <c r="H13" s="115">
        <v>2</v>
      </c>
      <c r="I13" s="205" t="n">
        <v>10580.0</v>
      </c>
      <c r="J13" s="295" t="n">
        <v>1346.0</v>
      </c>
      <c r="K13" s="385" t="n">
        <v>534.0</v>
      </c>
      <c r="L13">
        <f si="2" t="shared"/>
        <v>12374</v>
      </c>
      <c r="M13" s="21">
        <f si="3" t="shared"/>
        <v>7.0477004129289478E-2</v>
      </c>
      <c r="P13" s="6" t="s">
        <v>11</v>
      </c>
      <c r="Q13" s="11" t="n">
        <v>18.599176063687192</v>
      </c>
      <c r="R13" s="8" t="n">
        <v>14.106912458233692</v>
      </c>
    </row>
    <row ht="15.75" r="14" spans="1:18" thickBot="1" x14ac:dyDescent="0.3">
      <c r="A14">
        <v>3</v>
      </c>
      <c r="B14" s="8" t="n">
        <v>5364.3099030935</v>
      </c>
      <c r="C14" s="8" t="n">
        <v>243.72176286660002</v>
      </c>
      <c r="D14" s="8" t="n">
        <v>984.8173479848</v>
      </c>
      <c r="E14" s="8">
        <f si="0" t="shared"/>
        <v>6592.8490139449004</v>
      </c>
      <c r="F14" s="21">
        <f si="1" t="shared"/>
        <v>4.0776975810223305E-2</v>
      </c>
      <c r="H14" s="116">
        <v>3</v>
      </c>
      <c r="I14" s="206" t="n">
        <v>9069.0</v>
      </c>
      <c r="J14" s="296" t="n">
        <v>1218.0</v>
      </c>
      <c r="K14" s="386" t="n">
        <v>407.0</v>
      </c>
      <c r="L14">
        <f si="2" t="shared"/>
        <v>11032</v>
      </c>
      <c r="M14" s="21">
        <f si="3" t="shared"/>
        <v>6.2833546917271818E-2</v>
      </c>
      <c r="P14" s="1" t="s">
        <v>4</v>
      </c>
      <c r="Q14" s="12" t="n">
        <v>16.758547023897115</v>
      </c>
      <c r="R14" s="12" t="n">
        <v>15.09751387961443</v>
      </c>
    </row>
    <row r="15" spans="1:18" x14ac:dyDescent="0.25">
      <c r="A15">
        <v>4</v>
      </c>
      <c r="B15" s="8" t="n">
        <v>8036.2090313325</v>
      </c>
      <c r="C15" s="8" t="n">
        <v>53.2050820371</v>
      </c>
      <c r="D15" s="8" t="n">
        <v>0.0</v>
      </c>
      <c r="E15" s="8">
        <f si="0" t="shared"/>
        <v>8089.4141133695994</v>
      </c>
      <c r="F15" s="21">
        <f si="1" t="shared"/>
        <v>5.0033277407391268E-2</v>
      </c>
      <c r="H15" s="117">
        <v>4</v>
      </c>
      <c r="I15" s="207" t="n">
        <v>7089.0</v>
      </c>
      <c r="J15" s="297" t="n">
        <v>1041.0</v>
      </c>
      <c r="K15" s="387" t="n">
        <v>348.0</v>
      </c>
      <c r="L15">
        <f si="2" t="shared"/>
        <v>8555</v>
      </c>
      <c r="M15" s="21">
        <f si="3" t="shared"/>
        <v>4.8725615833689305E-2</v>
      </c>
    </row>
    <row r="16" spans="1:18" x14ac:dyDescent="0.25">
      <c r="A16">
        <v>5</v>
      </c>
      <c r="B16" s="8" t="n">
        <v>12213.3632162096</v>
      </c>
      <c r="C16" s="8" t="n">
        <v>341.81014393600003</v>
      </c>
      <c r="D16" s="8" t="n">
        <v>1245.0347862898</v>
      </c>
      <c r="E16" s="8">
        <f si="0" t="shared"/>
        <v>13800.2081464354</v>
      </c>
      <c r="F16" s="21">
        <f si="1" t="shared"/>
        <v>8.5354715779624238E-2</v>
      </c>
      <c r="H16" s="118">
        <v>5</v>
      </c>
      <c r="I16" s="208" t="n">
        <v>6051.0</v>
      </c>
      <c r="J16" s="298" t="n">
        <v>905.0</v>
      </c>
      <c r="K16" s="388" t="n">
        <v>332.0</v>
      </c>
      <c r="L16">
        <f si="2" t="shared"/>
        <v>7542</v>
      </c>
      <c r="M16" s="21">
        <f si="3" t="shared"/>
        <v>4.2956001708671511E-2</v>
      </c>
    </row>
    <row r="17" spans="1:13" x14ac:dyDescent="0.25">
      <c r="A17">
        <v>6</v>
      </c>
      <c r="B17" s="8" t="n">
        <v>6557.6787542449</v>
      </c>
      <c r="C17" s="8" t="n">
        <v>241.7361287772</v>
      </c>
      <c r="D17" s="8" t="n">
        <v>416.016933519</v>
      </c>
      <c r="E17" s="8">
        <f si="0" t="shared"/>
        <v>7215.4318165411005</v>
      </c>
      <c r="F17" s="21">
        <f si="1" t="shared"/>
        <v>4.462766977085076E-2</v>
      </c>
      <c r="H17" s="119">
        <v>6</v>
      </c>
      <c r="I17" s="209" t="n">
        <v>5081.0</v>
      </c>
      <c r="J17" s="299" t="n">
        <v>717.0</v>
      </c>
      <c r="K17" s="389" t="n">
        <v>234.0</v>
      </c>
      <c r="L17">
        <f si="2" t="shared"/>
        <v>6143</v>
      </c>
      <c r="M17" s="21">
        <f si="3" t="shared"/>
        <v>3.4987896910152354E-2</v>
      </c>
    </row>
    <row r="18" spans="1:13" x14ac:dyDescent="0.25">
      <c r="A18">
        <v>7</v>
      </c>
      <c r="B18" s="8" t="n">
        <v>5953.5189684512</v>
      </c>
      <c r="C18" s="8" t="n">
        <v>0.0</v>
      </c>
      <c r="D18" s="8" t="n">
        <v>318.528901961</v>
      </c>
      <c r="E18" s="8">
        <f si="0" t="shared"/>
        <v>6272.0478704121997</v>
      </c>
      <c r="F18" s="21">
        <f si="1" t="shared"/>
        <v>3.8792810778981744E-2</v>
      </c>
      <c r="H18" s="120">
        <v>7</v>
      </c>
      <c r="I18" s="210" t="n">
        <v>4490.0</v>
      </c>
      <c r="J18" s="300" t="n">
        <v>681.0</v>
      </c>
      <c r="K18" s="390" t="n">
        <v>241.0</v>
      </c>
      <c r="L18">
        <f si="2" t="shared"/>
        <v>5235</v>
      </c>
      <c r="M18" s="21">
        <f si="3" t="shared"/>
        <v>2.9816317812900471E-2</v>
      </c>
    </row>
    <row r="19" spans="1:13" x14ac:dyDescent="0.2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si="0" t="shared"/>
        <v>3224.8236041552</v>
      </c>
      <c r="F19" s="21">
        <f si="1" t="shared"/>
        <v>1.9945634098510957E-2</v>
      </c>
      <c r="H19" s="121">
        <v>8</v>
      </c>
      <c r="I19" s="211" t="n">
        <v>3518.0</v>
      </c>
      <c r="J19" s="301" t="n">
        <v>561.0</v>
      </c>
      <c r="K19" s="391" t="n">
        <v>180.0</v>
      </c>
      <c r="L19">
        <f si="2" t="shared"/>
        <v>4261</v>
      </c>
      <c r="M19" s="21">
        <f si="3" t="shared"/>
        <v>2.4268830983910011E-2</v>
      </c>
    </row>
    <row r="20" spans="1:13" x14ac:dyDescent="0.2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si="0" t="shared"/>
        <v>5702.3992561658006</v>
      </c>
      <c r="F20" s="21">
        <f si="1" t="shared"/>
        <v>3.5269516416511035E-2</v>
      </c>
      <c r="H20" s="122">
        <v>9</v>
      </c>
      <c r="I20" s="212" t="n">
        <v>2956.0</v>
      </c>
      <c r="J20" s="302" t="n">
        <v>480.0</v>
      </c>
      <c r="K20" s="392" t="n">
        <v>146.0</v>
      </c>
      <c r="L20">
        <f si="2" t="shared"/>
        <v>3620</v>
      </c>
      <c r="M20" s="21">
        <f si="3" t="shared"/>
        <v>2.0617969528691441E-2</v>
      </c>
    </row>
    <row r="21" spans="1:13" x14ac:dyDescent="0.25">
      <c r="A21">
        <v>10</v>
      </c>
      <c r="B21" s="8" t="n">
        <v>793.202713876</v>
      </c>
      <c r="C21" s="8" t="n">
        <v>0.0</v>
      </c>
      <c r="D21" s="8" t="n">
        <v>0.0</v>
      </c>
      <c r="E21" s="8">
        <f si="0" t="shared"/>
        <v>793.20271387599996</v>
      </c>
      <c r="F21" s="21">
        <f si="1" t="shared"/>
        <v>4.9059834083734783E-3</v>
      </c>
      <c r="H21" s="123">
        <v>10</v>
      </c>
      <c r="I21" s="213" t="n">
        <v>2531.0</v>
      </c>
      <c r="J21" s="303" t="n">
        <v>424.0</v>
      </c>
      <c r="K21" s="393" t="n">
        <v>125.0</v>
      </c>
      <c r="L21">
        <f si="2" t="shared"/>
        <v>2936</v>
      </c>
      <c r="M21" s="21">
        <f si="3" t="shared"/>
        <v>1.6722198490673502E-2</v>
      </c>
    </row>
    <row r="22" spans="1:13" x14ac:dyDescent="0.25">
      <c r="A22">
        <v>11</v>
      </c>
      <c r="B22" s="8" t="n">
        <v>2985.8330934098003</v>
      </c>
      <c r="C22" s="8" t="n">
        <v>0.0</v>
      </c>
      <c r="D22" s="8" t="n">
        <v>0.0</v>
      </c>
      <c r="E22" s="8">
        <f si="0" t="shared"/>
        <v>2985.8330934098003</v>
      </c>
      <c r="F22" s="21">
        <f si="1" t="shared"/>
        <v>1.8467470370671105E-2</v>
      </c>
      <c r="H22" s="124">
        <v>11</v>
      </c>
      <c r="I22" s="214" t="n">
        <v>2084.0</v>
      </c>
      <c r="J22" s="304" t="n">
        <v>368.0</v>
      </c>
      <c r="K22" s="394" t="n">
        <v>113.0</v>
      </c>
      <c r="L22">
        <f si="2" t="shared"/>
        <v>2551</v>
      </c>
      <c r="M22" s="21">
        <f si="3" t="shared"/>
        <v>1.4529403388865157E-2</v>
      </c>
    </row>
    <row r="23" spans="1:13" x14ac:dyDescent="0.25">
      <c r="A23">
        <v>12</v>
      </c>
      <c r="B23" s="8" t="n">
        <v>2168.795775802</v>
      </c>
      <c r="C23" s="8" t="n">
        <v>0.0</v>
      </c>
      <c r="D23" s="8" t="n">
        <v>0.0</v>
      </c>
      <c r="E23" s="8">
        <f si="0" t="shared"/>
        <v>2168.7957758020002</v>
      </c>
      <c r="F23" s="21">
        <f si="1" t="shared"/>
        <v>1.3414069198329099E-2</v>
      </c>
      <c r="H23" s="125">
        <v>12</v>
      </c>
      <c r="I23" s="215" t="n">
        <v>1908.0</v>
      </c>
      <c r="J23" s="305" t="n">
        <v>299.0</v>
      </c>
      <c r="K23" s="395" t="n">
        <v>85.0</v>
      </c>
      <c r="L23">
        <f si="2" t="shared"/>
        <v>2357</v>
      </c>
      <c r="M23" s="21">
        <f si="3" t="shared"/>
        <v>1.3424462480421472E-2</v>
      </c>
    </row>
    <row r="24" spans="1:13" x14ac:dyDescent="0.25">
      <c r="A24">
        <v>13</v>
      </c>
      <c r="B24" s="8" t="n">
        <v>1942.841554227</v>
      </c>
      <c r="C24" s="8" t="n">
        <v>0.0</v>
      </c>
      <c r="D24" s="8" t="n">
        <v>0.0</v>
      </c>
      <c r="E24" s="8">
        <f si="0" t="shared"/>
        <v>1942.841554227</v>
      </c>
      <c r="F24" s="21">
        <f si="1" t="shared"/>
        <v>1.2016535323688082E-2</v>
      </c>
      <c r="H24" s="126">
        <v>13</v>
      </c>
      <c r="I24" s="216" t="n">
        <v>1638.0</v>
      </c>
      <c r="J24" s="306" t="n">
        <v>278.0</v>
      </c>
      <c r="K24" s="396" t="n">
        <v>94.0</v>
      </c>
      <c r="L24">
        <f si="2" t="shared"/>
        <v>1962</v>
      </c>
      <c r="M24" s="21">
        <f si="3" t="shared"/>
        <v>1.1174711661683042E-2</v>
      </c>
    </row>
    <row r="25" spans="1:13" x14ac:dyDescent="0.25">
      <c r="A25">
        <v>14</v>
      </c>
      <c r="B25" s="8" t="n">
        <v>6518.5635992985</v>
      </c>
      <c r="C25" s="8" t="n">
        <v>145.384465385</v>
      </c>
      <c r="D25" s="8" t="n">
        <v>0.0</v>
      </c>
      <c r="E25" s="8">
        <f si="0" t="shared"/>
        <v>6663.9480646835</v>
      </c>
      <c r="F25" s="21">
        <f si="1" t="shared"/>
        <v>4.1216725646138777E-2</v>
      </c>
      <c r="H25" s="127">
        <v>14</v>
      </c>
      <c r="I25" s="217" t="n">
        <v>1252.0</v>
      </c>
      <c r="J25" s="307" t="n">
        <v>222.0</v>
      </c>
      <c r="K25" s="397" t="n">
        <v>67.0</v>
      </c>
      <c r="L25">
        <f si="2" t="shared"/>
        <v>1565</v>
      </c>
      <c r="M25" s="21">
        <f si="3" t="shared"/>
        <v>8.913569699558593E-3</v>
      </c>
    </row>
    <row r="26" spans="1:13" x14ac:dyDescent="0.25">
      <c r="A26">
        <v>15</v>
      </c>
      <c r="B26" s="8" t="n">
        <v>4997.7862248987</v>
      </c>
      <c r="C26" s="8" t="n">
        <v>0.0</v>
      </c>
      <c r="D26" s="8" t="n">
        <v>0.0</v>
      </c>
      <c r="E26" s="8">
        <f si="0" t="shared"/>
        <v>4997.7862248987003</v>
      </c>
      <c r="F26" s="21">
        <f si="1" t="shared"/>
        <v>3.0911462945124982E-2</v>
      </c>
      <c r="H26" s="128">
        <v>15</v>
      </c>
      <c r="I26" s="218" t="n">
        <v>1182.0</v>
      </c>
      <c r="J26" s="308" t="n">
        <v>207.0</v>
      </c>
      <c r="K26" s="398" t="n">
        <v>56.0</v>
      </c>
      <c r="L26">
        <f si="2" t="shared"/>
        <v>1371</v>
      </c>
      <c r="M26" s="21">
        <f si="3" t="shared"/>
        <v>7.8086287911149086E-3</v>
      </c>
    </row>
    <row r="27" spans="1:13" x14ac:dyDescent="0.2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si="0" t="shared"/>
        <v>9413.1043148675999</v>
      </c>
      <c r="F27" s="21">
        <f si="1" t="shared"/>
        <v>5.8220342394401554E-2</v>
      </c>
      <c r="H27" s="129">
        <v>16</v>
      </c>
      <c r="I27" s="219" t="n">
        <v>1119.0</v>
      </c>
      <c r="J27" s="309" t="n">
        <v>177.0</v>
      </c>
      <c r="K27" s="399" t="n">
        <v>53.0</v>
      </c>
      <c r="L27">
        <f si="2" t="shared"/>
        <v>1373</v>
      </c>
      <c r="M27" s="21">
        <f si="3" t="shared"/>
        <v>7.8200199345009255E-3</v>
      </c>
    </row>
    <row r="28" spans="1:13" x14ac:dyDescent="0.25">
      <c r="A28">
        <v>17</v>
      </c>
      <c r="B28" s="8" t="n">
        <v>3249.133518784</v>
      </c>
      <c r="C28" s="8" t="n">
        <v>0.0</v>
      </c>
      <c r="D28" s="8" t="n">
        <v>0.0</v>
      </c>
      <c r="E28" s="8">
        <f si="0" t="shared"/>
        <v>3249.133518784</v>
      </c>
      <c r="F28" s="21">
        <f si="1" t="shared"/>
        <v>2.0095991675132298E-2</v>
      </c>
      <c r="H28" s="130">
        <v>17</v>
      </c>
      <c r="I28" s="220" t="n">
        <v>1032.0</v>
      </c>
      <c r="J28" s="310" t="n">
        <v>157.0</v>
      </c>
      <c r="K28" s="400" t="n">
        <v>51.0</v>
      </c>
      <c r="L28">
        <f si="2" t="shared"/>
        <v>1271</v>
      </c>
      <c r="M28" s="21">
        <f si="3" t="shared"/>
        <v>7.2390716218140392E-3</v>
      </c>
    </row>
    <row r="29" spans="1:13" x14ac:dyDescent="0.25">
      <c r="A29">
        <v>18</v>
      </c>
      <c r="B29" s="8" t="n">
        <v>13222.9348126956</v>
      </c>
      <c r="C29" s="8" t="n">
        <v>558.9171554939</v>
      </c>
      <c r="D29" s="8" t="n">
        <v>0.0</v>
      </c>
      <c r="E29" s="8">
        <f si="0" t="shared"/>
        <v>13781.8519681895</v>
      </c>
      <c r="F29" s="21">
        <f si="1" t="shared"/>
        <v>8.5241182247350417E-2</v>
      </c>
      <c r="H29" s="131">
        <v>18</v>
      </c>
      <c r="I29" s="221" t="n">
        <v>9139.0</v>
      </c>
      <c r="J29" s="311" t="n">
        <v>1741.0</v>
      </c>
      <c r="K29" s="401" t="n">
        <v>504.0</v>
      </c>
      <c r="L29">
        <f si="2" t="shared"/>
        <v>10938</v>
      </c>
      <c r="M29" s="21">
        <f si="3" t="shared"/>
        <v>6.2298163178129001E-2</v>
      </c>
    </row>
    <row r="30" spans="1:13" x14ac:dyDescent="0.25">
      <c r="A30">
        <v>19</v>
      </c>
      <c r="B30" s="8" t="n">
        <v>12770.9045852995</v>
      </c>
      <c r="C30" s="8" t="n">
        <v>442.4962878333</v>
      </c>
      <c r="D30" s="8" t="n">
        <v>295.6132959603</v>
      </c>
      <c r="E30" s="8">
        <f si="0" t="shared"/>
        <v>13509.014169093101</v>
      </c>
      <c r="F30" s="21">
        <f si="1" t="shared"/>
        <v>8.3553671990352837E-2</v>
      </c>
      <c r="H30" s="132">
        <v>19</v>
      </c>
      <c r="I30" s="222" t="n">
        <v>4798.0</v>
      </c>
      <c r="J30" s="312" t="n">
        <v>703.0</v>
      </c>
      <c r="K30" s="402" t="n">
        <v>245.0</v>
      </c>
      <c r="L30">
        <f si="2" t="shared"/>
        <v>5509</v>
      </c>
      <c r="M30" s="21">
        <f si="3" t="shared"/>
        <v>3.137690445678485E-2</v>
      </c>
    </row>
    <row r="31" spans="1:13" x14ac:dyDescent="0.25">
      <c r="A31">
        <v>20</v>
      </c>
      <c r="B31" s="8" t="n">
        <v>7626.1595481617</v>
      </c>
      <c r="C31" s="8" t="n">
        <v>622.180084074</v>
      </c>
      <c r="D31" s="8" t="n">
        <v>0.0</v>
      </c>
      <c r="E31" s="8">
        <f si="0" t="shared"/>
        <v>8248.3396322357003</v>
      </c>
      <c r="F31" s="21">
        <f si="1" t="shared"/>
        <v>5.1016236675034576E-2</v>
      </c>
      <c r="H31" s="133">
        <v>20</v>
      </c>
      <c r="I31" s="223" t="n">
        <v>5249.0</v>
      </c>
      <c r="J31" s="313" t="n">
        <v>890.0</v>
      </c>
      <c r="K31" s="403" t="n">
        <v>280.0</v>
      </c>
      <c r="L31">
        <f si="2" t="shared"/>
        <v>6244</v>
      </c>
      <c r="M31" s="21">
        <f si="3" t="shared"/>
        <v>3.5563149651146236E-2</v>
      </c>
    </row>
    <row r="32" spans="1:13" x14ac:dyDescent="0.25">
      <c r="A32">
        <v>21</v>
      </c>
      <c r="B32" s="8" t="n">
        <v>8604.886120604</v>
      </c>
      <c r="C32" s="8" t="n">
        <v>1417.41069362</v>
      </c>
      <c r="D32" s="8" t="n">
        <v>86.2921514892</v>
      </c>
      <c r="E32" s="8">
        <f si="0" t="shared"/>
        <v>10108.588965713201</v>
      </c>
      <c r="F32" s="21">
        <f si="1" t="shared"/>
        <v>6.2521936549512241E-2</v>
      </c>
      <c r="H32" s="134">
        <v>21</v>
      </c>
      <c r="I32" s="224" t="n">
        <v>4335.0</v>
      </c>
      <c r="J32" s="314" t="n">
        <v>734.0</v>
      </c>
      <c r="K32" s="404" t="n">
        <v>215.0</v>
      </c>
      <c r="L32">
        <f si="2" t="shared"/>
        <v>5347</v>
      </c>
      <c r="M32" s="21">
        <f si="3" t="shared"/>
        <v>3.0454221842517441E-2</v>
      </c>
    </row>
    <row r="33" spans="1:13" x14ac:dyDescent="0.25">
      <c r="A33">
        <v>22</v>
      </c>
      <c r="B33" s="8" t="n">
        <v>6489.4540015104</v>
      </c>
      <c r="C33" s="8" t="n">
        <v>43.8943422849</v>
      </c>
      <c r="D33" s="8" t="n">
        <v>0.0</v>
      </c>
      <c r="E33" s="8">
        <f si="0" t="shared"/>
        <v>6533.3483437953</v>
      </c>
      <c r="F33" s="21">
        <f si="1" t="shared"/>
        <v>4.0408962318294335E-2</v>
      </c>
      <c r="H33" s="135">
        <v>22</v>
      </c>
      <c r="I33" s="225" t="n">
        <v>5320.0</v>
      </c>
      <c r="J33" s="315" t="n">
        <v>940.0</v>
      </c>
      <c r="K33" s="405" t="n">
        <v>268.0</v>
      </c>
      <c r="L33">
        <f si="2" t="shared"/>
        <v>6221</v>
      </c>
      <c r="M33" s="21">
        <f si="3" t="shared"/>
        <v>3.5432151502207035E-2</v>
      </c>
    </row>
    <row r="34" spans="1:13" x14ac:dyDescent="0.25">
      <c r="A34">
        <v>23</v>
      </c>
      <c r="B34" s="8" t="n">
        <v>1710.560693662</v>
      </c>
      <c r="C34" s="8" t="n">
        <v>92.3910074567</v>
      </c>
      <c r="D34" s="8" t="n">
        <v>0.0</v>
      </c>
      <c r="E34" s="8">
        <f si="0" t="shared"/>
        <v>1802.9517011186999</v>
      </c>
      <c r="F34" s="21">
        <f si="1" t="shared"/>
        <v>1.115131223967275E-2</v>
      </c>
      <c r="H34" s="136">
        <v>23</v>
      </c>
      <c r="I34" s="226" t="n">
        <v>3619.0</v>
      </c>
      <c r="J34" s="316" t="n">
        <v>600.0</v>
      </c>
      <c r="K34" s="406" t="n">
        <v>181.0</v>
      </c>
      <c r="L34">
        <f si="2" t="shared"/>
        <v>4159</v>
      </c>
      <c r="M34" s="21">
        <f si="3" t="shared"/>
        <v>2.3687882671223123E-2</v>
      </c>
    </row>
    <row r="35" spans="1:13" x14ac:dyDescent="0.25">
      <c r="A35">
        <v>24</v>
      </c>
      <c r="B35" s="8" t="n">
        <v>2928.7438684278</v>
      </c>
      <c r="C35" s="8" t="n">
        <v>0.0</v>
      </c>
      <c r="D35" s="8" t="n">
        <v>0.0</v>
      </c>
      <c r="E35" s="8">
        <f si="0" t="shared"/>
        <v>2928.7438684278</v>
      </c>
      <c r="F35" s="21">
        <f si="1" t="shared"/>
        <v>1.8114371741961195E-2</v>
      </c>
      <c r="H35" s="137">
        <v>24</v>
      </c>
      <c r="I35" s="227" t="n">
        <v>3355.0</v>
      </c>
      <c r="J35" s="317" t="n">
        <v>574.0</v>
      </c>
      <c r="K35" s="407" t="n">
        <v>172.0</v>
      </c>
      <c r="L35">
        <f si="2" t="shared"/>
        <v>4078</v>
      </c>
      <c r="M35" s="21">
        <f si="3" t="shared"/>
        <v>2.3226541364089422E-2</v>
      </c>
    </row>
    <row r="36" spans="1:13" x14ac:dyDescent="0.25">
      <c r="A36">
        <v>25</v>
      </c>
      <c r="B36" s="8" t="n">
        <v>383.2277741149</v>
      </c>
      <c r="C36" s="8" t="n">
        <v>0.0</v>
      </c>
      <c r="D36" s="8" t="n">
        <v>0.0</v>
      </c>
      <c r="E36" s="8">
        <f si="0" t="shared"/>
        <v>383.2277741149</v>
      </c>
      <c r="F36" s="21">
        <f si="1" t="shared"/>
        <v>2.3702756792754907E-3</v>
      </c>
      <c r="H36" s="138">
        <v>25</v>
      </c>
      <c r="I36" s="228" t="n">
        <v>2979.0</v>
      </c>
      <c r="J36" s="318" t="n">
        <v>515.0</v>
      </c>
      <c r="K36" s="408" t="n">
        <v>144.0</v>
      </c>
      <c r="L36">
        <f si="2" t="shared"/>
        <v>3270</v>
      </c>
      <c r="M36" s="21">
        <f si="3" t="shared"/>
        <v>1.8624519436138402E-2</v>
      </c>
    </row>
    <row r="37" spans="1:13" x14ac:dyDescent="0.25">
      <c r="A37">
        <v>26</v>
      </c>
      <c r="B37" s="8" t="n">
        <v>3077.7619033429</v>
      </c>
      <c r="C37" s="8" t="n">
        <v>0.0</v>
      </c>
      <c r="D37" s="8" t="n">
        <v>0.0</v>
      </c>
      <c r="E37" s="8">
        <f si="0" t="shared"/>
        <v>3077.7619033429</v>
      </c>
      <c r="F37" s="21">
        <f si="1" t="shared"/>
        <v>1.9036052913813804E-2</v>
      </c>
      <c r="H37" s="139">
        <v>26</v>
      </c>
      <c r="I37" s="229" t="n">
        <v>2300.0</v>
      </c>
      <c r="J37" s="319" t="n">
        <v>384.0</v>
      </c>
      <c r="K37" s="409" t="n">
        <v>110.0</v>
      </c>
      <c r="L37">
        <f si="2" t="shared"/>
        <v>2844</v>
      </c>
      <c r="M37" s="21">
        <f si="3" t="shared"/>
        <v>1.6198205894916703E-2</v>
      </c>
    </row>
    <row r="38" spans="1:13" x14ac:dyDescent="0.2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si="0" t="shared"/>
        <v>1425.6068219294</v>
      </c>
      <c r="F38" s="21">
        <f si="1" t="shared"/>
        <v>8.817422448132271E-3</v>
      </c>
      <c r="H38" s="140">
        <v>27</v>
      </c>
      <c r="I38" s="230" t="n">
        <v>1650.0</v>
      </c>
      <c r="J38" s="320" t="n">
        <v>310.0</v>
      </c>
      <c r="K38" s="410" t="n">
        <v>78.0</v>
      </c>
      <c r="L38">
        <f si="2" t="shared"/>
        <v>2501</v>
      </c>
      <c r="M38" s="21">
        <f si="3" t="shared"/>
        <v>1.4244624804214723E-2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117.557623914</v>
      </c>
      <c r="E39" s="8">
        <f si="0" t="shared"/>
        <v>117.557623914</v>
      </c>
      <c r="F39" s="21">
        <f si="1" t="shared"/>
        <v>7.2709755319880741E-4</v>
      </c>
      <c r="H39" s="141">
        <v>28</v>
      </c>
      <c r="I39" s="231" t="n">
        <v>2286.0</v>
      </c>
      <c r="J39" s="321" t="n">
        <v>375.0</v>
      </c>
      <c r="K39" s="411" t="n">
        <v>105.0</v>
      </c>
      <c r="L39">
        <f si="2" t="shared"/>
        <v>2247</v>
      </c>
      <c r="M39" s="21">
        <f si="3" t="shared"/>
        <v>1.2797949594190517E-2</v>
      </c>
    </row>
    <row r="40" spans="1:13" x14ac:dyDescent="0.2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si="0" t="shared"/>
        <v>368.01794152919996</v>
      </c>
      <c r="F40" s="21">
        <f si="1" t="shared"/>
        <v>2.27620239258065E-3</v>
      </c>
      <c r="H40" s="142">
        <v>29</v>
      </c>
      <c r="I40" s="232" t="n">
        <v>2180.0</v>
      </c>
      <c r="J40" s="322" t="n">
        <v>359.0</v>
      </c>
      <c r="K40" s="412" t="n">
        <v>88.0</v>
      </c>
      <c r="L40">
        <f si="2" t="shared"/>
        <v>2684</v>
      </c>
      <c r="M40" s="21">
        <f si="3" t="shared"/>
        <v>1.5286914424035312E-2</v>
      </c>
    </row>
    <row r="41" spans="1:13" x14ac:dyDescent="0.25">
      <c r="A41">
        <v>30</v>
      </c>
      <c r="B41" s="8" t="n">
        <v>688.323660681</v>
      </c>
      <c r="C41" s="8" t="n">
        <v>0.0</v>
      </c>
      <c r="D41" s="8" t="n">
        <v>0.0</v>
      </c>
      <c r="E41" s="8">
        <f si="0" t="shared"/>
        <v>688.32366068099998</v>
      </c>
      <c r="F41" s="21">
        <f si="1" t="shared"/>
        <v>4.2573032086471001E-3</v>
      </c>
      <c r="H41" s="143">
        <v>30</v>
      </c>
      <c r="I41" s="233" t="n">
        <v>1544.0</v>
      </c>
      <c r="J41" s="323" t="n">
        <v>246.0</v>
      </c>
      <c r="K41" s="413" t="n">
        <v>79.0</v>
      </c>
      <c r="L41">
        <f si="2" t="shared"/>
        <v>1800</v>
      </c>
      <c r="M41" s="21">
        <f si="3" t="shared"/>
        <v>1.0252029047415635E-2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1071.0</v>
      </c>
      <c r="J42" s="324" t="n">
        <v>197.0</v>
      </c>
      <c r="K42" s="414" t="n">
        <v>47.0</v>
      </c>
      <c r="L42">
        <f si="2" t="shared"/>
        <v>1394</v>
      </c>
      <c r="M42" s="21">
        <f si="3" t="shared"/>
        <v>7.9396269400541074E-3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2747.0</v>
      </c>
      <c r="J43" s="325" t="n">
        <v>273.0</v>
      </c>
      <c r="K43" s="415" t="n">
        <v>76.0</v>
      </c>
      <c r="L43">
        <f si="2" t="shared"/>
        <v>2642</v>
      </c>
      <c r="M43" s="21">
        <f si="3" t="shared"/>
        <v>1.5047700412928947E-2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1475.0</v>
      </c>
      <c r="J44" s="326" t="n">
        <v>223.0</v>
      </c>
      <c r="K44" s="416" t="n">
        <v>55.0</v>
      </c>
      <c r="L44">
        <f si="2" t="shared"/>
        <v>1643</v>
      </c>
      <c r="M44" s="21">
        <f si="3" t="shared"/>
        <v>9.3578242916132707E-3</v>
      </c>
    </row>
    <row r="45" spans="1:13" x14ac:dyDescent="0.25">
      <c r="A45">
        <v>34</v>
      </c>
      <c r="B45" s="8" t="n">
        <v>2478.4610755553</v>
      </c>
      <c r="C45" s="8" t="n">
        <v>0.0</v>
      </c>
      <c r="D45" s="8" t="n">
        <v>2026.8388074595</v>
      </c>
      <c r="E45" s="8">
        <f si="0" t="shared"/>
        <v>4505.2998830147999</v>
      </c>
      <c r="F45" s="21">
        <f si="1" t="shared"/>
        <v>2.7865419632531533E-2</v>
      </c>
      <c r="H45" s="147">
        <v>34</v>
      </c>
      <c r="I45" s="237" t="n">
        <v>1246.0</v>
      </c>
      <c r="J45" s="327" t="n">
        <v>183.0</v>
      </c>
      <c r="K45" s="417" t="n">
        <v>51.0</v>
      </c>
      <c r="L45">
        <f si="2" t="shared"/>
        <v>1272</v>
      </c>
      <c r="M45" s="21">
        <f si="3" t="shared"/>
        <v>7.2447671935070481E-3</v>
      </c>
    </row>
    <row r="46" spans="1:13" x14ac:dyDescent="0.25">
      <c r="A46">
        <v>35</v>
      </c>
      <c r="B46" s="8" t="n">
        <v>58.1735784831</v>
      </c>
      <c r="C46" s="8" t="n">
        <v>0.0</v>
      </c>
      <c r="D46" s="8" t="n">
        <v>0.0</v>
      </c>
      <c r="E46" s="8">
        <f si="0" t="shared"/>
        <v>58.173578483100002</v>
      </c>
      <c r="F46" s="21">
        <f si="1" t="shared"/>
        <v>3.5980538877533001E-4</v>
      </c>
      <c r="H46" s="148">
        <v>35</v>
      </c>
      <c r="I46" s="238" t="n">
        <v>954.0</v>
      </c>
      <c r="J46" s="328" t="n">
        <v>156.0</v>
      </c>
      <c r="K46" s="418" t="n">
        <v>34.0</v>
      </c>
      <c r="L46">
        <f si="2" t="shared"/>
        <v>1323</v>
      </c>
      <c r="M46" s="21">
        <f si="3" t="shared"/>
        <v>7.5352413498504913E-3</v>
      </c>
    </row>
    <row r="47" spans="1:13" x14ac:dyDescent="0.25">
      <c r="A47">
        <v>36</v>
      </c>
      <c r="B47" s="8" t="n">
        <v>113.821184442</v>
      </c>
      <c r="C47" s="8" t="n">
        <v>327.039856179</v>
      </c>
      <c r="D47" s="8" t="n">
        <v>0.0</v>
      </c>
      <c r="E47" s="8">
        <f si="0" t="shared"/>
        <v>440.86104062100003</v>
      </c>
      <c r="F47" s="21">
        <f si="1" t="shared"/>
        <v>2.7267392217004039E-3</v>
      </c>
      <c r="H47" s="149">
        <v>36</v>
      </c>
      <c r="I47" s="239" t="n">
        <v>898.0</v>
      </c>
      <c r="J47" s="329" t="n">
        <v>105.0</v>
      </c>
      <c r="K47" s="419" t="n">
        <v>36.0</v>
      </c>
      <c r="L47">
        <f si="2" t="shared"/>
        <v>1595</v>
      </c>
      <c r="M47" s="21">
        <f si="3" t="shared"/>
        <v>9.0844368503488534E-3</v>
      </c>
    </row>
    <row r="48" spans="1:13" x14ac:dyDescent="0.2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si="0" t="shared"/>
        <v>214.57446571990002</v>
      </c>
      <c r="F48" s="21">
        <f si="1" t="shared"/>
        <v>1.3271497314203591E-3</v>
      </c>
      <c r="H48" s="150">
        <v>37</v>
      </c>
      <c r="I48" s="240" t="n">
        <v>1652.0</v>
      </c>
      <c r="J48" s="330" t="n">
        <v>187.0</v>
      </c>
      <c r="K48" s="420" t="n">
        <v>41.0</v>
      </c>
      <c r="L48">
        <f si="2" t="shared"/>
        <v>1079</v>
      </c>
      <c r="M48" s="21">
        <f si="3" t="shared"/>
        <v>6.1455218567563717E-3</v>
      </c>
    </row>
    <row r="49" spans="1:13" x14ac:dyDescent="0.25">
      <c r="A49">
        <v>38</v>
      </c>
      <c r="B49" s="8" t="n">
        <v>1240.02198926</v>
      </c>
      <c r="C49" s="8" t="n">
        <v>0.0</v>
      </c>
      <c r="D49" s="8" t="n">
        <v>0.0</v>
      </c>
      <c r="E49" s="8">
        <f si="0" t="shared"/>
        <v>1240.0219892600001</v>
      </c>
      <c r="F49" s="21">
        <f si="1" t="shared"/>
        <v>7.6695744970419547E-3</v>
      </c>
      <c r="H49" s="151">
        <v>38</v>
      </c>
      <c r="I49" s="241" t="n">
        <v>799.0</v>
      </c>
      <c r="J49" s="331" t="n">
        <v>118.0</v>
      </c>
      <c r="K49" s="421" t="n">
        <v>37.0</v>
      </c>
      <c r="L49">
        <f si="2" t="shared"/>
        <v>1211</v>
      </c>
      <c r="M49" s="21">
        <f si="3" t="shared"/>
        <v>6.8973373202335184E-3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699.0</v>
      </c>
      <c r="J50" s="332" t="n">
        <v>80.0</v>
      </c>
      <c r="K50" s="422" t="n">
        <v>27.0</v>
      </c>
      <c r="L50">
        <f si="2" t="shared"/>
        <v>692</v>
      </c>
      <c r="M50" s="21">
        <f si="3" t="shared"/>
        <v>3.9413356115620109E-3</v>
      </c>
    </row>
    <row r="51" spans="1:13" x14ac:dyDescent="0.25">
      <c r="A51">
        <v>40</v>
      </c>
      <c r="B51" s="8" t="n">
        <v>66.5041244869</v>
      </c>
      <c r="C51" s="8" t="n">
        <v>0.0</v>
      </c>
      <c r="D51" s="8" t="n">
        <v>0.0</v>
      </c>
      <c r="E51" s="8">
        <f si="0" t="shared"/>
        <v>66.504124486899997</v>
      </c>
      <c r="F51" s="21">
        <f si="1" t="shared"/>
        <v>4.1133007441038671E-4</v>
      </c>
      <c r="H51" s="153">
        <v>40</v>
      </c>
      <c r="I51" s="243" t="n">
        <v>528.0</v>
      </c>
      <c r="J51" s="333" t="n">
        <v>76.0</v>
      </c>
      <c r="K51" s="423" t="n">
        <v>17.0</v>
      </c>
      <c r="L51">
        <f si="2" t="shared"/>
        <v>622</v>
      </c>
      <c r="M51" s="21">
        <f si="3" t="shared"/>
        <v>3.5426455930514023E-3</v>
      </c>
    </row>
    <row r="52" spans="1:13" x14ac:dyDescent="0.25">
      <c r="A52">
        <v>41</v>
      </c>
      <c r="B52" s="8" t="n">
        <v>0.0</v>
      </c>
      <c r="C52" s="8" t="n">
        <v>0.0</v>
      </c>
      <c r="D52" s="8" t="n">
        <v>383.206555392</v>
      </c>
      <c r="E52" s="8">
        <f si="0" t="shared"/>
        <v>383.20655539199998</v>
      </c>
      <c r="F52" s="21">
        <f si="1" t="shared"/>
        <v>2.3701444408156707E-3</v>
      </c>
      <c r="H52" s="154">
        <v>41</v>
      </c>
      <c r="I52" s="244" t="n">
        <v>451.0</v>
      </c>
      <c r="J52" s="334" t="n">
        <v>81.0</v>
      </c>
      <c r="K52" s="424" t="n">
        <v>9.0</v>
      </c>
      <c r="L52">
        <f si="2" t="shared"/>
        <v>588</v>
      </c>
      <c r="M52" s="21">
        <f si="3" t="shared"/>
        <v>3.3489961554891072E-3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352.0</v>
      </c>
      <c r="J53" s="335" t="n">
        <v>66.0</v>
      </c>
      <c r="K53" s="425" t="n">
        <v>17.0</v>
      </c>
      <c r="L53">
        <f si="2" t="shared"/>
        <v>495</v>
      </c>
      <c r="M53" s="21">
        <f si="3" t="shared"/>
        <v>2.8193079880392993E-3</v>
      </c>
    </row>
    <row r="54" spans="1:13" x14ac:dyDescent="0.25">
      <c r="A54">
        <v>43</v>
      </c>
      <c r="B54" s="8" t="n">
        <v>79.1127528623</v>
      </c>
      <c r="C54" s="8" t="n">
        <v>0.0</v>
      </c>
      <c r="D54" s="8" t="n">
        <v>0.0</v>
      </c>
      <c r="E54" s="8">
        <f si="0" t="shared"/>
        <v>79.112752862299999</v>
      </c>
      <c r="F54" s="21">
        <f si="1" t="shared"/>
        <v>4.8931483231645916E-4</v>
      </c>
      <c r="H54" s="156">
        <v>43</v>
      </c>
      <c r="I54" s="246" t="n">
        <v>524.0</v>
      </c>
      <c r="J54" s="336" t="n">
        <v>61.0</v>
      </c>
      <c r="K54" s="426" t="n">
        <v>22.0</v>
      </c>
      <c r="L54">
        <f si="2" t="shared"/>
        <v>556</v>
      </c>
      <c r="M54" s="21">
        <f si="3" t="shared"/>
        <v>3.1667378613128294E-3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353.0</v>
      </c>
      <c r="J55" s="337" t="n">
        <v>49.0</v>
      </c>
      <c r="K55" s="427" t="n">
        <v>10.0</v>
      </c>
      <c r="L55">
        <f si="2" t="shared"/>
        <v>470</v>
      </c>
      <c r="M55" s="21">
        <f si="3" t="shared"/>
        <v>2.6769186957140822E-3</v>
      </c>
    </row>
    <row r="56" spans="1:13" x14ac:dyDescent="0.25">
      <c r="A56">
        <v>45</v>
      </c>
      <c r="B56" s="8" t="n">
        <v>6450.1613751455</v>
      </c>
      <c r="C56" s="8" t="n">
        <v>0.0</v>
      </c>
      <c r="D56" s="8" t="n">
        <v>0.0</v>
      </c>
      <c r="E56" s="8">
        <f si="0" t="shared"/>
        <v>6450.1613751454997</v>
      </c>
      <c r="F56" s="21">
        <f si="1" t="shared"/>
        <v>3.9894448334858064E-2</v>
      </c>
      <c r="H56" s="158">
        <v>45</v>
      </c>
      <c r="I56" s="248" t="n">
        <v>282.0</v>
      </c>
      <c r="J56" s="338" t="n">
        <v>31.0</v>
      </c>
      <c r="K56" s="428" t="n">
        <v>9.0</v>
      </c>
      <c r="L56">
        <f si="2" t="shared"/>
        <v>378</v>
      </c>
      <c r="M56" s="21">
        <f si="3" t="shared"/>
        <v>2.1529260999572832E-3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245.0</v>
      </c>
      <c r="J57" s="339" t="n">
        <v>29.0</v>
      </c>
      <c r="K57" s="429" t="n">
        <v>10.0</v>
      </c>
      <c r="L57">
        <f si="2" t="shared"/>
        <v>307</v>
      </c>
      <c r="M57" s="21">
        <f si="3" t="shared"/>
        <v>1.7485405097536666E-3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334.0</v>
      </c>
      <c r="J58" s="340" t="n">
        <v>38.0</v>
      </c>
      <c r="K58" s="430" t="n">
        <v>11.0</v>
      </c>
      <c r="L58">
        <f si="2" t="shared"/>
        <v>448</v>
      </c>
      <c r="M58" s="21">
        <f si="3" t="shared"/>
        <v>2.5516161184678914E-3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258.0</v>
      </c>
      <c r="J59" s="341" t="n">
        <v>31.0</v>
      </c>
      <c r="K59" s="431" t="n">
        <v>13.0</v>
      </c>
      <c r="L59">
        <f si="2" t="shared"/>
        <v>219</v>
      </c>
      <c r="M59" s="21">
        <f si="3" t="shared"/>
        <v>1.2473302007689022E-3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176.0</v>
      </c>
      <c r="J60" s="342" t="n">
        <v>22.0</v>
      </c>
      <c r="K60" s="432" t="n">
        <v>10.0</v>
      </c>
      <c r="L60">
        <f si="2" t="shared"/>
        <v>222</v>
      </c>
      <c r="M60" s="21">
        <f si="3" t="shared"/>
        <v>1.2644169158479283E-3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174.0</v>
      </c>
      <c r="J61" s="343" t="n">
        <v>26.0</v>
      </c>
      <c r="K61" s="433" t="n">
        <v>7.0</v>
      </c>
      <c r="L61">
        <f si="2" t="shared"/>
        <v>204</v>
      </c>
      <c r="M61" s="21">
        <f si="3" t="shared"/>
        <v>1.1618966253737718E-3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197.0</v>
      </c>
      <c r="J62" s="344" t="n">
        <v>33.0</v>
      </c>
      <c r="K62" s="434" t="n">
        <v>5.0</v>
      </c>
      <c r="L62">
        <f si="2" t="shared"/>
        <v>241</v>
      </c>
      <c r="M62" s="21">
        <f si="3" t="shared"/>
        <v>1.3726327780150933E-3</v>
      </c>
    </row>
    <row r="63" spans="1:13" x14ac:dyDescent="0.25">
      <c r="A63">
        <v>52</v>
      </c>
      <c r="B63" s="8" t="n">
        <v>944.880646246</v>
      </c>
      <c r="C63" s="8" t="n">
        <v>0.0</v>
      </c>
      <c r="D63" s="8" t="n">
        <v>0.0</v>
      </c>
      <c r="E63" s="8">
        <f si="0" t="shared"/>
        <v>944.88064624599997</v>
      </c>
      <c r="F63" s="21">
        <f si="1" t="shared"/>
        <v>5.8441161285546946E-3</v>
      </c>
      <c r="H63" s="165">
        <v>52</v>
      </c>
      <c r="I63" s="255" t="n">
        <v>175.0</v>
      </c>
      <c r="J63" s="345" t="n">
        <v>17.0</v>
      </c>
      <c r="K63" s="435" t="n">
        <v>9.0</v>
      </c>
      <c r="L63">
        <f si="2" t="shared"/>
        <v>204</v>
      </c>
      <c r="M63" s="21">
        <f si="3" t="shared"/>
        <v>1.1618966253737718E-3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138.0</v>
      </c>
      <c r="J64" s="346" t="n">
        <v>15.0</v>
      </c>
      <c r="K64" s="436" t="n">
        <v>8.0</v>
      </c>
      <c r="L64">
        <f si="2" t="shared"/>
        <v>190</v>
      </c>
      <c r="M64" s="21">
        <f si="3" t="shared"/>
        <v>1.0821586216716503E-3</v>
      </c>
    </row>
    <row r="65" spans="1:13" x14ac:dyDescent="0.25">
      <c r="A65">
        <v>54</v>
      </c>
      <c r="B65" s="8" t="n">
        <v>83.3978248895</v>
      </c>
      <c r="C65" s="8" t="n">
        <v>0.0</v>
      </c>
      <c r="D65" s="8" t="n">
        <v>0.0</v>
      </c>
      <c r="E65" s="8">
        <f si="0" t="shared"/>
        <v>83.397824889500001</v>
      </c>
      <c r="F65" s="21">
        <f si="1" t="shared"/>
        <v>5.1581813582433759E-4</v>
      </c>
      <c r="H65" s="167">
        <v>54</v>
      </c>
      <c r="I65" s="257" t="n">
        <v>117.0</v>
      </c>
      <c r="J65" s="347" t="n">
        <v>20.0</v>
      </c>
      <c r="K65" s="437" t="n">
        <v>1.0</v>
      </c>
      <c r="L65">
        <f si="2" t="shared"/>
        <v>131</v>
      </c>
      <c r="M65" s="21">
        <f si="3" t="shared"/>
        <v>7.461198917841378E-4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105.0</v>
      </c>
      <c r="J66" s="348" t="n">
        <v>18.0</v>
      </c>
      <c r="K66" s="438" t="n">
        <v>4.0</v>
      </c>
      <c r="L66">
        <f si="2" t="shared"/>
        <v>167</v>
      </c>
      <c r="M66" s="21">
        <f si="3" t="shared"/>
        <v>9.5116047273245056E-4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113.0</v>
      </c>
      <c r="J67" s="349" t="n">
        <v>13.0</v>
      </c>
      <c r="K67" s="439" t="n">
        <v>6.0</v>
      </c>
      <c r="L67">
        <f si="2" t="shared"/>
        <v>143</v>
      </c>
      <c r="M67" s="21">
        <f si="3" t="shared"/>
        <v>8.1446675210024202E-4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130.0</v>
      </c>
      <c r="J68" s="350" t="n">
        <v>13.0</v>
      </c>
      <c r="K68" s="440" t="n">
        <v>5.0</v>
      </c>
      <c r="L68">
        <f si="2" t="shared"/>
        <v>164</v>
      </c>
      <c r="M68" s="21">
        <f si="3" t="shared"/>
        <v>9.3407375765342448E-4</v>
      </c>
    </row>
    <row r="69" spans="1:13" x14ac:dyDescent="0.25">
      <c r="A69">
        <v>58</v>
      </c>
      <c r="B69" s="8" t="n">
        <v>275.309933567</v>
      </c>
      <c r="C69" s="8" t="n">
        <v>0.0</v>
      </c>
      <c r="D69" s="8" t="n">
        <v>0.0</v>
      </c>
      <c r="E69" s="8">
        <f si="0" t="shared"/>
        <v>275.30993356699997</v>
      </c>
      <c r="F69" s="21">
        <f si="1" t="shared"/>
        <v>1.7028004854396574E-3</v>
      </c>
      <c r="H69" s="171">
        <v>58</v>
      </c>
      <c r="I69" s="261" t="n">
        <v>108.0</v>
      </c>
      <c r="J69" s="351" t="n">
        <v>15.0</v>
      </c>
      <c r="K69" s="441" t="n">
        <v>1.0</v>
      </c>
      <c r="L69">
        <f si="2" t="shared"/>
        <v>112</v>
      </c>
      <c r="M69" s="21">
        <f si="3" t="shared"/>
        <v>6.3790402961697284E-4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104.0</v>
      </c>
      <c r="J70" s="352" t="n">
        <v>7.0</v>
      </c>
      <c r="K70" s="442" t="n">
        <v>2.0</v>
      </c>
      <c r="L70">
        <f si="2" t="shared"/>
        <v>99</v>
      </c>
      <c r="M70" s="21">
        <f si="3" t="shared"/>
        <v>5.6386159760785993E-4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71.0</v>
      </c>
      <c r="J71" s="353" t="n">
        <v>6.0</v>
      </c>
      <c r="K71" s="443" t="n">
        <v>0.0</v>
      </c>
      <c r="L71">
        <f si="2" t="shared"/>
        <v>91</v>
      </c>
      <c r="M71" s="21">
        <f si="3" t="shared"/>
        <v>5.1829702406379038E-4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70.0</v>
      </c>
      <c r="J72" s="354" t="n">
        <v>3.0</v>
      </c>
      <c r="K72" s="444" t="n">
        <v>0.0</v>
      </c>
      <c r="L72">
        <f si="2" t="shared"/>
        <v>80</v>
      </c>
      <c r="M72" s="21">
        <f si="3" t="shared"/>
        <v>4.5564573544069485E-4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59.0</v>
      </c>
      <c r="J73" s="355" t="n">
        <v>6.0</v>
      </c>
      <c r="K73" s="445" t="n">
        <v>1.0</v>
      </c>
      <c r="L73">
        <f si="2" t="shared"/>
        <v>79</v>
      </c>
      <c r="M73" s="21">
        <f si="3" t="shared"/>
        <v>4.4995016374768616E-4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75.0</v>
      </c>
      <c r="J74" s="356" t="n">
        <v>16.0</v>
      </c>
      <c r="K74" s="446" t="n">
        <v>2.0</v>
      </c>
      <c r="L74">
        <f si="2" t="shared"/>
        <v>81</v>
      </c>
      <c r="M74" s="21">
        <f si="3" t="shared"/>
        <v>4.6134130713370355E-4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47.0</v>
      </c>
      <c r="J75" s="357" t="n">
        <v>3.0</v>
      </c>
      <c r="K75" s="447" t="n">
        <v>2.0</v>
      </c>
      <c r="L75">
        <f si="2" t="shared"/>
        <v>56</v>
      </c>
      <c r="M75" s="21">
        <f si="3" t="shared"/>
        <v>3.1895201480848642E-4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40.0</v>
      </c>
      <c r="J76" s="358" t="n">
        <v>9.0</v>
      </c>
      <c r="K76" s="448" t="n">
        <v>0.0</v>
      </c>
      <c r="L76">
        <f ref="L76:L101" si="6" t="shared">SUM(I76:K76)</f>
        <v>52</v>
      </c>
      <c r="M76" s="21">
        <f ref="M76:M102" si="7" t="shared">L76/$L$102</f>
        <v>2.9616972803645164E-4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57.0</v>
      </c>
      <c r="J77" s="359" t="n">
        <v>8.0</v>
      </c>
      <c r="K77" s="449" t="n">
        <v>0.0</v>
      </c>
      <c r="L77">
        <f si="6" t="shared"/>
        <v>40</v>
      </c>
      <c r="M77" s="21">
        <f si="7" t="shared"/>
        <v>2.2782286772034743E-4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37.0</v>
      </c>
      <c r="J78" s="360" t="n">
        <v>6.0</v>
      </c>
      <c r="K78" s="450" t="n">
        <v>1.0</v>
      </c>
      <c r="L78">
        <f si="6" t="shared"/>
        <v>46</v>
      </c>
      <c r="M78" s="21">
        <f si="7" t="shared"/>
        <v>2.6199629787839954E-4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32.0</v>
      </c>
      <c r="J79" s="361" t="n">
        <v>3.0</v>
      </c>
      <c r="K79" s="451" t="n">
        <v>0.0</v>
      </c>
      <c r="L79">
        <f si="6" t="shared"/>
        <v>37</v>
      </c>
      <c r="M79" s="21">
        <f si="7" t="shared"/>
        <v>2.1073615264132137E-4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18.0</v>
      </c>
      <c r="J80" s="362" t="n">
        <v>2.0</v>
      </c>
      <c r="K80" s="452" t="n">
        <v>2.0</v>
      </c>
      <c r="L80">
        <f si="6" t="shared"/>
        <v>36</v>
      </c>
      <c r="M80" s="21">
        <f si="7" t="shared"/>
        <v>2.0504058094831268E-4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12.0</v>
      </c>
      <c r="J81" s="363" t="n">
        <v>3.0</v>
      </c>
      <c r="K81" s="453" t="n">
        <v>0.0</v>
      </c>
      <c r="L81">
        <f si="6" t="shared"/>
        <v>23</v>
      </c>
      <c r="M81" s="21">
        <f si="7" t="shared"/>
        <v>1.3099814893919977E-4</v>
      </c>
    </row>
    <row r="82" spans="1:13" x14ac:dyDescent="0.25">
      <c r="A82">
        <v>71</v>
      </c>
      <c r="B82" s="8" t="n">
        <v>520.538957349</v>
      </c>
      <c r="C82" s="8" t="n">
        <v>0.0</v>
      </c>
      <c r="D82" s="8" t="n">
        <v>0.0</v>
      </c>
      <c r="E82" s="8">
        <f si="4" t="shared"/>
        <v>520.53895734900004</v>
      </c>
      <c r="F82" s="21">
        <f si="5" t="shared"/>
        <v>3.2195496100703561E-3</v>
      </c>
      <c r="H82" s="184">
        <v>71</v>
      </c>
      <c r="I82" s="274" t="n">
        <v>24.0</v>
      </c>
      <c r="J82" s="364" t="n">
        <v>0.0</v>
      </c>
      <c r="K82" s="454" t="n">
        <v>1.0</v>
      </c>
      <c r="L82">
        <f si="6" t="shared"/>
        <v>25</v>
      </c>
      <c r="M82" s="21">
        <f si="7" t="shared"/>
        <v>1.4238929232521716E-4</v>
      </c>
    </row>
    <row r="83" spans="1:13" x14ac:dyDescent="0.25">
      <c r="A83">
        <v>72</v>
      </c>
      <c r="B83" s="8" t="n">
        <v>175.909856239</v>
      </c>
      <c r="C83" s="8" t="n">
        <v>0.0</v>
      </c>
      <c r="D83" s="8" t="n">
        <v>0.0</v>
      </c>
      <c r="E83" s="8">
        <f si="4" t="shared"/>
        <v>175.90985623899999</v>
      </c>
      <c r="F83" s="21">
        <f si="5" t="shared"/>
        <v>1.0880079215321631E-3</v>
      </c>
      <c r="H83" s="185">
        <v>72</v>
      </c>
      <c r="I83" s="275" t="n">
        <v>28.0</v>
      </c>
      <c r="J83" s="365" t="n">
        <v>1.0</v>
      </c>
      <c r="K83" s="455" t="n">
        <v>0.0</v>
      </c>
      <c r="L83">
        <f si="6" t="shared"/>
        <v>18</v>
      </c>
      <c r="M83" s="21">
        <f si="7" t="shared"/>
        <v>1.0252029047415634E-4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23.0</v>
      </c>
      <c r="J84" s="366" t="n">
        <v>2.0</v>
      </c>
      <c r="K84" s="456" t="n">
        <v>0.0</v>
      </c>
      <c r="L84">
        <f si="6" t="shared"/>
        <v>27</v>
      </c>
      <c r="M84" s="21">
        <f si="7" t="shared"/>
        <v>1.5378043571123452E-4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12.0</v>
      </c>
      <c r="J85" s="367" t="n">
        <v>4.0</v>
      </c>
      <c r="K85" s="457" t="n">
        <v>0.0</v>
      </c>
      <c r="L85">
        <f si="6" t="shared"/>
        <v>21</v>
      </c>
      <c r="M85" s="21">
        <f si="7" t="shared"/>
        <v>1.1960700555318241E-4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14.0</v>
      </c>
      <c r="J86" s="368" t="n">
        <v>1.0</v>
      </c>
      <c r="K86" s="458" t="n">
        <v>0.0</v>
      </c>
      <c r="L86">
        <f si="6" t="shared"/>
        <v>13</v>
      </c>
      <c r="M86" s="21">
        <f si="7" t="shared"/>
        <v>7.4042432009112911E-5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17.0</v>
      </c>
      <c r="J87" s="369" t="n">
        <v>1.0</v>
      </c>
      <c r="K87" s="459" t="n">
        <v>0.0</v>
      </c>
      <c r="L87">
        <f si="6" t="shared"/>
        <v>12</v>
      </c>
      <c r="M87" s="21">
        <f si="7" t="shared"/>
        <v>6.8346860316104231E-5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19.0</v>
      </c>
      <c r="J88" s="370" t="n">
        <v>0.0</v>
      </c>
      <c r="K88" s="460" t="n">
        <v>0.0</v>
      </c>
      <c r="L88">
        <f si="6" t="shared"/>
        <v>15</v>
      </c>
      <c r="M88" s="21">
        <f si="7" t="shared"/>
        <v>8.5433575395130285E-5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9.0</v>
      </c>
      <c r="J89" s="371" t="n">
        <v>0.0</v>
      </c>
      <c r="K89" s="461" t="n">
        <v>0.0</v>
      </c>
      <c r="L89">
        <f si="6" t="shared"/>
        <v>10</v>
      </c>
      <c r="M89" s="21">
        <f si="7" t="shared"/>
        <v>5.6955716930086857E-5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11.0</v>
      </c>
      <c r="J90" s="372" t="n">
        <v>2.0</v>
      </c>
      <c r="K90" s="462" t="n">
        <v>1.0</v>
      </c>
      <c r="L90">
        <f si="6" t="shared"/>
        <v>5</v>
      </c>
      <c r="M90" s="21">
        <f si="7" t="shared"/>
        <v>2.8477858465043428E-5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8.0</v>
      </c>
      <c r="J91" s="373" t="n">
        <v>0.0</v>
      </c>
      <c r="K91" s="463" t="n">
        <v>0.0</v>
      </c>
      <c r="L91">
        <f si="6" t="shared"/>
        <v>15</v>
      </c>
      <c r="M91" s="21">
        <f si="7" t="shared"/>
        <v>8.5433575395130285E-5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4.0</v>
      </c>
      <c r="J92" s="374" t="n">
        <v>1.0</v>
      </c>
      <c r="K92" s="464" t="n">
        <v>2.0</v>
      </c>
      <c r="L92">
        <f si="6" t="shared"/>
        <v>6</v>
      </c>
      <c r="M92" s="21">
        <f si="7" t="shared"/>
        <v>3.4173430158052115E-5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10.0</v>
      </c>
      <c r="J93" s="375" t="n">
        <v>3.0</v>
      </c>
      <c r="K93" s="465" t="n">
        <v>0.0</v>
      </c>
      <c r="L93">
        <f si="6" t="shared"/>
        <v>6</v>
      </c>
      <c r="M93" s="21">
        <f si="7" t="shared"/>
        <v>3.4173430158052115E-5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9.0</v>
      </c>
      <c r="J94" s="376" t="n">
        <v>1.0</v>
      </c>
      <c r="K94" s="466" t="n">
        <v>0.0</v>
      </c>
      <c r="L94">
        <f si="6" t="shared"/>
        <v>7</v>
      </c>
      <c r="M94" s="21">
        <f si="7" t="shared"/>
        <v>3.9869001851060802E-5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12.0</v>
      </c>
      <c r="J95" s="377" t="n">
        <v>1.0</v>
      </c>
      <c r="K95" s="467" t="n">
        <v>0.0</v>
      </c>
      <c r="L95">
        <f si="6" t="shared"/>
        <v>11</v>
      </c>
      <c r="M95" s="21">
        <f si="7" t="shared"/>
        <v>6.2651288623095537E-5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1.0</v>
      </c>
      <c r="J96" s="378" t="n">
        <v>0.0</v>
      </c>
      <c r="K96" s="468" t="n">
        <v>1.0</v>
      </c>
      <c r="L96">
        <f si="6" t="shared"/>
        <v>7</v>
      </c>
      <c r="M96" s="21">
        <f si="7" t="shared"/>
        <v>3.9869001851060802E-5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5.0</v>
      </c>
      <c r="J97" s="379" t="n">
        <v>0.0</v>
      </c>
      <c r="K97" s="469" t="n">
        <v>1.0</v>
      </c>
      <c r="L97">
        <f si="6" t="shared"/>
        <v>6</v>
      </c>
      <c r="M97" s="21">
        <f si="7" t="shared"/>
        <v>3.4173430158052115E-5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8.0</v>
      </c>
      <c r="J98" s="380" t="n">
        <v>0.0</v>
      </c>
      <c r="K98" s="470" t="n">
        <v>0.0</v>
      </c>
      <c r="L98">
        <f si="6" t="shared"/>
        <v>5</v>
      </c>
      <c r="M98" s="21">
        <f si="7" t="shared"/>
        <v>2.8477858465043428E-5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6.0</v>
      </c>
      <c r="J99" s="381" t="n">
        <v>0.0</v>
      </c>
      <c r="K99" s="471" t="n">
        <v>0.0</v>
      </c>
      <c r="L99">
        <f si="6" t="shared"/>
        <v>6</v>
      </c>
      <c r="M99" s="21">
        <f si="7" t="shared"/>
        <v>3.4173430158052115E-5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1.0</v>
      </c>
      <c r="J100" s="382" t="n">
        <v>1.0</v>
      </c>
      <c r="K100" s="472" t="n">
        <v>0.0</v>
      </c>
      <c r="L100">
        <f si="6" t="shared"/>
        <v>2</v>
      </c>
      <c r="M100" s="21">
        <f si="7" t="shared"/>
        <v>1.1391143386017371E-5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20.0</v>
      </c>
      <c r="J101" s="475" t="n">
        <v>1.0</v>
      </c>
      <c r="K101" s="475" t="n">
        <v>1.0</v>
      </c>
      <c r="L101" s="1">
        <f si="6" t="shared"/>
        <v>28</v>
      </c>
      <c r="M101" s="21">
        <f si="7" t="shared"/>
        <v>1.5947600740424321E-4</v>
      </c>
    </row>
    <row r="102" spans="1:13" x14ac:dyDescent="0.25">
      <c r="E102" s="8">
        <f>SUM(E11:E101)</f>
        <v>161680.67599294573</v>
      </c>
      <c r="F102" s="21">
        <f si="5" t="shared"/>
        <v>1</v>
      </c>
      <c r="L102" s="22">
        <f>SUM(L11:L101)</f>
        <v>175575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5362.5234090802005</v>
      </c>
      <c r="C7" s="13" t="n">
        <v>94.6030698936</v>
      </c>
      <c r="D7" s="13" t="n">
        <v>0.0</v>
      </c>
      <c r="E7" s="13" t="n">
        <v>373.34555451899996</v>
      </c>
      <c r="F7" s="13" t="n">
        <v>89.3309268675</v>
      </c>
      <c r="G7" s="13" t="n">
        <v>0.0</v>
      </c>
      <c r="H7" s="13" t="n">
        <v>327.039856179</v>
      </c>
      <c r="I7" s="13"/>
      <c r="J7" s="13">
        <f>SUM(B7:I7)</f>
        <v>6246.8428165393007</v>
      </c>
      <c r="K7" s="13"/>
      <c r="L7" t="str">
        <f>$A$7</f>
        <v>Bellevue</v>
      </c>
      <c r="M7" s="522" t="n">
        <v>2589.0</v>
      </c>
      <c r="N7" s="522" t="n">
        <v>954.0</v>
      </c>
      <c r="O7" s="522" t="n">
        <v>220.0</v>
      </c>
      <c r="P7" s="522" t="n">
        <v>387.0</v>
      </c>
      <c r="Q7" s="522" t="n">
        <v>251.0</v>
      </c>
      <c r="R7" s="522" t="n">
        <v>34.0</v>
      </c>
      <c r="S7" s="522" t="n">
        <v>397.0</v>
      </c>
      <c r="T7" s="473"/>
      <c r="U7" s="13">
        <f>SUM(M7:T7)</f>
        <v>6300</v>
      </c>
    </row>
    <row r="8" spans="1:21" x14ac:dyDescent="0.25">
      <c r="A8" t="s">
        <v>253</v>
      </c>
      <c r="B8" s="13" t="n">
        <v>1844.964152923</v>
      </c>
      <c r="C8" s="13" t="n">
        <v>2631.9486176826003</v>
      </c>
      <c r="D8" s="13" t="n">
        <v>0.0</v>
      </c>
      <c r="E8" s="13" t="n">
        <v>506.9344112474</v>
      </c>
      <c r="F8" s="13" t="n">
        <v>0.0</v>
      </c>
      <c r="G8" s="13" t="n">
        <v>0.0</v>
      </c>
      <c r="H8" s="13" t="n">
        <v>0.0</v>
      </c>
      <c r="I8" s="13"/>
      <c r="J8" s="13">
        <f ref="J8:J14" si="0" t="shared">SUM(B8:I8)</f>
        <v>4983.8471818530006</v>
      </c>
      <c r="K8" s="13"/>
      <c r="L8" t="str">
        <f>$A$8</f>
        <v>Bellevue Downtown</v>
      </c>
      <c r="M8" s="522" t="n">
        <v>618.0</v>
      </c>
      <c r="N8" s="522" t="n">
        <v>1858.0</v>
      </c>
      <c r="O8" s="522" t="n">
        <v>144.0</v>
      </c>
      <c r="P8" s="522" t="n">
        <v>82.0</v>
      </c>
      <c r="Q8" s="522" t="n">
        <v>146.0</v>
      </c>
      <c r="R8" s="522" t="n">
        <v>13.0</v>
      </c>
      <c r="S8" s="522" t="n">
        <v>197.0</v>
      </c>
      <c r="T8" s="473"/>
      <c r="U8" s="13">
        <f ref="U8:U14" si="1" t="shared">SUM(M8:T8)</f>
        <v>3208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2499.6909226349</v>
      </c>
      <c r="E9" s="13" t="n">
        <v>62.3910559558</v>
      </c>
      <c r="F9" s="13" t="n">
        <v>0.0</v>
      </c>
      <c r="G9" s="13" t="n">
        <v>0.0</v>
      </c>
      <c r="H9" s="13" t="n">
        <v>622.6145955101</v>
      </c>
      <c r="I9" s="13"/>
      <c r="J9" s="13">
        <f si="0" t="shared"/>
        <v>3184.6965741007998</v>
      </c>
      <c r="K9" s="14"/>
      <c r="L9" t="str">
        <f>$A$9</f>
        <v>Kirkland</v>
      </c>
      <c r="M9" s="522" t="n">
        <v>284.0</v>
      </c>
      <c r="N9" s="522" t="n">
        <v>137.0</v>
      </c>
      <c r="O9" s="522" t="n">
        <v>2380.0</v>
      </c>
      <c r="P9" s="522" t="n">
        <v>396.0</v>
      </c>
      <c r="Q9" s="522" t="n">
        <v>251.0</v>
      </c>
      <c r="R9" s="522" t="n">
        <v>16.0</v>
      </c>
      <c r="S9" s="522" t="n">
        <v>556.0</v>
      </c>
      <c r="T9" s="473"/>
      <c r="U9" s="13">
        <f si="1" t="shared"/>
        <v>4334</v>
      </c>
    </row>
    <row r="10" spans="1:21" x14ac:dyDescent="0.25">
      <c r="A10" t="s">
        <v>255</v>
      </c>
      <c r="B10" s="13" t="n">
        <v>348.6759278503</v>
      </c>
      <c r="C10" s="13" t="n">
        <v>407.745583464</v>
      </c>
      <c r="D10" s="13" t="n">
        <v>763.43476922</v>
      </c>
      <c r="E10" s="13" t="n">
        <v>4385.2627506771005</v>
      </c>
      <c r="F10" s="13" t="n">
        <v>0.0</v>
      </c>
      <c r="G10" s="13" t="n">
        <v>0.0</v>
      </c>
      <c r="H10" s="13" t="n">
        <v>702.428165475</v>
      </c>
      <c r="I10" s="13"/>
      <c r="J10" s="13">
        <f si="0" t="shared"/>
        <v>6607.5471966864006</v>
      </c>
      <c r="K10" s="14"/>
      <c r="L10" t="str">
        <f>$A$10</f>
        <v>Redmond</v>
      </c>
      <c r="M10" s="522" t="n">
        <v>996.0</v>
      </c>
      <c r="N10" s="522" t="n">
        <v>114.0</v>
      </c>
      <c r="O10" s="522" t="n">
        <v>568.0</v>
      </c>
      <c r="P10" s="522" t="n">
        <v>3342.0</v>
      </c>
      <c r="Q10" s="522" t="n">
        <v>241.0</v>
      </c>
      <c r="R10" s="522" t="n">
        <v>20.0</v>
      </c>
      <c r="S10" s="522" t="n">
        <v>524.0</v>
      </c>
      <c r="T10" s="473"/>
      <c r="U10" s="13">
        <f si="1" t="shared"/>
        <v>6182</v>
      </c>
    </row>
    <row r="11" spans="1:21" x14ac:dyDescent="0.2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31493.1237298401</v>
      </c>
      <c r="G11" s="13" t="n">
        <v>3880.4949930591</v>
      </c>
      <c r="H11" s="13" t="n">
        <v>1320.4057760048</v>
      </c>
      <c r="I11" s="13"/>
      <c r="J11" s="13">
        <f si="0" t="shared"/>
        <v>36750.163374994401</v>
      </c>
      <c r="K11" s="14"/>
      <c r="L11" t="str">
        <f>$A$11</f>
        <v>Seattle</v>
      </c>
      <c r="M11" s="522" t="n">
        <v>538.0</v>
      </c>
      <c r="N11" s="522" t="n">
        <v>82.0</v>
      </c>
      <c r="O11" s="522" t="n">
        <v>545.0</v>
      </c>
      <c r="P11" s="522" t="n">
        <v>253.0</v>
      </c>
      <c r="Q11" s="522" t="n">
        <v>30093.0</v>
      </c>
      <c r="R11" s="522" t="n">
        <v>1536.0</v>
      </c>
      <c r="S11" s="522" t="n">
        <v>2782.0</v>
      </c>
      <c r="T11" s="473"/>
      <c r="U11" s="13">
        <f si="1" t="shared"/>
        <v>35661</v>
      </c>
    </row>
    <row r="12" spans="1:21" x14ac:dyDescent="0.2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27187.8572837516</v>
      </c>
      <c r="H12" s="13" t="n">
        <v>198.4972902366</v>
      </c>
      <c r="I12" s="13"/>
      <c r="J12" s="13">
        <f si="0" t="shared"/>
        <v>30806.661993223701</v>
      </c>
      <c r="K12" s="14"/>
      <c r="L12" t="str">
        <f>$A$12</f>
        <v>Seattle Downtown</v>
      </c>
      <c r="M12" s="522" t="n">
        <v>477.0</v>
      </c>
      <c r="N12" s="522" t="n">
        <v>43.0</v>
      </c>
      <c r="O12" s="522" t="n">
        <v>237.0</v>
      </c>
      <c r="P12" s="522" t="n">
        <v>193.0</v>
      </c>
      <c r="Q12" s="522" t="n">
        <v>4793.0</v>
      </c>
      <c r="R12" s="522" t="n">
        <v>17566.0</v>
      </c>
      <c r="S12" s="522" t="n">
        <v>1174.0</v>
      </c>
      <c r="T12" s="473"/>
      <c r="U12" s="13">
        <f si="1" t="shared"/>
        <v>24358</v>
      </c>
    </row>
    <row r="13" spans="1:21" x14ac:dyDescent="0.2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70458.3280032938</v>
      </c>
      <c r="I13" s="13"/>
      <c r="J13" s="13">
        <f si="0" t="shared"/>
        <v>73100.916855548101</v>
      </c>
      <c r="K13" s="14"/>
      <c r="L13" t="str">
        <f>$A$13</f>
        <v>Rest</v>
      </c>
      <c r="M13" s="522" t="n">
        <v>1429.0</v>
      </c>
      <c r="N13" s="522" t="n">
        <v>300.0</v>
      </c>
      <c r="O13" s="522" t="n">
        <v>1078.0</v>
      </c>
      <c r="P13" s="522" t="n">
        <v>818.0</v>
      </c>
      <c r="Q13" s="522" t="n">
        <v>3853.0</v>
      </c>
      <c r="R13" s="522" t="n">
        <v>361.0</v>
      </c>
      <c r="S13" s="522" t="n">
        <v>89493.0</v>
      </c>
      <c r="T13" s="473"/>
      <c r="U13" s="13">
        <f si="1" t="shared"/>
        <v>93101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8066.043900709401</v>
      </c>
      <c r="C15" s="16">
        <f si="2" t="shared"/>
        <v>3134.2972710402005</v>
      </c>
      <c r="D15" s="16">
        <f si="2" t="shared"/>
        <v>4762.4952716519001</v>
      </c>
      <c r="E15" s="16">
        <f si="2" t="shared"/>
        <v>5824.2552435423004</v>
      </c>
      <c r="F15" s="16">
        <f si="2" t="shared"/>
        <v>35195.918342491903</v>
      </c>
      <c r="G15" s="16">
        <f si="2" t="shared"/>
        <v>31068.3522768107</v>
      </c>
      <c r="H15" s="16">
        <f si="2" t="shared"/>
        <v>73629.313686699301</v>
      </c>
      <c r="I15" s="16">
        <f si="2" t="shared"/>
        <v>0</v>
      </c>
      <c r="J15" s="16">
        <f si="2" t="shared"/>
        <v>161680.6759929457</v>
      </c>
      <c r="K15" s="13"/>
      <c r="L15" s="16" t="s">
        <v>4</v>
      </c>
      <c r="M15" s="16">
        <f ref="M15:U15" si="3" t="shared">SUM(M7:M14)</f>
        <v>7678</v>
      </c>
      <c r="N15" s="16">
        <f si="3" t="shared"/>
        <v>3907</v>
      </c>
      <c r="O15" s="16">
        <f si="3" t="shared"/>
        <v>5326</v>
      </c>
      <c r="P15" s="16">
        <f si="3" t="shared"/>
        <v>5517</v>
      </c>
      <c r="Q15" s="16">
        <f si="3" t="shared"/>
        <v>39616</v>
      </c>
      <c r="R15" s="16">
        <f si="3" t="shared"/>
        <v>19442</v>
      </c>
      <c r="S15" s="16">
        <f si="3" t="shared"/>
        <v>91658</v>
      </c>
      <c r="T15" s="16">
        <f si="3" t="shared"/>
        <v>0</v>
      </c>
      <c r="U15" s="16">
        <f si="3" t="shared"/>
        <v>173144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5408.155522619867</v>
      </c>
      <c r="C20" s="13">
        <f si="4" t="shared"/>
        <v>95.408089787643917</v>
      </c>
      <c r="D20" s="13">
        <f si="4" t="shared"/>
        <v>0</v>
      </c>
      <c r="E20" s="13">
        <f si="4" t="shared"/>
        <v>376.5225190623143</v>
      </c>
      <c r="F20" s="13">
        <f si="4" t="shared"/>
        <v>90.09108373516402</v>
      </c>
      <c r="G20" s="13">
        <f si="4" t="shared"/>
        <v>0</v>
      </c>
      <c r="H20" s="13">
        <f ref="H20" si="5" t="shared">($U7/$J7)*H7</f>
        <v>329.8227847950107</v>
      </c>
      <c r="I20" s="13"/>
      <c r="J20" s="13">
        <f>SUM(B20:I20)</f>
        <v>6300</v>
      </c>
      <c r="K20" s="13"/>
      <c r="L20" t="str">
        <f>$A$7</f>
        <v>Bellevue</v>
      </c>
      <c r="M20" s="13">
        <f ref="M20:M26" si="6" t="shared">M7</f>
        <v>3394</v>
      </c>
      <c r="N20" s="13">
        <f ref="N20:U20" si="7" t="shared">N7</f>
        <v>1174</v>
      </c>
      <c r="O20" s="13">
        <f si="7" t="shared"/>
        <v>302</v>
      </c>
      <c r="P20" s="13">
        <f si="7" t="shared"/>
        <v>488</v>
      </c>
      <c r="Q20" s="13">
        <f si="7" t="shared"/>
        <v>370</v>
      </c>
      <c r="R20" s="13">
        <f si="7" t="shared"/>
        <v>53</v>
      </c>
      <c r="S20" s="13">
        <f ref="S20" si="8" t="shared">S7</f>
        <v>519</v>
      </c>
      <c r="T20" s="13"/>
      <c r="U20" s="13">
        <f si="7" t="shared"/>
        <v>6300</v>
      </c>
    </row>
    <row r="21" spans="1:32" x14ac:dyDescent="0.25">
      <c r="A21" t="str">
        <f>$A$8</f>
        <v>Bellevue Downtown</v>
      </c>
      <c r="B21" s="13">
        <f ref="B21:G26" si="9" t="shared">($U8/$J8)*B8</f>
        <v>1187.5655064480577</v>
      </c>
      <c r="C21" s="13">
        <f si="9" t="shared"/>
        <v>1694.1312318461889</v>
      </c>
      <c r="D21" s="13">
        <f si="9" t="shared"/>
        <v>0</v>
      </c>
      <c r="E21" s="13">
        <f si="9" t="shared"/>
        <v>326.30326170575296</v>
      </c>
      <c r="F21" s="13">
        <f si="9" t="shared"/>
        <v>0</v>
      </c>
      <c r="G21" s="13">
        <f si="9" t="shared"/>
        <v>0</v>
      </c>
      <c r="H21" s="13">
        <f ref="H21" si="10" t="shared">($U8/$J8)*H8</f>
        <v>0</v>
      </c>
      <c r="I21" s="13"/>
      <c r="J21" s="13">
        <f ref="J21:J27" si="11" t="shared">SUM(B21:I21)</f>
        <v>3207.9999999999995</v>
      </c>
      <c r="K21" s="13"/>
      <c r="L21" t="str">
        <f>$A$8</f>
        <v>Bellevue Downtown</v>
      </c>
      <c r="M21" s="13">
        <f si="6" t="shared"/>
        <v>637</v>
      </c>
      <c r="N21" s="13">
        <f ref="N21:R26" si="12" t="shared">N8</f>
        <v>1974</v>
      </c>
      <c r="O21" s="13">
        <f si="12" t="shared"/>
        <v>145</v>
      </c>
      <c r="P21" s="13">
        <f si="12" t="shared"/>
        <v>82</v>
      </c>
      <c r="Q21" s="13">
        <f si="12" t="shared"/>
        <v>146</v>
      </c>
      <c r="R21" s="13">
        <f si="12" t="shared"/>
        <v>12</v>
      </c>
      <c r="S21" s="13">
        <f ref="S21" si="13" t="shared">S8</f>
        <v>212</v>
      </c>
      <c r="T21" s="13"/>
      <c r="U21" s="13">
        <f ref="U21:U26" si="14" t="shared">U8</f>
        <v>3208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3401.7873309511579</v>
      </c>
      <c r="E22" s="13">
        <f si="9" t="shared"/>
        <v>84.906938611187954</v>
      </c>
      <c r="F22" s="13">
        <f si="9" t="shared"/>
        <v>0</v>
      </c>
      <c r="G22" s="13">
        <f si="9" t="shared"/>
        <v>0</v>
      </c>
      <c r="H22" s="13">
        <f ref="H22" si="15" t="shared">($U9/$J9)*H9</f>
        <v>847.30573043765435</v>
      </c>
      <c r="I22" s="13"/>
      <c r="J22" s="13">
        <f si="11" t="shared"/>
        <v>4334</v>
      </c>
      <c r="K22" s="14"/>
      <c r="L22" t="str">
        <f>$A$9</f>
        <v>Kirkland</v>
      </c>
      <c r="M22" s="13">
        <f si="6" t="shared"/>
        <v>299</v>
      </c>
      <c r="N22" s="13">
        <f si="12" t="shared"/>
        <v>192</v>
      </c>
      <c r="O22" s="13">
        <f si="12" t="shared"/>
        <v>2554</v>
      </c>
      <c r="P22" s="13">
        <f si="12" t="shared"/>
        <v>406</v>
      </c>
      <c r="Q22" s="13">
        <f si="12" t="shared"/>
        <v>276</v>
      </c>
      <c r="R22" s="13">
        <f si="12" t="shared"/>
        <v>27</v>
      </c>
      <c r="S22" s="13">
        <f ref="S22" si="16" t="shared">S9</f>
        <v>580</v>
      </c>
      <c r="T22" s="13"/>
      <c r="U22" s="13">
        <f si="14" t="shared"/>
        <v>4334</v>
      </c>
    </row>
    <row r="23" spans="1:32" x14ac:dyDescent="0.25">
      <c r="A23" t="str">
        <f>$A$10</f>
        <v>Redmond</v>
      </c>
      <c r="B23" s="13">
        <f si="9" t="shared"/>
        <v>326.22008164414132</v>
      </c>
      <c r="C23" s="13">
        <f si="9" t="shared"/>
        <v>381.48546229658984</v>
      </c>
      <c r="D23" s="13">
        <f si="9" t="shared"/>
        <v>714.26712558100758</v>
      </c>
      <c r="E23" s="13">
        <f si="9" t="shared"/>
        <v>4102.8377880192811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657.18954245897976</v>
      </c>
      <c r="I23" s="13"/>
      <c r="J23" s="13">
        <f>SUM(B23:I23)</f>
        <v>6182</v>
      </c>
      <c r="K23" s="14"/>
      <c r="L23" t="str">
        <f>$A$10</f>
        <v>Redmond</v>
      </c>
      <c r="M23" s="13">
        <f si="6" t="shared"/>
        <v>1101</v>
      </c>
      <c r="N23" s="13">
        <f si="12" t="shared"/>
        <v>137</v>
      </c>
      <c r="O23" s="13">
        <f si="12" t="shared"/>
        <v>645</v>
      </c>
      <c r="P23" s="13">
        <f si="12" t="shared"/>
        <v>3451</v>
      </c>
      <c r="Q23" s="13">
        <f si="12" t="shared"/>
        <v>279</v>
      </c>
      <c r="R23" s="13">
        <f si="12" t="shared"/>
        <v>22</v>
      </c>
      <c r="S23" s="13">
        <f ref="S23" si="18" t="shared">S10</f>
        <v>547</v>
      </c>
      <c r="T23" s="13"/>
      <c r="U23" s="13">
        <f si="14" t="shared"/>
        <v>6182</v>
      </c>
    </row>
    <row r="24" spans="1:32" x14ac:dyDescent="0.25">
      <c r="A24" t="str">
        <f>$A$11</f>
        <v>Seattle</v>
      </c>
      <c r="B24" s="13">
        <f si="9" t="shared"/>
        <v>54.4750900786998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30559.763064726751</v>
      </c>
      <c r="G24" s="13">
        <f si="9" t="shared"/>
        <v>3765.4888914490884</v>
      </c>
      <c r="H24" s="13">
        <f ref="H24" si="19" t="shared">($U11/$J11)*H11</f>
        <v>1281.2729537454563</v>
      </c>
      <c r="I24" s="13"/>
      <c r="J24" s="13">
        <f si="11" t="shared"/>
        <v>35661</v>
      </c>
      <c r="K24" s="14"/>
      <c r="L24" t="str">
        <f>$A$11</f>
        <v>Seattle</v>
      </c>
      <c r="M24" s="13">
        <f si="6" t="shared"/>
        <v>558</v>
      </c>
      <c r="N24" s="13">
        <f si="12" t="shared"/>
        <v>77</v>
      </c>
      <c r="O24" s="13">
        <f si="12" t="shared"/>
        <v>508</v>
      </c>
      <c r="P24" s="13">
        <f si="12" t="shared"/>
        <v>222</v>
      </c>
      <c r="Q24" s="13">
        <f si="12" t="shared"/>
        <v>29924</v>
      </c>
      <c r="R24" s="13">
        <f si="12" t="shared"/>
        <v>1527</v>
      </c>
      <c r="S24" s="13">
        <f ref="S24" si="20" t="shared">S11</f>
        <v>2845</v>
      </c>
      <c r="T24" s="13"/>
      <c r="U24" s="13">
        <f si="14" t="shared"/>
        <v>35661</v>
      </c>
    </row>
    <row r="25" spans="1:32" x14ac:dyDescent="0.25">
      <c r="A25" t="str">
        <f>$A$12</f>
        <v>Seattle Downtown</v>
      </c>
      <c r="B25" s="13">
        <f si="9" t="shared"/>
        <v>127.50902568779631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2576.8361622479742</v>
      </c>
      <c r="G25" s="13">
        <f si="9" t="shared"/>
        <v>21496.708337413824</v>
      </c>
      <c r="H25" s="13">
        <f ref="H25" si="21" t="shared">($U12/$J12)*H12</f>
        <v>156.9464746504058</v>
      </c>
      <c r="I25" s="13"/>
      <c r="J25" s="13">
        <f si="11" t="shared"/>
        <v>24358</v>
      </c>
      <c r="K25" s="14"/>
      <c r="L25" t="str">
        <f>$A$12</f>
        <v>Seattle Downtown</v>
      </c>
      <c r="M25" s="13">
        <f si="6" t="shared"/>
        <v>426</v>
      </c>
      <c r="N25" s="13">
        <f si="12" t="shared"/>
        <v>56</v>
      </c>
      <c r="O25" s="13">
        <f si="12" t="shared"/>
        <v>213</v>
      </c>
      <c r="P25" s="13">
        <f si="12" t="shared"/>
        <v>117</v>
      </c>
      <c r="Q25" s="13">
        <f si="12" t="shared"/>
        <v>4809</v>
      </c>
      <c r="R25" s="13">
        <f si="12" t="shared"/>
        <v>17457</v>
      </c>
      <c r="S25" s="13">
        <f ref="S25:S26" si="22" t="shared">S12</f>
        <v>1280</v>
      </c>
      <c r="T25" s="13"/>
      <c r="U25" s="13">
        <f si="14" t="shared"/>
        <v>24358</v>
      </c>
    </row>
    <row r="26" spans="1:32" x14ac:dyDescent="0.25">
      <c r="A26" t="str">
        <f>$A$13</f>
        <v>Rest</v>
      </c>
      <c r="B26" s="13">
        <f si="9" t="shared"/>
        <v>372.4949951683368</v>
      </c>
      <c r="C26" s="13">
        <f si="9" t="shared"/>
        <v>0</v>
      </c>
      <c r="D26" s="13">
        <f si="9" t="shared"/>
        <v>1909.5903752414547</v>
      </c>
      <c r="E26" s="13">
        <f si="9" t="shared"/>
        <v>632.11280066697839</v>
      </c>
      <c r="F26" s="13">
        <f si="9" t="shared"/>
        <v>451.39114457973983</v>
      </c>
      <c r="G26" s="13">
        <f si="9" t="shared"/>
        <v>0</v>
      </c>
      <c r="H26" s="13">
        <f ref="H26" si="23" t="shared">($U13/$J13)*H13</f>
        <v>89735.410684343486</v>
      </c>
      <c r="I26" s="13"/>
      <c r="J26" s="13">
        <f si="11" t="shared"/>
        <v>93101</v>
      </c>
      <c r="K26" s="14"/>
      <c r="L26" t="str">
        <f>$A$13</f>
        <v>Rest</v>
      </c>
      <c r="M26" s="13">
        <f si="6" t="shared"/>
        <v>1263</v>
      </c>
      <c r="N26" s="13">
        <f si="12" t="shared"/>
        <v>297</v>
      </c>
      <c r="O26" s="13">
        <f si="12" t="shared"/>
        <v>959</v>
      </c>
      <c r="P26" s="13">
        <f si="12" t="shared"/>
        <v>751</v>
      </c>
      <c r="Q26" s="13">
        <f si="12" t="shared"/>
        <v>3812</v>
      </c>
      <c r="R26" s="13">
        <f si="12" t="shared"/>
        <v>344</v>
      </c>
      <c r="S26" s="13">
        <f si="22" t="shared"/>
        <v>85675</v>
      </c>
      <c r="T26" s="13"/>
      <c r="U26" s="13">
        <f si="14" t="shared"/>
        <v>93101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24" t="shared">SUM(B20:B27)</f>
        <v>7476.4202216468984</v>
      </c>
      <c r="C28" s="16">
        <f si="24" t="shared"/>
        <v>2171.0247839304229</v>
      </c>
      <c r="D28" s="16">
        <f si="24" t="shared"/>
        <v>6025.6448317736194</v>
      </c>
      <c r="E28" s="16">
        <f si="24" t="shared"/>
        <v>5522.6833080655151</v>
      </c>
      <c r="F28" s="16">
        <f si="24" t="shared"/>
        <v>33678.081455289634</v>
      </c>
      <c r="G28" s="16">
        <f si="24" t="shared"/>
        <v>25262.197228862911</v>
      </c>
      <c r="H28" s="16">
        <f si="24" t="shared"/>
        <v>93007.948170430987</v>
      </c>
      <c r="I28" s="16">
        <f si="24" t="shared"/>
        <v>0</v>
      </c>
      <c r="J28" s="16">
        <f si="24" t="shared"/>
        <v>173144</v>
      </c>
      <c r="K28" s="13"/>
      <c r="L28" s="16" t="s">
        <v>4</v>
      </c>
      <c r="M28" s="16">
        <f ref="M28:U28" si="25" t="shared">M15</f>
        <v>7678</v>
      </c>
      <c r="N28" s="16">
        <f si="25" t="shared"/>
        <v>3907</v>
      </c>
      <c r="O28" s="16">
        <f si="25" t="shared"/>
        <v>5326</v>
      </c>
      <c r="P28" s="16">
        <f si="25" t="shared"/>
        <v>5517</v>
      </c>
      <c r="Q28" s="16">
        <f si="25" t="shared"/>
        <v>39616</v>
      </c>
      <c r="R28" s="16">
        <f si="25" t="shared"/>
        <v>19442</v>
      </c>
      <c r="S28" s="16">
        <f si="25" t="shared"/>
        <v>91658</v>
      </c>
      <c r="T28" s="16"/>
      <c r="U28" s="16">
        <f si="25" t="shared"/>
        <v>173144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ref="B33:G33" si="26" t="shared">B20/$J$28</f>
        <v>3.1235015493576834E-2</v>
      </c>
      <c r="C33" s="17">
        <f si="26" t="shared"/>
        <v>5.5103318502312479E-4</v>
      </c>
      <c r="D33" s="17">
        <f si="26" t="shared"/>
        <v>0</v>
      </c>
      <c r="E33" s="17">
        <f si="26" t="shared"/>
        <v>2.1746206571542433E-3</v>
      </c>
      <c r="F33" s="17">
        <f si="26" t="shared"/>
        <v>5.2032460688885564E-4</v>
      </c>
      <c r="G33" s="17">
        <f si="26" t="shared"/>
        <v>0</v>
      </c>
      <c r="H33" s="17">
        <f ref="H33" si="27" t="shared">H20/$J$28</f>
        <v>1.9049045002715122E-3</v>
      </c>
      <c r="I33" s="13"/>
      <c r="J33" s="17">
        <f ref="J33:J39" si="28" t="shared">J20/$J$28</f>
        <v>3.6385898442914566E-2</v>
      </c>
      <c r="K33" s="13"/>
      <c r="L33" t="str">
        <f>$A$7</f>
        <v>Bellevue</v>
      </c>
      <c r="M33" s="17">
        <f ref="M33:R33" si="29" t="shared">M20/$U$28</f>
        <v>1.9602180843690802E-2</v>
      </c>
      <c r="N33" s="17">
        <f si="29" t="shared"/>
        <v>6.7804832971399527E-3</v>
      </c>
      <c r="O33" s="17">
        <f si="29" t="shared"/>
        <v>1.744212909485746E-3</v>
      </c>
      <c r="P33" s="17">
        <f si="29" t="shared"/>
        <v>2.8184632444670332E-3</v>
      </c>
      <c r="Q33" s="17">
        <f si="29" t="shared"/>
        <v>2.1369495910918078E-3</v>
      </c>
      <c r="R33" s="17">
        <f si="29" t="shared"/>
        <v>3.0610359007531305E-4</v>
      </c>
      <c r="S33" s="17">
        <f ref="S33" si="30" t="shared">S20/$U$28</f>
        <v>2.9975049669639145E-3</v>
      </c>
      <c r="T33" s="17"/>
      <c r="U33" s="17">
        <f ref="U33:U39" si="31" t="shared">U20/$U$28</f>
        <v>3.6385898442914566E-2</v>
      </c>
      <c r="W33" t="str">
        <f>$A$7</f>
        <v>Bellevue</v>
      </c>
      <c r="X33" s="17">
        <f ref="X33:AD33" si="32" t="shared">M33-B33</f>
        <v>-1.1632834649886032E-2</v>
      </c>
      <c r="Y33" s="17">
        <f si="32" t="shared"/>
        <v>6.2294501121168281E-3</v>
      </c>
      <c r="Z33" s="17">
        <f si="32" t="shared"/>
        <v>1.744212909485746E-3</v>
      </c>
      <c r="AA33" s="17">
        <f si="32" t="shared"/>
        <v>6.4384258731278992E-4</v>
      </c>
      <c r="AB33" s="17">
        <f si="32" t="shared"/>
        <v>1.6166249842029523E-3</v>
      </c>
      <c r="AC33" s="17">
        <f si="32" t="shared"/>
        <v>3.0610359007531305E-4</v>
      </c>
      <c r="AD33" s="17">
        <f si="32" t="shared"/>
        <v>1.0926004666924024E-3</v>
      </c>
      <c r="AE33" s="17"/>
      <c r="AF33" s="17">
        <f ref="AF33:AF39" si="33" t="shared">U33-J33</f>
        <v>0</v>
      </c>
    </row>
    <row r="34" spans="1:32" x14ac:dyDescent="0.25">
      <c r="A34" t="str">
        <f>$A$8</f>
        <v>Bellevue Downtown</v>
      </c>
      <c r="B34" s="17">
        <f ref="B34:G39" si="34" t="shared">B21/$J$28</f>
        <v>6.8588314145916563E-3</v>
      </c>
      <c r="C34" s="17">
        <f si="34" t="shared"/>
        <v>9.7845217382420933E-3</v>
      </c>
      <c r="D34" s="17">
        <f si="34" t="shared"/>
        <v>0</v>
      </c>
      <c r="E34" s="17">
        <f si="34" t="shared"/>
        <v>1.8845773558757621E-3</v>
      </c>
      <c r="F34" s="17">
        <f si="34" t="shared"/>
        <v>0</v>
      </c>
      <c r="G34" s="17">
        <f si="34" t="shared"/>
        <v>0</v>
      </c>
      <c r="H34" s="17">
        <f ref="H34" si="35" t="shared">H21/$J$28</f>
        <v>0</v>
      </c>
      <c r="I34" s="13"/>
      <c r="J34" s="17">
        <f si="28" t="shared"/>
        <v>1.852793050870951E-2</v>
      </c>
      <c r="K34" s="13"/>
      <c r="L34" t="str">
        <f>$A$8</f>
        <v>Bellevue Downtown</v>
      </c>
      <c r="M34" s="17">
        <f ref="M34:R39" si="36" t="shared">M21/$U$28</f>
        <v>3.6790186203391395E-3</v>
      </c>
      <c r="N34" s="17">
        <f si="36" t="shared"/>
        <v>1.1400914845446565E-2</v>
      </c>
      <c r="O34" s="17">
        <f si="36" t="shared"/>
        <v>8.3745321813057344E-4</v>
      </c>
      <c r="P34" s="17">
        <f si="36" t="shared"/>
        <v>4.7359423370142771E-4</v>
      </c>
      <c r="Q34" s="17">
        <f si="36" t="shared"/>
        <v>8.432287575659567E-4</v>
      </c>
      <c r="R34" s="17">
        <f si="36" t="shared"/>
        <v>6.9306473224599172E-5</v>
      </c>
      <c r="S34" s="17">
        <f ref="S34" si="37" t="shared">S21/$U$28</f>
        <v>1.2244143603012522E-3</v>
      </c>
      <c r="T34" s="17"/>
      <c r="U34" s="17">
        <f si="31" t="shared"/>
        <v>1.8527930508709513E-2</v>
      </c>
      <c r="W34" t="str">
        <f>$A$8</f>
        <v>Bellevue Downtown</v>
      </c>
      <c r="X34" s="17">
        <f ref="X34:X38" si="38" t="shared">M34-B34</f>
        <v>-3.1798127942525168E-3</v>
      </c>
      <c r="Y34" s="17">
        <f ref="Y34:AD38" si="39" t="shared">N34-C34</f>
        <v>1.6163931072044717E-3</v>
      </c>
      <c r="Z34" s="17">
        <f si="39" t="shared"/>
        <v>8.3745321813057344E-4</v>
      </c>
      <c r="AA34" s="17">
        <f si="39" t="shared"/>
        <v>-1.4109831221743344E-3</v>
      </c>
      <c r="AB34" s="17">
        <f si="39" t="shared"/>
        <v>8.432287575659567E-4</v>
      </c>
      <c r="AC34" s="17">
        <f si="39" t="shared"/>
        <v>6.9306473224599172E-5</v>
      </c>
      <c r="AD34" s="17">
        <f si="39" t="shared"/>
        <v>1.2244143603012522E-3</v>
      </c>
      <c r="AE34" s="17"/>
      <c r="AF34" s="17">
        <f si="33" t="shared"/>
        <v>0</v>
      </c>
    </row>
    <row r="35" spans="1:32" x14ac:dyDescent="0.25">
      <c r="A35" t="str">
        <f>$A$9</f>
        <v>Kirkland</v>
      </c>
      <c r="B35" s="17">
        <f si="34" t="shared"/>
        <v>0</v>
      </c>
      <c r="C35" s="17">
        <f si="34" t="shared"/>
        <v>0</v>
      </c>
      <c r="D35" s="17">
        <f si="34" t="shared"/>
        <v>1.9647156880695595E-2</v>
      </c>
      <c r="E35" s="17">
        <f si="34" t="shared"/>
        <v>4.9038337228658204E-4</v>
      </c>
      <c r="F35" s="17">
        <f si="34" t="shared"/>
        <v>0</v>
      </c>
      <c r="G35" s="17">
        <f si="34" t="shared"/>
        <v>0</v>
      </c>
      <c r="H35" s="17">
        <f ref="H35" si="40" t="shared">H22/$J$28</f>
        <v>4.8936476599688947E-3</v>
      </c>
      <c r="I35" s="13"/>
      <c r="J35" s="17">
        <f si="28" t="shared"/>
        <v>2.5031187912951069E-2</v>
      </c>
      <c r="K35" s="14"/>
      <c r="L35" t="str">
        <f>$A$9</f>
        <v>Kirkland</v>
      </c>
      <c r="M35" s="17">
        <f si="36" t="shared"/>
        <v>1.7268862911795962E-3</v>
      </c>
      <c r="N35" s="17">
        <f si="36" t="shared"/>
        <v>1.1089035715935868E-3</v>
      </c>
      <c r="O35" s="17">
        <f si="36" t="shared"/>
        <v>1.4750727717968858E-2</v>
      </c>
      <c r="P35" s="17">
        <f si="36" t="shared"/>
        <v>2.3448690107656057E-3</v>
      </c>
      <c r="Q35" s="17">
        <f si="36" t="shared"/>
        <v>1.594048884165781E-3</v>
      </c>
      <c r="R35" s="17">
        <f si="36" t="shared"/>
        <v>1.5593956475534816E-4</v>
      </c>
      <c r="S35" s="17">
        <f ref="S35" si="41" t="shared">S22/$U$28</f>
        <v>3.3498128725222938E-3</v>
      </c>
      <c r="T35" s="17"/>
      <c r="U35" s="17">
        <f si="31" t="shared"/>
        <v>2.5031187912951069E-2</v>
      </c>
      <c r="W35" t="str">
        <f>$A$9</f>
        <v>Kirkland</v>
      </c>
      <c r="X35" s="17">
        <f si="38" t="shared"/>
        <v>1.7268862911795962E-3</v>
      </c>
      <c r="Y35" s="17">
        <f si="39" t="shared"/>
        <v>1.1089035715935868E-3</v>
      </c>
      <c r="Z35" s="17">
        <f si="39" t="shared"/>
        <v>-4.8964291627267374E-3</v>
      </c>
      <c r="AA35" s="17">
        <f si="39" t="shared"/>
        <v>1.8544856384790237E-3</v>
      </c>
      <c r="AB35" s="17">
        <f si="39" t="shared"/>
        <v>1.594048884165781E-3</v>
      </c>
      <c r="AC35" s="17">
        <f si="39" t="shared"/>
        <v>1.5593956475534816E-4</v>
      </c>
      <c r="AD35" s="17">
        <f si="39" t="shared"/>
        <v>-1.543834787446601E-3</v>
      </c>
      <c r="AE35" s="17"/>
      <c r="AF35" s="17">
        <f si="33" t="shared"/>
        <v>0</v>
      </c>
    </row>
    <row r="36" spans="1:32" x14ac:dyDescent="0.25">
      <c r="A36" t="str">
        <f>$A$10</f>
        <v>Redmond</v>
      </c>
      <c r="B36" s="17">
        <f si="34" t="shared"/>
        <v>1.8840969461496864E-3</v>
      </c>
      <c r="C36" s="17">
        <f si="34" t="shared"/>
        <v>2.2032843315193703E-3</v>
      </c>
      <c r="D36" s="17">
        <f si="34" t="shared"/>
        <v>4.1252779511909603E-3</v>
      </c>
      <c r="E36" s="17">
        <f si="34" t="shared"/>
        <v>2.3696101441686001E-2</v>
      </c>
      <c r="F36" s="17">
        <f si="34" t="shared"/>
        <v>0</v>
      </c>
      <c r="G36" s="17">
        <f si="34" t="shared"/>
        <v>0</v>
      </c>
      <c r="H36" s="17">
        <f ref="H36" si="42" t="shared">H23/$J$28</f>
        <v>3.7956241189933222E-3</v>
      </c>
      <c r="I36" s="13"/>
      <c r="J36" s="17">
        <f si="28" t="shared"/>
        <v>3.5704384789539342E-2</v>
      </c>
      <c r="K36" s="14"/>
      <c r="L36" t="str">
        <f>$A$10</f>
        <v>Redmond</v>
      </c>
      <c r="M36" s="17">
        <f si="36" t="shared"/>
        <v>6.3588689183569748E-3</v>
      </c>
      <c r="N36" s="17">
        <f si="36" t="shared"/>
        <v>7.9124890264750723E-4</v>
      </c>
      <c r="O36" s="17">
        <f si="36" t="shared"/>
        <v>3.725222935822206E-3</v>
      </c>
      <c r="P36" s="17">
        <f si="36" t="shared"/>
        <v>1.9931386591507647E-2</v>
      </c>
      <c r="Q36" s="17">
        <f si="36" t="shared"/>
        <v>1.6113755024719308E-3</v>
      </c>
      <c r="R36" s="17">
        <f si="36" t="shared"/>
        <v>1.2706186757843182E-4</v>
      </c>
      <c r="S36" s="17">
        <f ref="S36" si="43" t="shared">S23/$U$28</f>
        <v>3.1592200711546459E-3</v>
      </c>
      <c r="T36" s="17"/>
      <c r="U36" s="17">
        <f si="31" t="shared"/>
        <v>3.5704384789539342E-2</v>
      </c>
      <c r="W36" t="str">
        <f>$A$10</f>
        <v>Redmond</v>
      </c>
      <c r="X36" s="17">
        <f si="38" t="shared"/>
        <v>4.4747719722072884E-3</v>
      </c>
      <c r="Y36" s="17">
        <f si="39" t="shared"/>
        <v>-1.4120354288718632E-3</v>
      </c>
      <c r="Z36" s="17">
        <f si="39" t="shared"/>
        <v>-4.000550153687543E-4</v>
      </c>
      <c r="AA36" s="17">
        <f si="39" t="shared"/>
        <v>-3.7647148501783537E-3</v>
      </c>
      <c r="AB36" s="17">
        <f si="39" t="shared"/>
        <v>1.6113755024719308E-3</v>
      </c>
      <c r="AC36" s="17">
        <f si="39" t="shared"/>
        <v>1.2706186757843182E-4</v>
      </c>
      <c r="AD36" s="17">
        <f si="39" t="shared"/>
        <v>-6.364040478386763E-4</v>
      </c>
      <c r="AE36" s="17"/>
      <c r="AF36" s="17">
        <f si="33" t="shared"/>
        <v>0</v>
      </c>
    </row>
    <row r="37" spans="1:32" x14ac:dyDescent="0.25">
      <c r="A37" t="str">
        <f>$A$11</f>
        <v>Seattle</v>
      </c>
      <c r="B37" s="17">
        <f si="34" t="shared"/>
        <v>3.1462303099558635E-4</v>
      </c>
      <c r="C37" s="17">
        <f si="34" t="shared"/>
        <v>0</v>
      </c>
      <c r="D37" s="17">
        <f si="34" t="shared"/>
        <v>0</v>
      </c>
      <c r="E37" s="17">
        <f si="34" t="shared"/>
        <v>0</v>
      </c>
      <c r="F37" s="17">
        <f si="34" t="shared"/>
        <v>0.17649911671629828</v>
      </c>
      <c r="G37" s="17">
        <f si="34" t="shared"/>
        <v>2.1747729586061824E-2</v>
      </c>
      <c r="H37" s="17">
        <f ref="H37" si="44" t="shared">H24/$J$28</f>
        <v>7.4000424718468809E-3</v>
      </c>
      <c r="I37" s="13"/>
      <c r="J37" s="17">
        <f si="28" t="shared"/>
        <v>0.20596151180520261</v>
      </c>
      <c r="K37" s="14"/>
      <c r="L37" t="str">
        <f>$A$11</f>
        <v>Seattle</v>
      </c>
      <c r="M37" s="17">
        <f si="36" t="shared"/>
        <v>3.2227510049438616E-3</v>
      </c>
      <c r="N37" s="17">
        <f si="36" t="shared"/>
        <v>4.447165365245114E-4</v>
      </c>
      <c r="O37" s="17">
        <f si="36" t="shared"/>
        <v>2.9339740331746984E-3</v>
      </c>
      <c r="P37" s="17">
        <f si="36" t="shared"/>
        <v>1.2821697546550848E-3</v>
      </c>
      <c r="Q37" s="17">
        <f si="36" t="shared"/>
        <v>0.1728272420644088</v>
      </c>
      <c r="R37" s="17">
        <f si="36" t="shared"/>
        <v>8.8192487178302449E-3</v>
      </c>
      <c r="S37" s="17">
        <f ref="S37" si="45" t="shared">S24/$U$28</f>
        <v>1.643140969366539E-2</v>
      </c>
      <c r="T37" s="17"/>
      <c r="U37" s="17">
        <f si="31" t="shared"/>
        <v>0.20596151180520261</v>
      </c>
      <c r="W37" t="str">
        <f>$A$11</f>
        <v>Seattle</v>
      </c>
      <c r="X37" s="17">
        <f si="38" t="shared"/>
        <v>2.9081279739482753E-3</v>
      </c>
      <c r="Y37" s="17">
        <f si="39" t="shared"/>
        <v>4.447165365245114E-4</v>
      </c>
      <c r="Z37" s="17">
        <f si="39" t="shared"/>
        <v>2.9339740331746984E-3</v>
      </c>
      <c r="AA37" s="17">
        <f si="39" t="shared"/>
        <v>1.2821697546550848E-3</v>
      </c>
      <c r="AB37" s="17">
        <f si="39" t="shared"/>
        <v>-3.6718746518894785E-3</v>
      </c>
      <c r="AC37" s="17">
        <f si="39" t="shared"/>
        <v>-1.292848086823158E-2</v>
      </c>
      <c r="AD37" s="17">
        <f si="39" t="shared"/>
        <v>9.03136722181851E-3</v>
      </c>
      <c r="AE37" s="17"/>
      <c r="AF37" s="17">
        <f si="33" t="shared"/>
        <v>0</v>
      </c>
    </row>
    <row r="38" spans="1:32" x14ac:dyDescent="0.25">
      <c r="A38" t="str">
        <f>$A$12</f>
        <v>Seattle Downtown</v>
      </c>
      <c r="B38" s="17">
        <f si="34" t="shared"/>
        <v>7.3643340622716528E-4</v>
      </c>
      <c r="C38" s="17">
        <f si="34" t="shared"/>
        <v>0</v>
      </c>
      <c r="D38" s="17">
        <f si="34" t="shared"/>
        <v>0</v>
      </c>
      <c r="E38" s="17">
        <f si="34" t="shared"/>
        <v>0</v>
      </c>
      <c r="F38" s="17">
        <f si="34" t="shared"/>
        <v>1.4882618873584844E-2</v>
      </c>
      <c r="G38" s="17">
        <f si="34" t="shared"/>
        <v>0.12415508673366575</v>
      </c>
      <c r="H38" s="17">
        <f ref="H38:H39" si="46" t="shared">H25/$J$28</f>
        <v>9.0645055358779859E-4</v>
      </c>
      <c r="I38" s="13"/>
      <c r="J38" s="17">
        <f si="28" t="shared"/>
        <v>0.14068058956706556</v>
      </c>
      <c r="K38" s="14"/>
      <c r="L38" t="str">
        <f>$A$12</f>
        <v>Seattle Downtown</v>
      </c>
      <c r="M38" s="17">
        <f si="36" t="shared"/>
        <v>2.460379799473271E-3</v>
      </c>
      <c r="N38" s="17">
        <f si="36" t="shared"/>
        <v>3.2343020838146284E-4</v>
      </c>
      <c r="O38" s="17">
        <f si="36" t="shared"/>
        <v>1.2301898997366355E-3</v>
      </c>
      <c r="P38" s="17">
        <f si="36" t="shared"/>
        <v>6.7573811393984199E-4</v>
      </c>
      <c r="Q38" s="17">
        <f si="36" t="shared"/>
        <v>2.7774569144758121E-2</v>
      </c>
      <c r="R38" s="17">
        <f si="36" t="shared"/>
        <v>0.10082359192348565</v>
      </c>
      <c r="S38" s="17">
        <f ref="S38" si="47" t="shared">S25/$U$28</f>
        <v>7.392690477290579E-3</v>
      </c>
      <c r="T38" s="17"/>
      <c r="U38" s="17">
        <f si="31" t="shared"/>
        <v>0.14068058956706556</v>
      </c>
      <c r="W38" t="str">
        <f>$A$12</f>
        <v>Seattle Downtown</v>
      </c>
      <c r="X38" s="17">
        <f si="38" t="shared"/>
        <v>1.7239463932461057E-3</v>
      </c>
      <c r="Y38" s="17">
        <f si="39" t="shared"/>
        <v>3.2343020838146284E-4</v>
      </c>
      <c r="Z38" s="17">
        <f si="39" t="shared"/>
        <v>1.2301898997366355E-3</v>
      </c>
      <c r="AA38" s="17">
        <f si="39" t="shared"/>
        <v>6.7573811393984199E-4</v>
      </c>
      <c r="AB38" s="17">
        <f si="39" t="shared"/>
        <v>1.2891950271173278E-2</v>
      </c>
      <c r="AC38" s="17">
        <f si="39" t="shared"/>
        <v>-2.3331494810180098E-2</v>
      </c>
      <c r="AD38" s="17">
        <f si="39" t="shared"/>
        <v>6.4862399237027805E-3</v>
      </c>
      <c r="AE38" s="17"/>
      <c r="AF38" s="17">
        <f si="33" t="shared"/>
        <v>0</v>
      </c>
    </row>
    <row r="39" spans="1:32" x14ac:dyDescent="0.25">
      <c r="A39" t="str">
        <f>$A$13</f>
        <v>Rest</v>
      </c>
      <c r="B39" s="17">
        <f si="34" t="shared"/>
        <v>2.1513595340776279E-3</v>
      </c>
      <c r="C39" s="17">
        <f si="34" t="shared"/>
        <v>0</v>
      </c>
      <c r="D39" s="17">
        <f si="34" t="shared"/>
        <v>1.1028914517635349E-2</v>
      </c>
      <c r="E39" s="17">
        <f si="34" t="shared"/>
        <v>3.6507924078626945E-3</v>
      </c>
      <c r="F39" s="17">
        <f si="34" t="shared"/>
        <v>2.6070273563030761E-3</v>
      </c>
      <c r="G39" s="17">
        <f si="34" t="shared"/>
        <v>0</v>
      </c>
      <c r="H39" s="17">
        <f si="46" t="shared"/>
        <v>0.51827040315773854</v>
      </c>
      <c r="I39" s="13"/>
      <c r="J39" s="17">
        <f si="28" t="shared"/>
        <v>0.53770849697361733</v>
      </c>
      <c r="K39" s="14"/>
      <c r="L39" t="str">
        <f>$A$13</f>
        <v>Rest</v>
      </c>
      <c r="M39" s="17">
        <f si="36" t="shared"/>
        <v>7.2945063068890637E-3</v>
      </c>
      <c r="N39" s="17">
        <f si="36" t="shared"/>
        <v>1.7153352123088297E-3</v>
      </c>
      <c r="O39" s="17">
        <f si="36" t="shared"/>
        <v>5.5387423185325512E-3</v>
      </c>
      <c r="P39" s="17">
        <f si="36" t="shared"/>
        <v>4.3374301159728318E-3</v>
      </c>
      <c r="Q39" s="17">
        <f si="36" t="shared"/>
        <v>2.2016356327681005E-2</v>
      </c>
      <c r="R39" s="17">
        <f si="36" t="shared"/>
        <v>1.986785565771843E-3</v>
      </c>
      <c r="S39" s="17">
        <f ref="S39" si="48" t="shared">S26/$U$28</f>
        <v>0.4948193411264612</v>
      </c>
      <c r="T39" s="17"/>
      <c r="U39" s="17">
        <f si="31" t="shared"/>
        <v>0.53770849697361733</v>
      </c>
      <c r="W39" t="str">
        <f>$A$13</f>
        <v>Rest</v>
      </c>
      <c r="X39" s="17">
        <f ref="X39" si="49" t="shared">M39-B39</f>
        <v>5.1431467728114359E-3</v>
      </c>
      <c r="Y39" s="17">
        <f ref="Y39" si="50" t="shared">N39-C39</f>
        <v>1.7153352123088297E-3</v>
      </c>
      <c r="Z39" s="17">
        <f ref="Z39" si="51" t="shared">O39-D39</f>
        <v>-5.4901721991027974E-3</v>
      </c>
      <c r="AA39" s="17">
        <f ref="AA39" si="52" t="shared">P39-E39</f>
        <v>6.8663770811013729E-4</v>
      </c>
      <c r="AB39" s="17">
        <f ref="AB39" si="53" t="shared">Q39-F39</f>
        <v>1.9409328971377929E-2</v>
      </c>
      <c r="AC39" s="17">
        <f ref="AC39" si="54" t="shared">R39-G39</f>
        <v>1.986785565771843E-3</v>
      </c>
      <c r="AD39" s="17">
        <f ref="AD39" si="55" t="shared">S39-H39</f>
        <v>-2.3451062031277337E-2</v>
      </c>
      <c r="AE39" s="17"/>
      <c r="AF39" s="17">
        <f si="33" t="shared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56" t="shared">B28/$J$28</f>
        <v>4.3180359825618554E-2</v>
      </c>
      <c r="C41" s="19">
        <f si="56" t="shared"/>
        <v>1.2538839254784589E-2</v>
      </c>
      <c r="D41" s="19">
        <f si="56" t="shared"/>
        <v>3.48013493495219E-2</v>
      </c>
      <c r="E41" s="19">
        <f si="56" t="shared"/>
        <v>3.1896475234865287E-2</v>
      </c>
      <c r="F41" s="19">
        <f si="56" t="shared"/>
        <v>0.19450908755307508</v>
      </c>
      <c r="G41" s="19">
        <f si="56" t="shared"/>
        <v>0.14590281631972757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4.4344591784872704E-2</v>
      </c>
      <c r="N41" s="19">
        <f>N28/$U$28</f>
        <v>2.2565032574042417E-2</v>
      </c>
      <c r="O41" s="19">
        <f>O28/$U$28</f>
        <v>3.0760523032851268E-2</v>
      </c>
      <c r="P41" s="19">
        <f>P28/$U$28</f>
        <v>3.186365106500947E-2</v>
      </c>
      <c r="Q41" s="19">
        <f ref="Q41:S41" si="57" t="shared">Q28/$U$28</f>
        <v>0.22880377027214341</v>
      </c>
      <c r="R41" s="19">
        <f si="57" t="shared"/>
        <v>0.11228803770272143</v>
      </c>
      <c r="S41" s="19">
        <f si="57" t="shared"/>
        <v>0.52937439356835925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58" t="shared">M41-B41</f>
        <v>1.16423195925415E-3</v>
      </c>
      <c r="Y41" s="19">
        <f si="58" t="shared"/>
        <v>1.0026193319257828E-2</v>
      </c>
      <c r="Z41" s="19">
        <f si="58" t="shared"/>
        <v>-4.0408263166706315E-3</v>
      </c>
      <c r="AA41" s="19">
        <f si="58" t="shared"/>
        <v>-3.2824169855817653E-5</v>
      </c>
      <c r="AB41" s="19">
        <f si="58" t="shared"/>
        <v>3.4294682719068326E-2</v>
      </c>
      <c r="AC41" s="19">
        <f si="58" t="shared"/>
        <v>-3.3614778617006139E-2</v>
      </c>
      <c r="AD41" s="19">
        <f si="58" t="shared"/>
        <v>0.52937439356835925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H20" sqref="H2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ht="15.75" r="2" spans="3:23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27635.2445083561</v>
      </c>
      <c r="F4" s="486" t="s">
        <v>51</v>
      </c>
      <c r="G4" s="487">
        <f>TLFD!L11</f>
        <v>58715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39990.839916817204</v>
      </c>
      <c r="F5" s="489" t="s">
        <v>54</v>
      </c>
      <c r="G5" s="490">
        <f>TLFD!L12+TLFD!L13+(TLFD!L14/2)</f>
        <v>33877.5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ref="Q5:Q68" si="0" t="shared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82448.437168423785</v>
      </c>
      <c r="F6" s="489" t="s">
        <v>57</v>
      </c>
      <c r="G6" s="490">
        <f>(TLFD!L14/2)+SUM(TLFD!L15:L20)</f>
        <v>58387.5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si="0" t="shared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11606.154399348599</v>
      </c>
      <c r="F7" s="492" t="s">
        <v>60</v>
      </c>
      <c r="G7" s="493">
        <f>SUM(TLFD!L21:L101)</f>
        <v>24595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si="0" t="shared"/>
        <v>-0.34490013167299999</v>
      </c>
      <c r="T7" s="505">
        <v>5</v>
      </c>
      <c r="U7" s="505" t="s">
        <v>280</v>
      </c>
    </row>
    <row ht="15.75" r="8" spans="3:23" thickBot="1" x14ac:dyDescent="0.3">
      <c r="C8" s="495" t="s">
        <v>4</v>
      </c>
      <c r="D8" s="496">
        <f>SUM(D4:D7)</f>
        <v>161680.67599294567</v>
      </c>
      <c r="E8" s="497"/>
      <c r="F8" s="495" t="s">
        <v>4</v>
      </c>
      <c r="G8" s="496">
        <f>SUM(G4:G7)</f>
        <v>175575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si="0" t="shared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si="0" t="shared"/>
        <v>-3.9895313632499998</v>
      </c>
      <c r="T9" s="505"/>
      <c r="U9" s="560" t="s">
        <v>281</v>
      </c>
    </row>
    <row ht="15.75" r="10" spans="3:23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si="0" t="shared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si="0" t="shared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0.17092484515318243</v>
      </c>
      <c r="F12" s="486" t="s">
        <v>51</v>
      </c>
      <c r="G12" s="500">
        <f>G4/G$8</f>
        <v>0.33441549195500497</v>
      </c>
      <c r="H12" s="500"/>
      <c r="I12" s="544">
        <f>D12/G12</f>
        <v>0.51111521225870737</v>
      </c>
      <c r="J12" s="545">
        <f>LN(I12)</f>
        <v>-0.67116024988893463</v>
      </c>
      <c r="K12" s="545">
        <f>K8*J12</f>
        <v>-0.67116024988893463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si="0" t="shared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ref="D13:D16" si="1" t="shared">D5/D$8</f>
        <v>0.24734458630394429</v>
      </c>
      <c r="F13" s="489" t="s">
        <v>54</v>
      </c>
      <c r="G13" s="501">
        <f ref="G13:G16" si="2" t="shared">G5/G$8</f>
        <v>0.19295173002990176</v>
      </c>
      <c r="H13" s="501"/>
      <c r="I13" s="544">
        <f ref="I13:I15" si="3" t="shared">D13/G13</f>
        <v>1.2818987747122725</v>
      </c>
      <c r="J13" s="545">
        <f ref="J13:J15" si="4" t="shared">LN(I13)</f>
        <v>0.24834239649827888</v>
      </c>
      <c r="K13" s="545">
        <f>K8*(J13-J12)</f>
        <v>0.91950264638721357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si="0" t="shared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si="1" t="shared"/>
        <v>0.50994614329804699</v>
      </c>
      <c r="F14" s="489" t="s">
        <v>57</v>
      </c>
      <c r="G14" s="501">
        <f si="2" t="shared"/>
        <v>0.33255019222554466</v>
      </c>
      <c r="H14" s="501"/>
      <c r="I14" s="544">
        <f si="3" t="shared"/>
        <v>1.5334411322552703</v>
      </c>
      <c r="J14" s="545">
        <f si="4" t="shared"/>
        <v>0.42751431600049572</v>
      </c>
      <c r="K14" s="545">
        <f>K8*(J14-J13-J12)</f>
        <v>0.85033216939115142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si="0" t="shared"/>
        <v>-0.80534348065299999</v>
      </c>
      <c r="T14" s="505">
        <v>5</v>
      </c>
      <c r="U14" s="477" t="s">
        <v>285</v>
      </c>
    </row>
    <row ht="15.75" r="15" spans="3:23" thickBot="1" x14ac:dyDescent="0.3">
      <c r="C15" s="492" t="s">
        <v>60</v>
      </c>
      <c r="D15" s="501">
        <f si="1" t="shared"/>
        <v>7.1784425244826353E-2</v>
      </c>
      <c r="F15" s="492" t="s">
        <v>60</v>
      </c>
      <c r="G15" s="501">
        <f si="2" t="shared"/>
        <v>0.14008258578954863</v>
      </c>
      <c r="H15" s="501"/>
      <c r="I15" s="546">
        <f si="3" t="shared"/>
        <v>0.51244360489369334</v>
      </c>
      <c r="J15" s="547">
        <f si="4" t="shared"/>
        <v>-0.66856461325615213</v>
      </c>
      <c r="K15" s="547">
        <f>K8*(J15-J14-J13-J12)</f>
        <v>-0.67326107586599226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si="0" t="shared"/>
        <v>-0.51977799879300002</v>
      </c>
      <c r="T15" s="505">
        <v>6</v>
      </c>
      <c r="U15" s="505" t="s">
        <v>286</v>
      </c>
    </row>
    <row ht="15.75" r="16" spans="3:23" thickBot="1" x14ac:dyDescent="0.3">
      <c r="C16" s="495" t="s">
        <v>4</v>
      </c>
      <c r="D16" s="503">
        <f si="1" t="shared"/>
        <v>1</v>
      </c>
      <c r="E16" s="497"/>
      <c r="F16" s="495" t="s">
        <v>4</v>
      </c>
      <c r="G16" s="503">
        <f si="2" t="shared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si="0" t="shared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si="0" t="shared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si="0" t="shared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si="0" t="shared"/>
        <v>0</v>
      </c>
    </row>
    <row ht="15.75" r="21" spans="2:21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si="0" t="shared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si="0" t="shared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si="0" t="shared"/>
        <v>-12.0946718381</v>
      </c>
    </row>
    <row r="24" spans="2:21" x14ac:dyDescent="0.25">
      <c r="B24" s="537">
        <v>0</v>
      </c>
      <c r="C24" s="489" t="s">
        <v>54</v>
      </c>
      <c r="D24" s="550" t="e">
        <f ref="D24:D26" si="5" t="shared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si="0" t="shared"/>
        <v>-4.03623745316</v>
      </c>
    </row>
    <row r="25" spans="2:21" x14ac:dyDescent="0.25">
      <c r="B25" s="537">
        <v>0</v>
      </c>
      <c r="C25" s="489" t="s">
        <v>57</v>
      </c>
      <c r="D25" s="550" t="e">
        <f si="5" t="shared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si="0" t="shared"/>
        <v>-2.16371815818</v>
      </c>
    </row>
    <row ht="15.75" r="26" spans="2:21" thickBot="1" x14ac:dyDescent="0.3">
      <c r="B26" s="538">
        <v>0</v>
      </c>
      <c r="C26" s="509" t="s">
        <v>60</v>
      </c>
      <c r="D26" s="551" t="e">
        <f si="5" t="shared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si="0" t="shared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si="0" t="shared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si="0" t="shared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si="0" t="shared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si="0" t="shared"/>
        <v>-5.1880432348000003</v>
      </c>
    </row>
    <row ht="15.75" r="31" spans="2:21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si="0" t="shared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si="0" t="shared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-0.67116024988893463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si="0" t="shared"/>
        <v>5.7553461640599997E-2</v>
      </c>
    </row>
    <row r="34" spans="2:17" x14ac:dyDescent="0.25">
      <c r="B34" s="537">
        <f ref="B34:B36" si="6" t="shared">B24</f>
        <v>0</v>
      </c>
      <c r="C34" s="489" t="s">
        <v>54</v>
      </c>
      <c r="D34" s="553">
        <f ref="D34:D36" si="7" t="shared">K13</f>
        <v>0.91950264638721357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si="0" t="shared"/>
        <v>0.237798002151</v>
      </c>
    </row>
    <row r="35" spans="2:17" x14ac:dyDescent="0.25">
      <c r="B35" s="537">
        <f si="6" t="shared"/>
        <v>0</v>
      </c>
      <c r="C35" s="489" t="s">
        <v>57</v>
      </c>
      <c r="D35" s="553">
        <f si="7" t="shared"/>
        <v>0.85033216939115142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si="0" t="shared"/>
        <v>0</v>
      </c>
    </row>
    <row ht="15.75" r="36" spans="2:17" thickBot="1" x14ac:dyDescent="0.3">
      <c r="B36" s="539">
        <f si="6" t="shared"/>
        <v>0</v>
      </c>
      <c r="C36" s="509" t="s">
        <v>60</v>
      </c>
      <c r="D36" s="510">
        <f si="7" t="shared"/>
        <v>-0.67326107586599226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si="0" t="shared"/>
        <v>0</v>
      </c>
    </row>
    <row ht="15.75" r="37" spans="2:17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si="0" t="shared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si="0" t="shared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si="0" t="shared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si="0" t="shared"/>
        <v>-7.1836373472300004</v>
      </c>
    </row>
    <row ht="15.75" r="41" spans="2:17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si="0" t="shared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si="0" t="shared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si="0" t="shared"/>
        <v>-0.22141031751900001</v>
      </c>
    </row>
    <row r="44" spans="2:17" x14ac:dyDescent="0.25">
      <c r="B44" s="537">
        <f ref="B44:B46" si="8" t="shared">B34</f>
        <v>0</v>
      </c>
      <c r="C44" s="489" t="s">
        <v>54</v>
      </c>
      <c r="D44" s="554" t="e">
        <f ref="D44:D46" si="9" t="shared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si="0" t="shared"/>
        <v>0.64228876129599999</v>
      </c>
    </row>
    <row r="45" spans="2:17" x14ac:dyDescent="0.25">
      <c r="B45" s="537">
        <f si="8" t="shared"/>
        <v>0</v>
      </c>
      <c r="C45" s="489" t="s">
        <v>57</v>
      </c>
      <c r="D45" s="554" t="e">
        <f si="9" t="shared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si="0" t="shared"/>
        <v>0.74588429254199995</v>
      </c>
    </row>
    <row ht="15.75" r="46" spans="2:17" thickBot="1" x14ac:dyDescent="0.3">
      <c r="B46" s="539">
        <f si="8" t="shared"/>
        <v>0</v>
      </c>
      <c r="C46" s="509" t="s">
        <v>60</v>
      </c>
      <c r="D46" s="555" t="e">
        <f si="9" t="shared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si="0" t="shared"/>
        <v>-32.156094092099998</v>
      </c>
    </row>
    <row ht="15.75" r="47" spans="2:17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si="0" t="shared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si="0" t="shared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si="0" t="shared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si="0" t="shared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si="0" t="shared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si="0" t="shared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si="0" t="shared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si="0" t="shared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si="0" t="shared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si="0" t="shared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si="0" t="shared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si="0" t="shared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si="0" t="shared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si="0" t="shared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si="0" t="shared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si="0" t="shared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si="0" t="shared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si="0" t="shared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si="0" t="shared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si="0" t="shared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si="0" t="shared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si="0" t="shared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ref="Q69:Q104" si="10" t="shared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si="10" t="shared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si="10" t="shared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si="10" t="shared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si="10" t="shared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si="10" t="shared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si="10" t="shared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si="10" t="shared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si="10" t="shared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si="10" t="shared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si="10" t="shared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si="10" t="shared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si="10" t="shared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si="10" t="shared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si="10" t="shared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si="10" t="shared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si="10" t="shared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si="10" t="shared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si="10" t="shared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si="10" t="shared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si="10" t="shared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si="10" t="shared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si="10" t="shared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si="10" t="shared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si="10" t="shared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si="10" t="shared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si="10" t="shared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si="10" t="shared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si="10" t="shared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si="10" t="shared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si="10" t="shared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si="10" t="shared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si="10" t="shared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si="10" t="shared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si="10" t="shared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2017-10-26T15:43:05Z</dcterms:modified>
</cp:coreProperties>
</file>