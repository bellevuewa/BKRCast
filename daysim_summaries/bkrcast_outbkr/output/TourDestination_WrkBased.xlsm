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74837BA0-65D6-932C-5D65-3B800EBDC722}" lastEdited="7" lowestEdited="4" rupBuild="21328"/>
  <workbookPr codeName="ThisWorkbook" defaultThemeVersion="124226"/>
  <mc:AlternateContent>
    <mc:Choice Requires="x15">
      <x15ac:absPath xmlns:x15ac="http://schemas.microsoft.com/office/spreadsheetml/2010/11/ac" url="D:\BKR0V1-1-newcap-newpop-S93-newdensity-shortwalkdist-coeff8-newadjfacs-nohomejobs-BSq_attractiveness\daysim_summaries\bkrcast_outbkr\output\"/>
    </mc:Choice>
  </mc:AlternateContent>
  <xr:revisionPtr documentId="13_ncr:1_{D6A74E7E-27EF-4C05-8AD7-6DB13BC5E298}" revIDLastSave="0" xr10:uidLastSave="{00000000-0000-0000-0000-000000000000}" xr6:coauthVersionLast="41" xr6:coauthVersionMax="41"/>
  <bookViews>
    <workbookView activeTab="6" firstSheet="3" windowHeight="11265" windowWidth="21600" xWindow="12405" xr2:uid="{00000000-000D-0000-FFFF-FFFF00000000}" yWindow="2640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TLFD!$R$11:$R$15</definedName>
    <definedName name="AVGT">TDFD!$R$11:$R$15</definedName>
    <definedName name="flow">County_Flow!$K$7:$N$10</definedName>
    <definedName name="out1">TLFD!$B$11:$D$101</definedName>
    <definedName name="out10">County_Flow!$M$7:$S$13</definedName>
    <definedName name="out2">TLFD!$I$11:$K$101</definedName>
    <definedName name="out3">TDFD!$B$11:$D$101</definedName>
    <definedName name="out4">TDFD!$I$11:$K$101</definedName>
    <definedName name="out5">TLFD!$Q$11:$Q$14</definedName>
    <definedName name="out6">TLFD!$R$11:$R$14</definedName>
    <definedName name="out7">TDFD!$Q$11:$Q$14</definedName>
    <definedName name="out8">TDFD!$R$11:$R$14</definedName>
    <definedName name="out9">County_Flow!$B$7:$H$13</definedName>
    <definedName name="TDFD">TDFD!$H$11:$K$102</definedName>
    <definedName name="TLFD">TLFD!$H$11:$K$102</definedName>
    <definedName name="out_1">TLFD!$B$11:$D$101</definedName>
    <definedName name="out_3">TDFD!$B$11:$D$101</definedName>
    <definedName name="out_5">TLFD!$Q$11:$Q$14</definedName>
    <definedName name="out_7">TDFD!$Q$11:$Q$14</definedName>
    <definedName name="out_9">County_Flow!$B$7:$H$13</definedName>
    <definedName name="out_2">TLFD!$I$11:$K$101</definedName>
    <definedName name="out_4">TDFD!$I$11:$K$101</definedName>
    <definedName name="out_6">TLFD!$R$11:$R$14</definedName>
    <definedName name="out_8">TDFD!$R$11:$R$14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M54" s="1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M31" s="1"/>
  <c i="6" r="P30"/>
  <c i="6" r="O30"/>
  <c i="6" r="N30"/>
  <c i="6" r="M30" s="1"/>
  <c i="6" r="P29"/>
  <c i="6" r="O29"/>
  <c i="6" r="N29"/>
  <c i="6" r="M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Q80"/>
  <c i="6" r="Q79"/>
  <c i="6" r="Q4"/>
  <c i="6" r="Q12"/>
  <c i="6" r="Q77"/>
  <c i="6" r="Q11"/>
  <c i="6" r="Q78"/>
  <c i="6" r="Q84"/>
  <c i="6" r="D25"/>
  <c i="6" r="M4"/>
  <c i="6" r="Q58"/>
  <c i="6" r="Q82"/>
  <c i="6" r="Q28"/>
  <c i="6" r="M12"/>
  <c i="6" r="Q13"/>
  <c i="6" r="Q14"/>
  <c i="6" r="Q15"/>
  <c i="6" r="Q22"/>
  <c i="6" r="Q17"/>
  <c i="6" r="Q16"/>
  <c i="6" r="Q18"/>
  <c i="6" r="Q10"/>
  <c i="6" r="Q47"/>
  <c i="6" r="Q48"/>
  <c i="6" r="Q49"/>
  <c i="6" r="Q50"/>
  <c i="6" r="Q98"/>
  <c i="6" r="Q53"/>
  <c i="6" r="Q54"/>
  <c i="6" r="Q75"/>
  <c i="6" r="Q70"/>
  <c i="6" r="Q38"/>
  <c i="6" r="Q43"/>
  <c i="6" r="Q103"/>
  <c i="6" r="Q99"/>
  <c i="6" r="Q41"/>
  <c i="6" r="Q37"/>
  <c i="6" r="Q6"/>
  <c i="6" r="Q71"/>
  <c i="6" r="Q72"/>
  <c i="6" r="Q8"/>
  <c i="6" r="Q44"/>
  <c i="6" r="Q73"/>
  <c i="6" r="Q104"/>
  <c i="6" r="Q45"/>
  <c i="6" r="Q51"/>
  <c i="6" r="Q57"/>
  <c i="6" r="Q81"/>
  <c i="6" r="Q93"/>
  <c i="6" r="Q101"/>
  <c i="6" r="Q102"/>
  <c i="6" r="Q7"/>
  <c i="6" r="Q9"/>
  <c i="6" r="Q46"/>
  <c i="6" r="Q74"/>
  <c i="6" r="Q85"/>
  <c i="6" r="Q59"/>
  <c i="6" r="Q29"/>
  <c i="6" r="Q21"/>
  <c i="6" r="Q60"/>
  <c i="6" r="Q88"/>
  <c i="6" r="Q26"/>
  <c i="6" r="Q61"/>
  <c i="6" r="Q89"/>
  <c i="6" r="Q83"/>
  <c i="6" r="Q86"/>
  <c i="6" r="Q87"/>
  <c i="6" r="Q27"/>
  <c i="6" r="Q90"/>
  <c i="6" r="Q55"/>
  <c i="6" r="Q20"/>
  <c i="6" r="Q23"/>
  <c i="6" r="Q62"/>
  <c i="6" r="Q30"/>
  <c i="6" r="Q63"/>
  <c i="6" r="Q91"/>
  <c i="6" r="Q31"/>
  <c i="6" r="Q64"/>
  <c i="6" r="Q92"/>
  <c i="6" r="Q94"/>
  <c i="6" r="Q19"/>
  <c i="6" r="Q33"/>
  <c i="6" r="Q95"/>
  <c i="6" r="Q67"/>
  <c i="6" r="Q25"/>
  <c i="6" r="Q35"/>
  <c i="6" r="Q68"/>
  <c i="6" r="Q97"/>
  <c i="6" r="Q56"/>
  <c i="6" r="Q32"/>
  <c i="6" r="Q65"/>
  <c i="6" r="Q66"/>
  <c i="6" r="Q34"/>
  <c i="6" r="Q96"/>
  <c i="6" r="Q3"/>
  <c i="6" r="Q36"/>
  <c i="6" r="Q69"/>
  <c i="6" r="M40"/>
  <c i="6" r="M42"/>
  <c i="6" r="Q24"/>
  <c i="6" r="Q52"/>
  <c i="6" r="Q76"/>
  <c i="6" r="Q100"/>
  <c i="6" r="D24"/>
  <c i="6" r="D26"/>
  <c i="6" r="Q5"/>
  <c i="6" r="D23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1" l="1" r="H15"/>
  <c i="1" r="J13"/>
  <c i="1" l="1" r="U13"/>
  <c i="1" r="S15"/>
  <c i="1" r="S28" s="1"/>
  <c i="1" r="W39"/>
  <c i="1" r="L39"/>
  <c i="1" r="L26"/>
  <c i="1" r="A39"/>
  <c i="1" r="A26"/>
  <c i="1" r="L13"/>
  <c i="1" r="AD32"/>
  <c i="1" r="S32"/>
  <c i="1" r="H32"/>
  <c i="1" r="S19"/>
  <c i="1" r="H19"/>
  <c i="1" r="S6"/>
  <c i="1" r="H6"/>
  <c i="1" l="1" r="U26"/>
  <c i="1" r="G26"/>
  <c i="1" r="C26"/>
  <c i="1" r="F26"/>
  <c i="1" r="B26"/>
  <c i="1" r="H26"/>
  <c i="1" r="D26"/>
  <c i="1" r="E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J2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3"/>
  <c i="1" r="H25"/>
  <c i="1" r="H24"/>
  <c i="1" r="I28"/>
  <c i="1" r="J27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1"/>
  <c i="1" r="H20"/>
  <c i="1" r="H22"/>
  <c i="1" r="J24"/>
  <c i="1" r="J23"/>
  <c i="1" r="U22"/>
  <c i="1" r="U20"/>
  <c i="1" r="E21"/>
  <c i="1" r="J25"/>
  <c i="1" r="D21"/>
  <c i="1" r="B21"/>
  <c i="1" r="E20"/>
  <c i="1" r="D20"/>
  <c i="1" r="F21"/>
  <c i="1" r="G21"/>
  <c i="1" r="G20"/>
  <c i="1" r="C21"/>
  <c i="1" r="J15"/>
  <c i="1" r="U21"/>
  <c i="1" r="B22"/>
  <c i="1" r="C22"/>
  <c i="1" r="D22"/>
  <c i="1" r="U15"/>
  <c i="1" r="U28" s="1"/>
  <c i="1" r="E22"/>
  <c i="1" r="B20"/>
  <c i="1" r="F22"/>
  <c i="1" r="C20"/>
  <c i="1" r="G22"/>
  <c i="1" r="F20"/>
  <c i="4" r="L12"/>
  <c i="4" r="L13"/>
  <c i="4" r="L14"/>
  <c i="4" r="L15"/>
  <c i="4" r="L16"/>
  <c i="4" r="L17"/>
  <c i="4" r="L18"/>
  <c i="4" r="L19"/>
  <c i="4" r="L20"/>
  <c i="4" r="L21"/>
  <c i="4" r="L22"/>
  <c i="4" r="L23"/>
  <c i="4" r="L24"/>
  <c i="4" r="L25"/>
  <c i="4" r="L26"/>
  <c i="4" r="L27"/>
  <c i="4" r="L28"/>
  <c i="4" r="L29"/>
  <c i="4" r="L30"/>
  <c i="4" r="L31"/>
  <c i="4" r="L32"/>
  <c i="4" r="L33"/>
  <c i="4" r="L34"/>
  <c i="4" r="L35"/>
  <c i="4" r="L36"/>
  <c i="4" r="L37"/>
  <c i="4" r="L38"/>
  <c i="4" r="L39"/>
  <c i="4" r="L40"/>
  <c i="4" r="L41"/>
  <c i="4" r="L42"/>
  <c i="4" r="L43"/>
  <c i="4" r="L44"/>
  <c i="4" r="L45"/>
  <c i="4" r="L46"/>
  <c i="4" r="L47"/>
  <c i="4" r="L48"/>
  <c i="4" r="L49"/>
  <c i="4" r="L50"/>
  <c i="4" r="L51"/>
  <c i="4" r="L52"/>
  <c i="4" r="L53"/>
  <c i="4" r="L54"/>
  <c i="4" r="L55"/>
  <c i="4" r="L56"/>
  <c i="4" r="L57"/>
  <c i="4" r="L58"/>
  <c i="4" r="L59"/>
  <c i="4" r="L60"/>
  <c i="4" r="L61"/>
  <c i="4" r="L62"/>
  <c i="4" r="L63"/>
  <c i="4" r="L64"/>
  <c i="4" r="L65"/>
  <c i="4" r="L66"/>
  <c i="4" r="L67"/>
  <c i="4" r="L68"/>
  <c i="4" r="L69"/>
  <c i="4" r="L70"/>
  <c i="4" r="L71"/>
  <c i="4" r="L72"/>
  <c i="4" r="L73"/>
  <c i="4" r="L74"/>
  <c i="4" r="L75"/>
  <c i="4" r="L76"/>
  <c i="4" r="L77"/>
  <c i="4" r="L78"/>
  <c i="4" r="L79"/>
  <c i="4" r="L80"/>
  <c i="4" r="L81"/>
  <c i="4" r="L82"/>
  <c i="4" r="L83"/>
  <c i="4" r="L84"/>
  <c i="4" r="L85"/>
  <c i="4" r="L86"/>
  <c i="4" r="L87"/>
  <c i="4" r="L88"/>
  <c i="4" r="L89"/>
  <c i="4" r="L90"/>
  <c i="4" r="L91"/>
  <c i="4" r="L92"/>
  <c i="4" r="L93"/>
  <c i="4" r="L94"/>
  <c i="4" r="L95"/>
  <c i="4" r="L96"/>
  <c i="4" r="L97"/>
  <c i="4" r="L98"/>
  <c i="4" r="L99"/>
  <c i="4" r="L100"/>
  <c i="4" r="L101"/>
  <c i="4" r="L11"/>
  <c i="4" r="E12"/>
  <c i="4" r="E13"/>
  <c i="4" r="E14"/>
  <c i="4" r="E15"/>
  <c i="4" r="E16"/>
  <c i="4" r="E17"/>
  <c i="4" r="E18"/>
  <c i="4" r="E19"/>
  <c i="4" r="E20"/>
  <c i="4" r="E21"/>
  <c i="4" r="E22"/>
  <c i="4" r="E23"/>
  <c i="4" r="E24"/>
  <c i="4" r="E25"/>
  <c i="4" r="E26"/>
  <c i="4" r="E27"/>
  <c i="4" r="E28"/>
  <c i="4" r="E29"/>
  <c i="4" r="E30"/>
  <c i="4" r="E31"/>
  <c i="4" r="E32"/>
  <c i="4" r="E33"/>
  <c i="4" r="E34"/>
  <c i="4" r="E35"/>
  <c i="4" r="E36"/>
  <c i="4" r="E37"/>
  <c i="4" r="E38"/>
  <c i="4" r="E39"/>
  <c i="4" r="E40"/>
  <c i="4" r="E41"/>
  <c i="4" r="E42"/>
  <c i="4" r="E43"/>
  <c i="4" r="E44"/>
  <c i="4" r="E45"/>
  <c i="4" r="E46"/>
  <c i="4" r="E47"/>
  <c i="4" r="E48"/>
  <c i="4" r="E49"/>
  <c i="4" r="E50"/>
  <c i="4" r="E51"/>
  <c i="4" r="E52"/>
  <c i="4" r="E53"/>
  <c i="4" r="E54"/>
  <c i="4" r="E55"/>
  <c i="4" r="E56"/>
  <c i="4" r="E57"/>
  <c i="4" r="E58"/>
  <c i="4" r="E59"/>
  <c i="4" r="E60"/>
  <c i="4" r="E61"/>
  <c i="4" r="E62"/>
  <c i="4" r="E63"/>
  <c i="4" r="E64"/>
  <c i="4" r="E65"/>
  <c i="4" r="E66"/>
  <c i="4" r="E67"/>
  <c i="4" r="E68"/>
  <c i="4" r="E69"/>
  <c i="4" r="E70"/>
  <c i="4" r="E71"/>
  <c i="4" r="E72"/>
  <c i="4" r="E73"/>
  <c i="4" r="E74"/>
  <c i="4" r="E75"/>
  <c i="4" r="E76"/>
  <c i="4" r="E77"/>
  <c i="4" r="E78"/>
  <c i="4" r="E79"/>
  <c i="4" r="E80"/>
  <c i="4" r="E81"/>
  <c i="4" r="E82"/>
  <c i="4" r="E83"/>
  <c i="4" r="E84"/>
  <c i="4" r="E85"/>
  <c i="4" r="E86"/>
  <c i="4" r="E87"/>
  <c i="4" r="E88"/>
  <c i="4" r="E89"/>
  <c i="4" r="E90"/>
  <c i="4" r="E91"/>
  <c i="4" r="E92"/>
  <c i="4" r="E93"/>
  <c i="4" r="E94"/>
  <c i="4" r="E95"/>
  <c i="4" r="E96"/>
  <c i="4" r="E97"/>
  <c i="4" r="E98"/>
  <c i="4" r="E99"/>
  <c i="4" r="E100"/>
  <c i="4" r="E101"/>
  <c i="4" r="E11"/>
  <c i="3" r="L101"/>
  <c i="3" r="L100"/>
  <c i="3" r="L99"/>
  <c i="3" r="L98"/>
  <c i="3" r="L97"/>
  <c i="3" r="L96"/>
  <c i="3" r="L95"/>
  <c i="3" r="L94"/>
  <c i="3" r="L93"/>
  <c i="3" r="L92"/>
  <c i="3" r="L91"/>
  <c i="3" r="L90"/>
  <c i="3" r="L89"/>
  <c i="3" r="L88"/>
  <c i="3" r="L87"/>
  <c i="3" r="L86"/>
  <c i="3" r="L85"/>
  <c i="3" r="L84"/>
  <c i="3" r="L83"/>
  <c i="3" r="L82"/>
  <c i="3" r="L81"/>
  <c i="3" r="L80"/>
  <c i="3" r="L79"/>
  <c i="3" r="L78"/>
  <c i="3" r="L77"/>
  <c i="3" r="L76"/>
  <c i="3" r="L75"/>
  <c i="3" r="L74"/>
  <c i="3" r="L73"/>
  <c i="3" r="L72"/>
  <c i="3" r="L71"/>
  <c i="3" r="L70"/>
  <c i="3" r="L69"/>
  <c i="3" r="L68"/>
  <c i="3" r="L67"/>
  <c i="3" r="L66"/>
  <c i="3" r="L65"/>
  <c i="3" r="L64"/>
  <c i="3" r="L63"/>
  <c i="3" r="L62"/>
  <c i="3" r="L61"/>
  <c i="3" r="L60"/>
  <c i="3" r="L59"/>
  <c i="3" r="L58"/>
  <c i="3" r="L57"/>
  <c i="3" r="L56"/>
  <c i="3" r="L55"/>
  <c i="3" r="L54"/>
  <c i="3" r="L53"/>
  <c i="3" r="L52"/>
  <c i="3" r="L51"/>
  <c i="3" r="L50"/>
  <c i="3" r="L49"/>
  <c i="3" r="L48"/>
  <c i="3" r="L47"/>
  <c i="3" r="L46"/>
  <c i="3" r="L45"/>
  <c i="3" r="L44"/>
  <c i="3" r="L43"/>
  <c i="3" r="L42"/>
  <c i="3" r="L41"/>
  <c i="3" r="L40"/>
  <c i="3" r="L39"/>
  <c i="3" r="L38"/>
  <c i="3" r="L37"/>
  <c i="3" r="L36"/>
  <c i="3" r="L35"/>
  <c i="3" r="L34"/>
  <c i="3" r="L33"/>
  <c i="3" r="L32"/>
  <c i="3" r="L31"/>
  <c i="3" r="L30"/>
  <c i="3" r="L29"/>
  <c i="3" r="L28"/>
  <c i="3" r="L27"/>
  <c i="3" r="L26"/>
  <c i="3" r="L25"/>
  <c i="3" r="L24"/>
  <c i="3" r="L23"/>
  <c i="3" r="L22"/>
  <c i="3" r="L21"/>
  <c i="3" r="L20"/>
  <c i="3" r="L19"/>
  <c i="3" r="L18"/>
  <c i="3" r="L17"/>
  <c i="3" r="L16"/>
  <c i="3" r="L15"/>
  <c i="3" r="L14"/>
  <c i="3" r="L13"/>
  <c i="3" r="L12"/>
  <c i="3" r="L11"/>
  <c i="6" r="G4" s="1"/>
  <c i="3" r="E10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6" r="D4" s="1"/>
  <c i="6" l="1" r="G6"/>
  <c i="6" r="G5"/>
  <c i="1" r="E28"/>
  <c i="1" r="S36"/>
  <c i="1" r="S38"/>
  <c i="1" r="S35"/>
  <c i="1" r="M39"/>
  <c i="1" r="O39"/>
  <c i="1" r="S37"/>
  <c i="1" r="N39"/>
  <c i="1" r="P39"/>
  <c i="1" r="S34"/>
  <c i="1" r="R39"/>
  <c i="1" r="S33"/>
  <c i="1" r="S39"/>
  <c i="1" r="Q39"/>
  <c i="6" r="D7"/>
  <c i="6" r="D5"/>
  <c i="6" r="G7"/>
  <c i="6" r="G8" s="1"/>
  <c i="6" r="D6"/>
  <c i="1" r="H28"/>
  <c i="1" r="S41"/>
  <c i="1" r="AD41" s="1"/>
  <c i="1" r="U39"/>
  <c i="1" r="J21"/>
  <c i="1" r="F28"/>
  <c i="1" r="G28"/>
  <c i="1" r="N36"/>
  <c i="1" r="Q41"/>
  <c i="1" r="R41"/>
  <c i="1" r="D28"/>
  <c i="1" r="M33"/>
  <c i="1" r="R38"/>
  <c i="1" r="M36"/>
  <c i="1" r="P38"/>
  <c i="1" r="P41"/>
  <c i="1" r="O41"/>
  <c i="1" r="N41"/>
  <c i="1" r="U35"/>
  <c i="1" r="Q37"/>
  <c i="1" r="R34"/>
  <c i="1" r="M41"/>
  <c i="1" r="U37"/>
  <c i="1" r="U34"/>
  <c i="1" r="P37"/>
  <c i="1" r="O34"/>
  <c i="1" r="N34"/>
  <c i="1" r="M34"/>
  <c i="1" r="U33"/>
  <c i="1" r="U36"/>
  <c i="1" r="R36"/>
  <c i="1" r="Q36"/>
  <c i="1" r="R37"/>
  <c i="1" r="Q34"/>
  <c i="1" r="P34"/>
  <c i="1" r="P36"/>
  <c i="1" r="R33"/>
  <c i="1" r="O33"/>
  <c i="1" r="Q33"/>
  <c i="1" r="O36"/>
  <c i="1" r="N33"/>
  <c i="1" r="U38"/>
  <c i="1" r="J22"/>
  <c i="1" r="C28"/>
  <c i="1" r="J20"/>
  <c i="1" r="B28"/>
  <c i="1" r="O35"/>
  <c i="1" r="P35"/>
  <c i="1" r="U41"/>
  <c i="1" r="T41"/>
  <c i="1" r="O37"/>
  <c i="1" r="M37"/>
  <c i="1" r="M38"/>
  <c i="1" r="Q38"/>
  <c i="1" r="N37"/>
  <c i="1" r="O38"/>
  <c i="1" r="R35"/>
  <c i="1" r="Q35"/>
  <c i="1" r="N35"/>
  <c i="1" r="N38"/>
  <c i="1" r="M35"/>
  <c i="1" r="P33"/>
  <c i="3" r="L102"/>
  <c i="3" r="M102" s="1"/>
  <c i="4" r="E102"/>
  <c i="4" r="F102" s="1"/>
  <c i="4" r="L102"/>
  <c i="4" r="M102" s="1"/>
  <c i="3" r="E102"/>
  <c i="3" r="F102" s="1"/>
  <c i="6" l="1" r="D8"/>
  <c i="6" r="D16" s="1"/>
  <c i="6" r="G14"/>
  <c i="6" r="G12"/>
  <c i="6" r="D15"/>
  <c i="6" r="D13"/>
  <c i="6" r="D12"/>
  <c i="6" r="G13"/>
  <c i="6" r="D14"/>
  <c i="6" r="I14" s="1"/>
  <c i="6" r="J14" s="1"/>
  <c i="6" r="G15"/>
  <c i="6" r="G16"/>
  <c i="4" r="F32"/>
  <c i="4" r="F52"/>
  <c i="4" r="F68"/>
  <c i="4" r="F92"/>
  <c i="4" r="F76"/>
  <c i="4" r="F84"/>
  <c i="4" r="F48"/>
  <c i="4" r="F44"/>
  <c i="4" r="F64"/>
  <c i="4" r="F96"/>
  <c i="1" r="J28"/>
  <c i="4" r="F87"/>
  <c i="4" r="F31"/>
  <c i="4" r="F63"/>
  <c i="4" r="M19"/>
  <c i="4" r="F12"/>
  <c i="4" r="F20"/>
  <c i="4" r="F28"/>
  <c i="4" r="M83"/>
  <c i="4" r="M99"/>
  <c i="4" r="M90"/>
  <c i="4" r="M51"/>
  <c i="4" r="M35"/>
  <c i="4" r="F94"/>
  <c i="4" r="F47"/>
  <c i="4" r="F62"/>
  <c i="4" r="F78"/>
  <c i="4" r="M67"/>
  <c i="3" r="F63"/>
  <c i="4" r="F23"/>
  <c i="4" r="F79"/>
  <c i="4" r="F18"/>
  <c i="4" r="M15"/>
  <c i="4" r="M31"/>
  <c i="4" r="M47"/>
  <c i="4" r="M63"/>
  <c i="4" r="M79"/>
  <c i="4" r="M95"/>
  <c i="4" r="M86"/>
  <c i="4" r="M27"/>
  <c i="4" r="M43"/>
  <c i="4" r="M59"/>
  <c i="4" r="M75"/>
  <c i="4" r="M91"/>
  <c i="4" r="M38"/>
  <c i="4" r="M23"/>
  <c i="4" r="M39"/>
  <c i="4" r="M55"/>
  <c i="4" r="M71"/>
  <c i="4" r="M87"/>
  <c i="4" r="M26"/>
  <c i="4" r="F16"/>
  <c i="4" r="F36"/>
  <c i="4" r="F60"/>
  <c i="4" r="F80"/>
  <c i="4" r="F100"/>
  <c i="4" r="F15"/>
  <c i="4" r="F55"/>
  <c i="4" r="F95"/>
  <c i="4" r="F30"/>
  <c i="3" r="M52"/>
  <c i="3" r="F72"/>
  <c i="4" r="M62"/>
  <c i="4" r="F42"/>
  <c i="3" r="M84"/>
  <c i="3" r="F83"/>
  <c i="3" r="F31"/>
  <c i="3" r="M37"/>
  <c i="3" r="F95"/>
  <c i="3" r="F35"/>
  <c i="4" r="M58"/>
  <c i="3" r="M18"/>
  <c i="3" r="M20"/>
  <c i="3" r="F55"/>
  <c i="3" r="F36"/>
  <c i="3" r="F99"/>
  <c i="3" r="F71"/>
  <c i="3" r="F39"/>
  <c i="3" r="F15"/>
  <c i="3" r="F37"/>
  <c i="4" r="M22"/>
  <c i="4" r="M46"/>
  <c i="4" r="M78"/>
  <c i="3" r="F79"/>
  <c i="3" r="F51"/>
  <c i="3" r="F19"/>
  <c i="3" r="F20"/>
  <c i="4" r="M14"/>
  <c i="4" r="M42"/>
  <c i="4" r="M70"/>
  <c i="4" r="M25"/>
  <c i="4" r="M41"/>
  <c i="4" r="M30"/>
  <c i="4" r="M54"/>
  <c i="4" r="M74"/>
  <c i="4" r="M94"/>
  <c i="4" r="F39"/>
  <c i="4" r="F71"/>
  <c i="3" r="M101"/>
  <c i="4" r="M11"/>
  <c i="4" r="M89"/>
  <c i="4" r="F50"/>
  <c i="3" r="M82"/>
  <c i="3" r="M75"/>
  <c i="4" r="M57"/>
  <c i="3" r="M68"/>
  <c i="4" r="F19"/>
  <c i="4" r="F35"/>
  <c i="4" r="F51"/>
  <c i="4" r="F67"/>
  <c i="4" r="F83"/>
  <c i="4" r="F99"/>
  <c i="3" r="M53"/>
  <c i="4" r="M37"/>
  <c i="4" r="M73"/>
  <c i="4" r="F26"/>
  <c i="4" r="F46"/>
  <c i="4" r="F74"/>
  <c i="3" r="M98"/>
  <c i="3" r="M34"/>
  <c i="3" r="M99"/>
  <c i="3" r="M69"/>
  <c i="3" r="M50"/>
  <c i="3" r="M35"/>
  <c i="4" r="F24"/>
  <c i="4" r="F40"/>
  <c i="4" r="F56"/>
  <c i="4" r="F72"/>
  <c i="4" r="F88"/>
  <c i="3" r="M100"/>
  <c i="3" r="M36"/>
  <c i="3" r="F87"/>
  <c i="3" r="F67"/>
  <c i="3" r="F47"/>
  <c i="3" r="F23"/>
  <c i="3" r="F52"/>
  <c i="3" r="F22"/>
  <c i="4" r="M18"/>
  <c i="4" r="M34"/>
  <c i="4" r="M50"/>
  <c i="4" r="M66"/>
  <c i="4" r="M82"/>
  <c i="4" r="M98"/>
  <c i="4" r="F27"/>
  <c i="4" r="F43"/>
  <c i="4" r="F59"/>
  <c i="4" r="F75"/>
  <c i="4" r="F91"/>
  <c i="3" r="M85"/>
  <c i="3" r="M21"/>
  <c i="4" r="M21"/>
  <c i="4" r="M53"/>
  <c i="4" r="F14"/>
  <c i="4" r="F34"/>
  <c i="4" r="F58"/>
  <c i="4" r="F90"/>
  <c i="3" r="M66"/>
  <c i="3" r="M55"/>
  <c i="3" r="M88"/>
  <c i="3" r="M72"/>
  <c i="3" r="M56"/>
  <c i="3" r="M40"/>
  <c i="3" r="M24"/>
  <c i="3" r="M89"/>
  <c i="3" r="M73"/>
  <c i="3" r="M57"/>
  <c i="3" r="M41"/>
  <c i="3" r="M25"/>
  <c i="3" r="M86"/>
  <c i="3" r="M70"/>
  <c i="3" r="M54"/>
  <c i="3" r="M38"/>
  <c i="3" r="M22"/>
  <c i="3" r="M83"/>
  <c i="3" r="M59"/>
  <c i="3" r="M39"/>
  <c i="3" r="M92"/>
  <c i="3" r="M76"/>
  <c i="3" r="M60"/>
  <c i="3" r="M44"/>
  <c i="3" r="M28"/>
  <c i="3" r="M12"/>
  <c i="3" r="M93"/>
  <c i="3" r="M77"/>
  <c i="3" r="M61"/>
  <c i="3" r="M45"/>
  <c i="3" r="M29"/>
  <c i="3" r="M13"/>
  <c i="3" r="M90"/>
  <c i="3" r="M74"/>
  <c i="3" r="M58"/>
  <c i="3" r="M42"/>
  <c i="3" r="M26"/>
  <c i="3" r="M87"/>
  <c i="3" r="M67"/>
  <c i="3" r="M43"/>
  <c i="3" r="M23"/>
  <c i="3" r="M96"/>
  <c i="3" r="M80"/>
  <c i="3" r="M64"/>
  <c i="3" r="M48"/>
  <c i="3" r="M32"/>
  <c i="3" r="M16"/>
  <c i="3" r="M97"/>
  <c i="3" r="M81"/>
  <c i="3" r="M65"/>
  <c i="3" r="M49"/>
  <c i="3" r="M33"/>
  <c i="3" r="M17"/>
  <c i="3" r="M94"/>
  <c i="3" r="M78"/>
  <c i="3" r="M62"/>
  <c i="3" r="M46"/>
  <c i="3" r="M30"/>
  <c i="3" r="M14"/>
  <c i="3" r="M91"/>
  <c i="3" r="M71"/>
  <c i="3" r="M51"/>
  <c i="3" r="M27"/>
  <c i="3" r="F91"/>
  <c i="3" r="F75"/>
  <c i="3" r="F59"/>
  <c i="3" r="F43"/>
  <c i="3" r="F27"/>
  <c i="3" r="F84"/>
  <c i="3" r="F44"/>
  <c i="3" r="F12"/>
  <c i="3" r="F96"/>
  <c i="3" r="F76"/>
  <c i="3" r="F48"/>
  <c i="3" r="F16"/>
  <c i="4" r="M13"/>
  <c i="4" r="M29"/>
  <c i="4" r="M45"/>
  <c i="4" r="M61"/>
  <c i="4" r="M77"/>
  <c i="4" r="M93"/>
  <c i="4" r="F66"/>
  <c i="4" r="F82"/>
  <c i="4" r="F98"/>
  <c i="3" r="F97"/>
  <c i="3" r="F81"/>
  <c i="3" r="F65"/>
  <c i="3" r="F49"/>
  <c i="3" r="F17"/>
  <c i="4" r="F11"/>
  <c i="4" r="M20"/>
  <c i="4" r="M36"/>
  <c i="4" r="M52"/>
  <c i="4" r="M68"/>
  <c i="4" r="M84"/>
  <c i="4" r="M100"/>
  <c i="4" r="F25"/>
  <c i="4" r="F41"/>
  <c i="4" r="F57"/>
  <c i="4" r="F73"/>
  <c i="4" r="F89"/>
  <c i="3" r="M19"/>
  <c i="3" r="F90"/>
  <c i="3" r="F74"/>
  <c i="3" r="F58"/>
  <c i="3" r="F42"/>
  <c i="3" r="F26"/>
  <c i="3" r="M11"/>
  <c i="3" r="F100"/>
  <c i="3" r="F80"/>
  <c i="3" r="F56"/>
  <c i="3" r="F24"/>
  <c i="3" r="F13"/>
  <c i="3" r="F101"/>
  <c i="3" r="F85"/>
  <c i="3" r="F69"/>
  <c i="3" r="F53"/>
  <c i="3" r="F29"/>
  <c i="4" r="M16"/>
  <c i="4" r="M32"/>
  <c i="4" r="M48"/>
  <c i="4" r="M64"/>
  <c i="4" r="M80"/>
  <c i="4" r="M96"/>
  <c i="4" r="F21"/>
  <c i="4" r="F37"/>
  <c i="4" r="F53"/>
  <c i="4" r="F69"/>
  <c i="4" r="F85"/>
  <c i="4" r="F101"/>
  <c i="3" r="F94"/>
  <c i="3" r="F78"/>
  <c i="3" r="F62"/>
  <c i="3" r="F46"/>
  <c i="3" r="F30"/>
  <c i="3" r="F60"/>
  <c i="3" r="F28"/>
  <c i="3" r="F21"/>
  <c i="3" r="F11"/>
  <c i="3" r="F88"/>
  <c i="3" r="F64"/>
  <c i="3" r="F32"/>
  <c i="3" r="F25"/>
  <c i="4" r="M69"/>
  <c i="4" r="M85"/>
  <c i="4" r="M101"/>
  <c i="3" r="F89"/>
  <c i="3" r="F73"/>
  <c i="3" r="F57"/>
  <c i="3" r="F41"/>
  <c i="4" r="M12"/>
  <c i="4" r="M28"/>
  <c i="4" r="M44"/>
  <c i="4" r="M60"/>
  <c i="4" r="M76"/>
  <c i="4" r="M92"/>
  <c i="4" r="F17"/>
  <c i="4" r="F33"/>
  <c i="4" r="F49"/>
  <c i="4" r="F65"/>
  <c i="4" r="F81"/>
  <c i="4" r="F97"/>
  <c i="3" r="F98"/>
  <c i="3" r="F82"/>
  <c i="3" r="F66"/>
  <c i="3" r="F50"/>
  <c i="3" r="F34"/>
  <c i="3" r="F92"/>
  <c i="3" r="F68"/>
  <c i="3" r="F40"/>
  <c i="3" r="F33"/>
  <c i="4" r="M17"/>
  <c i="4" r="M33"/>
  <c i="4" r="M49"/>
  <c i="4" r="M65"/>
  <c i="4" r="M81"/>
  <c i="4" r="M97"/>
  <c i="4" r="F22"/>
  <c i="4" r="F38"/>
  <c i="4" r="F54"/>
  <c i="4" r="F70"/>
  <c i="4" r="F86"/>
  <c i="3" r="F93"/>
  <c i="3" r="F77"/>
  <c i="3" r="F61"/>
  <c i="3" r="F45"/>
  <c i="3" r="F18"/>
  <c i="4" r="M24"/>
  <c i="4" r="M40"/>
  <c i="4" r="M56"/>
  <c i="4" r="M72"/>
  <c i="4" r="M88"/>
  <c i="4" r="F13"/>
  <c i="4" r="F29"/>
  <c i="4" r="F45"/>
  <c i="4" r="F61"/>
  <c i="4" r="F77"/>
  <c i="4" r="F93"/>
  <c i="3" r="M95"/>
  <c i="3" r="M79"/>
  <c i="3" r="M63"/>
  <c i="3" r="M47"/>
  <c i="3" r="M31"/>
  <c i="3" r="M15"/>
  <c i="3" r="F86"/>
  <c i="3" r="F70"/>
  <c i="3" r="F54"/>
  <c i="3" r="F38"/>
  <c i="3" r="F14"/>
  <c i="6" l="1" r="I12"/>
  <c i="6" r="J12" s="1"/>
  <c i="6" r="K12" s="1"/>
  <c i="6" r="D33" s="1"/>
  <c i="6" r="D43" s="1"/>
  <c i="6" r="Q39" s="1"/>
  <c i="6" r="I13"/>
  <c i="6" r="J13" s="1"/>
  <c i="6" r="I15"/>
  <c i="6" r="J15" s="1"/>
  <c i="1" r="E39"/>
  <c i="1" r="AA39" s="1"/>
  <c i="1" r="H39"/>
  <c i="1" r="AD39" s="1"/>
  <c i="1" r="B39"/>
  <c i="1" r="X39" s="1"/>
  <c i="1" r="C39"/>
  <c i="1" r="Y39" s="1"/>
  <c i="1" r="D39"/>
  <c i="1" r="Z39" s="1"/>
  <c i="1" r="F39"/>
  <c i="1" r="AB39" s="1"/>
  <c i="1" r="G39"/>
  <c i="1" r="AC39" s="1"/>
  <c i="1" r="H37"/>
  <c i="1" r="AD37" s="1"/>
  <c i="1" r="H38"/>
  <c i="1" r="AD38" s="1"/>
  <c i="1" r="H36"/>
  <c i="1" r="AD36" s="1"/>
  <c i="1" r="H35"/>
  <c i="1" r="AD35" s="1"/>
  <c i="1" r="H33"/>
  <c i="1" r="AD33" s="1"/>
  <c i="1" r="H34"/>
  <c i="1" r="AD34" s="1"/>
  <c i="1" r="J39"/>
  <c i="1" r="AF39" s="1"/>
  <c i="1" r="J33"/>
  <c i="1" r="AF33" s="1"/>
  <c i="1" r="F41"/>
  <c i="1" r="AB41" s="1"/>
  <c i="1" r="G41"/>
  <c i="1" r="AC41" s="1"/>
  <c i="1" r="C41"/>
  <c i="1" r="Y41" s="1"/>
  <c i="1" r="B41"/>
  <c i="1" r="X41" s="1"/>
  <c i="1" r="C38"/>
  <c i="1" r="Y38" s="1"/>
  <c i="1" r="B38"/>
  <c i="1" r="X38" s="1"/>
  <c i="1" r="B37"/>
  <c i="1" r="X37" s="1"/>
  <c i="1" r="G36"/>
  <c i="1" r="AC36" s="1"/>
  <c i="1" r="E36"/>
  <c i="1" r="AA36" s="1"/>
  <c i="1" r="J41"/>
  <c i="1" r="AF41" s="1"/>
  <c i="1" r="F36"/>
  <c i="1" r="AB36" s="1"/>
  <c i="1" r="D36"/>
  <c i="1" r="Z36" s="1"/>
  <c i="1" r="J37"/>
  <c i="1" r="AF37" s="1"/>
  <c i="1" r="D37"/>
  <c i="1" r="Z37" s="1"/>
  <c i="1" r="C37"/>
  <c i="1" r="Y37" s="1"/>
  <c i="1" r="E37"/>
  <c i="1" r="AA37" s="1"/>
  <c i="1" r="F34"/>
  <c i="1" r="AB34" s="1"/>
  <c i="1" r="G34"/>
  <c i="1" r="AC34" s="1"/>
  <c i="1" r="E33"/>
  <c i="1" r="AA33" s="1"/>
  <c i="1" r="G37"/>
  <c i="1" r="AC37" s="1"/>
  <c i="1" r="G33"/>
  <c i="1" r="AC33" s="1"/>
  <c i="1" r="C34"/>
  <c i="1" r="Y34" s="1"/>
  <c i="1" r="C36"/>
  <c i="1" r="Y36" s="1"/>
  <c i="1" r="D38"/>
  <c i="1" r="Z38" s="1"/>
  <c i="1" r="D34"/>
  <c i="1" r="Z34" s="1"/>
  <c i="1" r="E34"/>
  <c i="1" r="AA34" s="1"/>
  <c i="1" r="F37"/>
  <c i="1" r="AB37" s="1"/>
  <c i="1" r="J36"/>
  <c i="1" r="AF36" s="1"/>
  <c i="1" r="B34"/>
  <c i="1" r="X34" s="1"/>
  <c i="1" r="G38"/>
  <c i="1" r="AC38" s="1"/>
  <c i="1" r="D33"/>
  <c i="1" r="Z33" s="1"/>
  <c i="1" r="E38"/>
  <c i="1" r="AA38" s="1"/>
  <c i="1" r="F38"/>
  <c i="1" r="AB38" s="1"/>
  <c i="1" r="B36"/>
  <c i="1" r="X36" s="1"/>
  <c i="1" r="I41"/>
  <c i="1" r="AE41" s="1"/>
  <c i="1" r="J38"/>
  <c i="1" r="AF38" s="1"/>
  <c i="1" r="D35"/>
  <c i="1" r="Z35" s="1"/>
  <c i="1" r="F33"/>
  <c i="1" r="AB33" s="1"/>
  <c i="1" r="C35"/>
  <c i="1" r="Y35" s="1"/>
  <c i="1" r="E41"/>
  <c i="1" r="AA41" s="1"/>
  <c i="1" r="G35"/>
  <c i="1" r="AC35" s="1"/>
  <c i="1" r="C33"/>
  <c i="1" r="Y33" s="1"/>
  <c i="1" r="D41"/>
  <c i="1" r="Z41" s="1"/>
  <c i="1" r="J34"/>
  <c i="1" r="AF34" s="1"/>
  <c i="1" r="F35"/>
  <c i="1" r="AB35" s="1"/>
  <c i="1" r="B33"/>
  <c i="1" r="X33" s="1"/>
  <c i="1" r="B35"/>
  <c i="1" r="X35" s="1"/>
  <c i="1" r="E35"/>
  <c i="1" r="AA35" s="1"/>
  <c i="1" r="J35"/>
  <c i="1" r="AF35" s="1"/>
  <c i="6" l="1" r="K13"/>
  <c i="6" r="D34" s="1"/>
  <c i="6" r="D44" s="1"/>
  <c i="6" r="Q40" s="1"/>
  <c i="6" r="K15"/>
  <c i="6" r="D36" s="1"/>
  <c i="6" r="D46" s="1"/>
  <c i="6" r="Q42" s="1"/>
  <c i="6" r="K14"/>
  <c i="6" r="D35" s="1"/>
  <c i="6" r="D45" s="1"/>
</calcChain>
</file>

<file path=xl/sharedStrings.xml><?xml version="1.0" encoding="utf-8"?>
<sst xmlns="http://schemas.openxmlformats.org/spreadsheetml/2006/main" count="736" uniqueCount="288">
  <si>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</si>
  <si>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</si>
  <si>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</si>
  <si>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</si>
  <si>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</si>
  <si>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</si>
  <si>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</si>
  <si>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</si>
  <si>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</si>
  <si>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</si>
  <si>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</si>
  <si>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</si>
  <si>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</si>
  <si>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</si>
  <si>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</si>
  <si>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</si>
  <si>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</si>
  <si>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</si>
  <si>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</si>
  <si>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</si>
  <si>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</si>
  <si>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</si>
  <si>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</si>
  <si>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</si>
  <si>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</si>
  <si>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</si>
  <si>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</si>
  <si>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</si>
  <si>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</si>
  <si>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</si>
  <si>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</si>
  <si>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</si>
  <si>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</si>
  <si>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</si>
  <si>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</si>
  <si>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</si>
  <si>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 Work-based  Tour Flows by County: DaySim</t>
  </si>
  <si>
    <t>Table X. Estimated Work-based Tour Flows by County: DaySim</t>
  </si>
  <si>
    <t>Table X. Observed Trip Lengths: Survey</t>
  </si>
  <si>
    <t>Survey</t>
  </si>
  <si>
    <t>Table X. Observed Trip Durations: Survey</t>
  </si>
  <si>
    <t>Table X. Observed Work-based Tour Flows by County: Survey</t>
  </si>
  <si>
    <t>Table X. Adjusted Observed Work-based  Tour Flows by County: Survey</t>
  </si>
  <si>
    <t>Table X. Adjusted Observed  Work-based 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</si>
  <si>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</si>
  <si>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</si>
  <si>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</si>
  <si>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</si>
  <si>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</si>
  <si>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</si>
  <si>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</si>
  <si>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</si>
  <si>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</si>
  <si>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</si>
  <si>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</si>
  <si>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</si>
  <si>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</si>
  <si>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</si>
  <si>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</si>
  <si>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</si>
  <si>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</si>
  <si>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</si>
  <si>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</si>
  <si>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</si>
  <si>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</si>
  <si>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</si>
  <si>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</si>
  <si>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</si>
  <si>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</si>
  <si>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</si>
  <si>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</si>
  <si>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</si>
  <si>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</si>
  <si>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</si>
  <si>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</si>
  <si>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</si>
  <si>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</si>
  <si>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</si>
  <si>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</si>
  <si>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</si>
  <si>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</si>
  <si>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</si>
  <si>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</si>
  <si>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</si>
  <si>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</si>
  <si>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</si>
  <si>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</si>
  <si>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</si>
  <si>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</si>
  <si>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</si>
  <si>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</si>
  <si>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</si>
  <si>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</si>
  <si>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</si>
  <si>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</si>
  <si>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</si>
  <si>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</si>
  <si>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</si>
  <si>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</si>
  <si>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</si>
  <si>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</si>
  <si>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</si>
  <si>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</si>
  <si>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</si>
  <si>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</si>
  <si>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</si>
  <si>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</si>
  <si>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</si>
  <si>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</si>
  <si>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</si>
  <si>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</si>
  <si>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</si>
  <si>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</si>
  <si>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</si>
  <si>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</si>
  <si>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</si>
  <si>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</si>
  <si>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</si>
  <si>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</si>
  <si>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</si>
  <si>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</si>
  <si>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</si>
  <si>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</si>
  <si>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</si>
  <si>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</si>
  <si>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</si>
  <si>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</si>
  <si>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</si>
  <si>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</si>
  <si>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</si>
  <si>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</si>
  <si>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</si>
  <si>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</si>
  <si>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</si>
  <si>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</si>
  <si>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</si>
  <si>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</si>
  <si>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</si>
  <si>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</si>
  <si>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</si>
  <si>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</si>
  <si>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</si>
  <si>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</si>
  <si>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</si>
  <si>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</si>
  <si>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</si>
  <si>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</si>
  <si>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</si>
  <si>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</si>
  <si>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</si>
  <si>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</si>
  <si>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</si>
  <si>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</si>
  <si>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</si>
  <si>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</si>
  <si>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</si>
  <si>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</si>
  <si>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</si>
  <si>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</si>
  <si>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</si>
  <si>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</si>
  <si>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</si>
  <si>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</si>
  <si>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</si>
  <si>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</si>
  <si>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</si>
  <si>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</si>
  <si>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</si>
  <si>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</si>
  <si>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</si>
  <si>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</si>
  <si>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</si>
  <si>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</si>
  <si>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</si>
  <si>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</si>
  <si>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</si>
  <si>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</si>
  <si>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</si>
  <si>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</si>
  <si>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</si>
  <si>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</si>
  <si>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</si>
  <si>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</si>
  <si>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</si>
  <si>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</si>
  <si>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</si>
  <si>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</si>
  <si>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</si>
  <si>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</si>
  <si>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</si>
  <si>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</si>
  <si>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</si>
  <si>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</si>
  <si>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</si>
  <si>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</si>
  <si>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</si>
  <si>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</si>
  <si>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</si>
  <si>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</si>
  <si>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</si>
  <si>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</si>
  <si>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</si>
  <si>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</si>
  <si>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</si>
  <si>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</si>
  <si>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</si>
  <si>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</si>
  <si>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</si>
  <si>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</si>
  <si>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</si>
  <si>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</si>
  <si>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</si>
  <si>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</si>
  <si>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</si>
  <si>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</si>
  <si>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</si>
  <si>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</si>
  <si>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</si>
  <si>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</si>
  <si>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</si>
  <si>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</si>
  <si>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</si>
  <si>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</si>
  <si>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</si>
  <si>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</si>
  <si>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</si>
  <si>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</si>
  <si>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</si>
  <si>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</si>
  <si>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</si>
  <si>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</si>
  <si>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</si>
  <si>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</si>
  <si>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</si>
  <si>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</si>
  <si>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</si>
  <si>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</si>
  <si>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</si>
  <si>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</si>
  <si>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</si>
  <si>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</si>
  <si>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</si>
  <si>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</si>
  <si>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</si>
  <si>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</si>
  <si>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</si>
  <si>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</si>
  <si>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</si>
  <si>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</si>
  <si>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</si>
  <si>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</si>
  <si>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</si>
  <si>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</si>
  <si>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</si>
  <si>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</si>
  <si>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</si>
  <si>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</si>
  <si>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</si>
  <si>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</si>
  <si>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</si>
  <si>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</si>
  <si>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</si>
  <si>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</si>
  <si>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</si>
  <si>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</si>
  <si>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</si>
  <si>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</si>
  <si>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Damp</t>
  </si>
  <si>
    <t>CALIBRATION</t>
  </si>
  <si>
    <t>RATIO</t>
  </si>
  <si>
    <t>LN(RATIO)</t>
  </si>
  <si>
    <t>ADJ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</si>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</sst>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56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Border="1" applyNumberFormat="1" borderId="3" fillId="0" fontId="0" numFmtId="2" xfId="0"/>
    <xf applyBorder="1" applyNumberFormat="1" borderId="4" fillId="0" fontId="0" numFmtId="2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applyBorder="1" borderId="3" fillId="0" fontId="0" numFmtId="0" xfId="0">
      <alignment horizontal="center" vertical="top"/>
    </xf>
    <xf applyNumberFormat="1" borderId="0" fillId="0" fontId="0" numFmtId="10" xfId="0"/>
    <xf applyBorder="1" applyFill="1" borderId="0" fillId="0" fontId="0" numFmtId="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Border="1" applyNumberFormat="1" borderId="1" fillId="0" fontId="0" numFmtId="1" xfId="0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Font="1" borderId="0" fillId="0" fontId="1" numFmtId="0" xfId="0">
      <alignment horizontal="right"/>
    </xf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Border="1" applyFill="1" applyFont="1" borderId="5" fillId="4" fontId="5" numFmtId="0" xfId="0"/>
    <xf applyBorder="1" applyFill="1" applyFont="1" borderId="6" fillId="4" fontId="7" numFmtId="0" xfId="0"/>
    <xf applyBorder="1" applyFill="1" applyFont="1" borderId="7" fillId="4" fontId="7" numFmtId="0" xfId="0"/>
    <xf applyBorder="1" applyFill="1" applyFont="1" borderId="8" fillId="4" fontId="7" numFmtId="0" xfId="0"/>
    <xf applyBorder="1" applyFill="1" applyFont="1" borderId="0" fillId="4" fontId="7" numFmtId="0" xfId="0"/>
    <xf applyBorder="1" applyFill="1" applyFont="1" borderId="9" fillId="4" fontId="7" numFmtId="0" xfId="0"/>
    <xf applyBorder="1" applyFill="1" applyFont="1" borderId="10" fillId="4" fontId="7" numFmtId="0" xfId="0"/>
    <xf applyBorder="1" applyFill="1" applyFont="1" borderId="3" fillId="4" fontId="7" numFmtId="0" xfId="0"/>
    <xf applyBorder="1" applyFill="1" applyFont="1" borderId="11" fillId="4" fontId="7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12" fillId="0" fontId="0" numFmtId="0" xfId="0">
      <alignment horizontal="left"/>
    </xf>
    <xf applyBorder="1" applyFont="1" borderId="1" fillId="0" fontId="0" numFmtId="0" xfId="0"/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Font="1" applyNumberFormat="1" borderId="0" fillId="0" fontId="0" numFmtId="167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Fill="1" applyFont="1" applyNumberFormat="1" borderId="0" fillId="0" fontId="0" numFmtId="166" xfId="0"/>
  </cellXfs>
  <cellStyles count="9">
    <cellStyle builtinId="3" name="Comma" xfId="8"/>
    <cellStyle builtinId="0" name="Normal" xf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TLFD!$F$11:$F$71</c:f>
              <c:numCache>
                <c:formatCode>0.00%</c:formatCode>
                <c:ptCount val="61"/>
                <c:pt idx="0">
                  <c:v>0.17092484515318238</c:v>
                </c:pt>
                <c:pt idx="1">
                  <c:v>0.11621197856123507</c:v>
                </c:pt>
                <c:pt idx="2">
                  <c:v>5.4236536617405032E-2</c:v>
                </c:pt>
                <c:pt idx="3">
                  <c:v>0.15379214225060819</c:v>
                </c:pt>
                <c:pt idx="4">
                  <c:v>0.21742203070526714</c:v>
                </c:pt>
                <c:pt idx="5">
                  <c:v>0.11110435366445065</c:v>
                </c:pt>
                <c:pt idx="6">
                  <c:v>4.9943185093530365E-2</c:v>
                </c:pt>
                <c:pt idx="7">
                  <c:v>7.3997848708011339E-3</c:v>
                </c:pt>
                <c:pt idx="8">
                  <c:v>3.9511143341651553E-2</c:v>
                </c:pt>
                <c:pt idx="9">
                  <c:v>7.6695744970419547E-3</c:v>
                </c:pt>
                <c:pt idx="10">
                  <c:v>3.998194459097229E-2</c:v>
                </c:pt>
                <c:pt idx="11">
                  <c:v>0</c:v>
                </c:pt>
                <c:pt idx="12">
                  <c:v>8.2018168813869745E-3</c:v>
                </c:pt>
                <c:pt idx="13">
                  <c:v>7.0398755907580518E-4</c:v>
                </c:pt>
                <c:pt idx="14">
                  <c:v>1.5887980653984143E-3</c:v>
                </c:pt>
                <c:pt idx="15">
                  <c:v>0</c:v>
                </c:pt>
                <c:pt idx="16">
                  <c:v>2.3701444408156707E-3</c:v>
                </c:pt>
                <c:pt idx="17">
                  <c:v>1.4960690518516491E-3</c:v>
                </c:pt>
                <c:pt idx="18">
                  <c:v>1.6355247261579822E-3</c:v>
                </c:pt>
                <c:pt idx="19">
                  <c:v>1.1566321258401912E-4</c:v>
                </c:pt>
                <c:pt idx="20">
                  <c:v>8.4912022109178917E-4</c:v>
                </c:pt>
                <c:pt idx="21">
                  <c:v>2.0227516626245986E-3</c:v>
                </c:pt>
                <c:pt idx="22">
                  <c:v>0</c:v>
                </c:pt>
                <c:pt idx="23">
                  <c:v>0</c:v>
                </c:pt>
                <c:pt idx="24">
                  <c:v>4.1133007441038671E-4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5.1581813582433759E-4</c:v>
                </c:pt>
                <c:pt idx="29">
                  <c:v>1.1249903985677051E-3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1.7028004854396574E-3</c:v>
                </c:pt>
                <c:pt idx="34">
                  <c:v>5.8441161285546946E-3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3.2195496100703561E-3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EB-4789-8850-CDB2888A95EC}"/>
            </c:ext>
          </c:extLst>
        </c:ser>
        <c:ser>
          <c:idx val="1"/>
          <c:order val="1"/>
          <c:tx>
            <c:strRef>
              <c:f>TLFD!$M$10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TLFD!$M$11:$M$71</c:f>
              <c:numCache>
                <c:formatCode>0.00%</c:formatCode>
                <c:ptCount val="61"/>
                <c:pt idx="0">
                  <c:v>0.31350744250861418</c:v>
                </c:pt>
                <c:pt idx="1">
                  <c:v>0.10660084997816124</c:v>
                </c:pt>
                <c:pt idx="2">
                  <c:v>6.5349870700712007E-2</c:v>
                </c:pt>
                <c:pt idx="3">
                  <c:v>3.068518223226728E-2</c:v>
                </c:pt>
                <c:pt idx="4">
                  <c:v>0.1261933319005262</c:v>
                </c:pt>
                <c:pt idx="5">
                  <c:v>7.9867442231296673E-2</c:v>
                </c:pt>
                <c:pt idx="6">
                  <c:v>6.7138568625683764E-2</c:v>
                </c:pt>
                <c:pt idx="7">
                  <c:v>3.113582318235706E-2</c:v>
                </c:pt>
                <c:pt idx="8">
                  <c:v>4.1070722897413321E-2</c:v>
                </c:pt>
                <c:pt idx="9">
                  <c:v>2.2116071242867741E-2</c:v>
                </c:pt>
                <c:pt idx="10">
                  <c:v>1.1210560250695027E-2</c:v>
                </c:pt>
                <c:pt idx="11">
                  <c:v>1.1536408322298408E-2</c:v>
                </c:pt>
                <c:pt idx="12">
                  <c:v>1.1896921082370233E-2</c:v>
                </c:pt>
                <c:pt idx="13">
                  <c:v>1.4191723458981275E-2</c:v>
                </c:pt>
                <c:pt idx="14">
                  <c:v>6.1009851704462732E-3</c:v>
                </c:pt>
                <c:pt idx="15">
                  <c:v>6.9537365067700134E-3</c:v>
                </c:pt>
                <c:pt idx="16">
                  <c:v>6.1217839835273399E-3</c:v>
                </c:pt>
                <c:pt idx="17">
                  <c:v>5.4978195910953351E-3</c:v>
                </c:pt>
                <c:pt idx="18">
                  <c:v>4.4925436255104376E-3</c:v>
                </c:pt>
                <c:pt idx="19">
                  <c:v>3.2238160275653602E-3</c:v>
                </c:pt>
                <c:pt idx="20">
                  <c:v>3.4179382829886509E-3</c:v>
                </c:pt>
                <c:pt idx="21">
                  <c:v>3.2723465914211831E-3</c:v>
                </c:pt>
                <c:pt idx="22">
                  <c:v>2.1630765604309515E-3</c:v>
                </c:pt>
                <c:pt idx="23">
                  <c:v>2.5721198843585993E-3</c:v>
                </c:pt>
                <c:pt idx="24">
                  <c:v>2.3918635043226866E-3</c:v>
                </c:pt>
                <c:pt idx="25">
                  <c:v>2.3918635043226866E-3</c:v>
                </c:pt>
                <c:pt idx="26">
                  <c:v>1.9481554919265941E-3</c:v>
                </c:pt>
                <c:pt idx="27">
                  <c:v>1.9689543050076608E-3</c:v>
                </c:pt>
                <c:pt idx="28">
                  <c:v>1.435118102593612E-3</c:v>
                </c:pt>
                <c:pt idx="29">
                  <c:v>1.5391121679989462E-3</c:v>
                </c:pt>
                <c:pt idx="30">
                  <c:v>1.0607394671344088E-3</c:v>
                </c:pt>
                <c:pt idx="31">
                  <c:v>1.18553234562081E-3</c:v>
                </c:pt>
                <c:pt idx="32">
                  <c:v>9.9141009019751945E-4</c:v>
                </c:pt>
                <c:pt idx="33">
                  <c:v>7.6262314630578414E-4</c:v>
                </c:pt>
                <c:pt idx="34">
                  <c:v>5.5463501549511576E-4</c:v>
                </c:pt>
                <c:pt idx="35">
                  <c:v>7.2102552014365051E-4</c:v>
                </c:pt>
                <c:pt idx="36">
                  <c:v>8.9434896248587409E-4</c:v>
                </c:pt>
                <c:pt idx="37">
                  <c:v>5.3383620241404894E-4</c:v>
                </c:pt>
                <c:pt idx="38">
                  <c:v>7.4875727091840627E-4</c:v>
                </c:pt>
                <c:pt idx="39">
                  <c:v>4.6450682547715945E-4</c:v>
                </c:pt>
                <c:pt idx="40">
                  <c:v>4.5757388778347051E-4</c:v>
                </c:pt>
                <c:pt idx="41">
                  <c:v>4.0211038623395889E-4</c:v>
                </c:pt>
                <c:pt idx="42">
                  <c:v>4.5064095008978157E-4</c:v>
                </c:pt>
                <c:pt idx="43">
                  <c:v>2.7731750774755788E-4</c:v>
                </c:pt>
                <c:pt idx="44">
                  <c:v>2.4265281927911313E-4</c:v>
                </c:pt>
                <c:pt idx="45">
                  <c:v>2.6345163236018E-4</c:v>
                </c:pt>
                <c:pt idx="46">
                  <c:v>2.4265281927911313E-4</c:v>
                </c:pt>
                <c:pt idx="47">
                  <c:v>2.7038457005386894E-4</c:v>
                </c:pt>
                <c:pt idx="48">
                  <c:v>1.3865875387377894E-4</c:v>
                </c:pt>
                <c:pt idx="49">
                  <c:v>1.3172581618009E-4</c:v>
                </c:pt>
                <c:pt idx="50">
                  <c:v>1.3865875387377894E-4</c:v>
                </c:pt>
                <c:pt idx="51">
                  <c:v>7.6262314630578409E-5</c:v>
                </c:pt>
                <c:pt idx="52">
                  <c:v>1.3172581618009E-4</c:v>
                </c:pt>
                <c:pt idx="53">
                  <c:v>9.0128190017956314E-5</c:v>
                </c:pt>
                <c:pt idx="54">
                  <c:v>1.1092700309902314E-4</c:v>
                </c:pt>
                <c:pt idx="55">
                  <c:v>6.932937693688947E-5</c:v>
                </c:pt>
                <c:pt idx="56">
                  <c:v>6.932937693688947E-5</c:v>
                </c:pt>
                <c:pt idx="57">
                  <c:v>5.5463501549511572E-5</c:v>
                </c:pt>
                <c:pt idx="58">
                  <c:v>5.5463501549511572E-5</c:v>
                </c:pt>
                <c:pt idx="59">
                  <c:v>8.3195252324267361E-5</c:v>
                </c:pt>
                <c:pt idx="60">
                  <c:v>2.079881308106684E-5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EB-4789-8850-CDB2888A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3416"/>
        <c:axId val="317413808"/>
      </c:lineChart>
      <c:catAx>
        <c:axId val="317413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baseline="0" lang="en-US"/>
                  <a:t> (miles)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317413808"/>
        <c:crosses val="autoZero"/>
        <c:auto val="1"/>
        <c:lblAlgn val="ctr"/>
        <c:lblOffset val="100"/>
        <c:tickLblSkip val="10"/>
        <c:noMultiLvlLbl val="0"/>
      </c:catAx>
      <c:valAx>
        <c:axId val="3174138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1741341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" footer="0.30000000000000032" header="0.30000000000000032" l="0.70000000000000062" r="0.70000000000000062" t="0.750000000000002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TDFD!$F$10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9.7457258292929765E-4</c:v>
                </c:pt>
                <c:pt idx="3">
                  <c:v>4.0776975810223305E-2</c:v>
                </c:pt>
                <c:pt idx="4">
                  <c:v>5.0033277407391268E-2</c:v>
                </c:pt>
                <c:pt idx="5">
                  <c:v>8.5354715779624238E-2</c:v>
                </c:pt>
                <c:pt idx="6">
                  <c:v>4.462766977085076E-2</c:v>
                </c:pt>
                <c:pt idx="7">
                  <c:v>3.8792810778981744E-2</c:v>
                </c:pt>
                <c:pt idx="8">
                  <c:v>1.9945634098510957E-2</c:v>
                </c:pt>
                <c:pt idx="9">
                  <c:v>3.5269516416511035E-2</c:v>
                </c:pt>
                <c:pt idx="10">
                  <c:v>4.9059834083734783E-3</c:v>
                </c:pt>
                <c:pt idx="11">
                  <c:v>1.8467470370671105E-2</c:v>
                </c:pt>
                <c:pt idx="12">
                  <c:v>1.3414069198329099E-2</c:v>
                </c:pt>
                <c:pt idx="13">
                  <c:v>1.2016535323688082E-2</c:v>
                </c:pt>
                <c:pt idx="14">
                  <c:v>4.1216725646138777E-2</c:v>
                </c:pt>
                <c:pt idx="15">
                  <c:v>3.0911462945124982E-2</c:v>
                </c:pt>
                <c:pt idx="16">
                  <c:v>5.8220342394401554E-2</c:v>
                </c:pt>
                <c:pt idx="17">
                  <c:v>2.0095991675132298E-2</c:v>
                </c:pt>
                <c:pt idx="18">
                  <c:v>8.5241182247350417E-2</c:v>
                </c:pt>
                <c:pt idx="19">
                  <c:v>8.3553671990352837E-2</c:v>
                </c:pt>
                <c:pt idx="20">
                  <c:v>5.1016236675034576E-2</c:v>
                </c:pt>
                <c:pt idx="21">
                  <c:v>6.2521936549512241E-2</c:v>
                </c:pt>
                <c:pt idx="22">
                  <c:v>4.0408962318294335E-2</c:v>
                </c:pt>
                <c:pt idx="23">
                  <c:v>1.115131223967275E-2</c:v>
                </c:pt>
                <c:pt idx="24">
                  <c:v>1.8114371741961195E-2</c:v>
                </c:pt>
                <c:pt idx="25">
                  <c:v>2.3702756792754907E-3</c:v>
                </c:pt>
                <c:pt idx="26">
                  <c:v>1.9036052913813804E-2</c:v>
                </c:pt>
                <c:pt idx="27">
                  <c:v>8.817422448132271E-3</c:v>
                </c:pt>
                <c:pt idx="28">
                  <c:v>7.2709755319880741E-4</c:v>
                </c:pt>
                <c:pt idx="29">
                  <c:v>2.27620239258065E-3</c:v>
                </c:pt>
                <c:pt idx="30">
                  <c:v>4.2573032086471001E-3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2.7865419632531533E-2</c:v>
                </c:pt>
                <c:pt idx="35">
                  <c:v>3.5980538877533001E-4</c:v>
                </c:pt>
                <c:pt idx="36">
                  <c:v>2.7267392217004039E-3</c:v>
                </c:pt>
                <c:pt idx="37">
                  <c:v>1.3271497314203591E-3</c:v>
                </c:pt>
                <c:pt idx="38">
                  <c:v>7.6695744970419547E-3</c:v>
                </c:pt>
                <c:pt idx="39">
                  <c:v>0</c:v>
                </c:pt>
                <c:pt idx="40">
                  <c:v>4.1133007441038671E-4</c:v>
                </c:pt>
                <c:pt idx="41">
                  <c:v>2.3701444408156707E-3</c:v>
                </c:pt>
                <c:pt idx="42">
                  <c:v>0</c:v>
                </c:pt>
                <c:pt idx="43">
                  <c:v>4.8931483231645916E-4</c:v>
                </c:pt>
                <c:pt idx="44">
                  <c:v>0</c:v>
                </c:pt>
                <c:pt idx="45">
                  <c:v>3.9894448334858064E-2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5.8441161285546946E-3</c:v>
                </c:pt>
                <c:pt idx="53">
                  <c:v>0</c:v>
                </c:pt>
                <c:pt idx="54">
                  <c:v>5.1581813582433759E-4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1.7028004854396574E-3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0A-4085-B877-7E14A1F41910}"/>
            </c:ext>
          </c:extLst>
        </c:ser>
        <c:ser>
          <c:idx val="1"/>
          <c:order val="1"/>
          <c:tx>
            <c:strRef>
              <c:f>TDFD!$M$10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TDFD!$M$11:$M$71</c:f>
              <c:numCache>
                <c:formatCode>0.00%</c:formatCode>
                <c:ptCount val="61"/>
                <c:pt idx="0">
                  <c:v>4.6984518750129996E-2</c:v>
                </c:pt>
                <c:pt idx="1">
                  <c:v>8.6273476660265261E-2</c:v>
                </c:pt>
                <c:pt idx="2">
                  <c:v>7.4834129465678495E-2</c:v>
                </c:pt>
                <c:pt idx="3">
                  <c:v>6.0274960308931702E-2</c:v>
                </c:pt>
                <c:pt idx="4">
                  <c:v>4.161842497521475E-2</c:v>
                </c:pt>
                <c:pt idx="5">
                  <c:v>3.2875990543472983E-2</c:v>
                </c:pt>
                <c:pt idx="6">
                  <c:v>2.6802737123801469E-2</c:v>
                </c:pt>
                <c:pt idx="7">
                  <c:v>2.3592786971623488E-2</c:v>
                </c:pt>
                <c:pt idx="8">
                  <c:v>2.0355105068670748E-2</c:v>
                </c:pt>
                <c:pt idx="9">
                  <c:v>1.8594138894473755E-2</c:v>
                </c:pt>
                <c:pt idx="10">
                  <c:v>1.5037541857611325E-2</c:v>
                </c:pt>
                <c:pt idx="11">
                  <c:v>1.3297374496495399E-2</c:v>
                </c:pt>
                <c:pt idx="12">
                  <c:v>1.2139573901649346E-2</c:v>
                </c:pt>
                <c:pt idx="13">
                  <c:v>1.007355846893004E-2</c:v>
                </c:pt>
                <c:pt idx="14">
                  <c:v>8.4304522355257601E-3</c:v>
                </c:pt>
                <c:pt idx="15">
                  <c:v>7.133992886805926E-3</c:v>
                </c:pt>
                <c:pt idx="16">
                  <c:v>6.91213888060788E-3</c:v>
                </c:pt>
                <c:pt idx="17">
                  <c:v>6.5654919959234328E-3</c:v>
                </c:pt>
                <c:pt idx="18">
                  <c:v>7.9659454100485999E-2</c:v>
                </c:pt>
                <c:pt idx="19">
                  <c:v>3.7243741290497019E-2</c:v>
                </c:pt>
                <c:pt idx="20">
                  <c:v>4.1188582838206034E-2</c:v>
                </c:pt>
                <c:pt idx="21">
                  <c:v>3.8207419629919789E-2</c:v>
                </c:pt>
                <c:pt idx="22">
                  <c:v>4.1223247526674479E-2</c:v>
                </c:pt>
                <c:pt idx="23">
                  <c:v>2.7724817837062099E-2</c:v>
                </c:pt>
                <c:pt idx="24">
                  <c:v>2.4646593501064205E-2</c:v>
                </c:pt>
                <c:pt idx="25">
                  <c:v>2.1478240975048357E-2</c:v>
                </c:pt>
                <c:pt idx="26">
                  <c:v>1.585562850546662E-2</c:v>
                </c:pt>
                <c:pt idx="27">
                  <c:v>1.3678686069648291E-2</c:v>
                </c:pt>
                <c:pt idx="28">
                  <c:v>1.1300688440712983E-2</c:v>
                </c:pt>
                <c:pt idx="29">
                  <c:v>1.2978459362585709E-2</c:v>
                </c:pt>
                <c:pt idx="30">
                  <c:v>1.4122394082044385E-2</c:v>
                </c:pt>
                <c:pt idx="31">
                  <c:v>7.2726516406797052E-3</c:v>
                </c:pt>
                <c:pt idx="32">
                  <c:v>1.6763843343339874E-2</c:v>
                </c:pt>
                <c:pt idx="33">
                  <c:v>5.5948807188069801E-3</c:v>
                </c:pt>
                <c:pt idx="34">
                  <c:v>1.1508676571523652E-2</c:v>
                </c:pt>
                <c:pt idx="35">
                  <c:v>5.0679774540866203E-3</c:v>
                </c:pt>
                <c:pt idx="36">
                  <c:v>6.0593875442841397E-3</c:v>
                </c:pt>
                <c:pt idx="37">
                  <c:v>8.3611228585888705E-3</c:v>
                </c:pt>
                <c:pt idx="38">
                  <c:v>6.7457483759593454E-3</c:v>
                </c:pt>
                <c:pt idx="39">
                  <c:v>4.7005317563211056E-3</c:v>
                </c:pt>
                <c:pt idx="40">
                  <c:v>2.4750587566469539E-3</c:v>
                </c:pt>
                <c:pt idx="41">
                  <c:v>3.3486089060517613E-3</c:v>
                </c:pt>
                <c:pt idx="42">
                  <c:v>1.8094967380528151E-3</c:v>
                </c:pt>
                <c:pt idx="43">
                  <c:v>2.8009068282503343E-3</c:v>
                </c:pt>
                <c:pt idx="44">
                  <c:v>3.099023149078959E-3</c:v>
                </c:pt>
                <c:pt idx="45">
                  <c:v>2.2948023766110413E-3</c:v>
                </c:pt>
                <c:pt idx="46">
                  <c:v>1.6361732957105915E-3</c:v>
                </c:pt>
                <c:pt idx="47">
                  <c:v>1.8441614265212599E-3</c:v>
                </c:pt>
                <c:pt idx="48">
                  <c:v>1.435118102593612E-3</c:v>
                </c:pt>
                <c:pt idx="49">
                  <c:v>2.0382836819445504E-3</c:v>
                </c:pt>
                <c:pt idx="50">
                  <c:v>1.5183133549178795E-3</c:v>
                </c:pt>
                <c:pt idx="51">
                  <c:v>1.5183133549178795E-3</c:v>
                </c:pt>
                <c:pt idx="52">
                  <c:v>1.0607394671344088E-3</c:v>
                </c:pt>
                <c:pt idx="53">
                  <c:v>8.8741602479218515E-4</c:v>
                </c:pt>
                <c:pt idx="54">
                  <c:v>8.4581839863005152E-4</c:v>
                </c:pt>
                <c:pt idx="55">
                  <c:v>5.5463501549511576E-4</c:v>
                </c:pt>
                <c:pt idx="56">
                  <c:v>7.4875727091840627E-4</c:v>
                </c:pt>
                <c:pt idx="57">
                  <c:v>8.3195252324267364E-4</c:v>
                </c:pt>
                <c:pt idx="58">
                  <c:v>6.3783026781938314E-4</c:v>
                </c:pt>
                <c:pt idx="59">
                  <c:v>4.3677507470240364E-4</c:v>
                </c:pt>
                <c:pt idx="60">
                  <c:v>4.3677507470240364E-4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0A-4085-B877-7E14A1F41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7416552"/>
        <c:axId val="388691488"/>
      </c:lineChart>
      <c:catAx>
        <c:axId val="317416552"/>
        <c:scaling>
          <c:orientation val="minMax"/>
        </c:scaling>
        <c:delete val="0"/>
        <c:axPos val="b"/>
        <c:majorTickMark val="none"/>
        <c:minorTickMark val="none"/>
        <c:tickLblPos val="nextTo"/>
        <c:crossAx val="388691488"/>
        <c:crosses val="autoZero"/>
        <c:auto val="1"/>
        <c:lblAlgn val="ctr"/>
        <c:lblOffset val="100"/>
        <c:tickLblSkip val="10"/>
        <c:noMultiLvlLbl val="0"/>
      </c:catAx>
      <c:valAx>
        <c:axId val="388691488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31741655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67434383202100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22" footer="0.30000000000000032" header="0.30000000000000032" l="0.70000000000000062" r="0.70000000000000062" t="0.7500000000000022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15</xdr:col>
      <xdr:colOff>0</xdr:colOff>
      <xdr:row>15</xdr:row>
      <xdr:rowOff>0</xdr:rowOff>
    </xdr:from>
    <xdr:to>
      <xdr:col>23</xdr:col>
      <xdr:colOff>533400</xdr:colOff>
      <xdr:row>29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102"/>
  <sheetViews>
    <sheetView topLeftCell="C1" workbookViewId="0">
      <selection activeCell="O29" sqref="O29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3" max="4" bestFit="true" customWidth="true" width="9.28515625" collapsed="true"/>
    <col min="5" max="5" bestFit="true" customWidth="true" width="10.5703125" collapsed="true"/>
    <col min="9" max="9" bestFit="true" customWidth="true" width="10.5703125" collapsed="true"/>
    <col min="10" max="11" bestFit="true" customWidth="true" width="9.5703125" collapsed="true"/>
    <col min="12" max="12" bestFit="true" customWidth="true" width="10.5703125" collapsed="true"/>
  </cols>
  <sheetData>
    <row r="1" spans="1:18" x14ac:dyDescent="0.25">
      <c r="A1" t="s">
        <v>1</v>
      </c>
    </row>
    <row r="2" spans="1:18" x14ac:dyDescent="0.25">
      <c r="A2" t="s">
        <v>247</v>
      </c>
    </row>
    <row r="3" spans="1:18" x14ac:dyDescent="0.25">
      <c r="A3" t="s">
        <v>248</v>
      </c>
    </row>
    <row r="4" spans="1:18" x14ac:dyDescent="0.25">
      <c r="A4" t="s">
        <v>5</v>
      </c>
    </row>
    <row r="5" spans="1:18" x14ac:dyDescent="0.25">
      <c r="A5" t="s">
        <v>6</v>
      </c>
    </row>
    <row r="7" spans="1:18" x14ac:dyDescent="0.25">
      <c r="A7" t="s">
        <v>12</v>
      </c>
    </row>
    <row ht="15.75" r="9" spans="1:18" thickBot="1" x14ac:dyDescent="0.3">
      <c r="A9" s="4" t="s">
        <v>38</v>
      </c>
      <c r="B9" s="1"/>
      <c r="C9" s="1"/>
      <c r="D9" s="1"/>
      <c r="E9" s="1"/>
      <c r="F9" s="1"/>
      <c r="H9" s="4" t="s">
        <v>13</v>
      </c>
      <c r="I9" s="1"/>
      <c r="J9" s="1"/>
      <c r="K9" s="1"/>
      <c r="L9" s="1"/>
      <c r="M9" s="1"/>
      <c r="P9" s="10" t="s">
        <v>20</v>
      </c>
    </row>
    <row r="10" spans="1:18" x14ac:dyDescent="0.25">
      <c r="A10" s="2" t="s">
        <v>3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3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520" t="n">
        <v>25355.8677967829</v>
      </c>
      <c r="C11" s="520" t="n">
        <v>585.5319068026</v>
      </c>
      <c r="D11" s="520" t="n">
        <v>1693.8448047706</v>
      </c>
      <c r="E11" s="520">
        <f>SUM(B11:D11)</f>
        <v>27635.2445083561</v>
      </c>
      <c r="F11" s="21">
        <f>E11/$E$102</f>
        <v>0.17092484515318238</v>
      </c>
      <c r="H11" s="23">
        <v>0</v>
      </c>
      <c r="I11" s="522" t="n">
        <v>39118.0</v>
      </c>
      <c r="J11" s="522" t="n">
        <v>3621.0</v>
      </c>
      <c r="K11" s="522" t="n">
        <v>3632.0</v>
      </c>
      <c r="L11" s="520">
        <f>SUM(I11:K11)</f>
        <v>45220</v>
      </c>
      <c r="M11" s="21">
        <f>L11/$L$102</f>
        <v>0.31350744250861418</v>
      </c>
      <c r="P11" t="s">
        <v>9</v>
      </c>
      <c r="Q11" s="8" t="n">
        <v>3.917304119234497</v>
      </c>
      <c r="R11" s="8" t="n">
        <v>4.87699853165181</v>
      </c>
    </row>
    <row r="12" spans="1:18" x14ac:dyDescent="0.25">
      <c r="A12">
        <v>1</v>
      </c>
      <c r="B12" s="520" t="n">
        <v>16518.2922769167</v>
      </c>
      <c r="C12" s="520" t="n">
        <v>1000.3858103575</v>
      </c>
      <c r="D12" s="520" t="n">
        <v>1270.553164984</v>
      </c>
      <c r="E12" s="520">
        <f ref="E12:E75" si="0" t="shared">SUM(B12:D12)</f>
        <v>18789.231252258203</v>
      </c>
      <c r="F12" s="21">
        <f ref="F12:F75" si="1" t="shared">E12/$E$102</f>
        <v>0.11621197856123507</v>
      </c>
      <c r="H12" s="24">
        <v>1</v>
      </c>
      <c r="I12" s="522" t="n">
        <v>12856.0</v>
      </c>
      <c r="J12" s="522" t="n">
        <v>1524.0</v>
      </c>
      <c r="K12" s="522" t="n">
        <v>1311.0</v>
      </c>
      <c r="L12" s="520">
        <f ref="L12:L75" si="2" t="shared">SUM(I12:K12)</f>
        <v>15376</v>
      </c>
      <c r="M12" s="21">
        <f ref="M12:M75" si="3" t="shared">L12/$L$102</f>
        <v>0.10660084997816124</v>
      </c>
      <c r="P12" t="s">
        <v>10</v>
      </c>
      <c r="Q12" s="8" t="n">
        <v>4.6972442458229375</v>
      </c>
      <c r="R12" s="8" t="n">
        <v>4.795181882185914</v>
      </c>
    </row>
    <row r="13" spans="1:18" x14ac:dyDescent="0.25">
      <c r="A13">
        <v>2</v>
      </c>
      <c r="B13" s="520" t="n">
        <v>8768.9999038182</v>
      </c>
      <c r="C13" s="520" t="n">
        <v>0.0</v>
      </c>
      <c r="D13" s="520" t="n">
        <v>0.0</v>
      </c>
      <c r="E13" s="520">
        <f si="0" t="shared"/>
        <v>8768.9999038181995</v>
      </c>
      <c r="F13" s="21">
        <f si="1" t="shared"/>
        <v>5.4236536617405032E-2</v>
      </c>
      <c r="H13" s="25">
        <v>2</v>
      </c>
      <c r="I13" s="522" t="n">
        <v>7923.0</v>
      </c>
      <c r="J13" s="522" t="n">
        <v>871.0</v>
      </c>
      <c r="K13" s="522" t="n">
        <v>710.0</v>
      </c>
      <c r="L13" s="520">
        <f si="2" t="shared"/>
        <v>9426</v>
      </c>
      <c r="M13" s="21">
        <f si="3" t="shared"/>
        <v>6.5349870700712007E-2</v>
      </c>
      <c r="P13" s="6" t="s">
        <v>11</v>
      </c>
      <c r="Q13" s="11" t="n">
        <v>4.455458028041579</v>
      </c>
      <c r="R13" s="11" t="n">
        <v>4.505813019787783</v>
      </c>
    </row>
    <row ht="15.75" r="14" spans="1:18" thickBot="1" x14ac:dyDescent="0.3">
      <c r="A14">
        <v>3</v>
      </c>
      <c r="B14" s="520" t="n">
        <v>24100.8544129426</v>
      </c>
      <c r="C14" s="520" t="n">
        <v>764.363108539</v>
      </c>
      <c r="D14" s="520" t="n">
        <v>0.0</v>
      </c>
      <c r="E14" s="520">
        <f si="0" t="shared"/>
        <v>24865.217521481602</v>
      </c>
      <c r="F14" s="21">
        <f si="1" t="shared"/>
        <v>0.15379214225060819</v>
      </c>
      <c r="H14" s="26">
        <v>3</v>
      </c>
      <c r="I14" s="522" t="n">
        <v>3732.0</v>
      </c>
      <c r="J14" s="522" t="n">
        <v>451.0</v>
      </c>
      <c r="K14" s="522" t="n">
        <v>362.0</v>
      </c>
      <c r="L14" s="520">
        <f si="2" t="shared"/>
        <v>4426</v>
      </c>
      <c r="M14" s="21">
        <f si="3" t="shared"/>
        <v>3.068518223226728E-2</v>
      </c>
      <c r="P14" s="1" t="s">
        <v>4</v>
      </c>
      <c r="Q14" s="9" t="n">
        <v>3.9661080723263598</v>
      </c>
      <c r="R14" s="9" t="n">
        <v>4.840630255059773</v>
      </c>
    </row>
    <row r="15" spans="1:18" x14ac:dyDescent="0.25">
      <c r="A15">
        <v>4</v>
      </c>
      <c r="B15" s="520" t="n">
        <v>33855.9141608991</v>
      </c>
      <c r="C15" s="520" t="n">
        <v>1001.4134433272001</v>
      </c>
      <c r="D15" s="520" t="n">
        <v>295.6132959603</v>
      </c>
      <c r="E15" s="520">
        <f si="0" t="shared"/>
        <v>35152.940900186593</v>
      </c>
      <c r="F15" s="21">
        <f si="1" t="shared"/>
        <v>0.21742203070526714</v>
      </c>
      <c r="H15" s="27">
        <v>4</v>
      </c>
      <c r="I15" s="522" t="n">
        <v>15016.0</v>
      </c>
      <c r="J15" s="522" t="n">
        <v>1805.0</v>
      </c>
      <c r="K15" s="522" t="n">
        <v>1436.0</v>
      </c>
      <c r="L15" s="520">
        <f si="2" t="shared"/>
        <v>18202</v>
      </c>
      <c r="M15" s="21">
        <f si="3" t="shared"/>
        <v>0.1261933319005262</v>
      </c>
    </row>
    <row r="16" spans="1:18" x14ac:dyDescent="0.25">
      <c r="A16">
        <v>5</v>
      </c>
      <c r="B16" s="520" t="n">
        <v>16114.7541682545</v>
      </c>
      <c r="C16" s="520" t="n">
        <v>1762.380686484</v>
      </c>
      <c r="D16" s="520" t="n">
        <v>86.2921514892</v>
      </c>
      <c r="E16" s="520">
        <f si="0" t="shared"/>
        <v>17963.427006227699</v>
      </c>
      <c r="F16" s="21">
        <f si="1" t="shared"/>
        <v>0.11110435366445065</v>
      </c>
      <c r="H16" s="28">
        <v>5</v>
      </c>
      <c r="I16" s="522" t="n">
        <v>9250.0</v>
      </c>
      <c r="J16" s="522" t="n">
        <v>1070.0</v>
      </c>
      <c r="K16" s="522" t="n">
        <v>961.0</v>
      </c>
      <c r="L16" s="520">
        <f si="2" t="shared"/>
        <v>11520</v>
      </c>
      <c r="M16" s="21">
        <f si="3" t="shared"/>
        <v>7.9867442231296673E-2</v>
      </c>
    </row>
    <row r="17" spans="1:13" x14ac:dyDescent="0.25">
      <c r="A17">
        <v>6</v>
      </c>
      <c r="B17" s="520" t="n">
        <v>7753.7434936679</v>
      </c>
      <c r="C17" s="520" t="n">
        <v>321.1044334949</v>
      </c>
      <c r="D17" s="520" t="n">
        <v>0.0</v>
      </c>
      <c r="E17" s="520">
        <f si="0" t="shared"/>
        <v>8074.8479271628003</v>
      </c>
      <c r="F17" s="21">
        <f si="1" t="shared"/>
        <v>4.9943185093530365E-2</v>
      </c>
      <c r="H17" s="29">
        <v>6</v>
      </c>
      <c r="I17" s="522" t="n">
        <v>8152.0</v>
      </c>
      <c r="J17" s="522" t="n">
        <v>1015.0</v>
      </c>
      <c r="K17" s="522" t="n">
        <v>833.0</v>
      </c>
      <c r="L17" s="520">
        <f si="2" t="shared"/>
        <v>9684</v>
      </c>
      <c r="M17" s="21">
        <f si="3" t="shared"/>
        <v>6.7138568625683764E-2</v>
      </c>
    </row>
    <row r="18" spans="1:13" x14ac:dyDescent="0.25">
      <c r="A18">
        <v>7</v>
      </c>
      <c r="B18" s="520" t="n">
        <v>1104.0112126568</v>
      </c>
      <c r="C18" s="520" t="n">
        <v>92.3910074567</v>
      </c>
      <c r="D18" s="520" t="n">
        <v>0.0</v>
      </c>
      <c r="E18" s="520">
        <f si="0" t="shared"/>
        <v>1196.4022201134999</v>
      </c>
      <c r="F18" s="21">
        <f si="1" t="shared"/>
        <v>7.3997848708011339E-3</v>
      </c>
      <c r="H18" s="30">
        <v>7</v>
      </c>
      <c r="I18" s="522" t="n">
        <v>4096.0</v>
      </c>
      <c r="J18" s="522" t="n">
        <v>588.0</v>
      </c>
      <c r="K18" s="522" t="n">
        <v>490.0</v>
      </c>
      <c r="L18" s="520">
        <f si="2" t="shared"/>
        <v>4491</v>
      </c>
      <c r="M18" s="21">
        <f si="3" t="shared"/>
        <v>3.113582318235706E-2</v>
      </c>
    </row>
    <row r="19" spans="1:13" x14ac:dyDescent="0.25">
      <c r="A19">
        <v>8</v>
      </c>
      <c r="B19" s="520" t="n">
        <v>4243.7919333589</v>
      </c>
      <c r="C19" s="520" t="n">
        <v>0.0</v>
      </c>
      <c r="D19" s="520" t="n">
        <v>2144.3964313735</v>
      </c>
      <c r="E19" s="520">
        <f si="0" t="shared"/>
        <v>6388.1883647323994</v>
      </c>
      <c r="F19" s="21">
        <f si="1" t="shared"/>
        <v>3.9511143341651553E-2</v>
      </c>
      <c r="H19" s="31">
        <v>8</v>
      </c>
      <c r="I19" s="522" t="n">
        <v>4792.0</v>
      </c>
      <c r="J19" s="522" t="n">
        <v>452.0</v>
      </c>
      <c r="K19" s="522" t="n">
        <v>377.0</v>
      </c>
      <c r="L19" s="520">
        <f si="2" t="shared"/>
        <v>5924</v>
      </c>
      <c r="M19" s="21">
        <f si="3" t="shared"/>
        <v>4.1070722897413321E-2</v>
      </c>
    </row>
    <row r="20" spans="1:13" x14ac:dyDescent="0.25">
      <c r="A20">
        <v>9</v>
      </c>
      <c r="B20" s="520" t="n">
        <v>1240.02198926</v>
      </c>
      <c r="C20" s="520" t="n">
        <v>0.0</v>
      </c>
      <c r="D20" s="520" t="n">
        <v>0.0</v>
      </c>
      <c r="E20" s="520">
        <f si="0" t="shared"/>
        <v>1240.0219892600001</v>
      </c>
      <c r="F20" s="21">
        <f si="1" t="shared"/>
        <v>7.6695744970419547E-3</v>
      </c>
      <c r="H20" s="32">
        <v>9</v>
      </c>
      <c r="I20" s="522" t="n">
        <v>2113.0</v>
      </c>
      <c r="J20" s="522" t="n">
        <v>276.0</v>
      </c>
      <c r="K20" s="522" t="n">
        <v>253.0</v>
      </c>
      <c r="L20" s="520">
        <f si="2" t="shared"/>
        <v>3190</v>
      </c>
      <c r="M20" s="21">
        <f si="3" t="shared"/>
        <v>2.2116071242867741E-2</v>
      </c>
    </row>
    <row r="21" spans="1:13" x14ac:dyDescent="0.25">
      <c r="A21">
        <v>10</v>
      </c>
      <c r="B21" s="520" t="n">
        <v>6464.3078289809</v>
      </c>
      <c r="C21" s="520" t="n">
        <v>0.0</v>
      </c>
      <c r="D21" s="520" t="n">
        <v>0.0</v>
      </c>
      <c r="E21" s="520">
        <f si="0" t="shared"/>
        <v>6464.3078289809</v>
      </c>
      <c r="F21" s="21">
        <f si="1" t="shared"/>
        <v>3.998194459097229E-2</v>
      </c>
      <c r="H21" s="33">
        <v>10</v>
      </c>
      <c r="I21" s="522" t="n">
        <v>1454.0</v>
      </c>
      <c r="J21" s="522" t="n">
        <v>143.0</v>
      </c>
      <c r="K21" s="522" t="n">
        <v>119.0</v>
      </c>
      <c r="L21" s="520">
        <f si="2" t="shared"/>
        <v>1617</v>
      </c>
      <c r="M21" s="21">
        <f si="3" t="shared"/>
        <v>1.1210560250695027E-2</v>
      </c>
    </row>
    <row r="22" spans="1:13" x14ac:dyDescent="0.25">
      <c r="A22">
        <v>11</v>
      </c>
      <c r="B22" s="520" t="n">
        <v>0.0</v>
      </c>
      <c r="C22" s="520" t="n">
        <v>0.0</v>
      </c>
      <c r="D22" s="520" t="n">
        <v>0.0</v>
      </c>
      <c r="E22" s="520">
        <f si="0" t="shared"/>
        <v>0</v>
      </c>
      <c r="F22" s="21">
        <f si="1" t="shared"/>
        <v>0</v>
      </c>
      <c r="H22" s="34">
        <v>11</v>
      </c>
      <c r="I22" s="522" t="n">
        <v>1443.0</v>
      </c>
      <c r="J22" s="522" t="n">
        <v>181.0</v>
      </c>
      <c r="K22" s="522" t="n">
        <v>121.0</v>
      </c>
      <c r="L22" s="520">
        <f si="2" t="shared"/>
        <v>1664</v>
      </c>
      <c r="M22" s="21">
        <f si="3" t="shared"/>
        <v>1.1536408322298408E-2</v>
      </c>
    </row>
    <row r="23" spans="1:13" x14ac:dyDescent="0.25">
      <c r="A23">
        <v>12</v>
      </c>
      <c r="B23" s="520" t="n">
        <v>1326.075297753</v>
      </c>
      <c r="C23" s="520" t="n">
        <v>0.0</v>
      </c>
      <c r="D23" s="520" t="n">
        <v>0.0</v>
      </c>
      <c r="E23" s="520">
        <f si="0" t="shared"/>
        <v>1326.0752977530001</v>
      </c>
      <c r="F23" s="21">
        <f si="1" t="shared"/>
        <v>8.2018168813869745E-3</v>
      </c>
      <c r="H23" s="35">
        <v>12</v>
      </c>
      <c r="I23" s="522" t="n">
        <v>1358.0</v>
      </c>
      <c r="J23" s="522" t="n">
        <v>117.0</v>
      </c>
      <c r="K23" s="522" t="n">
        <v>83.0</v>
      </c>
      <c r="L23" s="520">
        <f si="2" t="shared"/>
        <v>1716</v>
      </c>
      <c r="M23" s="21">
        <f si="3" t="shared"/>
        <v>1.1896921082370233E-2</v>
      </c>
    </row>
    <row r="24" spans="1:13" x14ac:dyDescent="0.25">
      <c r="A24">
        <v>13</v>
      </c>
      <c r="B24" s="520" t="n">
        <v>113.821184442</v>
      </c>
      <c r="C24" s="520" t="n">
        <v>0.0</v>
      </c>
      <c r="D24" s="520" t="n">
        <v>0.0</v>
      </c>
      <c r="E24" s="520">
        <f si="0" t="shared"/>
        <v>113.821184442</v>
      </c>
      <c r="F24" s="21">
        <f si="1" t="shared"/>
        <v>7.0398755907580518E-4</v>
      </c>
      <c r="H24" s="36">
        <v>13</v>
      </c>
      <c r="I24" s="522" t="n">
        <v>1639.0</v>
      </c>
      <c r="J24" s="522" t="n">
        <v>122.0</v>
      </c>
      <c r="K24" s="522" t="n">
        <v>101.0</v>
      </c>
      <c r="L24" s="520">
        <f si="2" t="shared"/>
        <v>2047</v>
      </c>
      <c r="M24" s="21">
        <f si="3" t="shared"/>
        <v>1.4191723458981275E-2</v>
      </c>
    </row>
    <row r="25" spans="1:13" x14ac:dyDescent="0.25">
      <c r="A25">
        <v>14</v>
      </c>
      <c r="B25" s="520" t="n">
        <v>47.4452354385</v>
      </c>
      <c r="C25" s="520" t="n">
        <v>209.43270979140001</v>
      </c>
      <c r="D25" s="520" t="n">
        <v>0.0</v>
      </c>
      <c r="E25" s="520">
        <f si="0" t="shared"/>
        <v>256.87794522990004</v>
      </c>
      <c r="F25" s="21">
        <f si="1" t="shared"/>
        <v>1.5887980653984143E-3</v>
      </c>
      <c r="H25" s="37">
        <v>14</v>
      </c>
      <c r="I25" s="522" t="n">
        <v>810.0</v>
      </c>
      <c r="J25" s="522" t="n">
        <v>71.0</v>
      </c>
      <c r="K25" s="522" t="n">
        <v>63.0</v>
      </c>
      <c r="L25" s="520">
        <f si="2" t="shared"/>
        <v>880</v>
      </c>
      <c r="M25" s="21">
        <f si="3" t="shared"/>
        <v>6.1009851704462732E-3</v>
      </c>
    </row>
    <row r="26" spans="1:13" x14ac:dyDescent="0.25">
      <c r="A26">
        <v>15</v>
      </c>
      <c r="B26" s="520" t="n">
        <v>0.0</v>
      </c>
      <c r="C26" s="520" t="n">
        <v>0.0</v>
      </c>
      <c r="D26" s="520" t="n">
        <v>0.0</v>
      </c>
      <c r="E26" s="520">
        <f si="0" t="shared"/>
        <v>0</v>
      </c>
      <c r="F26" s="21">
        <f si="1" t="shared"/>
        <v>0</v>
      </c>
      <c r="H26" s="38">
        <v>15</v>
      </c>
      <c r="I26" s="522" t="n">
        <v>895.0</v>
      </c>
      <c r="J26" s="522" t="n">
        <v>115.0</v>
      </c>
      <c r="K26" s="522" t="n">
        <v>69.0</v>
      </c>
      <c r="L26" s="520">
        <f si="2" t="shared"/>
        <v>1003</v>
      </c>
      <c r="M26" s="21">
        <f si="3" t="shared"/>
        <v>6.9537365067700134E-3</v>
      </c>
    </row>
    <row r="27" spans="1:13" x14ac:dyDescent="0.25">
      <c r="A27">
        <v>16</v>
      </c>
      <c r="B27" s="520" t="n">
        <v>0.0</v>
      </c>
      <c r="C27" s="520" t="n">
        <v>0.0</v>
      </c>
      <c r="D27" s="520" t="n">
        <v>383.206555392</v>
      </c>
      <c r="E27" s="520">
        <f si="0" t="shared"/>
        <v>383.20655539199998</v>
      </c>
      <c r="F27" s="21">
        <f si="1" t="shared"/>
        <v>2.3701444408156707E-3</v>
      </c>
      <c r="H27" s="39">
        <v>16</v>
      </c>
      <c r="I27" s="522" t="n">
        <v>726.0</v>
      </c>
      <c r="J27" s="522" t="n">
        <v>84.0</v>
      </c>
      <c r="K27" s="522" t="n">
        <v>63.0</v>
      </c>
      <c r="L27" s="520">
        <f si="2" t="shared"/>
        <v>883</v>
      </c>
      <c r="M27" s="21">
        <f si="3" t="shared"/>
        <v>6.1217839835273399E-3</v>
      </c>
    </row>
    <row r="28" spans="1:13" x14ac:dyDescent="0.25">
      <c r="A28">
        <v>17</v>
      </c>
      <c r="B28" s="520" t="n">
        <v>241.8854556355</v>
      </c>
      <c r="C28" s="520" t="n">
        <v>0.0</v>
      </c>
      <c r="D28" s="520" t="n">
        <v>0.0</v>
      </c>
      <c r="E28" s="520">
        <f si="0" t="shared"/>
        <v>241.88545563549999</v>
      </c>
      <c r="F28" s="21">
        <f si="1" t="shared"/>
        <v>1.4960690518516491E-3</v>
      </c>
      <c r="H28" s="40">
        <v>17</v>
      </c>
      <c r="I28" s="522" t="n">
        <v>507.0</v>
      </c>
      <c r="J28" s="522" t="n">
        <v>59.0</v>
      </c>
      <c r="K28" s="522" t="n">
        <v>46.0</v>
      </c>
      <c r="L28" s="520">
        <f si="2" t="shared"/>
        <v>793</v>
      </c>
      <c r="M28" s="21">
        <f si="3" t="shared"/>
        <v>5.4978195910953351E-3</v>
      </c>
    </row>
    <row r="29" spans="1:13" x14ac:dyDescent="0.25">
      <c r="A29">
        <v>18</v>
      </c>
      <c r="B29" s="520" t="n">
        <v>264.4327433284</v>
      </c>
      <c r="C29" s="520" t="n">
        <v>0.0</v>
      </c>
      <c r="D29" s="520" t="n">
        <v>0.0</v>
      </c>
      <c r="E29" s="520">
        <f si="0" t="shared"/>
        <v>264.43274332840002</v>
      </c>
      <c r="F29" s="21">
        <f si="1" t="shared"/>
        <v>1.6355247261579822E-3</v>
      </c>
      <c r="H29" s="41">
        <v>18</v>
      </c>
      <c r="I29" s="522" t="n">
        <v>685.0</v>
      </c>
      <c r="J29" s="522" t="n">
        <v>56.0</v>
      </c>
      <c r="K29" s="522" t="n">
        <v>52.0</v>
      </c>
      <c r="L29" s="520">
        <f si="2" t="shared"/>
        <v>648</v>
      </c>
      <c r="M29" s="21">
        <f si="3" t="shared"/>
        <v>4.4925436255104376E-3</v>
      </c>
    </row>
    <row r="30" spans="1:13" x14ac:dyDescent="0.25">
      <c r="A30">
        <v>19</v>
      </c>
      <c r="B30" s="520" t="n">
        <v>18.7005063981</v>
      </c>
      <c r="C30" s="520" t="n">
        <v>0.0</v>
      </c>
      <c r="D30" s="520" t="n">
        <v>0.0</v>
      </c>
      <c r="E30" s="520">
        <f si="0" t="shared"/>
        <v>18.7005063981</v>
      </c>
      <c r="F30" s="21">
        <f si="1" t="shared"/>
        <v>1.1566321258401912E-4</v>
      </c>
      <c r="H30" s="42">
        <v>19</v>
      </c>
      <c r="I30" s="522" t="n">
        <v>389.0</v>
      </c>
      <c r="J30" s="522" t="n">
        <v>30.0</v>
      </c>
      <c r="K30" s="522" t="n">
        <v>30.0</v>
      </c>
      <c r="L30" s="520">
        <f si="2" t="shared"/>
        <v>465</v>
      </c>
      <c r="M30" s="21">
        <f si="3" t="shared"/>
        <v>3.2238160275653602E-3</v>
      </c>
    </row>
    <row r="31" spans="1:13" x14ac:dyDescent="0.25">
      <c r="A31">
        <v>20</v>
      </c>
      <c r="B31" s="520" t="n">
        <v>137.28633134540001</v>
      </c>
      <c r="C31" s="520" t="n">
        <v>0.0</v>
      </c>
      <c r="D31" s="520" t="n">
        <v>0.0</v>
      </c>
      <c r="E31" s="520">
        <f si="0" t="shared"/>
        <v>137.28633134540001</v>
      </c>
      <c r="F31" s="21">
        <f si="1" t="shared"/>
        <v>8.4912022109178917E-4</v>
      </c>
      <c r="H31" s="43">
        <v>20</v>
      </c>
      <c r="I31" s="522" t="n">
        <v>470.0</v>
      </c>
      <c r="J31" s="522" t="n">
        <v>44.0</v>
      </c>
      <c r="K31" s="522" t="n">
        <v>32.0</v>
      </c>
      <c r="L31" s="520">
        <f si="2" t="shared"/>
        <v>493</v>
      </c>
      <c r="M31" s="21">
        <f si="3" t="shared"/>
        <v>3.4179382829886509E-3</v>
      </c>
    </row>
    <row r="32" spans="1:13" x14ac:dyDescent="0.25">
      <c r="A32">
        <v>21</v>
      </c>
      <c r="B32" s="520" t="n">
        <v>0.0</v>
      </c>
      <c r="C32" s="520" t="n">
        <v>327.039856179</v>
      </c>
      <c r="D32" s="520" t="n">
        <v>0.0</v>
      </c>
      <c r="E32" s="520">
        <f si="0" t="shared"/>
        <v>327.03985617900003</v>
      </c>
      <c r="F32" s="21">
        <f si="1" t="shared"/>
        <v>2.0227516626245986E-3</v>
      </c>
      <c r="H32" s="44">
        <v>21</v>
      </c>
      <c r="I32" s="522" t="n">
        <v>359.0</v>
      </c>
      <c r="J32" s="522" t="n">
        <v>29.0</v>
      </c>
      <c r="K32" s="522" t="n">
        <v>24.0</v>
      </c>
      <c r="L32" s="520">
        <f si="2" t="shared"/>
        <v>472</v>
      </c>
      <c r="M32" s="21">
        <f si="3" t="shared"/>
        <v>3.2723465914211831E-3</v>
      </c>
    </row>
    <row r="33" spans="1:13" x14ac:dyDescent="0.25">
      <c r="A33">
        <v>22</v>
      </c>
      <c r="B33" s="520" t="n">
        <v>0.0</v>
      </c>
      <c r="C33" s="520" t="n">
        <v>0.0</v>
      </c>
      <c r="D33" s="520" t="n">
        <v>0.0</v>
      </c>
      <c r="E33" s="520">
        <f si="0" t="shared"/>
        <v>0</v>
      </c>
      <c r="F33" s="21">
        <f si="1" t="shared"/>
        <v>0</v>
      </c>
      <c r="H33" s="45">
        <v>22</v>
      </c>
      <c r="I33" s="522" t="n">
        <v>310.0</v>
      </c>
      <c r="J33" s="522" t="n">
        <v>33.0</v>
      </c>
      <c r="K33" s="522" t="n">
        <v>22.0</v>
      </c>
      <c r="L33" s="520">
        <f si="2" t="shared"/>
        <v>312</v>
      </c>
      <c r="M33" s="21">
        <f si="3" t="shared"/>
        <v>2.1630765604309515E-3</v>
      </c>
    </row>
    <row r="34" spans="1:13" x14ac:dyDescent="0.25">
      <c r="A34">
        <v>23</v>
      </c>
      <c r="B34" s="520" t="n">
        <v>0.0</v>
      </c>
      <c r="C34" s="520" t="n">
        <v>0.0</v>
      </c>
      <c r="D34" s="520" t="n">
        <v>0.0</v>
      </c>
      <c r="E34" s="520">
        <f si="0" t="shared"/>
        <v>0</v>
      </c>
      <c r="F34" s="21">
        <f si="1" t="shared"/>
        <v>0</v>
      </c>
      <c r="H34" s="46">
        <v>23</v>
      </c>
      <c r="I34" s="522" t="n">
        <v>369.0</v>
      </c>
      <c r="J34" s="522" t="n">
        <v>27.0</v>
      </c>
      <c r="K34" s="522" t="n">
        <v>27.0</v>
      </c>
      <c r="L34" s="520">
        <f si="2" t="shared"/>
        <v>371</v>
      </c>
      <c r="M34" s="21">
        <f si="3" t="shared"/>
        <v>2.5721198843585993E-3</v>
      </c>
    </row>
    <row r="35" spans="1:13" x14ac:dyDescent="0.25">
      <c r="A35">
        <v>24</v>
      </c>
      <c r="B35" s="520" t="n">
        <v>66.5041244869</v>
      </c>
      <c r="C35" s="520" t="n">
        <v>0.0</v>
      </c>
      <c r="D35" s="520" t="n">
        <v>0.0</v>
      </c>
      <c r="E35" s="520">
        <f si="0" t="shared"/>
        <v>66.504124486899997</v>
      </c>
      <c r="F35" s="21">
        <f si="1" t="shared"/>
        <v>4.1133007441038671E-4</v>
      </c>
      <c r="H35" s="47">
        <v>24</v>
      </c>
      <c r="I35" s="522" t="n">
        <v>283.0</v>
      </c>
      <c r="J35" s="522" t="n">
        <v>28.0</v>
      </c>
      <c r="K35" s="522" t="n">
        <v>21.0</v>
      </c>
      <c r="L35" s="520">
        <f si="2" t="shared"/>
        <v>345</v>
      </c>
      <c r="M35" s="21">
        <f si="3" t="shared"/>
        <v>2.3918635043226866E-3</v>
      </c>
    </row>
    <row r="36" spans="1:13" x14ac:dyDescent="0.25">
      <c r="A36">
        <v>25</v>
      </c>
      <c r="B36" s="520" t="n">
        <v>0.0</v>
      </c>
      <c r="C36" s="520" t="n">
        <v>0.0</v>
      </c>
      <c r="D36" s="520" t="n">
        <v>0.0</v>
      </c>
      <c r="E36" s="520">
        <f si="0" t="shared"/>
        <v>0</v>
      </c>
      <c r="F36" s="21">
        <f si="1" t="shared"/>
        <v>0</v>
      </c>
      <c r="H36" s="48">
        <v>25</v>
      </c>
      <c r="I36" s="522" t="n">
        <v>243.0</v>
      </c>
      <c r="J36" s="522" t="n">
        <v>22.0</v>
      </c>
      <c r="K36" s="522" t="n">
        <v>14.0</v>
      </c>
      <c r="L36" s="520">
        <f si="2" t="shared"/>
        <v>345</v>
      </c>
      <c r="M36" s="21">
        <f si="3" t="shared"/>
        <v>2.3918635043226866E-3</v>
      </c>
    </row>
    <row r="37" spans="1:13" x14ac:dyDescent="0.25">
      <c r="A37">
        <v>26</v>
      </c>
      <c r="B37" s="520" t="n">
        <v>0.0</v>
      </c>
      <c r="C37" s="520" t="n">
        <v>0.0</v>
      </c>
      <c r="D37" s="520" t="n">
        <v>0.0</v>
      </c>
      <c r="E37" s="520">
        <f si="0" t="shared"/>
        <v>0</v>
      </c>
      <c r="F37" s="21">
        <f si="1" t="shared"/>
        <v>0</v>
      </c>
      <c r="H37" s="49">
        <v>26</v>
      </c>
      <c r="I37" s="522" t="n">
        <v>207.0</v>
      </c>
      <c r="J37" s="522" t="n">
        <v>15.0</v>
      </c>
      <c r="K37" s="522" t="n">
        <v>17.0</v>
      </c>
      <c r="L37" s="520">
        <f si="2" t="shared"/>
        <v>281</v>
      </c>
      <c r="M37" s="21">
        <f si="3" t="shared"/>
        <v>1.9481554919265941E-3</v>
      </c>
    </row>
    <row r="38" spans="1:13" x14ac:dyDescent="0.25">
      <c r="A38">
        <v>27</v>
      </c>
      <c r="B38" s="520" t="n">
        <v>0.0</v>
      </c>
      <c r="C38" s="520" t="n">
        <v>0.0</v>
      </c>
      <c r="D38" s="520" t="n">
        <v>0.0</v>
      </c>
      <c r="E38" s="520">
        <f si="0" t="shared"/>
        <v>0</v>
      </c>
      <c r="F38" s="21">
        <f si="1" t="shared"/>
        <v>0</v>
      </c>
      <c r="H38" s="50">
        <v>27</v>
      </c>
      <c r="I38" s="522" t="n">
        <v>248.0</v>
      </c>
      <c r="J38" s="522" t="n">
        <v>21.0</v>
      </c>
      <c r="K38" s="522" t="n">
        <v>18.0</v>
      </c>
      <c r="L38" s="520">
        <f si="2" t="shared"/>
        <v>284</v>
      </c>
      <c r="M38" s="21">
        <f si="3" t="shared"/>
        <v>1.9689543050076608E-3</v>
      </c>
    </row>
    <row r="39" spans="1:13" x14ac:dyDescent="0.25">
      <c r="A39">
        <v>28</v>
      </c>
      <c r="B39" s="520" t="n">
        <v>83.3978248895</v>
      </c>
      <c r="C39" s="520" t="n">
        <v>0.0</v>
      </c>
      <c r="D39" s="520" t="n">
        <v>0.0</v>
      </c>
      <c r="E39" s="520">
        <f si="0" t="shared"/>
        <v>83.397824889500001</v>
      </c>
      <c r="F39" s="21">
        <f si="1" t="shared"/>
        <v>5.1581813582433759E-4</v>
      </c>
      <c r="H39" s="51">
        <v>28</v>
      </c>
      <c r="I39" s="522" t="n">
        <v>182.0</v>
      </c>
      <c r="J39" s="522" t="n">
        <v>10.0</v>
      </c>
      <c r="K39" s="522" t="n">
        <v>16.0</v>
      </c>
      <c r="L39" s="520">
        <f si="2" t="shared"/>
        <v>207</v>
      </c>
      <c r="M39" s="21">
        <f si="3" t="shared"/>
        <v>1.435118102593612E-3</v>
      </c>
    </row>
    <row r="40" spans="1:13" x14ac:dyDescent="0.25">
      <c r="A40">
        <v>29</v>
      </c>
      <c r="B40" s="520" t="n">
        <v>181.889208126</v>
      </c>
      <c r="C40" s="520" t="n">
        <v>0.0</v>
      </c>
      <c r="D40" s="520" t="n">
        <v>0.0</v>
      </c>
      <c r="E40" s="520">
        <f si="0" t="shared"/>
        <v>181.889208126</v>
      </c>
      <c r="F40" s="21">
        <f si="1" t="shared"/>
        <v>1.1249903985677051E-3</v>
      </c>
      <c r="H40" s="52">
        <v>29</v>
      </c>
      <c r="I40" s="522" t="n">
        <v>162.0</v>
      </c>
      <c r="J40" s="522" t="n">
        <v>18.0</v>
      </c>
      <c r="K40" s="522" t="n">
        <v>11.0</v>
      </c>
      <c r="L40" s="520">
        <f si="2" t="shared"/>
        <v>222</v>
      </c>
      <c r="M40" s="21">
        <f si="3" t="shared"/>
        <v>1.5391121679989462E-3</v>
      </c>
    </row>
    <row r="41" spans="1:13" x14ac:dyDescent="0.25">
      <c r="A41">
        <v>30</v>
      </c>
      <c r="B41" s="520" t="n">
        <v>0.0</v>
      </c>
      <c r="C41" s="520" t="n">
        <v>0.0</v>
      </c>
      <c r="D41" s="520" t="n">
        <v>0.0</v>
      </c>
      <c r="E41" s="520">
        <f si="0" t="shared"/>
        <v>0</v>
      </c>
      <c r="F41" s="21">
        <f si="1" t="shared"/>
        <v>0</v>
      </c>
      <c r="H41" s="53">
        <v>30</v>
      </c>
      <c r="I41" s="522" t="n">
        <v>143.0</v>
      </c>
      <c r="J41" s="522" t="n">
        <v>9.0</v>
      </c>
      <c r="K41" s="522" t="n">
        <v>8.0</v>
      </c>
      <c r="L41" s="520">
        <f si="2" t="shared"/>
        <v>153</v>
      </c>
      <c r="M41" s="21">
        <f si="3" t="shared"/>
        <v>1.0607394671344088E-3</v>
      </c>
    </row>
    <row r="42" spans="1:13" x14ac:dyDescent="0.25">
      <c r="A42">
        <v>31</v>
      </c>
      <c r="B42" s="520" t="n">
        <v>0.0</v>
      </c>
      <c r="C42" s="520" t="n">
        <v>0.0</v>
      </c>
      <c r="D42" s="520" t="n">
        <v>0.0</v>
      </c>
      <c r="E42" s="520">
        <f si="0" t="shared"/>
        <v>0</v>
      </c>
      <c r="F42" s="21">
        <f si="1" t="shared"/>
        <v>0</v>
      </c>
      <c r="H42" s="54">
        <v>31</v>
      </c>
      <c r="I42" s="522" t="n">
        <v>154.0</v>
      </c>
      <c r="J42" s="522" t="n">
        <v>13.0</v>
      </c>
      <c r="K42" s="522" t="n">
        <v>7.0</v>
      </c>
      <c r="L42" s="520">
        <f si="2" t="shared"/>
        <v>171</v>
      </c>
      <c r="M42" s="21">
        <f si="3" t="shared"/>
        <v>1.18553234562081E-3</v>
      </c>
    </row>
    <row r="43" spans="1:13" x14ac:dyDescent="0.25">
      <c r="A43">
        <v>32</v>
      </c>
      <c r="B43" s="520" t="n">
        <v>0.0</v>
      </c>
      <c r="C43" s="520" t="n">
        <v>0.0</v>
      </c>
      <c r="D43" s="520" t="n">
        <v>0.0</v>
      </c>
      <c r="E43" s="520">
        <f si="0" t="shared"/>
        <v>0</v>
      </c>
      <c r="F43" s="21">
        <f si="1" t="shared"/>
        <v>0</v>
      </c>
      <c r="H43" s="55">
        <v>32</v>
      </c>
      <c r="I43" s="522" t="n">
        <v>118.0</v>
      </c>
      <c r="J43" s="522" t="n">
        <v>10.0</v>
      </c>
      <c r="K43" s="522" t="n">
        <v>9.0</v>
      </c>
      <c r="L43" s="520">
        <f si="2" t="shared"/>
        <v>143</v>
      </c>
      <c r="M43" s="21">
        <f si="3" t="shared"/>
        <v>9.9141009019751945E-4</v>
      </c>
    </row>
    <row r="44" spans="1:13" x14ac:dyDescent="0.25">
      <c r="A44">
        <v>33</v>
      </c>
      <c r="B44" s="520" t="n">
        <v>275.309933567</v>
      </c>
      <c r="C44" s="520" t="n">
        <v>0.0</v>
      </c>
      <c r="D44" s="520" t="n">
        <v>0.0</v>
      </c>
      <c r="E44" s="520">
        <f si="0" t="shared"/>
        <v>275.30993356699997</v>
      </c>
      <c r="F44" s="21">
        <f si="1" t="shared"/>
        <v>1.7028004854396574E-3</v>
      </c>
      <c r="H44" s="56">
        <v>33</v>
      </c>
      <c r="I44" s="522" t="n">
        <v>105.0</v>
      </c>
      <c r="J44" s="522" t="n">
        <v>10.0</v>
      </c>
      <c r="K44" s="522" t="n">
        <v>11.0</v>
      </c>
      <c r="L44" s="520">
        <f si="2" t="shared"/>
        <v>110</v>
      </c>
      <c r="M44" s="21">
        <f si="3" t="shared"/>
        <v>7.6262314630578414E-4</v>
      </c>
    </row>
    <row r="45" spans="1:13" x14ac:dyDescent="0.25">
      <c r="A45">
        <v>34</v>
      </c>
      <c r="B45" s="520" t="n">
        <v>944.880646246</v>
      </c>
      <c r="C45" s="520" t="n">
        <v>0.0</v>
      </c>
      <c r="D45" s="520" t="n">
        <v>0.0</v>
      </c>
      <c r="E45" s="520">
        <f si="0" t="shared"/>
        <v>944.88064624599997</v>
      </c>
      <c r="F45" s="21">
        <f si="1" t="shared"/>
        <v>5.8441161285546946E-3</v>
      </c>
      <c r="H45" s="57">
        <v>34</v>
      </c>
      <c r="I45" s="522" t="n">
        <v>125.0</v>
      </c>
      <c r="J45" s="522" t="n">
        <v>7.0</v>
      </c>
      <c r="K45" s="522" t="n">
        <v>9.0</v>
      </c>
      <c r="L45" s="520">
        <f si="2" t="shared"/>
        <v>80</v>
      </c>
      <c r="M45" s="21">
        <f si="3" t="shared"/>
        <v>5.5463501549511576E-4</v>
      </c>
    </row>
    <row r="46" spans="1:13" x14ac:dyDescent="0.25">
      <c r="A46">
        <v>35</v>
      </c>
      <c r="B46" s="520" t="n">
        <v>0.0</v>
      </c>
      <c r="C46" s="520" t="n">
        <v>0.0</v>
      </c>
      <c r="D46" s="520" t="n">
        <v>0.0</v>
      </c>
      <c r="E46" s="520">
        <f si="0" t="shared"/>
        <v>0</v>
      </c>
      <c r="F46" s="21">
        <f si="1" t="shared"/>
        <v>0</v>
      </c>
      <c r="H46" s="58">
        <v>35</v>
      </c>
      <c r="I46" s="522" t="n">
        <v>67.0</v>
      </c>
      <c r="J46" s="522" t="n">
        <v>10.0</v>
      </c>
      <c r="K46" s="522" t="n">
        <v>6.0</v>
      </c>
      <c r="L46" s="520">
        <f si="2" t="shared"/>
        <v>104</v>
      </c>
      <c r="M46" s="21">
        <f si="3" t="shared"/>
        <v>7.2102552014365051E-4</v>
      </c>
    </row>
    <row r="47" spans="1:13" x14ac:dyDescent="0.25">
      <c r="A47">
        <v>36</v>
      </c>
      <c r="B47" s="520" t="n">
        <v>0.0</v>
      </c>
      <c r="C47" s="520" t="n">
        <v>0.0</v>
      </c>
      <c r="D47" s="520" t="n">
        <v>0.0</v>
      </c>
      <c r="E47" s="520">
        <f si="0" t="shared"/>
        <v>0</v>
      </c>
      <c r="F47" s="21">
        <f si="1" t="shared"/>
        <v>0</v>
      </c>
      <c r="H47" s="59">
        <v>36</v>
      </c>
      <c r="I47" s="522" t="n">
        <v>119.0</v>
      </c>
      <c r="J47" s="522" t="n">
        <v>10.0</v>
      </c>
      <c r="K47" s="522" t="n">
        <v>9.0</v>
      </c>
      <c r="L47" s="520">
        <f si="2" t="shared"/>
        <v>129</v>
      </c>
      <c r="M47" s="21">
        <f si="3" t="shared"/>
        <v>8.9434896248587409E-4</v>
      </c>
    </row>
    <row r="48" spans="1:13" x14ac:dyDescent="0.25">
      <c r="A48">
        <v>37</v>
      </c>
      <c r="B48" s="520" t="n">
        <v>0.0</v>
      </c>
      <c r="C48" s="520" t="n">
        <v>0.0</v>
      </c>
      <c r="D48" s="520" t="n">
        <v>0.0</v>
      </c>
      <c r="E48" s="520">
        <f si="0" t="shared"/>
        <v>0</v>
      </c>
      <c r="F48" s="21">
        <f si="1" t="shared"/>
        <v>0</v>
      </c>
      <c r="H48" s="60">
        <v>37</v>
      </c>
      <c r="I48" s="522" t="n">
        <v>71.0</v>
      </c>
      <c r="J48" s="522" t="n">
        <v>3.0</v>
      </c>
      <c r="K48" s="522" t="n">
        <v>5.0</v>
      </c>
      <c r="L48" s="520">
        <f si="2" t="shared"/>
        <v>77</v>
      </c>
      <c r="M48" s="21">
        <f si="3" t="shared"/>
        <v>5.3383620241404894E-4</v>
      </c>
    </row>
    <row r="49" spans="1:13" x14ac:dyDescent="0.25">
      <c r="A49">
        <v>38</v>
      </c>
      <c r="B49" s="520" t="n">
        <v>520.538957349</v>
      </c>
      <c r="C49" s="520" t="n">
        <v>0.0</v>
      </c>
      <c r="D49" s="520" t="n">
        <v>0.0</v>
      </c>
      <c r="E49" s="520">
        <f si="0" t="shared"/>
        <v>520.53895734900004</v>
      </c>
      <c r="F49" s="21">
        <f si="1" t="shared"/>
        <v>3.2195496100703561E-3</v>
      </c>
      <c r="H49" s="61">
        <v>38</v>
      </c>
      <c r="I49" s="522" t="n">
        <v>92.0</v>
      </c>
      <c r="J49" s="522" t="n">
        <v>7.0</v>
      </c>
      <c r="K49" s="522" t="n">
        <v>7.0</v>
      </c>
      <c r="L49" s="520">
        <f si="2" t="shared"/>
        <v>108</v>
      </c>
      <c r="M49" s="21">
        <f si="3" t="shared"/>
        <v>7.4875727091840627E-4</v>
      </c>
    </row>
    <row r="50" spans="1:13" x14ac:dyDescent="0.25">
      <c r="A50">
        <v>39</v>
      </c>
      <c r="B50" s="520" t="n">
        <v>0.0</v>
      </c>
      <c r="C50" s="520" t="n">
        <v>0.0</v>
      </c>
      <c r="D50" s="520" t="n">
        <v>0.0</v>
      </c>
      <c r="E50" s="520">
        <f si="0" t="shared"/>
        <v>0</v>
      </c>
      <c r="F50" s="21">
        <f si="1" t="shared"/>
        <v>0</v>
      </c>
      <c r="H50" s="62">
        <v>39</v>
      </c>
      <c r="I50" s="522" t="n">
        <v>85.0</v>
      </c>
      <c r="J50" s="522" t="n">
        <v>8.0</v>
      </c>
      <c r="K50" s="522" t="n">
        <v>4.0</v>
      </c>
      <c r="L50" s="520">
        <f si="2" t="shared"/>
        <v>67</v>
      </c>
      <c r="M50" s="21">
        <f si="3" t="shared"/>
        <v>4.6450682547715945E-4</v>
      </c>
    </row>
    <row r="51" spans="1:13" x14ac:dyDescent="0.25">
      <c r="A51">
        <v>40</v>
      </c>
      <c r="B51" s="520" t="n">
        <v>0.0</v>
      </c>
      <c r="C51" s="520" t="n">
        <v>0.0</v>
      </c>
      <c r="D51" s="520" t="n">
        <v>0.0</v>
      </c>
      <c r="E51" s="520">
        <f si="0" t="shared"/>
        <v>0</v>
      </c>
      <c r="F51" s="21">
        <f si="1" t="shared"/>
        <v>0</v>
      </c>
      <c r="H51" s="63">
        <v>40</v>
      </c>
      <c r="I51" s="522" t="n">
        <v>31.0</v>
      </c>
      <c r="J51" s="522" t="n">
        <v>4.0</v>
      </c>
      <c r="K51" s="522" t="n">
        <v>2.0</v>
      </c>
      <c r="L51" s="520">
        <f si="2" t="shared"/>
        <v>66</v>
      </c>
      <c r="M51" s="21">
        <f si="3" t="shared"/>
        <v>4.5757388778347051E-4</v>
      </c>
    </row>
    <row r="52" spans="1:13" x14ac:dyDescent="0.25">
      <c r="A52">
        <v>41</v>
      </c>
      <c r="B52" s="520" t="n">
        <v>0.0</v>
      </c>
      <c r="C52" s="520" t="n">
        <v>0.0</v>
      </c>
      <c r="D52" s="520" t="n">
        <v>0.0</v>
      </c>
      <c r="E52" s="520">
        <f si="0" t="shared"/>
        <v>0</v>
      </c>
      <c r="F52" s="21">
        <f si="1" t="shared"/>
        <v>0</v>
      </c>
      <c r="H52" s="64">
        <v>41</v>
      </c>
      <c r="I52" s="522" t="n">
        <v>48.0</v>
      </c>
      <c r="J52" s="522" t="n">
        <v>7.0</v>
      </c>
      <c r="K52" s="522" t="n">
        <v>3.0</v>
      </c>
      <c r="L52" s="520">
        <f si="2" t="shared"/>
        <v>58</v>
      </c>
      <c r="M52" s="21">
        <f si="3" t="shared"/>
        <v>4.0211038623395889E-4</v>
      </c>
    </row>
    <row r="53" spans="1:13" x14ac:dyDescent="0.25">
      <c r="A53">
        <v>42</v>
      </c>
      <c r="B53" s="520" t="n">
        <v>0.0</v>
      </c>
      <c r="C53" s="520" t="n">
        <v>0.0</v>
      </c>
      <c r="D53" s="520" t="n">
        <v>0.0</v>
      </c>
      <c r="E53" s="520">
        <f si="0" t="shared"/>
        <v>0</v>
      </c>
      <c r="F53" s="21">
        <f si="1" t="shared"/>
        <v>0</v>
      </c>
      <c r="H53" s="65">
        <v>42</v>
      </c>
      <c r="I53" s="522" t="n">
        <v>55.0</v>
      </c>
      <c r="J53" s="522" t="n">
        <v>4.0</v>
      </c>
      <c r="K53" s="522" t="n">
        <v>2.0</v>
      </c>
      <c r="L53" s="520">
        <f si="2" t="shared"/>
        <v>65</v>
      </c>
      <c r="M53" s="21">
        <f si="3" t="shared"/>
        <v>4.5064095008978157E-4</v>
      </c>
    </row>
    <row r="54" spans="1:13" x14ac:dyDescent="0.25">
      <c r="A54">
        <v>43</v>
      </c>
      <c r="B54" s="520" t="n">
        <v>0.0</v>
      </c>
      <c r="C54" s="520" t="n">
        <v>0.0</v>
      </c>
      <c r="D54" s="520" t="n">
        <v>0.0</v>
      </c>
      <c r="E54" s="520">
        <f si="0" t="shared"/>
        <v>0</v>
      </c>
      <c r="F54" s="21">
        <f si="1" t="shared"/>
        <v>0</v>
      </c>
      <c r="H54" s="66">
        <v>43</v>
      </c>
      <c r="I54" s="522" t="n">
        <v>28.0</v>
      </c>
      <c r="J54" s="522" t="n">
        <v>4.0</v>
      </c>
      <c r="K54" s="522" t="n">
        <v>3.0</v>
      </c>
      <c r="L54" s="520">
        <f si="2" t="shared"/>
        <v>40</v>
      </c>
      <c r="M54" s="21">
        <f si="3" t="shared"/>
        <v>2.7731750774755788E-4</v>
      </c>
    </row>
    <row r="55" spans="1:13" x14ac:dyDescent="0.25">
      <c r="A55">
        <v>44</v>
      </c>
      <c r="B55" s="520" t="n">
        <v>0.0</v>
      </c>
      <c r="C55" s="520" t="n">
        <v>0.0</v>
      </c>
      <c r="D55" s="520" t="n">
        <v>0.0</v>
      </c>
      <c r="E55" s="520">
        <f si="0" t="shared"/>
        <v>0</v>
      </c>
      <c r="F55" s="21">
        <f si="1" t="shared"/>
        <v>0</v>
      </c>
      <c r="H55" s="67">
        <v>44</v>
      </c>
      <c r="I55" s="522" t="n">
        <v>37.0</v>
      </c>
      <c r="J55" s="522" t="n">
        <v>4.0</v>
      </c>
      <c r="K55" s="522" t="n">
        <v>2.0</v>
      </c>
      <c r="L55" s="520">
        <f si="2" t="shared"/>
        <v>35</v>
      </c>
      <c r="M55" s="21">
        <f si="3" t="shared"/>
        <v>2.4265281927911313E-4</v>
      </c>
    </row>
    <row r="56" spans="1:13" x14ac:dyDescent="0.25">
      <c r="A56">
        <v>45</v>
      </c>
      <c r="B56" s="520" t="n">
        <v>0.0</v>
      </c>
      <c r="C56" s="520" t="n">
        <v>0.0</v>
      </c>
      <c r="D56" s="520" t="n">
        <v>0.0</v>
      </c>
      <c r="E56" s="520">
        <f si="0" t="shared"/>
        <v>0</v>
      </c>
      <c r="F56" s="21">
        <f si="1" t="shared"/>
        <v>0</v>
      </c>
      <c r="H56" s="68">
        <v>45</v>
      </c>
      <c r="I56" s="522" t="n">
        <v>23.0</v>
      </c>
      <c r="J56" s="522" t="n">
        <v>2.0</v>
      </c>
      <c r="K56" s="522" t="n">
        <v>1.0</v>
      </c>
      <c r="L56" s="520">
        <f si="2" t="shared"/>
        <v>38</v>
      </c>
      <c r="M56" s="21">
        <f si="3" t="shared"/>
        <v>2.6345163236018E-4</v>
      </c>
    </row>
    <row r="57" spans="1:13" x14ac:dyDescent="0.25">
      <c r="A57">
        <v>46</v>
      </c>
      <c r="B57" s="520" t="n">
        <v>0.0</v>
      </c>
      <c r="C57" s="520" t="n">
        <v>0.0</v>
      </c>
      <c r="D57" s="520" t="n">
        <v>0.0</v>
      </c>
      <c r="E57" s="520">
        <f si="0" t="shared"/>
        <v>0</v>
      </c>
      <c r="F57" s="21">
        <f si="1" t="shared"/>
        <v>0</v>
      </c>
      <c r="H57" s="69">
        <v>46</v>
      </c>
      <c r="I57" s="522" t="n">
        <v>17.0</v>
      </c>
      <c r="J57" s="522" t="n">
        <v>2.0</v>
      </c>
      <c r="K57" s="522" t="n">
        <v>2.0</v>
      </c>
      <c r="L57" s="520">
        <f si="2" t="shared"/>
        <v>35</v>
      </c>
      <c r="M57" s="21">
        <f si="3" t="shared"/>
        <v>2.4265281927911313E-4</v>
      </c>
    </row>
    <row r="58" spans="1:13" x14ac:dyDescent="0.25">
      <c r="A58">
        <v>47</v>
      </c>
      <c r="B58" s="520" t="n">
        <v>0.0</v>
      </c>
      <c r="C58" s="520" t="n">
        <v>0.0</v>
      </c>
      <c r="D58" s="520" t="n">
        <v>0.0</v>
      </c>
      <c r="E58" s="520">
        <f si="0" t="shared"/>
        <v>0</v>
      </c>
      <c r="F58" s="21">
        <f si="1" t="shared"/>
        <v>0</v>
      </c>
      <c r="H58" s="70">
        <v>47</v>
      </c>
      <c r="I58" s="522" t="n">
        <v>30.0</v>
      </c>
      <c r="J58" s="522" t="n">
        <v>1.0</v>
      </c>
      <c r="K58" s="522" t="n">
        <v>0.0</v>
      </c>
      <c r="L58" s="520">
        <f si="2" t="shared"/>
        <v>39</v>
      </c>
      <c r="M58" s="21">
        <f si="3" t="shared"/>
        <v>2.7038457005386894E-4</v>
      </c>
    </row>
    <row r="59" spans="1:13" x14ac:dyDescent="0.25">
      <c r="A59">
        <v>48</v>
      </c>
      <c r="B59" s="520" t="n">
        <v>0.0</v>
      </c>
      <c r="C59" s="520" t="n">
        <v>0.0</v>
      </c>
      <c r="D59" s="520" t="n">
        <v>0.0</v>
      </c>
      <c r="E59" s="520">
        <f si="0" t="shared"/>
        <v>0</v>
      </c>
      <c r="F59" s="21">
        <f si="1" t="shared"/>
        <v>0</v>
      </c>
      <c r="H59" s="71">
        <v>48</v>
      </c>
      <c r="I59" s="522" t="n">
        <v>15.0</v>
      </c>
      <c r="J59" s="522" t="n">
        <v>2.0</v>
      </c>
      <c r="K59" s="522" t="n">
        <v>1.0</v>
      </c>
      <c r="L59" s="520">
        <f si="2" t="shared"/>
        <v>20</v>
      </c>
      <c r="M59" s="21">
        <f si="3" t="shared"/>
        <v>1.3865875387377894E-4</v>
      </c>
    </row>
    <row r="60" spans="1:13" x14ac:dyDescent="0.25">
      <c r="A60">
        <v>49</v>
      </c>
      <c r="B60" s="520" t="n">
        <v>0.0</v>
      </c>
      <c r="C60" s="520" t="n">
        <v>0.0</v>
      </c>
      <c r="D60" s="520" t="n">
        <v>0.0</v>
      </c>
      <c r="E60" s="520">
        <f si="0" t="shared"/>
        <v>0</v>
      </c>
      <c r="F60" s="21">
        <f si="1" t="shared"/>
        <v>0</v>
      </c>
      <c r="H60" s="72">
        <v>49</v>
      </c>
      <c r="I60" s="522" t="n">
        <v>16.0</v>
      </c>
      <c r="J60" s="522" t="n">
        <v>0.0</v>
      </c>
      <c r="K60" s="522" t="n">
        <v>0.0</v>
      </c>
      <c r="L60" s="520">
        <f si="2" t="shared"/>
        <v>19</v>
      </c>
      <c r="M60" s="21">
        <f si="3" t="shared"/>
        <v>1.3172581618009E-4</v>
      </c>
    </row>
    <row r="61" spans="1:13" x14ac:dyDescent="0.25">
      <c r="A61">
        <v>50</v>
      </c>
      <c r="B61" s="520" t="n">
        <v>0.0</v>
      </c>
      <c r="C61" s="520" t="n">
        <v>0.0</v>
      </c>
      <c r="D61" s="520" t="n">
        <v>0.0</v>
      </c>
      <c r="E61" s="520">
        <f si="0" t="shared"/>
        <v>0</v>
      </c>
      <c r="F61" s="21">
        <f si="1" t="shared"/>
        <v>0</v>
      </c>
      <c r="H61" s="73">
        <v>50</v>
      </c>
      <c r="I61" s="522" t="n">
        <v>23.0</v>
      </c>
      <c r="J61" s="522" t="n">
        <v>2.0</v>
      </c>
      <c r="K61" s="522" t="n">
        <v>1.0</v>
      </c>
      <c r="L61" s="520">
        <f si="2" t="shared"/>
        <v>20</v>
      </c>
      <c r="M61" s="21">
        <f si="3" t="shared"/>
        <v>1.3865875387377894E-4</v>
      </c>
    </row>
    <row r="62" spans="1:13" x14ac:dyDescent="0.25">
      <c r="A62">
        <v>51</v>
      </c>
      <c r="B62" s="520" t="n">
        <v>0.0</v>
      </c>
      <c r="C62" s="520" t="n">
        <v>0.0</v>
      </c>
      <c r="D62" s="520" t="n">
        <v>0.0</v>
      </c>
      <c r="E62" s="520">
        <f si="0" t="shared"/>
        <v>0</v>
      </c>
      <c r="F62" s="21">
        <f si="1" t="shared"/>
        <v>0</v>
      </c>
      <c r="H62" s="74">
        <v>51</v>
      </c>
      <c r="I62" s="522" t="n">
        <v>11.0</v>
      </c>
      <c r="J62" s="522" t="n">
        <v>0.0</v>
      </c>
      <c r="K62" s="522" t="n">
        <v>0.0</v>
      </c>
      <c r="L62" s="520">
        <f si="2" t="shared"/>
        <v>11</v>
      </c>
      <c r="M62" s="21">
        <f si="3" t="shared"/>
        <v>7.6262314630578409E-5</v>
      </c>
    </row>
    <row r="63" spans="1:13" x14ac:dyDescent="0.25">
      <c r="A63">
        <v>52</v>
      </c>
      <c r="B63" s="520" t="n">
        <v>0.0</v>
      </c>
      <c r="C63" s="520" t="n">
        <v>0.0</v>
      </c>
      <c r="D63" s="520" t="n">
        <v>0.0</v>
      </c>
      <c r="E63" s="520">
        <f si="0" t="shared"/>
        <v>0</v>
      </c>
      <c r="F63" s="21">
        <f si="1" t="shared"/>
        <v>0</v>
      </c>
      <c r="H63" s="75">
        <v>52</v>
      </c>
      <c r="I63" s="522" t="n">
        <v>13.0</v>
      </c>
      <c r="J63" s="522" t="n">
        <v>0.0</v>
      </c>
      <c r="K63" s="522" t="n">
        <v>2.0</v>
      </c>
      <c r="L63" s="520">
        <f si="2" t="shared"/>
        <v>19</v>
      </c>
      <c r="M63" s="21">
        <f si="3" t="shared"/>
        <v>1.3172581618009E-4</v>
      </c>
    </row>
    <row r="64" spans="1:13" x14ac:dyDescent="0.25">
      <c r="A64">
        <v>53</v>
      </c>
      <c r="B64" s="520" t="n">
        <v>0.0</v>
      </c>
      <c r="C64" s="520" t="n">
        <v>0.0</v>
      </c>
      <c r="D64" s="520" t="n">
        <v>0.0</v>
      </c>
      <c r="E64" s="520">
        <f si="0" t="shared"/>
        <v>0</v>
      </c>
      <c r="F64" s="21">
        <f si="1" t="shared"/>
        <v>0</v>
      </c>
      <c r="H64" s="76">
        <v>53</v>
      </c>
      <c r="I64" s="522" t="n">
        <v>7.0</v>
      </c>
      <c r="J64" s="522" t="n">
        <v>0.0</v>
      </c>
      <c r="K64" s="522" t="n">
        <v>0.0</v>
      </c>
      <c r="L64" s="520">
        <f si="2" t="shared"/>
        <v>13</v>
      </c>
      <c r="M64" s="21">
        <f si="3" t="shared"/>
        <v>9.0128190017956314E-5</v>
      </c>
    </row>
    <row r="65" spans="1:13" x14ac:dyDescent="0.25">
      <c r="A65">
        <v>54</v>
      </c>
      <c r="B65" s="520" t="n">
        <v>0.0</v>
      </c>
      <c r="C65" s="520" t="n">
        <v>0.0</v>
      </c>
      <c r="D65" s="520" t="n">
        <v>0.0</v>
      </c>
      <c r="E65" s="520">
        <f si="0" t="shared"/>
        <v>0</v>
      </c>
      <c r="F65" s="21">
        <f si="1" t="shared"/>
        <v>0</v>
      </c>
      <c r="H65" s="77">
        <v>54</v>
      </c>
      <c r="I65" s="522" t="n">
        <v>21.0</v>
      </c>
      <c r="J65" s="522" t="n">
        <v>0.0</v>
      </c>
      <c r="K65" s="522" t="n">
        <v>0.0</v>
      </c>
      <c r="L65" s="520">
        <f si="2" t="shared"/>
        <v>16</v>
      </c>
      <c r="M65" s="21">
        <f si="3" t="shared"/>
        <v>1.1092700309902314E-4</v>
      </c>
    </row>
    <row r="66" spans="1:13" x14ac:dyDescent="0.25">
      <c r="A66">
        <v>55</v>
      </c>
      <c r="B66" s="520" t="n">
        <v>0.0</v>
      </c>
      <c r="C66" s="520" t="n">
        <v>0.0</v>
      </c>
      <c r="D66" s="520" t="n">
        <v>0.0</v>
      </c>
      <c r="E66" s="520">
        <f si="0" t="shared"/>
        <v>0</v>
      </c>
      <c r="F66" s="21">
        <f si="1" t="shared"/>
        <v>0</v>
      </c>
      <c r="H66" s="78">
        <v>55</v>
      </c>
      <c r="I66" s="522" t="n">
        <v>9.0</v>
      </c>
      <c r="J66" s="522" t="n">
        <v>0.0</v>
      </c>
      <c r="K66" s="522" t="n">
        <v>0.0</v>
      </c>
      <c r="L66" s="520">
        <f si="2" t="shared"/>
        <v>10</v>
      </c>
      <c r="M66" s="21">
        <f si="3" t="shared"/>
        <v>6.932937693688947E-5</v>
      </c>
    </row>
    <row r="67" spans="1:13" x14ac:dyDescent="0.25">
      <c r="A67">
        <v>56</v>
      </c>
      <c r="B67" s="520" t="n">
        <v>0.0</v>
      </c>
      <c r="C67" s="520" t="n">
        <v>0.0</v>
      </c>
      <c r="D67" s="520" t="n">
        <v>0.0</v>
      </c>
      <c r="E67" s="520">
        <f si="0" t="shared"/>
        <v>0</v>
      </c>
      <c r="F67" s="21">
        <f si="1" t="shared"/>
        <v>0</v>
      </c>
      <c r="H67" s="79">
        <v>56</v>
      </c>
      <c r="I67" s="522" t="n">
        <v>5.0</v>
      </c>
      <c r="J67" s="522" t="n">
        <v>2.0</v>
      </c>
      <c r="K67" s="522" t="n">
        <v>1.0</v>
      </c>
      <c r="L67" s="520">
        <f si="2" t="shared"/>
        <v>10</v>
      </c>
      <c r="M67" s="21">
        <f si="3" t="shared"/>
        <v>6.932937693688947E-5</v>
      </c>
    </row>
    <row r="68" spans="1:13" x14ac:dyDescent="0.25">
      <c r="A68">
        <v>57</v>
      </c>
      <c r="B68" s="520" t="n">
        <v>0.0</v>
      </c>
      <c r="C68" s="520" t="n">
        <v>0.0</v>
      </c>
      <c r="D68" s="520" t="n">
        <v>0.0</v>
      </c>
      <c r="E68" s="520">
        <f si="0" t="shared"/>
        <v>0</v>
      </c>
      <c r="F68" s="21">
        <f si="1" t="shared"/>
        <v>0</v>
      </c>
      <c r="H68" s="80">
        <v>57</v>
      </c>
      <c r="I68" s="522" t="n">
        <v>4.0</v>
      </c>
      <c r="J68" s="522" t="n">
        <v>0.0</v>
      </c>
      <c r="K68" s="522" t="n">
        <v>1.0</v>
      </c>
      <c r="L68" s="520">
        <f si="2" t="shared"/>
        <v>8</v>
      </c>
      <c r="M68" s="21">
        <f si="3" t="shared"/>
        <v>5.5463501549511572E-5</v>
      </c>
    </row>
    <row r="69" spans="1:13" x14ac:dyDescent="0.25">
      <c r="A69">
        <v>58</v>
      </c>
      <c r="B69" s="520" t="n">
        <v>0.0</v>
      </c>
      <c r="C69" s="520" t="n">
        <v>0.0</v>
      </c>
      <c r="D69" s="520" t="n">
        <v>0.0</v>
      </c>
      <c r="E69" s="520">
        <f si="0" t="shared"/>
        <v>0</v>
      </c>
      <c r="F69" s="21">
        <f si="1" t="shared"/>
        <v>0</v>
      </c>
      <c r="H69" s="81">
        <v>58</v>
      </c>
      <c r="I69" s="522" t="n">
        <v>7.0</v>
      </c>
      <c r="J69" s="522" t="n">
        <v>0.0</v>
      </c>
      <c r="K69" s="522" t="n">
        <v>0.0</v>
      </c>
      <c r="L69" s="520">
        <f si="2" t="shared"/>
        <v>8</v>
      </c>
      <c r="M69" s="21">
        <f si="3" t="shared"/>
        <v>5.5463501549511572E-5</v>
      </c>
    </row>
    <row r="70" spans="1:13" x14ac:dyDescent="0.25">
      <c r="A70">
        <v>59</v>
      </c>
      <c r="B70" s="520" t="n">
        <v>0.0</v>
      </c>
      <c r="C70" s="520" t="n">
        <v>0.0</v>
      </c>
      <c r="D70" s="520" t="n">
        <v>0.0</v>
      </c>
      <c r="E70" s="520">
        <f si="0" t="shared"/>
        <v>0</v>
      </c>
      <c r="F70" s="21">
        <f si="1" t="shared"/>
        <v>0</v>
      </c>
      <c r="H70" s="82">
        <v>59</v>
      </c>
      <c r="I70" s="522" t="n">
        <v>10.0</v>
      </c>
      <c r="J70" s="522" t="n">
        <v>0.0</v>
      </c>
      <c r="K70" s="522" t="n">
        <v>1.0</v>
      </c>
      <c r="L70" s="520">
        <f si="2" t="shared"/>
        <v>12</v>
      </c>
      <c r="M70" s="21">
        <f si="3" t="shared"/>
        <v>8.3195252324267361E-5</v>
      </c>
    </row>
    <row r="71" spans="1:13" x14ac:dyDescent="0.25">
      <c r="A71">
        <v>60</v>
      </c>
      <c r="B71" s="520" t="n">
        <v>0.0</v>
      </c>
      <c r="C71" s="520" t="n">
        <v>0.0</v>
      </c>
      <c r="D71" s="520" t="n">
        <v>0.0</v>
      </c>
      <c r="E71" s="520">
        <f si="0" t="shared"/>
        <v>0</v>
      </c>
      <c r="F71" s="21">
        <f si="1" t="shared"/>
        <v>0</v>
      </c>
      <c r="H71" s="83">
        <v>60</v>
      </c>
      <c r="I71" s="522" t="n">
        <v>12.0</v>
      </c>
      <c r="J71" s="522" t="n">
        <v>0.0</v>
      </c>
      <c r="K71" s="522" t="n">
        <v>0.0</v>
      </c>
      <c r="L71" s="520">
        <f si="2" t="shared"/>
        <v>3</v>
      </c>
      <c r="M71" s="21">
        <f si="3" t="shared"/>
        <v>2.079881308106684E-5</v>
      </c>
    </row>
    <row r="72" spans="1:13" x14ac:dyDescent="0.25">
      <c r="A72">
        <v>61</v>
      </c>
      <c r="B72" s="520" t="n">
        <v>0.0</v>
      </c>
      <c r="C72" s="520" t="n">
        <v>0.0</v>
      </c>
      <c r="D72" s="520" t="n">
        <v>0.0</v>
      </c>
      <c r="E72" s="520">
        <f si="0" t="shared"/>
        <v>0</v>
      </c>
      <c r="F72" s="21">
        <f si="1" t="shared"/>
        <v>0</v>
      </c>
      <c r="H72" s="84">
        <v>61</v>
      </c>
      <c r="I72" s="522" t="n">
        <v>4.0</v>
      </c>
      <c r="J72" s="522" t="n">
        <v>0.0</v>
      </c>
      <c r="K72" s="522" t="n">
        <v>0.0</v>
      </c>
      <c r="L72" s="520">
        <f si="2" t="shared"/>
        <v>4</v>
      </c>
      <c r="M72" s="21">
        <f si="3" t="shared"/>
        <v>2.7731750774755786E-5</v>
      </c>
    </row>
    <row r="73" spans="1:13" x14ac:dyDescent="0.25">
      <c r="A73">
        <v>62</v>
      </c>
      <c r="B73" s="520" t="n">
        <v>0.0</v>
      </c>
      <c r="C73" s="520" t="n">
        <v>0.0</v>
      </c>
      <c r="D73" s="520" t="n">
        <v>0.0</v>
      </c>
      <c r="E73" s="520">
        <f si="0" t="shared"/>
        <v>0</v>
      </c>
      <c r="F73" s="21">
        <f si="1" t="shared"/>
        <v>0</v>
      </c>
      <c r="H73" s="85">
        <v>62</v>
      </c>
      <c r="I73" s="522" t="n">
        <v>4.0</v>
      </c>
      <c r="J73" s="522" t="n">
        <v>0.0</v>
      </c>
      <c r="K73" s="522" t="n">
        <v>0.0</v>
      </c>
      <c r="L73" s="520">
        <f si="2" t="shared"/>
        <v>2</v>
      </c>
      <c r="M73" s="21">
        <f si="3" t="shared"/>
        <v>1.3865875387377893E-5</v>
      </c>
    </row>
    <row r="74" spans="1:13" x14ac:dyDescent="0.25">
      <c r="A74">
        <v>63</v>
      </c>
      <c r="B74" s="520" t="n">
        <v>0.0</v>
      </c>
      <c r="C74" s="520" t="n">
        <v>0.0</v>
      </c>
      <c r="D74" s="520" t="n">
        <v>0.0</v>
      </c>
      <c r="E74" s="520">
        <f si="0" t="shared"/>
        <v>0</v>
      </c>
      <c r="F74" s="21">
        <f si="1" t="shared"/>
        <v>0</v>
      </c>
      <c r="H74" s="86">
        <v>63</v>
      </c>
      <c r="I74" s="522" t="n">
        <v>5.0</v>
      </c>
      <c r="J74" s="522" t="n">
        <v>0.0</v>
      </c>
      <c r="K74" s="522" t="n">
        <v>0.0</v>
      </c>
      <c r="L74" s="520">
        <f si="2" t="shared"/>
        <v>9</v>
      </c>
      <c r="M74" s="21">
        <f si="3" t="shared"/>
        <v>6.2396439243200518E-5</v>
      </c>
    </row>
    <row r="75" spans="1:13" x14ac:dyDescent="0.25">
      <c r="A75">
        <v>64</v>
      </c>
      <c r="B75" s="520" t="n">
        <v>0.0</v>
      </c>
      <c r="C75" s="520" t="n">
        <v>0.0</v>
      </c>
      <c r="D75" s="520" t="n">
        <v>0.0</v>
      </c>
      <c r="E75" s="520">
        <f si="0" t="shared"/>
        <v>0</v>
      </c>
      <c r="F75" s="21">
        <f si="1" t="shared"/>
        <v>0</v>
      </c>
      <c r="H75" s="87">
        <v>64</v>
      </c>
      <c r="I75" s="522" t="n">
        <v>4.0</v>
      </c>
      <c r="J75" s="522" t="n">
        <v>0.0</v>
      </c>
      <c r="K75" s="522" t="n">
        <v>0.0</v>
      </c>
      <c r="L75" s="520">
        <f si="2" t="shared"/>
        <v>5</v>
      </c>
      <c r="M75" s="21">
        <f si="3" t="shared"/>
        <v>3.4664688468444735E-5</v>
      </c>
    </row>
    <row r="76" spans="1:13" x14ac:dyDescent="0.25">
      <c r="A76">
        <v>65</v>
      </c>
      <c r="B76" s="520" t="n">
        <v>0.0</v>
      </c>
      <c r="C76" s="520" t="n">
        <v>0.0</v>
      </c>
      <c r="D76" s="520" t="n">
        <v>0.0</v>
      </c>
      <c r="E76" s="520">
        <f ref="E76:E101" si="4" t="shared">SUM(B76:D76)</f>
        <v>0</v>
      </c>
      <c r="F76" s="21">
        <f ref="F76:F102" si="5" t="shared">E76/$E$102</f>
        <v>0</v>
      </c>
      <c r="H76" s="88">
        <v>65</v>
      </c>
      <c r="I76" s="522" t="n">
        <v>3.0</v>
      </c>
      <c r="J76" s="522" t="n">
        <v>1.0</v>
      </c>
      <c r="K76" s="522" t="n">
        <v>0.0</v>
      </c>
      <c r="L76" s="520">
        <f ref="L76:L101" si="6" t="shared">SUM(I76:K76)</f>
        <v>2</v>
      </c>
      <c r="M76" s="21">
        <f ref="M76:M102" si="7" t="shared">L76/$L$102</f>
        <v>1.3865875387377893E-5</v>
      </c>
    </row>
    <row r="77" spans="1:13" x14ac:dyDescent="0.25">
      <c r="A77">
        <v>66</v>
      </c>
      <c r="B77" s="520" t="n">
        <v>0.0</v>
      </c>
      <c r="C77" s="520" t="n">
        <v>0.0</v>
      </c>
      <c r="D77" s="520" t="n">
        <v>0.0</v>
      </c>
      <c r="E77" s="520">
        <f si="4" t="shared"/>
        <v>0</v>
      </c>
      <c r="F77" s="21">
        <f si="5" t="shared"/>
        <v>0</v>
      </c>
      <c r="H77" s="89">
        <v>66</v>
      </c>
      <c r="I77" s="522" t="n">
        <v>4.0</v>
      </c>
      <c r="J77" s="522" t="n">
        <v>0.0</v>
      </c>
      <c r="K77" s="522" t="n">
        <v>1.0</v>
      </c>
      <c r="L77" s="520">
        <f si="6" t="shared"/>
        <v>1</v>
      </c>
      <c r="M77" s="21">
        <f si="7" t="shared"/>
        <v>6.9329376936889465E-6</v>
      </c>
    </row>
    <row r="78" spans="1:13" x14ac:dyDescent="0.25">
      <c r="A78">
        <v>67</v>
      </c>
      <c r="B78" s="520" t="n">
        <v>0.0</v>
      </c>
      <c r="C78" s="520" t="n">
        <v>0.0</v>
      </c>
      <c r="D78" s="520" t="n">
        <v>0.0</v>
      </c>
      <c r="E78" s="520">
        <f si="4" t="shared"/>
        <v>0</v>
      </c>
      <c r="F78" s="21">
        <f si="5" t="shared"/>
        <v>0</v>
      </c>
      <c r="H78" s="90">
        <v>67</v>
      </c>
      <c r="I78" s="522" t="n">
        <v>0.0</v>
      </c>
      <c r="J78" s="522" t="n">
        <v>0.0</v>
      </c>
      <c r="K78" s="522" t="n">
        <v>0.0</v>
      </c>
      <c r="L78" s="520">
        <f si="6" t="shared"/>
        <v>0</v>
      </c>
      <c r="M78" s="21">
        <f si="7" t="shared"/>
        <v>0</v>
      </c>
    </row>
    <row r="79" spans="1:13" x14ac:dyDescent="0.25">
      <c r="A79">
        <v>68</v>
      </c>
      <c r="B79" s="520" t="n">
        <v>0.0</v>
      </c>
      <c r="C79" s="520" t="n">
        <v>0.0</v>
      </c>
      <c r="D79" s="520" t="n">
        <v>0.0</v>
      </c>
      <c r="E79" s="520">
        <f si="4" t="shared"/>
        <v>0</v>
      </c>
      <c r="F79" s="21">
        <f si="5" t="shared"/>
        <v>0</v>
      </c>
      <c r="H79" s="91">
        <v>68</v>
      </c>
      <c r="I79" s="522" t="n">
        <v>4.0</v>
      </c>
      <c r="J79" s="522" t="n">
        <v>0.0</v>
      </c>
      <c r="K79" s="522" t="n">
        <v>0.0</v>
      </c>
      <c r="L79" s="520">
        <f si="6" t="shared"/>
        <v>5</v>
      </c>
      <c r="M79" s="21">
        <f si="7" t="shared"/>
        <v>3.4664688468444735E-5</v>
      </c>
    </row>
    <row r="80" spans="1:13" x14ac:dyDescent="0.25">
      <c r="A80">
        <v>69</v>
      </c>
      <c r="B80" s="520" t="n">
        <v>0.0</v>
      </c>
      <c r="C80" s="520" t="n">
        <v>0.0</v>
      </c>
      <c r="D80" s="520" t="n">
        <v>0.0</v>
      </c>
      <c r="E80" s="520">
        <f si="4" t="shared"/>
        <v>0</v>
      </c>
      <c r="F80" s="21">
        <f si="5" t="shared"/>
        <v>0</v>
      </c>
      <c r="H80" s="92">
        <v>69</v>
      </c>
      <c r="I80" s="522" t="n">
        <v>5.0</v>
      </c>
      <c r="J80" s="522" t="n">
        <v>0.0</v>
      </c>
      <c r="K80" s="522" t="n">
        <v>0.0</v>
      </c>
      <c r="L80" s="520">
        <f si="6" t="shared"/>
        <v>0</v>
      </c>
      <c r="M80" s="21">
        <f si="7" t="shared"/>
        <v>0</v>
      </c>
    </row>
    <row r="81" spans="1:13" x14ac:dyDescent="0.25">
      <c r="A81">
        <v>70</v>
      </c>
      <c r="B81" s="520" t="n">
        <v>0.0</v>
      </c>
      <c r="C81" s="520" t="n">
        <v>0.0</v>
      </c>
      <c r="D81" s="520" t="n">
        <v>0.0</v>
      </c>
      <c r="E81" s="520">
        <f si="4" t="shared"/>
        <v>0</v>
      </c>
      <c r="F81" s="21">
        <f si="5" t="shared"/>
        <v>0</v>
      </c>
      <c r="H81" s="93">
        <v>70</v>
      </c>
      <c r="I81" s="522" t="n">
        <v>0.0</v>
      </c>
      <c r="J81" s="522" t="n">
        <v>0.0</v>
      </c>
      <c r="K81" s="522" t="n">
        <v>0.0</v>
      </c>
      <c r="L81" s="520">
        <f si="6" t="shared"/>
        <v>3</v>
      </c>
      <c r="M81" s="21">
        <f si="7" t="shared"/>
        <v>2.079881308106684E-5</v>
      </c>
    </row>
    <row r="82" spans="1:13" x14ac:dyDescent="0.25">
      <c r="A82">
        <v>71</v>
      </c>
      <c r="B82" s="520" t="n">
        <v>0.0</v>
      </c>
      <c r="C82" s="520" t="n">
        <v>0.0</v>
      </c>
      <c r="D82" s="520" t="n">
        <v>0.0</v>
      </c>
      <c r="E82" s="520">
        <f si="4" t="shared"/>
        <v>0</v>
      </c>
      <c r="F82" s="21">
        <f si="5" t="shared"/>
        <v>0</v>
      </c>
      <c r="H82" s="94">
        <v>71</v>
      </c>
      <c r="I82" s="522" t="n">
        <v>2.0</v>
      </c>
      <c r="J82" s="522" t="n">
        <v>0.0</v>
      </c>
      <c r="K82" s="522" t="n">
        <v>0.0</v>
      </c>
      <c r="L82" s="520">
        <f si="6" t="shared"/>
        <v>2</v>
      </c>
      <c r="M82" s="21">
        <f si="7" t="shared"/>
        <v>1.3865875387377893E-5</v>
      </c>
    </row>
    <row r="83" spans="1:13" x14ac:dyDescent="0.25">
      <c r="A83">
        <v>72</v>
      </c>
      <c r="B83" s="520" t="n">
        <v>0.0</v>
      </c>
      <c r="C83" s="520" t="n">
        <v>0.0</v>
      </c>
      <c r="D83" s="520" t="n">
        <v>0.0</v>
      </c>
      <c r="E83" s="520">
        <f si="4" t="shared"/>
        <v>0</v>
      </c>
      <c r="F83" s="21">
        <f si="5" t="shared"/>
        <v>0</v>
      </c>
      <c r="H83" s="95">
        <v>72</v>
      </c>
      <c r="I83" s="522" t="n">
        <v>1.0</v>
      </c>
      <c r="J83" s="522" t="n">
        <v>0.0</v>
      </c>
      <c r="K83" s="522" t="n">
        <v>0.0</v>
      </c>
      <c r="L83" s="520">
        <f si="6" t="shared"/>
        <v>0</v>
      </c>
      <c r="M83" s="21">
        <f si="7" t="shared"/>
        <v>0</v>
      </c>
    </row>
    <row r="84" spans="1:13" x14ac:dyDescent="0.25">
      <c r="A84">
        <v>73</v>
      </c>
      <c r="B84" s="520" t="n">
        <v>0.0</v>
      </c>
      <c r="C84" s="520" t="n">
        <v>0.0</v>
      </c>
      <c r="D84" s="520" t="n">
        <v>0.0</v>
      </c>
      <c r="E84" s="520">
        <f si="4" t="shared"/>
        <v>0</v>
      </c>
      <c r="F84" s="21">
        <f si="5" t="shared"/>
        <v>0</v>
      </c>
      <c r="H84" s="96">
        <v>73</v>
      </c>
      <c r="I84" s="522" t="n">
        <v>3.0</v>
      </c>
      <c r="J84" s="522" t="n">
        <v>0.0</v>
      </c>
      <c r="K84" s="522" t="n">
        <v>0.0</v>
      </c>
      <c r="L84" s="520">
        <f si="6" t="shared"/>
        <v>2</v>
      </c>
      <c r="M84" s="21">
        <f si="7" t="shared"/>
        <v>1.3865875387377893E-5</v>
      </c>
    </row>
    <row r="85" spans="1:13" x14ac:dyDescent="0.25">
      <c r="A85">
        <v>74</v>
      </c>
      <c r="B85" s="520" t="n">
        <v>0.0</v>
      </c>
      <c r="C85" s="520" t="n">
        <v>0.0</v>
      </c>
      <c r="D85" s="520" t="n">
        <v>0.0</v>
      </c>
      <c r="E85" s="520">
        <f si="4" t="shared"/>
        <v>0</v>
      </c>
      <c r="F85" s="21">
        <f si="5" t="shared"/>
        <v>0</v>
      </c>
      <c r="H85" s="97">
        <v>74</v>
      </c>
      <c r="I85" s="522" t="n">
        <v>0.0</v>
      </c>
      <c r="J85" s="522" t="n">
        <v>0.0</v>
      </c>
      <c r="K85" s="522" t="n">
        <v>0.0</v>
      </c>
      <c r="L85" s="520">
        <f si="6" t="shared"/>
        <v>2</v>
      </c>
      <c r="M85" s="21">
        <f si="7" t="shared"/>
        <v>1.3865875387377893E-5</v>
      </c>
    </row>
    <row r="86" spans="1:13" x14ac:dyDescent="0.25">
      <c r="A86">
        <v>75</v>
      </c>
      <c r="B86" s="520" t="n">
        <v>0.0</v>
      </c>
      <c r="C86" s="520" t="n">
        <v>0.0</v>
      </c>
      <c r="D86" s="520" t="n">
        <v>0.0</v>
      </c>
      <c r="E86" s="520">
        <f si="4" t="shared"/>
        <v>0</v>
      </c>
      <c r="F86" s="21">
        <f si="5" t="shared"/>
        <v>0</v>
      </c>
      <c r="H86" s="98">
        <v>75</v>
      </c>
      <c r="I86" s="522" t="n">
        <v>0.0</v>
      </c>
      <c r="J86" s="522" t="n">
        <v>0.0</v>
      </c>
      <c r="K86" s="522" t="n">
        <v>0.0</v>
      </c>
      <c r="L86" s="520">
        <f si="6" t="shared"/>
        <v>0</v>
      </c>
      <c r="M86" s="21">
        <f si="7" t="shared"/>
        <v>0</v>
      </c>
    </row>
    <row r="87" spans="1:13" x14ac:dyDescent="0.25">
      <c r="A87">
        <v>76</v>
      </c>
      <c r="B87" s="520" t="n">
        <v>0.0</v>
      </c>
      <c r="C87" s="520" t="n">
        <v>0.0</v>
      </c>
      <c r="D87" s="520" t="n">
        <v>0.0</v>
      </c>
      <c r="E87" s="520">
        <f si="4" t="shared"/>
        <v>0</v>
      </c>
      <c r="F87" s="21">
        <f si="5" t="shared"/>
        <v>0</v>
      </c>
      <c r="H87" s="99">
        <v>76</v>
      </c>
      <c r="I87" s="522" t="n">
        <v>0.0</v>
      </c>
      <c r="J87" s="522" t="n">
        <v>0.0</v>
      </c>
      <c r="K87" s="522" t="n">
        <v>0.0</v>
      </c>
      <c r="L87" s="520">
        <f si="6" t="shared"/>
        <v>3</v>
      </c>
      <c r="M87" s="21">
        <f si="7" t="shared"/>
        <v>2.079881308106684E-5</v>
      </c>
    </row>
    <row r="88" spans="1:13" x14ac:dyDescent="0.25">
      <c r="A88">
        <v>77</v>
      </c>
      <c r="B88" s="520" t="n">
        <v>0.0</v>
      </c>
      <c r="C88" s="520" t="n">
        <v>0.0</v>
      </c>
      <c r="D88" s="520" t="n">
        <v>0.0</v>
      </c>
      <c r="E88" s="520">
        <f si="4" t="shared"/>
        <v>0</v>
      </c>
      <c r="F88" s="21">
        <f si="5" t="shared"/>
        <v>0</v>
      </c>
      <c r="H88" s="100">
        <v>77</v>
      </c>
      <c r="I88" s="522" t="n">
        <v>1.0</v>
      </c>
      <c r="J88" s="522" t="n">
        <v>0.0</v>
      </c>
      <c r="K88" s="522" t="n">
        <v>0.0</v>
      </c>
      <c r="L88" s="520">
        <f si="6" t="shared"/>
        <v>0</v>
      </c>
      <c r="M88" s="21">
        <f si="7" t="shared"/>
        <v>0</v>
      </c>
    </row>
    <row r="89" spans="1:13" x14ac:dyDescent="0.25">
      <c r="A89">
        <v>78</v>
      </c>
      <c r="B89" s="520" t="n">
        <v>0.0</v>
      </c>
      <c r="C89" s="520" t="n">
        <v>0.0</v>
      </c>
      <c r="D89" s="520" t="n">
        <v>0.0</v>
      </c>
      <c r="E89" s="520">
        <f si="4" t="shared"/>
        <v>0</v>
      </c>
      <c r="F89" s="21">
        <f si="5" t="shared"/>
        <v>0</v>
      </c>
      <c r="H89" s="101">
        <v>78</v>
      </c>
      <c r="I89" s="522" t="n">
        <v>2.0</v>
      </c>
      <c r="J89" s="522" t="n">
        <v>0.0</v>
      </c>
      <c r="K89" s="522" t="n">
        <v>0.0</v>
      </c>
      <c r="L89" s="520">
        <f si="6" t="shared"/>
        <v>1</v>
      </c>
      <c r="M89" s="21">
        <f si="7" t="shared"/>
        <v>6.9329376936889465E-6</v>
      </c>
    </row>
    <row r="90" spans="1:13" x14ac:dyDescent="0.25">
      <c r="A90">
        <v>79</v>
      </c>
      <c r="B90" s="520" t="n">
        <v>0.0</v>
      </c>
      <c r="C90" s="520" t="n">
        <v>0.0</v>
      </c>
      <c r="D90" s="520" t="n">
        <v>0.0</v>
      </c>
      <c r="E90" s="520">
        <f si="4" t="shared"/>
        <v>0</v>
      </c>
      <c r="F90" s="21">
        <f si="5" t="shared"/>
        <v>0</v>
      </c>
      <c r="H90" s="102">
        <v>79</v>
      </c>
      <c r="I90" s="522" t="n">
        <v>0.0</v>
      </c>
      <c r="J90" s="522" t="n">
        <v>0.0</v>
      </c>
      <c r="K90" s="522" t="n">
        <v>0.0</v>
      </c>
      <c r="L90" s="520">
        <f si="6" t="shared"/>
        <v>1</v>
      </c>
      <c r="M90" s="21">
        <f si="7" t="shared"/>
        <v>6.9329376936889465E-6</v>
      </c>
    </row>
    <row r="91" spans="1:13" x14ac:dyDescent="0.25">
      <c r="A91">
        <v>80</v>
      </c>
      <c r="B91" s="520" t="n">
        <v>0.0</v>
      </c>
      <c r="C91" s="520" t="n">
        <v>0.0</v>
      </c>
      <c r="D91" s="520" t="n">
        <v>0.0</v>
      </c>
      <c r="E91" s="520">
        <f si="4" t="shared"/>
        <v>0</v>
      </c>
      <c r="F91" s="21">
        <f si="5" t="shared"/>
        <v>0</v>
      </c>
      <c r="H91" s="103">
        <v>80</v>
      </c>
      <c r="I91" s="522" t="n">
        <v>0.0</v>
      </c>
      <c r="J91" s="522" t="n">
        <v>0.0</v>
      </c>
      <c r="K91" s="522" t="n">
        <v>0.0</v>
      </c>
      <c r="L91" s="520">
        <f si="6" t="shared"/>
        <v>0</v>
      </c>
      <c r="M91" s="21">
        <f si="7" t="shared"/>
        <v>0</v>
      </c>
    </row>
    <row r="92" spans="1:13" x14ac:dyDescent="0.25">
      <c r="A92">
        <v>81</v>
      </c>
      <c r="B92" s="520" t="n">
        <v>0.0</v>
      </c>
      <c r="C92" s="520" t="n">
        <v>0.0</v>
      </c>
      <c r="D92" s="520" t="n">
        <v>0.0</v>
      </c>
      <c r="E92" s="520">
        <f si="4" t="shared"/>
        <v>0</v>
      </c>
      <c r="F92" s="21">
        <f si="5" t="shared"/>
        <v>0</v>
      </c>
      <c r="H92" s="104">
        <v>81</v>
      </c>
      <c r="I92" s="522" t="n">
        <v>0.0</v>
      </c>
      <c r="J92" s="522" t="n">
        <v>0.0</v>
      </c>
      <c r="K92" s="522" t="n">
        <v>0.0</v>
      </c>
      <c r="L92" s="520">
        <f si="6" t="shared"/>
        <v>0</v>
      </c>
      <c r="M92" s="21">
        <f si="7" t="shared"/>
        <v>0</v>
      </c>
    </row>
    <row r="93" spans="1:13" x14ac:dyDescent="0.25">
      <c r="A93">
        <v>82</v>
      </c>
      <c r="B93" s="520" t="n">
        <v>0.0</v>
      </c>
      <c r="C93" s="520" t="n">
        <v>0.0</v>
      </c>
      <c r="D93" s="520" t="n">
        <v>0.0</v>
      </c>
      <c r="E93" s="520">
        <f si="4" t="shared"/>
        <v>0</v>
      </c>
      <c r="F93" s="21">
        <f si="5" t="shared"/>
        <v>0</v>
      </c>
      <c r="H93" s="105">
        <v>82</v>
      </c>
      <c r="I93" s="522" t="n">
        <v>0.0</v>
      </c>
      <c r="J93" s="522" t="n">
        <v>0.0</v>
      </c>
      <c r="K93" s="522" t="n">
        <v>0.0</v>
      </c>
      <c r="L93" s="520">
        <f si="6" t="shared"/>
        <v>1</v>
      </c>
      <c r="M93" s="21">
        <f si="7" t="shared"/>
        <v>6.9329376936889465E-6</v>
      </c>
    </row>
    <row r="94" spans="1:13" x14ac:dyDescent="0.25">
      <c r="A94">
        <v>83</v>
      </c>
      <c r="B94" s="520" t="n">
        <v>0.0</v>
      </c>
      <c r="C94" s="520" t="n">
        <v>0.0</v>
      </c>
      <c r="D94" s="520" t="n">
        <v>0.0</v>
      </c>
      <c r="E94" s="520">
        <f si="4" t="shared"/>
        <v>0</v>
      </c>
      <c r="F94" s="21">
        <f si="5" t="shared"/>
        <v>0</v>
      </c>
      <c r="H94" s="106">
        <v>83</v>
      </c>
      <c r="I94" s="522" t="n">
        <v>0.0</v>
      </c>
      <c r="J94" s="522" t="n">
        <v>0.0</v>
      </c>
      <c r="K94" s="522" t="n">
        <v>0.0</v>
      </c>
      <c r="L94" s="520">
        <f si="6" t="shared"/>
        <v>1</v>
      </c>
      <c r="M94" s="21">
        <f si="7" t="shared"/>
        <v>6.9329376936889465E-6</v>
      </c>
    </row>
    <row r="95" spans="1:13" x14ac:dyDescent="0.25">
      <c r="A95">
        <v>84</v>
      </c>
      <c r="B95" s="520" t="n">
        <v>0.0</v>
      </c>
      <c r="C95" s="520" t="n">
        <v>0.0</v>
      </c>
      <c r="D95" s="520" t="n">
        <v>0.0</v>
      </c>
      <c r="E95" s="520">
        <f si="4" t="shared"/>
        <v>0</v>
      </c>
      <c r="F95" s="21">
        <f si="5" t="shared"/>
        <v>0</v>
      </c>
      <c r="H95" s="107">
        <v>84</v>
      </c>
      <c r="I95" s="522" t="n">
        <v>1.0</v>
      </c>
      <c r="J95" s="522" t="n">
        <v>0.0</v>
      </c>
      <c r="K95" s="522" t="n">
        <v>0.0</v>
      </c>
      <c r="L95" s="520">
        <f si="6" t="shared"/>
        <v>0</v>
      </c>
      <c r="M95" s="21">
        <f si="7" t="shared"/>
        <v>0</v>
      </c>
    </row>
    <row r="96" spans="1:13" x14ac:dyDescent="0.25">
      <c r="A96">
        <v>85</v>
      </c>
      <c r="B96" s="520" t="n">
        <v>0.0</v>
      </c>
      <c r="C96" s="520" t="n">
        <v>0.0</v>
      </c>
      <c r="D96" s="520" t="n">
        <v>0.0</v>
      </c>
      <c r="E96" s="520">
        <f si="4" t="shared"/>
        <v>0</v>
      </c>
      <c r="F96" s="21">
        <f si="5" t="shared"/>
        <v>0</v>
      </c>
      <c r="H96" s="108">
        <v>85</v>
      </c>
      <c r="I96" s="522" t="n">
        <v>0.0</v>
      </c>
      <c r="J96" s="522" t="n">
        <v>0.0</v>
      </c>
      <c r="K96" s="522" t="n">
        <v>0.0</v>
      </c>
      <c r="L96" s="520">
        <f si="6" t="shared"/>
        <v>1</v>
      </c>
      <c r="M96" s="21">
        <f si="7" t="shared"/>
        <v>6.9329376936889465E-6</v>
      </c>
    </row>
    <row r="97" spans="1:13" x14ac:dyDescent="0.25">
      <c r="A97">
        <v>86</v>
      </c>
      <c r="B97" s="520" t="n">
        <v>0.0</v>
      </c>
      <c r="C97" s="520" t="n">
        <v>0.0</v>
      </c>
      <c r="D97" s="520" t="n">
        <v>0.0</v>
      </c>
      <c r="E97" s="520">
        <f si="4" t="shared"/>
        <v>0</v>
      </c>
      <c r="F97" s="21">
        <f si="5" t="shared"/>
        <v>0</v>
      </c>
      <c r="H97" s="109">
        <v>86</v>
      </c>
      <c r="I97" s="522" t="n">
        <v>0.0</v>
      </c>
      <c r="J97" s="522" t="n">
        <v>0.0</v>
      </c>
      <c r="K97" s="522" t="n">
        <v>0.0</v>
      </c>
      <c r="L97" s="520">
        <f si="6" t="shared"/>
        <v>0</v>
      </c>
      <c r="M97" s="21">
        <f si="7" t="shared"/>
        <v>0</v>
      </c>
    </row>
    <row r="98" spans="1:13" x14ac:dyDescent="0.25">
      <c r="A98">
        <v>87</v>
      </c>
      <c r="B98" s="520" t="n">
        <v>0.0</v>
      </c>
      <c r="C98" s="520" t="n">
        <v>0.0</v>
      </c>
      <c r="D98" s="520" t="n">
        <v>0.0</v>
      </c>
      <c r="E98" s="520">
        <f si="4" t="shared"/>
        <v>0</v>
      </c>
      <c r="F98" s="21">
        <f si="5" t="shared"/>
        <v>0</v>
      </c>
      <c r="H98" s="110">
        <v>87</v>
      </c>
      <c r="I98" s="522" t="n">
        <v>0.0</v>
      </c>
      <c r="J98" s="522" t="n">
        <v>0.0</v>
      </c>
      <c r="K98" s="522" t="n">
        <v>0.0</v>
      </c>
      <c r="L98" s="520">
        <f si="6" t="shared"/>
        <v>0</v>
      </c>
      <c r="M98" s="21">
        <f si="7" t="shared"/>
        <v>0</v>
      </c>
    </row>
    <row r="99" spans="1:13" x14ac:dyDescent="0.25">
      <c r="A99">
        <v>88</v>
      </c>
      <c r="B99" s="520" t="n">
        <v>0.0</v>
      </c>
      <c r="C99" s="520" t="n">
        <v>0.0</v>
      </c>
      <c r="D99" s="520" t="n">
        <v>0.0</v>
      </c>
      <c r="E99" s="520">
        <f si="4" t="shared"/>
        <v>0</v>
      </c>
      <c r="F99" s="21">
        <f si="5" t="shared"/>
        <v>0</v>
      </c>
      <c r="H99" s="111">
        <v>88</v>
      </c>
      <c r="I99" s="522" t="n">
        <v>0.0</v>
      </c>
      <c r="J99" s="522" t="n">
        <v>0.0</v>
      </c>
      <c r="K99" s="522" t="n">
        <v>0.0</v>
      </c>
      <c r="L99" s="520">
        <f si="6" t="shared"/>
        <v>0</v>
      </c>
      <c r="M99" s="21">
        <f si="7" t="shared"/>
        <v>0</v>
      </c>
    </row>
    <row r="100" spans="1:13" x14ac:dyDescent="0.25">
      <c r="A100">
        <v>89</v>
      </c>
      <c r="B100" s="520" t="n">
        <v>0.0</v>
      </c>
      <c r="C100" s="520" t="n">
        <v>0.0</v>
      </c>
      <c r="D100" s="520" t="n">
        <v>0.0</v>
      </c>
      <c r="E100" s="520">
        <f si="4" t="shared"/>
        <v>0</v>
      </c>
      <c r="F100" s="21">
        <f si="5" t="shared"/>
        <v>0</v>
      </c>
      <c r="H100" s="112">
        <v>89</v>
      </c>
      <c r="I100" s="522" t="n">
        <v>0.0</v>
      </c>
      <c r="J100" s="522" t="n">
        <v>0.0</v>
      </c>
      <c r="K100" s="522" t="n">
        <v>0.0</v>
      </c>
      <c r="L100" s="520">
        <f si="6" t="shared"/>
        <v>0</v>
      </c>
      <c r="M100" s="21">
        <f si="7" t="shared"/>
        <v>0</v>
      </c>
    </row>
    <row ht="15.75" r="101" spans="1:13" thickBot="1" x14ac:dyDescent="0.3">
      <c r="A101" s="1">
        <v>90</v>
      </c>
      <c r="B101" s="521" t="n">
        <v>0.0</v>
      </c>
      <c r="C101" s="521" t="n">
        <v>0.0</v>
      </c>
      <c r="D101" s="521" t="n">
        <v>0.0</v>
      </c>
      <c r="E101" s="521">
        <f si="4" t="shared"/>
        <v>0</v>
      </c>
      <c r="F101" s="21">
        <f si="5" t="shared"/>
        <v>0</v>
      </c>
      <c r="H101" s="474">
        <v>90</v>
      </c>
      <c r="I101" s="521" t="n">
        <v>2.0</v>
      </c>
      <c r="J101" s="521" t="n">
        <v>0.0</v>
      </c>
      <c r="K101" s="521" t="n">
        <v>0.0</v>
      </c>
      <c r="L101" s="521">
        <f si="6" t="shared"/>
        <v>0</v>
      </c>
      <c r="M101" s="21">
        <f si="7" t="shared"/>
        <v>0</v>
      </c>
    </row>
    <row r="102" spans="1:13" x14ac:dyDescent="0.25">
      <c r="B102" s="520"/>
      <c r="C102" s="520"/>
      <c r="D102" s="520"/>
      <c r="E102" s="520">
        <f>SUM(E11:E101)</f>
        <v>161680.67599294573</v>
      </c>
      <c r="F102" s="21">
        <f si="5" t="shared"/>
        <v>1</v>
      </c>
      <c r="I102" s="520"/>
      <c r="J102" s="520"/>
      <c r="K102" s="520"/>
      <c r="L102" s="520">
        <f>SUM(L11:L101)</f>
        <v>144239</v>
      </c>
      <c r="M102" s="21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2"/>
  <sheetViews>
    <sheetView workbookViewId="0">
      <selection activeCell="A6" sqref="A6"/>
    </sheetView>
  </sheetViews>
  <sheetFormatPr defaultRowHeight="15" x14ac:dyDescent="0.25"/>
  <cols>
    <col min="13" max="13" bestFit="true" customWidth="true" width="10.140625" collapsed="true"/>
  </cols>
  <sheetData>
    <row r="1" spans="1:18" x14ac:dyDescent="0.25">
      <c r="A1" t="s">
        <v>0</v>
      </c>
    </row>
    <row r="2" spans="1:18" x14ac:dyDescent="0.25">
      <c r="A2" t="s">
        <v>247</v>
      </c>
    </row>
    <row r="3" spans="1:18" x14ac:dyDescent="0.25">
      <c r="A3" t="s">
        <v>249</v>
      </c>
    </row>
    <row r="4" spans="1:18" x14ac:dyDescent="0.25">
      <c r="A4" t="s">
        <v>7</v>
      </c>
    </row>
    <row r="5" spans="1:18" x14ac:dyDescent="0.25">
      <c r="A5" t="s">
        <v>8</v>
      </c>
    </row>
    <row r="7" spans="1:18" x14ac:dyDescent="0.25">
      <c r="A7" t="s">
        <v>12</v>
      </c>
    </row>
    <row ht="15.75" r="9" spans="1:18" thickBot="1" x14ac:dyDescent="0.3">
      <c r="A9" s="4" t="s">
        <v>40</v>
      </c>
      <c r="B9" s="1"/>
      <c r="C9" s="1"/>
      <c r="D9" s="1"/>
      <c r="E9" s="1"/>
      <c r="F9" s="1"/>
      <c r="H9" s="4" t="s">
        <v>14</v>
      </c>
      <c r="I9" s="1"/>
      <c r="J9" s="1"/>
      <c r="K9" s="1"/>
      <c r="L9" s="1"/>
      <c r="M9" s="1"/>
      <c r="P9" s="10" t="s">
        <v>21</v>
      </c>
    </row>
    <row r="10" spans="1:18" x14ac:dyDescent="0.25">
      <c r="A10" s="2" t="s">
        <v>18</v>
      </c>
      <c r="B10" s="5" t="s">
        <v>9</v>
      </c>
      <c r="C10" s="5" t="s">
        <v>10</v>
      </c>
      <c r="D10" s="5" t="s">
        <v>11</v>
      </c>
      <c r="E10" s="5" t="s">
        <v>4</v>
      </c>
      <c r="F10" s="20" t="s">
        <v>39</v>
      </c>
      <c r="H10" s="2" t="s">
        <v>18</v>
      </c>
      <c r="I10" s="5" t="s">
        <v>9</v>
      </c>
      <c r="J10" s="5" t="s">
        <v>10</v>
      </c>
      <c r="K10" s="5" t="s">
        <v>11</v>
      </c>
      <c r="L10" s="5" t="s">
        <v>4</v>
      </c>
      <c r="M10" s="20" t="s">
        <v>19</v>
      </c>
      <c r="P10" s="2"/>
      <c r="Q10" s="5" t="s">
        <v>39</v>
      </c>
      <c r="R10" s="5" t="s">
        <v>19</v>
      </c>
    </row>
    <row r="11" spans="1:18" x14ac:dyDescent="0.25">
      <c r="A11">
        <v>0</v>
      </c>
      <c r="B11" s="8" t="n">
        <v>0.0</v>
      </c>
      <c r="C11" s="8" t="n">
        <v>0.0</v>
      </c>
      <c r="D11" s="8" t="n">
        <v>0.0</v>
      </c>
      <c r="E11" s="8">
        <f>SUM(B11:D11)</f>
        <v>0</v>
      </c>
      <c r="F11" s="21">
        <f>E11/$E$102</f>
        <v>0</v>
      </c>
      <c r="H11" s="113">
        <v>0</v>
      </c>
      <c r="I11" s="203" t="n">
        <v>5957.0</v>
      </c>
      <c r="J11" s="293" t="n">
        <v>603.0</v>
      </c>
      <c r="K11" s="383" t="n">
        <v>617.0</v>
      </c>
      <c r="L11">
        <f>SUM(I11:K11)</f>
        <v>6777</v>
      </c>
      <c r="M11" s="21">
        <f>L11/$L$102</f>
        <v>4.6984518750129996E-2</v>
      </c>
      <c r="P11" t="s">
        <v>9</v>
      </c>
      <c r="Q11" s="8" t="n">
        <v>16.663906667885954</v>
      </c>
      <c r="R11" s="8" t="n">
        <v>15.426758606109928</v>
      </c>
    </row>
    <row r="12" spans="1:18" x14ac:dyDescent="0.25">
      <c r="A12">
        <v>1</v>
      </c>
      <c r="B12" s="8" t="n">
        <v>0.0</v>
      </c>
      <c r="C12" s="8" t="n">
        <v>0.0</v>
      </c>
      <c r="D12" s="8" t="n">
        <v>0.0</v>
      </c>
      <c r="E12" s="8">
        <f ref="E12:E75" si="0" t="shared">SUM(B12:D12)</f>
        <v>0</v>
      </c>
      <c r="F12" s="21">
        <f ref="F12:F75" si="1" t="shared">E12/$E$102</f>
        <v>0</v>
      </c>
      <c r="H12" s="114">
        <v>1</v>
      </c>
      <c r="I12" s="204" t="n">
        <v>10789.0</v>
      </c>
      <c r="J12" s="294" t="n">
        <v>963.0</v>
      </c>
      <c r="K12" s="384" t="n">
        <v>993.0</v>
      </c>
      <c r="L12">
        <f ref="L12:L75" si="2" t="shared">SUM(I12:K12)</f>
        <v>12444</v>
      </c>
      <c r="M12" s="21">
        <f ref="M12:M75" si="3" t="shared">L12/$L$102</f>
        <v>8.6273476660265261E-2</v>
      </c>
      <c r="P12" t="s">
        <v>10</v>
      </c>
      <c r="Q12" s="8" t="n">
        <v>17.31263647786032</v>
      </c>
      <c r="R12" s="8" t="n">
        <v>15.645039907195413</v>
      </c>
    </row>
    <row r="13" spans="1:18" x14ac:dyDescent="0.25">
      <c r="A13">
        <v>2</v>
      </c>
      <c r="B13" s="8" t="n">
        <v>157.5695540122</v>
      </c>
      <c r="C13" s="8" t="n">
        <v>0.0</v>
      </c>
      <c r="D13" s="8" t="n">
        <v>0.0</v>
      </c>
      <c r="E13" s="8">
        <f si="0" t="shared"/>
        <v>157.5695540122</v>
      </c>
      <c r="F13" s="21">
        <f si="1" t="shared"/>
        <v>9.7457258292929765E-4</v>
      </c>
      <c r="H13" s="115">
        <v>2</v>
      </c>
      <c r="I13" s="205" t="n">
        <v>9354.0</v>
      </c>
      <c r="J13" s="295" t="n">
        <v>860.0</v>
      </c>
      <c r="K13" s="385" t="n">
        <v>852.0</v>
      </c>
      <c r="L13">
        <f si="2" t="shared"/>
        <v>10794</v>
      </c>
      <c r="M13" s="21">
        <f si="3" t="shared"/>
        <v>7.4834129465678495E-2</v>
      </c>
      <c r="P13" s="6" t="s">
        <v>11</v>
      </c>
      <c r="Q13" s="11" t="n">
        <v>18.599176063687192</v>
      </c>
      <c r="R13" s="8" t="n">
        <v>14.851395364167116</v>
      </c>
    </row>
    <row ht="15.75" r="14" spans="1:18" thickBot="1" x14ac:dyDescent="0.3">
      <c r="A14">
        <v>3</v>
      </c>
      <c r="B14" s="8" t="n">
        <v>5364.3099030935</v>
      </c>
      <c r="C14" s="8" t="n">
        <v>243.72176286660002</v>
      </c>
      <c r="D14" s="8" t="n">
        <v>984.8173479848</v>
      </c>
      <c r="E14" s="8">
        <f si="0" t="shared"/>
        <v>6592.8490139449004</v>
      </c>
      <c r="F14" s="21">
        <f si="1" t="shared"/>
        <v>4.0776975810223305E-2</v>
      </c>
      <c r="H14" s="116">
        <v>3</v>
      </c>
      <c r="I14" s="206" t="n">
        <v>7494.0</v>
      </c>
      <c r="J14" s="296" t="n">
        <v>691.0</v>
      </c>
      <c r="K14" s="386" t="n">
        <v>659.0</v>
      </c>
      <c r="L14">
        <f si="2" t="shared"/>
        <v>8694</v>
      </c>
      <c r="M14" s="21">
        <f si="3" t="shared"/>
        <v>6.0274960308931702E-2</v>
      </c>
      <c r="P14" s="1" t="s">
        <v>4</v>
      </c>
      <c r="Q14" s="12" t="n">
        <v>16.758547023897115</v>
      </c>
      <c r="R14" s="12" t="n">
        <v>15.401210478802835</v>
      </c>
    </row>
    <row r="15" spans="1:18" x14ac:dyDescent="0.25">
      <c r="A15">
        <v>4</v>
      </c>
      <c r="B15" s="8" t="n">
        <v>8036.2090313325</v>
      </c>
      <c r="C15" s="8" t="n">
        <v>53.2050820371</v>
      </c>
      <c r="D15" s="8" t="n">
        <v>0.0</v>
      </c>
      <c r="E15" s="8">
        <f si="0" t="shared"/>
        <v>8089.4141133695994</v>
      </c>
      <c r="F15" s="21">
        <f si="1" t="shared"/>
        <v>5.0033277407391268E-2</v>
      </c>
      <c r="H15" s="117">
        <v>4</v>
      </c>
      <c r="I15" s="207" t="n">
        <v>5149.0</v>
      </c>
      <c r="J15" s="297" t="n">
        <v>504.0</v>
      </c>
      <c r="K15" s="387" t="n">
        <v>483.0</v>
      </c>
      <c r="L15">
        <f si="2" t="shared"/>
        <v>6003</v>
      </c>
      <c r="M15" s="21">
        <f si="3" t="shared"/>
        <v>4.161842497521475E-2</v>
      </c>
    </row>
    <row r="16" spans="1:18" x14ac:dyDescent="0.25">
      <c r="A16">
        <v>5</v>
      </c>
      <c r="B16" s="8" t="n">
        <v>12213.3632162096</v>
      </c>
      <c r="C16" s="8" t="n">
        <v>341.81014393600003</v>
      </c>
      <c r="D16" s="8" t="n">
        <v>1245.0347862898</v>
      </c>
      <c r="E16" s="8">
        <f si="0" t="shared"/>
        <v>13800.2081464354</v>
      </c>
      <c r="F16" s="21">
        <f si="1" t="shared"/>
        <v>8.5354715779624238E-2</v>
      </c>
      <c r="H16" s="118">
        <v>5</v>
      </c>
      <c r="I16" s="208" t="n">
        <v>4020.0</v>
      </c>
      <c r="J16" s="298" t="n">
        <v>456.0</v>
      </c>
      <c r="K16" s="388" t="n">
        <v>395.0</v>
      </c>
      <c r="L16">
        <f si="2" t="shared"/>
        <v>4742</v>
      </c>
      <c r="M16" s="21">
        <f si="3" t="shared"/>
        <v>3.2875990543472983E-2</v>
      </c>
    </row>
    <row r="17" spans="1:13" x14ac:dyDescent="0.25">
      <c r="A17">
        <v>6</v>
      </c>
      <c r="B17" s="8" t="n">
        <v>6557.6787542449</v>
      </c>
      <c r="C17" s="8" t="n">
        <v>241.7361287772</v>
      </c>
      <c r="D17" s="8" t="n">
        <v>416.016933519</v>
      </c>
      <c r="E17" s="8">
        <f si="0" t="shared"/>
        <v>7215.4318165411005</v>
      </c>
      <c r="F17" s="21">
        <f si="1" t="shared"/>
        <v>4.462766977085076E-2</v>
      </c>
      <c r="H17" s="119">
        <v>6</v>
      </c>
      <c r="I17" s="209" t="n">
        <v>3218.0</v>
      </c>
      <c r="J17" s="299" t="n">
        <v>381.0</v>
      </c>
      <c r="K17" s="389" t="n">
        <v>333.0</v>
      </c>
      <c r="L17">
        <f si="2" t="shared"/>
        <v>3866</v>
      </c>
      <c r="M17" s="21">
        <f si="3" t="shared"/>
        <v>2.6802737123801469E-2</v>
      </c>
    </row>
    <row r="18" spans="1:13" x14ac:dyDescent="0.25">
      <c r="A18">
        <v>7</v>
      </c>
      <c r="B18" s="8" t="n">
        <v>5953.5189684512</v>
      </c>
      <c r="C18" s="8" t="n">
        <v>0.0</v>
      </c>
      <c r="D18" s="8" t="n">
        <v>318.528901961</v>
      </c>
      <c r="E18" s="8">
        <f si="0" t="shared"/>
        <v>6272.0478704121997</v>
      </c>
      <c r="F18" s="21">
        <f si="1" t="shared"/>
        <v>3.8792810778981744E-2</v>
      </c>
      <c r="H18" s="120">
        <v>7</v>
      </c>
      <c r="I18" s="210" t="n">
        <v>2794.0</v>
      </c>
      <c r="J18" s="300" t="n">
        <v>336.0</v>
      </c>
      <c r="K18" s="390" t="n">
        <v>299.0</v>
      </c>
      <c r="L18">
        <f si="2" t="shared"/>
        <v>3403</v>
      </c>
      <c r="M18" s="21">
        <f si="3" t="shared"/>
        <v>2.3592786971623488E-2</v>
      </c>
    </row>
    <row r="19" spans="1:13" x14ac:dyDescent="0.25">
      <c r="A19">
        <v>8</v>
      </c>
      <c r="B19" s="8" t="n">
        <v>3089.010147222</v>
      </c>
      <c r="C19" s="8" t="n">
        <v>135.8134569332</v>
      </c>
      <c r="D19" s="8" t="n">
        <v>0.0</v>
      </c>
      <c r="E19" s="8">
        <f si="0" t="shared"/>
        <v>3224.8236041552</v>
      </c>
      <c r="F19" s="21">
        <f si="1" t="shared"/>
        <v>1.9945634098510957E-2</v>
      </c>
      <c r="H19" s="121">
        <v>8</v>
      </c>
      <c r="I19" s="211" t="n">
        <v>2446.0</v>
      </c>
      <c r="J19" s="301" t="n">
        <v>272.0</v>
      </c>
      <c r="K19" s="391" t="n">
        <v>238.0</v>
      </c>
      <c r="L19">
        <f si="2" t="shared"/>
        <v>2936</v>
      </c>
      <c r="M19" s="21">
        <f si="3" t="shared"/>
        <v>2.0355105068670748E-2</v>
      </c>
    </row>
    <row r="20" spans="1:13" x14ac:dyDescent="0.25">
      <c r="A20">
        <v>9</v>
      </c>
      <c r="B20" s="8" t="n">
        <v>5132.7681135558005</v>
      </c>
      <c r="C20" s="8" t="n">
        <v>569.63114261</v>
      </c>
      <c r="D20" s="8" t="n">
        <v>0.0</v>
      </c>
      <c r="E20" s="8">
        <f si="0" t="shared"/>
        <v>5702.3992561658006</v>
      </c>
      <c r="F20" s="21">
        <f si="1" t="shared"/>
        <v>3.5269516416511035E-2</v>
      </c>
      <c r="H20" s="122">
        <v>9</v>
      </c>
      <c r="I20" s="212" t="n">
        <v>2175.0</v>
      </c>
      <c r="J20" s="302" t="n">
        <v>245.0</v>
      </c>
      <c r="K20" s="392" t="n">
        <v>201.0</v>
      </c>
      <c r="L20">
        <f si="2" t="shared"/>
        <v>2682</v>
      </c>
      <c r="M20" s="21">
        <f si="3" t="shared"/>
        <v>1.8594138894473755E-2</v>
      </c>
    </row>
    <row r="21" spans="1:13" x14ac:dyDescent="0.25">
      <c r="A21">
        <v>10</v>
      </c>
      <c r="B21" s="8" t="n">
        <v>793.202713876</v>
      </c>
      <c r="C21" s="8" t="n">
        <v>0.0</v>
      </c>
      <c r="D21" s="8" t="n">
        <v>0.0</v>
      </c>
      <c r="E21" s="8">
        <f si="0" t="shared"/>
        <v>793.20271387599996</v>
      </c>
      <c r="F21" s="21">
        <f si="1" t="shared"/>
        <v>4.9059834083734783E-3</v>
      </c>
      <c r="H21" s="123">
        <v>10</v>
      </c>
      <c r="I21" s="213" t="n">
        <v>1784.0</v>
      </c>
      <c r="J21" s="303" t="n">
        <v>187.0</v>
      </c>
      <c r="K21" s="393" t="n">
        <v>162.0</v>
      </c>
      <c r="L21">
        <f si="2" t="shared"/>
        <v>2169</v>
      </c>
      <c r="M21" s="21">
        <f si="3" t="shared"/>
        <v>1.5037541857611325E-2</v>
      </c>
    </row>
    <row r="22" spans="1:13" x14ac:dyDescent="0.25">
      <c r="A22">
        <v>11</v>
      </c>
      <c r="B22" s="8" t="n">
        <v>2985.8330934098003</v>
      </c>
      <c r="C22" s="8" t="n">
        <v>0.0</v>
      </c>
      <c r="D22" s="8" t="n">
        <v>0.0</v>
      </c>
      <c r="E22" s="8">
        <f si="0" t="shared"/>
        <v>2985.8330934098003</v>
      </c>
      <c r="F22" s="21">
        <f si="1" t="shared"/>
        <v>1.8467470370671105E-2</v>
      </c>
      <c r="H22" s="124">
        <v>11</v>
      </c>
      <c r="I22" s="214" t="n">
        <v>1616.0</v>
      </c>
      <c r="J22" s="304" t="n">
        <v>187.0</v>
      </c>
      <c r="K22" s="394" t="n">
        <v>158.0</v>
      </c>
      <c r="L22">
        <f si="2" t="shared"/>
        <v>1918</v>
      </c>
      <c r="M22" s="21">
        <f si="3" t="shared"/>
        <v>1.3297374496495399E-2</v>
      </c>
    </row>
    <row r="23" spans="1:13" x14ac:dyDescent="0.25">
      <c r="A23">
        <v>12</v>
      </c>
      <c r="B23" s="8" t="n">
        <v>2168.795775802</v>
      </c>
      <c r="C23" s="8" t="n">
        <v>0.0</v>
      </c>
      <c r="D23" s="8" t="n">
        <v>0.0</v>
      </c>
      <c r="E23" s="8">
        <f si="0" t="shared"/>
        <v>2168.7957758020002</v>
      </c>
      <c r="F23" s="21">
        <f si="1" t="shared"/>
        <v>1.3414069198329099E-2</v>
      </c>
      <c r="H23" s="125">
        <v>12</v>
      </c>
      <c r="I23" s="215" t="n">
        <v>1489.0</v>
      </c>
      <c r="J23" s="305" t="n">
        <v>189.0</v>
      </c>
      <c r="K23" s="395" t="n">
        <v>147.0</v>
      </c>
      <c r="L23">
        <f si="2" t="shared"/>
        <v>1751</v>
      </c>
      <c r="M23" s="21">
        <f si="3" t="shared"/>
        <v>1.2139573901649346E-2</v>
      </c>
    </row>
    <row r="24" spans="1:13" x14ac:dyDescent="0.25">
      <c r="A24">
        <v>13</v>
      </c>
      <c r="B24" s="8" t="n">
        <v>1942.841554227</v>
      </c>
      <c r="C24" s="8" t="n">
        <v>0.0</v>
      </c>
      <c r="D24" s="8" t="n">
        <v>0.0</v>
      </c>
      <c r="E24" s="8">
        <f si="0" t="shared"/>
        <v>1942.841554227</v>
      </c>
      <c r="F24" s="21">
        <f si="1" t="shared"/>
        <v>1.2016535323688082E-2</v>
      </c>
      <c r="H24" s="126">
        <v>13</v>
      </c>
      <c r="I24" s="216" t="n">
        <v>1208.0</v>
      </c>
      <c r="J24" s="306" t="n">
        <v>145.0</v>
      </c>
      <c r="K24" s="396" t="n">
        <v>100.0</v>
      </c>
      <c r="L24">
        <f si="2" t="shared"/>
        <v>1453</v>
      </c>
      <c r="M24" s="21">
        <f si="3" t="shared"/>
        <v>1.007355846893004E-2</v>
      </c>
    </row>
    <row r="25" spans="1:13" x14ac:dyDescent="0.25">
      <c r="A25">
        <v>14</v>
      </c>
      <c r="B25" s="8" t="n">
        <v>6518.5635992985</v>
      </c>
      <c r="C25" s="8" t="n">
        <v>145.384465385</v>
      </c>
      <c r="D25" s="8" t="n">
        <v>0.0</v>
      </c>
      <c r="E25" s="8">
        <f si="0" t="shared"/>
        <v>6663.9480646835</v>
      </c>
      <c r="F25" s="21">
        <f si="1" t="shared"/>
        <v>4.1216725646138777E-2</v>
      </c>
      <c r="H25" s="127">
        <v>14</v>
      </c>
      <c r="I25" s="217" t="n">
        <v>1022.0</v>
      </c>
      <c r="J25" s="307" t="n">
        <v>119.0</v>
      </c>
      <c r="K25" s="397" t="n">
        <v>97.0</v>
      </c>
      <c r="L25">
        <f si="2" t="shared"/>
        <v>1216</v>
      </c>
      <c r="M25" s="21">
        <f si="3" t="shared"/>
        <v>8.4304522355257601E-3</v>
      </c>
    </row>
    <row r="26" spans="1:13" x14ac:dyDescent="0.25">
      <c r="A26">
        <v>15</v>
      </c>
      <c r="B26" s="8" t="n">
        <v>4997.7862248987</v>
      </c>
      <c r="C26" s="8" t="n">
        <v>0.0</v>
      </c>
      <c r="D26" s="8" t="n">
        <v>0.0</v>
      </c>
      <c r="E26" s="8">
        <f si="0" t="shared"/>
        <v>4997.7862248987003</v>
      </c>
      <c r="F26" s="21">
        <f si="1" t="shared"/>
        <v>3.0911462945124982E-2</v>
      </c>
      <c r="H26" s="128">
        <v>15</v>
      </c>
      <c r="I26" s="218" t="n">
        <v>891.0</v>
      </c>
      <c r="J26" s="308" t="n">
        <v>103.0</v>
      </c>
      <c r="K26" s="398" t="n">
        <v>87.0</v>
      </c>
      <c r="L26">
        <f si="2" t="shared"/>
        <v>1029</v>
      </c>
      <c r="M26" s="21">
        <f si="3" t="shared"/>
        <v>7.133992886805926E-3</v>
      </c>
    </row>
    <row r="27" spans="1:13" x14ac:dyDescent="0.25">
      <c r="A27">
        <v>16</v>
      </c>
      <c r="B27" s="8" t="n">
        <v>8794.1256717136</v>
      </c>
      <c r="C27" s="8" t="n">
        <v>618.978643154</v>
      </c>
      <c r="D27" s="8" t="n">
        <v>0.0</v>
      </c>
      <c r="E27" s="8">
        <f si="0" t="shared"/>
        <v>9413.1043148675999</v>
      </c>
      <c r="F27" s="21">
        <f si="1" t="shared"/>
        <v>5.8220342394401554E-2</v>
      </c>
      <c r="H27" s="129">
        <v>16</v>
      </c>
      <c r="I27" s="219" t="n">
        <v>830.0</v>
      </c>
      <c r="J27" s="309" t="n">
        <v>97.0</v>
      </c>
      <c r="K27" s="399" t="n">
        <v>78.0</v>
      </c>
      <c r="L27">
        <f si="2" t="shared"/>
        <v>997</v>
      </c>
      <c r="M27" s="21">
        <f si="3" t="shared"/>
        <v>6.91213888060788E-3</v>
      </c>
    </row>
    <row r="28" spans="1:13" x14ac:dyDescent="0.25">
      <c r="A28">
        <v>17</v>
      </c>
      <c r="B28" s="8" t="n">
        <v>3249.133518784</v>
      </c>
      <c r="C28" s="8" t="n">
        <v>0.0</v>
      </c>
      <c r="D28" s="8" t="n">
        <v>0.0</v>
      </c>
      <c r="E28" s="8">
        <f si="0" t="shared"/>
        <v>3249.133518784</v>
      </c>
      <c r="F28" s="21">
        <f si="1" t="shared"/>
        <v>2.0095991675132298E-2</v>
      </c>
      <c r="H28" s="130">
        <v>17</v>
      </c>
      <c r="I28" s="220" t="n">
        <v>804.0</v>
      </c>
      <c r="J28" s="310" t="n">
        <v>93.0</v>
      </c>
      <c r="K28" s="400" t="n">
        <v>79.0</v>
      </c>
      <c r="L28">
        <f si="2" t="shared"/>
        <v>947</v>
      </c>
      <c r="M28" s="21">
        <f si="3" t="shared"/>
        <v>6.5654919959234328E-3</v>
      </c>
    </row>
    <row r="29" spans="1:13" x14ac:dyDescent="0.25">
      <c r="A29">
        <v>18</v>
      </c>
      <c r="B29" s="8" t="n">
        <v>13222.9348126956</v>
      </c>
      <c r="C29" s="8" t="n">
        <v>558.9171554939</v>
      </c>
      <c r="D29" s="8" t="n">
        <v>0.0</v>
      </c>
      <c r="E29" s="8">
        <f si="0" t="shared"/>
        <v>13781.8519681895</v>
      </c>
      <c r="F29" s="21">
        <f si="1" t="shared"/>
        <v>8.5241182247350417E-2</v>
      </c>
      <c r="H29" s="131">
        <v>18</v>
      </c>
      <c r="I29" s="221" t="n">
        <v>9359.0</v>
      </c>
      <c r="J29" s="311" t="n">
        <v>1244.0</v>
      </c>
      <c r="K29" s="401" t="n">
        <v>932.0</v>
      </c>
      <c r="L29">
        <f si="2" t="shared"/>
        <v>11490</v>
      </c>
      <c r="M29" s="21">
        <f si="3" t="shared"/>
        <v>7.9659454100485999E-2</v>
      </c>
    </row>
    <row r="30" spans="1:13" x14ac:dyDescent="0.25">
      <c r="A30">
        <v>19</v>
      </c>
      <c r="B30" s="8" t="n">
        <v>12770.9045852995</v>
      </c>
      <c r="C30" s="8" t="n">
        <v>442.4962878333</v>
      </c>
      <c r="D30" s="8" t="n">
        <v>295.6132959603</v>
      </c>
      <c r="E30" s="8">
        <f si="0" t="shared"/>
        <v>13509.014169093101</v>
      </c>
      <c r="F30" s="21">
        <f si="1" t="shared"/>
        <v>8.3553671990352837E-2</v>
      </c>
      <c r="H30" s="132">
        <v>19</v>
      </c>
      <c r="I30" s="222" t="n">
        <v>4656.0</v>
      </c>
      <c r="J30" s="312" t="n">
        <v>457.0</v>
      </c>
      <c r="K30" s="402" t="n">
        <v>412.0</v>
      </c>
      <c r="L30">
        <f si="2" t="shared"/>
        <v>5372</v>
      </c>
      <c r="M30" s="21">
        <f si="3" t="shared"/>
        <v>3.7243741290497019E-2</v>
      </c>
    </row>
    <row r="31" spans="1:13" x14ac:dyDescent="0.25">
      <c r="A31">
        <v>20</v>
      </c>
      <c r="B31" s="8" t="n">
        <v>7626.1595481617</v>
      </c>
      <c r="C31" s="8" t="n">
        <v>622.180084074</v>
      </c>
      <c r="D31" s="8" t="n">
        <v>0.0</v>
      </c>
      <c r="E31" s="8">
        <f si="0" t="shared"/>
        <v>8248.3396322357003</v>
      </c>
      <c r="F31" s="21">
        <f si="1" t="shared"/>
        <v>5.1016236675034576E-2</v>
      </c>
      <c r="H31" s="133">
        <v>20</v>
      </c>
      <c r="I31" s="223" t="n">
        <v>4721.0</v>
      </c>
      <c r="J31" s="313" t="n">
        <v>535.0</v>
      </c>
      <c r="K31" s="403" t="n">
        <v>503.0</v>
      </c>
      <c r="L31">
        <f si="2" t="shared"/>
        <v>5941</v>
      </c>
      <c r="M31" s="21">
        <f si="3" t="shared"/>
        <v>4.1188582838206034E-2</v>
      </c>
    </row>
    <row r="32" spans="1:13" x14ac:dyDescent="0.25">
      <c r="A32">
        <v>21</v>
      </c>
      <c r="B32" s="8" t="n">
        <v>8604.886120604</v>
      </c>
      <c r="C32" s="8" t="n">
        <v>1417.41069362</v>
      </c>
      <c r="D32" s="8" t="n">
        <v>86.2921514892</v>
      </c>
      <c r="E32" s="8">
        <f si="0" t="shared"/>
        <v>10108.588965713201</v>
      </c>
      <c r="F32" s="21">
        <f si="1" t="shared"/>
        <v>6.2521936549512241E-2</v>
      </c>
      <c r="H32" s="134">
        <v>21</v>
      </c>
      <c r="I32" s="224" t="n">
        <v>4376.0</v>
      </c>
      <c r="J32" s="314" t="n">
        <v>534.0</v>
      </c>
      <c r="K32" s="404" t="n">
        <v>464.0</v>
      </c>
      <c r="L32">
        <f si="2" t="shared"/>
        <v>5511</v>
      </c>
      <c r="M32" s="21">
        <f si="3" t="shared"/>
        <v>3.8207419629919789E-2</v>
      </c>
    </row>
    <row r="33" spans="1:13" x14ac:dyDescent="0.25">
      <c r="A33">
        <v>22</v>
      </c>
      <c r="B33" s="8" t="n">
        <v>6489.4540015104</v>
      </c>
      <c r="C33" s="8" t="n">
        <v>43.8943422849</v>
      </c>
      <c r="D33" s="8" t="n">
        <v>0.0</v>
      </c>
      <c r="E33" s="8">
        <f si="0" t="shared"/>
        <v>6533.3483437953</v>
      </c>
      <c r="F33" s="21">
        <f si="1" t="shared"/>
        <v>4.0408962318294335E-2</v>
      </c>
      <c r="H33" s="135">
        <v>22</v>
      </c>
      <c r="I33" s="225" t="n">
        <v>4662.0</v>
      </c>
      <c r="J33" s="315" t="n">
        <v>594.0</v>
      </c>
      <c r="K33" s="405" t="n">
        <v>433.0</v>
      </c>
      <c r="L33">
        <f si="2" t="shared"/>
        <v>5946</v>
      </c>
      <c r="M33" s="21">
        <f si="3" t="shared"/>
        <v>4.1223247526674479E-2</v>
      </c>
    </row>
    <row r="34" spans="1:13" x14ac:dyDescent="0.25">
      <c r="A34">
        <v>23</v>
      </c>
      <c r="B34" s="8" t="n">
        <v>1710.560693662</v>
      </c>
      <c r="C34" s="8" t="n">
        <v>92.3910074567</v>
      </c>
      <c r="D34" s="8" t="n">
        <v>0.0</v>
      </c>
      <c r="E34" s="8">
        <f si="0" t="shared"/>
        <v>1802.9517011186999</v>
      </c>
      <c r="F34" s="21">
        <f si="1" t="shared"/>
        <v>1.115131223967275E-2</v>
      </c>
      <c r="H34" s="136">
        <v>23</v>
      </c>
      <c r="I34" s="226" t="n">
        <v>3515.0</v>
      </c>
      <c r="J34" s="316" t="n">
        <v>433.0</v>
      </c>
      <c r="K34" s="406" t="n">
        <v>321.0</v>
      </c>
      <c r="L34">
        <f si="2" t="shared"/>
        <v>3999</v>
      </c>
      <c r="M34" s="21">
        <f si="3" t="shared"/>
        <v>2.7724817837062099E-2</v>
      </c>
    </row>
    <row r="35" spans="1:13" x14ac:dyDescent="0.25">
      <c r="A35">
        <v>24</v>
      </c>
      <c r="B35" s="8" t="n">
        <v>2928.7438684278</v>
      </c>
      <c r="C35" s="8" t="n">
        <v>0.0</v>
      </c>
      <c r="D35" s="8" t="n">
        <v>0.0</v>
      </c>
      <c r="E35" s="8">
        <f si="0" t="shared"/>
        <v>2928.7438684278</v>
      </c>
      <c r="F35" s="21">
        <f si="1" t="shared"/>
        <v>1.8114371741961195E-2</v>
      </c>
      <c r="H35" s="137">
        <v>24</v>
      </c>
      <c r="I35" s="227" t="n">
        <v>2472.0</v>
      </c>
      <c r="J35" s="317" t="n">
        <v>301.0</v>
      </c>
      <c r="K35" s="407" t="n">
        <v>305.0</v>
      </c>
      <c r="L35">
        <f si="2" t="shared"/>
        <v>3555</v>
      </c>
      <c r="M35" s="21">
        <f si="3" t="shared"/>
        <v>2.4646593501064205E-2</v>
      </c>
    </row>
    <row r="36" spans="1:13" x14ac:dyDescent="0.25">
      <c r="A36">
        <v>25</v>
      </c>
      <c r="B36" s="8" t="n">
        <v>383.2277741149</v>
      </c>
      <c r="C36" s="8" t="n">
        <v>0.0</v>
      </c>
      <c r="D36" s="8" t="n">
        <v>0.0</v>
      </c>
      <c r="E36" s="8">
        <f si="0" t="shared"/>
        <v>383.2277741149</v>
      </c>
      <c r="F36" s="21">
        <f si="1" t="shared"/>
        <v>2.3702756792754907E-3</v>
      </c>
      <c r="H36" s="138">
        <v>25</v>
      </c>
      <c r="I36" s="228" t="n">
        <v>2986.0</v>
      </c>
      <c r="J36" s="318" t="n">
        <v>375.0</v>
      </c>
      <c r="K36" s="408" t="n">
        <v>322.0</v>
      </c>
      <c r="L36">
        <f si="2" t="shared"/>
        <v>3098</v>
      </c>
      <c r="M36" s="21">
        <f si="3" t="shared"/>
        <v>2.1478240975048357E-2</v>
      </c>
    </row>
    <row r="37" spans="1:13" x14ac:dyDescent="0.25">
      <c r="A37">
        <v>26</v>
      </c>
      <c r="B37" s="8" t="n">
        <v>3077.7619033429</v>
      </c>
      <c r="C37" s="8" t="n">
        <v>0.0</v>
      </c>
      <c r="D37" s="8" t="n">
        <v>0.0</v>
      </c>
      <c r="E37" s="8">
        <f si="0" t="shared"/>
        <v>3077.7619033429</v>
      </c>
      <c r="F37" s="21">
        <f si="1" t="shared"/>
        <v>1.9036052913813804E-2</v>
      </c>
      <c r="H37" s="139">
        <v>26</v>
      </c>
      <c r="I37" s="229" t="n">
        <v>1843.0</v>
      </c>
      <c r="J37" s="319" t="n">
        <v>212.0</v>
      </c>
      <c r="K37" s="409" t="n">
        <v>200.0</v>
      </c>
      <c r="L37">
        <f si="2" t="shared"/>
        <v>2287</v>
      </c>
      <c r="M37" s="21">
        <f si="3" t="shared"/>
        <v>1.585562850546662E-2</v>
      </c>
    </row>
    <row r="38" spans="1:13" x14ac:dyDescent="0.25">
      <c r="A38">
        <v>27</v>
      </c>
      <c r="B38" s="8" t="n">
        <v>1369.467945839</v>
      </c>
      <c r="C38" s="8" t="n">
        <v>56.1388760904</v>
      </c>
      <c r="D38" s="8" t="n">
        <v>0.0</v>
      </c>
      <c r="E38" s="8">
        <f si="0" t="shared"/>
        <v>1425.6068219294</v>
      </c>
      <c r="F38" s="21">
        <f si="1" t="shared"/>
        <v>8.817422448132271E-3</v>
      </c>
      <c r="H38" s="140">
        <v>27</v>
      </c>
      <c r="I38" s="230" t="n">
        <v>1386.0</v>
      </c>
      <c r="J38" s="320" t="n">
        <v>144.0</v>
      </c>
      <c r="K38" s="410" t="n">
        <v>136.0</v>
      </c>
      <c r="L38">
        <f si="2" t="shared"/>
        <v>1973</v>
      </c>
      <c r="M38" s="21">
        <f si="3" t="shared"/>
        <v>1.3678686069648291E-2</v>
      </c>
    </row>
    <row r="39" spans="1:13" x14ac:dyDescent="0.25">
      <c r="A39">
        <v>28</v>
      </c>
      <c r="B39" s="8" t="n">
        <v>0.0</v>
      </c>
      <c r="C39" s="8" t="n">
        <v>0.0</v>
      </c>
      <c r="D39" s="8" t="n">
        <v>117.557623914</v>
      </c>
      <c r="E39" s="8">
        <f si="0" t="shared"/>
        <v>117.557623914</v>
      </c>
      <c r="F39" s="21">
        <f si="1" t="shared"/>
        <v>7.2709755319880741E-4</v>
      </c>
      <c r="H39" s="141">
        <v>28</v>
      </c>
      <c r="I39" s="231" t="n">
        <v>1660.0</v>
      </c>
      <c r="J39" s="321" t="n">
        <v>203.0</v>
      </c>
      <c r="K39" s="411" t="n">
        <v>165.0</v>
      </c>
      <c r="L39">
        <f si="2" t="shared"/>
        <v>1630</v>
      </c>
      <c r="M39" s="21">
        <f si="3" t="shared"/>
        <v>1.1300688440712983E-2</v>
      </c>
    </row>
    <row r="40" spans="1:13" x14ac:dyDescent="0.25">
      <c r="A40">
        <v>29</v>
      </c>
      <c r="B40" s="8" t="n">
        <v>368.01794152919996</v>
      </c>
      <c r="C40" s="8" t="n">
        <v>0.0</v>
      </c>
      <c r="D40" s="8" t="n">
        <v>0.0</v>
      </c>
      <c r="E40" s="8">
        <f si="0" t="shared"/>
        <v>368.01794152919996</v>
      </c>
      <c r="F40" s="21">
        <f si="1" t="shared"/>
        <v>2.27620239258065E-3</v>
      </c>
      <c r="H40" s="142">
        <v>29</v>
      </c>
      <c r="I40" s="232" t="n">
        <v>1196.0</v>
      </c>
      <c r="J40" s="322" t="n">
        <v>120.0</v>
      </c>
      <c r="K40" s="412" t="n">
        <v>105.0</v>
      </c>
      <c r="L40">
        <f si="2" t="shared"/>
        <v>1872</v>
      </c>
      <c r="M40" s="21">
        <f si="3" t="shared"/>
        <v>1.2978459362585709E-2</v>
      </c>
    </row>
    <row r="41" spans="1:13" x14ac:dyDescent="0.25">
      <c r="A41">
        <v>30</v>
      </c>
      <c r="B41" s="8" t="n">
        <v>688.323660681</v>
      </c>
      <c r="C41" s="8" t="n">
        <v>0.0</v>
      </c>
      <c r="D41" s="8" t="n">
        <v>0.0</v>
      </c>
      <c r="E41" s="8">
        <f si="0" t="shared"/>
        <v>688.32366068099998</v>
      </c>
      <c r="F41" s="21">
        <f si="1" t="shared"/>
        <v>4.2573032086471001E-3</v>
      </c>
      <c r="H41" s="143">
        <v>30</v>
      </c>
      <c r="I41" s="233" t="n">
        <v>2011.0</v>
      </c>
      <c r="J41" s="323" t="n">
        <v>269.0</v>
      </c>
      <c r="K41" s="413" t="n">
        <v>215.0</v>
      </c>
      <c r="L41">
        <f si="2" t="shared"/>
        <v>2037</v>
      </c>
      <c r="M41" s="21">
        <f si="3" t="shared"/>
        <v>1.4122394082044385E-2</v>
      </c>
    </row>
    <row r="42" spans="1:13" x14ac:dyDescent="0.25">
      <c r="A42">
        <v>31</v>
      </c>
      <c r="B42" s="8" t="n">
        <v>0.0</v>
      </c>
      <c r="C42" s="8" t="n">
        <v>0.0</v>
      </c>
      <c r="D42" s="8" t="n">
        <v>0.0</v>
      </c>
      <c r="E42" s="8">
        <f si="0" t="shared"/>
        <v>0</v>
      </c>
      <c r="F42" s="21">
        <f si="1" t="shared"/>
        <v>0</v>
      </c>
      <c r="H42" s="144">
        <v>31</v>
      </c>
      <c r="I42" s="234" t="n">
        <v>896.0</v>
      </c>
      <c r="J42" s="324" t="n">
        <v>111.0</v>
      </c>
      <c r="K42" s="414" t="n">
        <v>71.0</v>
      </c>
      <c r="L42">
        <f si="2" t="shared"/>
        <v>1049</v>
      </c>
      <c r="M42" s="21">
        <f si="3" t="shared"/>
        <v>7.2726516406797052E-3</v>
      </c>
    </row>
    <row r="43" spans="1:13" x14ac:dyDescent="0.25">
      <c r="A43">
        <v>32</v>
      </c>
      <c r="B43" s="8" t="n">
        <v>0.0</v>
      </c>
      <c r="C43" s="8" t="n">
        <v>0.0</v>
      </c>
      <c r="D43" s="8" t="n">
        <v>0.0</v>
      </c>
      <c r="E43" s="8">
        <f si="0" t="shared"/>
        <v>0</v>
      </c>
      <c r="F43" s="21">
        <f si="1" t="shared"/>
        <v>0</v>
      </c>
      <c r="H43" s="145">
        <v>32</v>
      </c>
      <c r="I43" s="235" t="n">
        <v>2208.0</v>
      </c>
      <c r="J43" s="325" t="n">
        <v>129.0</v>
      </c>
      <c r="K43" s="415" t="n">
        <v>121.0</v>
      </c>
      <c r="L43">
        <f si="2" t="shared"/>
        <v>2418</v>
      </c>
      <c r="M43" s="21">
        <f si="3" t="shared"/>
        <v>1.6763843343339874E-2</v>
      </c>
    </row>
    <row r="44" spans="1:13" x14ac:dyDescent="0.25">
      <c r="A44">
        <v>33</v>
      </c>
      <c r="B44" s="8" t="n">
        <v>0.0</v>
      </c>
      <c r="C44" s="8" t="n">
        <v>0.0</v>
      </c>
      <c r="D44" s="8" t="n">
        <v>0.0</v>
      </c>
      <c r="E44" s="8">
        <f si="0" t="shared"/>
        <v>0</v>
      </c>
      <c r="F44" s="21">
        <f si="1" t="shared"/>
        <v>0</v>
      </c>
      <c r="H44" s="146">
        <v>33</v>
      </c>
      <c r="I44" s="236" t="n">
        <v>699.0</v>
      </c>
      <c r="J44" s="326" t="n">
        <v>82.0</v>
      </c>
      <c r="K44" s="416" t="n">
        <v>51.0</v>
      </c>
      <c r="L44">
        <f si="2" t="shared"/>
        <v>807</v>
      </c>
      <c r="M44" s="21">
        <f si="3" t="shared"/>
        <v>5.5948807188069801E-3</v>
      </c>
    </row>
    <row r="45" spans="1:13" x14ac:dyDescent="0.25">
      <c r="A45">
        <v>34</v>
      </c>
      <c r="B45" s="8" t="n">
        <v>2478.4610755553</v>
      </c>
      <c r="C45" s="8" t="n">
        <v>0.0</v>
      </c>
      <c r="D45" s="8" t="n">
        <v>2026.8388074595</v>
      </c>
      <c r="E45" s="8">
        <f si="0" t="shared"/>
        <v>4505.2998830147999</v>
      </c>
      <c r="F45" s="21">
        <f si="1" t="shared"/>
        <v>2.7865419632531533E-2</v>
      </c>
      <c r="H45" s="147">
        <v>34</v>
      </c>
      <c r="I45" s="237" t="n">
        <v>1292.0</v>
      </c>
      <c r="J45" s="327" t="n">
        <v>120.0</v>
      </c>
      <c r="K45" s="417" t="n">
        <v>91.0</v>
      </c>
      <c r="L45">
        <f si="2" t="shared"/>
        <v>1660</v>
      </c>
      <c r="M45" s="21">
        <f si="3" t="shared"/>
        <v>1.1508676571523652E-2</v>
      </c>
    </row>
    <row r="46" spans="1:13" x14ac:dyDescent="0.25">
      <c r="A46">
        <v>35</v>
      </c>
      <c r="B46" s="8" t="n">
        <v>58.1735784831</v>
      </c>
      <c r="C46" s="8" t="n">
        <v>0.0</v>
      </c>
      <c r="D46" s="8" t="n">
        <v>0.0</v>
      </c>
      <c r="E46" s="8">
        <f si="0" t="shared"/>
        <v>58.173578483100002</v>
      </c>
      <c r="F46" s="21">
        <f si="1" t="shared"/>
        <v>3.5980538877533001E-4</v>
      </c>
      <c r="H46" s="148">
        <v>35</v>
      </c>
      <c r="I46" s="238" t="n">
        <v>687.0</v>
      </c>
      <c r="J46" s="328" t="n">
        <v>70.0</v>
      </c>
      <c r="K46" s="418" t="n">
        <v>65.0</v>
      </c>
      <c r="L46">
        <f si="2" t="shared"/>
        <v>731</v>
      </c>
      <c r="M46" s="21">
        <f si="3" t="shared"/>
        <v>5.0679774540866203E-3</v>
      </c>
    </row>
    <row r="47" spans="1:13" x14ac:dyDescent="0.25">
      <c r="A47">
        <v>36</v>
      </c>
      <c r="B47" s="8" t="n">
        <v>113.821184442</v>
      </c>
      <c r="C47" s="8" t="n">
        <v>327.039856179</v>
      </c>
      <c r="D47" s="8" t="n">
        <v>0.0</v>
      </c>
      <c r="E47" s="8">
        <f si="0" t="shared"/>
        <v>440.86104062100003</v>
      </c>
      <c r="F47" s="21">
        <f si="1" t="shared"/>
        <v>2.7267392217004039E-3</v>
      </c>
      <c r="H47" s="149">
        <v>36</v>
      </c>
      <c r="I47" s="239" t="n">
        <v>730.0</v>
      </c>
      <c r="J47" s="329" t="n">
        <v>67.0</v>
      </c>
      <c r="K47" s="419" t="n">
        <v>49.0</v>
      </c>
      <c r="L47">
        <f si="2" t="shared"/>
        <v>874</v>
      </c>
      <c r="M47" s="21">
        <f si="3" t="shared"/>
        <v>6.0593875442841397E-3</v>
      </c>
    </row>
    <row r="48" spans="1:13" x14ac:dyDescent="0.25">
      <c r="A48">
        <v>37</v>
      </c>
      <c r="B48" s="8" t="n">
        <v>61.2806320189</v>
      </c>
      <c r="C48" s="8" t="n">
        <v>153.293833701</v>
      </c>
      <c r="D48" s="8" t="n">
        <v>0.0</v>
      </c>
      <c r="E48" s="8">
        <f si="0" t="shared"/>
        <v>214.57446571990002</v>
      </c>
      <c r="F48" s="21">
        <f si="1" t="shared"/>
        <v>1.3271497314203591E-3</v>
      </c>
      <c r="H48" s="150">
        <v>37</v>
      </c>
      <c r="I48" s="240" t="n">
        <v>975.0</v>
      </c>
      <c r="J48" s="330" t="n">
        <v>60.0</v>
      </c>
      <c r="K48" s="420" t="n">
        <v>50.0</v>
      </c>
      <c r="L48">
        <f si="2" t="shared"/>
        <v>1206</v>
      </c>
      <c r="M48" s="21">
        <f si="3" t="shared"/>
        <v>8.3611228585888705E-3</v>
      </c>
    </row>
    <row r="49" spans="1:13" x14ac:dyDescent="0.25">
      <c r="A49">
        <v>38</v>
      </c>
      <c r="B49" s="8" t="n">
        <v>1240.02198926</v>
      </c>
      <c r="C49" s="8" t="n">
        <v>0.0</v>
      </c>
      <c r="D49" s="8" t="n">
        <v>0.0</v>
      </c>
      <c r="E49" s="8">
        <f si="0" t="shared"/>
        <v>1240.0219892600001</v>
      </c>
      <c r="F49" s="21">
        <f si="1" t="shared"/>
        <v>7.6695744970419547E-3</v>
      </c>
      <c r="H49" s="151">
        <v>38</v>
      </c>
      <c r="I49" s="241" t="n">
        <v>844.0</v>
      </c>
      <c r="J49" s="331" t="n">
        <v>81.0</v>
      </c>
      <c r="K49" s="421" t="n">
        <v>62.0</v>
      </c>
      <c r="L49">
        <f si="2" t="shared"/>
        <v>973</v>
      </c>
      <c r="M49" s="21">
        <f si="3" t="shared"/>
        <v>6.7457483759593454E-3</v>
      </c>
    </row>
    <row r="50" spans="1:13" x14ac:dyDescent="0.25">
      <c r="A50">
        <v>39</v>
      </c>
      <c r="B50" s="8" t="n">
        <v>0.0</v>
      </c>
      <c r="C50" s="8" t="n">
        <v>0.0</v>
      </c>
      <c r="D50" s="8" t="n">
        <v>0.0</v>
      </c>
      <c r="E50" s="8">
        <f si="0" t="shared"/>
        <v>0</v>
      </c>
      <c r="F50" s="21">
        <f si="1" t="shared"/>
        <v>0</v>
      </c>
      <c r="H50" s="152">
        <v>39</v>
      </c>
      <c r="I50" s="242" t="n">
        <v>535.0</v>
      </c>
      <c r="J50" s="332" t="n">
        <v>58.0</v>
      </c>
      <c r="K50" s="422" t="n">
        <v>41.0</v>
      </c>
      <c r="L50">
        <f si="2" t="shared"/>
        <v>678</v>
      </c>
      <c r="M50" s="21">
        <f si="3" t="shared"/>
        <v>4.7005317563211056E-3</v>
      </c>
    </row>
    <row r="51" spans="1:13" x14ac:dyDescent="0.25">
      <c r="A51">
        <v>40</v>
      </c>
      <c r="B51" s="8" t="n">
        <v>66.5041244869</v>
      </c>
      <c r="C51" s="8" t="n">
        <v>0.0</v>
      </c>
      <c r="D51" s="8" t="n">
        <v>0.0</v>
      </c>
      <c r="E51" s="8">
        <f si="0" t="shared"/>
        <v>66.504124486899997</v>
      </c>
      <c r="F51" s="21">
        <f si="1" t="shared"/>
        <v>4.1133007441038671E-4</v>
      </c>
      <c r="H51" s="153">
        <v>40</v>
      </c>
      <c r="I51" s="243" t="n">
        <v>391.0</v>
      </c>
      <c r="J51" s="333" t="n">
        <v>36.0</v>
      </c>
      <c r="K51" s="423" t="n">
        <v>25.0</v>
      </c>
      <c r="L51">
        <f si="2" t="shared"/>
        <v>357</v>
      </c>
      <c r="M51" s="21">
        <f si="3" t="shared"/>
        <v>2.4750587566469539E-3</v>
      </c>
    </row>
    <row r="52" spans="1:13" x14ac:dyDescent="0.25">
      <c r="A52">
        <v>41</v>
      </c>
      <c r="B52" s="8" t="n">
        <v>0.0</v>
      </c>
      <c r="C52" s="8" t="n">
        <v>0.0</v>
      </c>
      <c r="D52" s="8" t="n">
        <v>383.206555392</v>
      </c>
      <c r="E52" s="8">
        <f si="0" t="shared"/>
        <v>383.20655539199998</v>
      </c>
      <c r="F52" s="21">
        <f si="1" t="shared"/>
        <v>2.3701444408156707E-3</v>
      </c>
      <c r="H52" s="154">
        <v>41</v>
      </c>
      <c r="I52" s="244" t="n">
        <v>353.0</v>
      </c>
      <c r="J52" s="334" t="n">
        <v>30.0</v>
      </c>
      <c r="K52" s="424" t="n">
        <v>21.0</v>
      </c>
      <c r="L52">
        <f si="2" t="shared"/>
        <v>483</v>
      </c>
      <c r="M52" s="21">
        <f si="3" t="shared"/>
        <v>3.3486089060517613E-3</v>
      </c>
    </row>
    <row r="53" spans="1:13" x14ac:dyDescent="0.25">
      <c r="A53">
        <v>42</v>
      </c>
      <c r="B53" s="8" t="n">
        <v>0.0</v>
      </c>
      <c r="C53" s="8" t="n">
        <v>0.0</v>
      </c>
      <c r="D53" s="8" t="n">
        <v>0.0</v>
      </c>
      <c r="E53" s="8">
        <f si="0" t="shared"/>
        <v>0</v>
      </c>
      <c r="F53" s="21">
        <f si="1" t="shared"/>
        <v>0</v>
      </c>
      <c r="H53" s="155">
        <v>42</v>
      </c>
      <c r="I53" s="245" t="n">
        <v>317.0</v>
      </c>
      <c r="J53" s="335" t="n">
        <v>31.0</v>
      </c>
      <c r="K53" s="425" t="n">
        <v>25.0</v>
      </c>
      <c r="L53">
        <f si="2" t="shared"/>
        <v>261</v>
      </c>
      <c r="M53" s="21">
        <f si="3" t="shared"/>
        <v>1.8094967380528151E-3</v>
      </c>
    </row>
    <row r="54" spans="1:13" x14ac:dyDescent="0.25">
      <c r="A54">
        <v>43</v>
      </c>
      <c r="B54" s="8" t="n">
        <v>79.1127528623</v>
      </c>
      <c r="C54" s="8" t="n">
        <v>0.0</v>
      </c>
      <c r="D54" s="8" t="n">
        <v>0.0</v>
      </c>
      <c r="E54" s="8">
        <f si="0" t="shared"/>
        <v>79.112752862299999</v>
      </c>
      <c r="F54" s="21">
        <f si="1" t="shared"/>
        <v>4.8931483231645916E-4</v>
      </c>
      <c r="H54" s="156">
        <v>43</v>
      </c>
      <c r="I54" s="246" t="n">
        <v>382.0</v>
      </c>
      <c r="J54" s="336" t="n">
        <v>34.0</v>
      </c>
      <c r="K54" s="426" t="n">
        <v>33.0</v>
      </c>
      <c r="L54">
        <f si="2" t="shared"/>
        <v>404</v>
      </c>
      <c r="M54" s="21">
        <f si="3" t="shared"/>
        <v>2.8009068282503343E-3</v>
      </c>
    </row>
    <row r="55" spans="1:13" x14ac:dyDescent="0.25">
      <c r="A55">
        <v>44</v>
      </c>
      <c r="B55" s="8" t="n">
        <v>0.0</v>
      </c>
      <c r="C55" s="8" t="n">
        <v>0.0</v>
      </c>
      <c r="D55" s="8" t="n">
        <v>0.0</v>
      </c>
      <c r="E55" s="8">
        <f si="0" t="shared"/>
        <v>0</v>
      </c>
      <c r="F55" s="21">
        <f si="1" t="shared"/>
        <v>0</v>
      </c>
      <c r="H55" s="157">
        <v>44</v>
      </c>
      <c r="I55" s="247" t="n">
        <v>293.0</v>
      </c>
      <c r="J55" s="337" t="n">
        <v>11.0</v>
      </c>
      <c r="K55" s="427" t="n">
        <v>16.0</v>
      </c>
      <c r="L55">
        <f si="2" t="shared"/>
        <v>447</v>
      </c>
      <c r="M55" s="21">
        <f si="3" t="shared"/>
        <v>3.099023149078959E-3</v>
      </c>
    </row>
    <row r="56" spans="1:13" x14ac:dyDescent="0.25">
      <c r="A56">
        <v>45</v>
      </c>
      <c r="B56" s="8" t="n">
        <v>6450.1613751455</v>
      </c>
      <c r="C56" s="8" t="n">
        <v>0.0</v>
      </c>
      <c r="D56" s="8" t="n">
        <v>0.0</v>
      </c>
      <c r="E56" s="8">
        <f si="0" t="shared"/>
        <v>6450.1613751454997</v>
      </c>
      <c r="F56" s="21">
        <f si="1" t="shared"/>
        <v>3.9894448334858064E-2</v>
      </c>
      <c r="H56" s="158">
        <v>45</v>
      </c>
      <c r="I56" s="248" t="n">
        <v>241.0</v>
      </c>
      <c r="J56" s="338" t="n">
        <v>25.0</v>
      </c>
      <c r="K56" s="428" t="n">
        <v>24.0</v>
      </c>
      <c r="L56">
        <f si="2" t="shared"/>
        <v>331</v>
      </c>
      <c r="M56" s="21">
        <f si="3" t="shared"/>
        <v>2.2948023766110413E-3</v>
      </c>
    </row>
    <row r="57" spans="1:13" x14ac:dyDescent="0.25">
      <c r="A57">
        <v>46</v>
      </c>
      <c r="B57" s="8" t="n">
        <v>0.0</v>
      </c>
      <c r="C57" s="8" t="n">
        <v>0.0</v>
      </c>
      <c r="D57" s="8" t="n">
        <v>0.0</v>
      </c>
      <c r="E57" s="8">
        <f si="0" t="shared"/>
        <v>0</v>
      </c>
      <c r="F57" s="21">
        <f si="1" t="shared"/>
        <v>0</v>
      </c>
      <c r="H57" s="159">
        <v>46</v>
      </c>
      <c r="I57" s="249" t="n">
        <v>181.0</v>
      </c>
      <c r="J57" s="339" t="n">
        <v>29.0</v>
      </c>
      <c r="K57" s="429" t="n">
        <v>12.0</v>
      </c>
      <c r="L57">
        <f si="2" t="shared"/>
        <v>236</v>
      </c>
      <c r="M57" s="21">
        <f si="3" t="shared"/>
        <v>1.6361732957105915E-3</v>
      </c>
    </row>
    <row r="58" spans="1:13" x14ac:dyDescent="0.25">
      <c r="A58">
        <v>47</v>
      </c>
      <c r="B58" s="8" t="n">
        <v>0.0</v>
      </c>
      <c r="C58" s="8" t="n">
        <v>0.0</v>
      </c>
      <c r="D58" s="8" t="n">
        <v>0.0</v>
      </c>
      <c r="E58" s="8">
        <f si="0" t="shared"/>
        <v>0</v>
      </c>
      <c r="F58" s="21">
        <f si="1" t="shared"/>
        <v>0</v>
      </c>
      <c r="H58" s="160">
        <v>47</v>
      </c>
      <c r="I58" s="250" t="n">
        <v>212.0</v>
      </c>
      <c r="J58" s="340" t="n">
        <v>15.0</v>
      </c>
      <c r="K58" s="430" t="n">
        <v>14.0</v>
      </c>
      <c r="L58">
        <f si="2" t="shared"/>
        <v>266</v>
      </c>
      <c r="M58" s="21">
        <f si="3" t="shared"/>
        <v>1.8441614265212599E-3</v>
      </c>
    </row>
    <row r="59" spans="1:13" x14ac:dyDescent="0.25">
      <c r="A59">
        <v>48</v>
      </c>
      <c r="B59" s="8" t="n">
        <v>0.0</v>
      </c>
      <c r="C59" s="8" t="n">
        <v>0.0</v>
      </c>
      <c r="D59" s="8" t="n">
        <v>0.0</v>
      </c>
      <c r="E59" s="8">
        <f si="0" t="shared"/>
        <v>0</v>
      </c>
      <c r="F59" s="21">
        <f si="1" t="shared"/>
        <v>0</v>
      </c>
      <c r="H59" s="161">
        <v>48</v>
      </c>
      <c r="I59" s="251" t="n">
        <v>177.0</v>
      </c>
      <c r="J59" s="341" t="n">
        <v>16.0</v>
      </c>
      <c r="K59" s="431" t="n">
        <v>22.0</v>
      </c>
      <c r="L59">
        <f si="2" t="shared"/>
        <v>207</v>
      </c>
      <c r="M59" s="21">
        <f si="3" t="shared"/>
        <v>1.435118102593612E-3</v>
      </c>
    </row>
    <row r="60" spans="1:13" x14ac:dyDescent="0.25">
      <c r="A60">
        <v>49</v>
      </c>
      <c r="B60" s="8" t="n">
        <v>0.0</v>
      </c>
      <c r="C60" s="8" t="n">
        <v>0.0</v>
      </c>
      <c r="D60" s="8" t="n">
        <v>0.0</v>
      </c>
      <c r="E60" s="8">
        <f si="0" t="shared"/>
        <v>0</v>
      </c>
      <c r="F60" s="21">
        <f si="1" t="shared"/>
        <v>0</v>
      </c>
      <c r="H60" s="162">
        <v>49</v>
      </c>
      <c r="I60" s="252" t="n">
        <v>309.0</v>
      </c>
      <c r="J60" s="342" t="n">
        <v>19.0</v>
      </c>
      <c r="K60" s="432" t="n">
        <v>19.0</v>
      </c>
      <c r="L60">
        <f si="2" t="shared"/>
        <v>294</v>
      </c>
      <c r="M60" s="21">
        <f si="3" t="shared"/>
        <v>2.0382836819445504E-3</v>
      </c>
    </row>
    <row r="61" spans="1:13" x14ac:dyDescent="0.25">
      <c r="A61">
        <v>50</v>
      </c>
      <c r="B61" s="8" t="n">
        <v>0.0</v>
      </c>
      <c r="C61" s="8" t="n">
        <v>0.0</v>
      </c>
      <c r="D61" s="8" t="n">
        <v>0.0</v>
      </c>
      <c r="E61" s="8">
        <f si="0" t="shared"/>
        <v>0</v>
      </c>
      <c r="F61" s="21">
        <f si="1" t="shared"/>
        <v>0</v>
      </c>
      <c r="H61" s="163">
        <v>50</v>
      </c>
      <c r="I61" s="253" t="n">
        <v>129.0</v>
      </c>
      <c r="J61" s="343" t="n">
        <v>21.0</v>
      </c>
      <c r="K61" s="433" t="n">
        <v>3.0</v>
      </c>
      <c r="L61">
        <f si="2" t="shared"/>
        <v>219</v>
      </c>
      <c r="M61" s="21">
        <f si="3" t="shared"/>
        <v>1.5183133549178795E-3</v>
      </c>
    </row>
    <row r="62" spans="1:13" x14ac:dyDescent="0.25">
      <c r="A62">
        <v>51</v>
      </c>
      <c r="B62" s="8" t="n">
        <v>0.0</v>
      </c>
      <c r="C62" s="8" t="n">
        <v>0.0</v>
      </c>
      <c r="D62" s="8" t="n">
        <v>0.0</v>
      </c>
      <c r="E62" s="8">
        <f si="0" t="shared"/>
        <v>0</v>
      </c>
      <c r="F62" s="21">
        <f si="1" t="shared"/>
        <v>0</v>
      </c>
      <c r="H62" s="164">
        <v>51</v>
      </c>
      <c r="I62" s="254" t="n">
        <v>201.0</v>
      </c>
      <c r="J62" s="344" t="n">
        <v>10.0</v>
      </c>
      <c r="K62" s="434" t="n">
        <v>11.0</v>
      </c>
      <c r="L62">
        <f si="2" t="shared"/>
        <v>219</v>
      </c>
      <c r="M62" s="21">
        <f si="3" t="shared"/>
        <v>1.5183133549178795E-3</v>
      </c>
    </row>
    <row r="63" spans="1:13" x14ac:dyDescent="0.25">
      <c r="A63">
        <v>52</v>
      </c>
      <c r="B63" s="8" t="n">
        <v>944.880646246</v>
      </c>
      <c r="C63" s="8" t="n">
        <v>0.0</v>
      </c>
      <c r="D63" s="8" t="n">
        <v>0.0</v>
      </c>
      <c r="E63" s="8">
        <f si="0" t="shared"/>
        <v>944.88064624599997</v>
      </c>
      <c r="F63" s="21">
        <f si="1" t="shared"/>
        <v>5.8441161285546946E-3</v>
      </c>
      <c r="H63" s="165">
        <v>52</v>
      </c>
      <c r="I63" s="255" t="n">
        <v>111.0</v>
      </c>
      <c r="J63" s="345" t="n">
        <v>13.0</v>
      </c>
      <c r="K63" s="435" t="n">
        <v>10.0</v>
      </c>
      <c r="L63">
        <f si="2" t="shared"/>
        <v>153</v>
      </c>
      <c r="M63" s="21">
        <f si="3" t="shared"/>
        <v>1.0607394671344088E-3</v>
      </c>
    </row>
    <row r="64" spans="1:13" x14ac:dyDescent="0.25">
      <c r="A64">
        <v>53</v>
      </c>
      <c r="B64" s="8" t="n">
        <v>0.0</v>
      </c>
      <c r="C64" s="8" t="n">
        <v>0.0</v>
      </c>
      <c r="D64" s="8" t="n">
        <v>0.0</v>
      </c>
      <c r="E64" s="8">
        <f si="0" t="shared"/>
        <v>0</v>
      </c>
      <c r="F64" s="21">
        <f si="1" t="shared"/>
        <v>0</v>
      </c>
      <c r="H64" s="166">
        <v>53</v>
      </c>
      <c r="I64" s="256" t="n">
        <v>123.0</v>
      </c>
      <c r="J64" s="346" t="n">
        <v>9.0</v>
      </c>
      <c r="K64" s="436" t="n">
        <v>11.0</v>
      </c>
      <c r="L64">
        <f si="2" t="shared"/>
        <v>128</v>
      </c>
      <c r="M64" s="21">
        <f si="3" t="shared"/>
        <v>8.8741602479218515E-4</v>
      </c>
    </row>
    <row r="65" spans="1:13" x14ac:dyDescent="0.25">
      <c r="A65">
        <v>54</v>
      </c>
      <c r="B65" s="8" t="n">
        <v>83.3978248895</v>
      </c>
      <c r="C65" s="8" t="n">
        <v>0.0</v>
      </c>
      <c r="D65" s="8" t="n">
        <v>0.0</v>
      </c>
      <c r="E65" s="8">
        <f si="0" t="shared"/>
        <v>83.397824889500001</v>
      </c>
      <c r="F65" s="21">
        <f si="1" t="shared"/>
        <v>5.1581813582433759E-4</v>
      </c>
      <c r="H65" s="167">
        <v>54</v>
      </c>
      <c r="I65" s="257" t="n">
        <v>103.0</v>
      </c>
      <c r="J65" s="347" t="n">
        <v>7.0</v>
      </c>
      <c r="K65" s="437" t="n">
        <v>4.0</v>
      </c>
      <c r="L65">
        <f si="2" t="shared"/>
        <v>122</v>
      </c>
      <c r="M65" s="21">
        <f si="3" t="shared"/>
        <v>8.4581839863005152E-4</v>
      </c>
    </row>
    <row r="66" spans="1:13" x14ac:dyDescent="0.25">
      <c r="A66">
        <v>55</v>
      </c>
      <c r="B66" s="8" t="n">
        <v>0.0</v>
      </c>
      <c r="C66" s="8" t="n">
        <v>0.0</v>
      </c>
      <c r="D66" s="8" t="n">
        <v>0.0</v>
      </c>
      <c r="E66" s="8">
        <f si="0" t="shared"/>
        <v>0</v>
      </c>
      <c r="F66" s="21">
        <f si="1" t="shared"/>
        <v>0</v>
      </c>
      <c r="H66" s="168">
        <v>55</v>
      </c>
      <c r="I66" s="258" t="n">
        <v>74.0</v>
      </c>
      <c r="J66" s="348" t="n">
        <v>9.0</v>
      </c>
      <c r="K66" s="438" t="n">
        <v>7.0</v>
      </c>
      <c r="L66">
        <f si="2" t="shared"/>
        <v>80</v>
      </c>
      <c r="M66" s="21">
        <f si="3" t="shared"/>
        <v>5.5463501549511576E-4</v>
      </c>
    </row>
    <row r="67" spans="1:13" x14ac:dyDescent="0.25">
      <c r="A67">
        <v>56</v>
      </c>
      <c r="B67" s="8" t="n">
        <v>0.0</v>
      </c>
      <c r="C67" s="8" t="n">
        <v>0.0</v>
      </c>
      <c r="D67" s="8" t="n">
        <v>0.0</v>
      </c>
      <c r="E67" s="8">
        <f si="0" t="shared"/>
        <v>0</v>
      </c>
      <c r="F67" s="21">
        <f si="1" t="shared"/>
        <v>0</v>
      </c>
      <c r="H67" s="169">
        <v>56</v>
      </c>
      <c r="I67" s="259" t="n">
        <v>99.0</v>
      </c>
      <c r="J67" s="349" t="n">
        <v>7.0</v>
      </c>
      <c r="K67" s="439" t="n">
        <v>5.0</v>
      </c>
      <c r="L67">
        <f si="2" t="shared"/>
        <v>108</v>
      </c>
      <c r="M67" s="21">
        <f si="3" t="shared"/>
        <v>7.4875727091840627E-4</v>
      </c>
    </row>
    <row r="68" spans="1:13" x14ac:dyDescent="0.25">
      <c r="A68">
        <v>57</v>
      </c>
      <c r="B68" s="8" t="n">
        <v>0.0</v>
      </c>
      <c r="C68" s="8" t="n">
        <v>0.0</v>
      </c>
      <c r="D68" s="8" t="n">
        <v>0.0</v>
      </c>
      <c r="E68" s="8">
        <f si="0" t="shared"/>
        <v>0</v>
      </c>
      <c r="F68" s="21">
        <f si="1" t="shared"/>
        <v>0</v>
      </c>
      <c r="H68" s="170">
        <v>57</v>
      </c>
      <c r="I68" s="260" t="n">
        <v>91.0</v>
      </c>
      <c r="J68" s="350" t="n">
        <v>10.0</v>
      </c>
      <c r="K68" s="440" t="n">
        <v>6.0</v>
      </c>
      <c r="L68">
        <f si="2" t="shared"/>
        <v>120</v>
      </c>
      <c r="M68" s="21">
        <f si="3" t="shared"/>
        <v>8.3195252324267364E-4</v>
      </c>
    </row>
    <row r="69" spans="1:13" x14ac:dyDescent="0.25">
      <c r="A69">
        <v>58</v>
      </c>
      <c r="B69" s="8" t="n">
        <v>275.309933567</v>
      </c>
      <c r="C69" s="8" t="n">
        <v>0.0</v>
      </c>
      <c r="D69" s="8" t="n">
        <v>0.0</v>
      </c>
      <c r="E69" s="8">
        <f si="0" t="shared"/>
        <v>275.30993356699997</v>
      </c>
      <c r="F69" s="21">
        <f si="1" t="shared"/>
        <v>1.7028004854396574E-3</v>
      </c>
      <c r="H69" s="171">
        <v>58</v>
      </c>
      <c r="I69" s="261" t="n">
        <v>79.0</v>
      </c>
      <c r="J69" s="351" t="n">
        <v>5.0</v>
      </c>
      <c r="K69" s="441" t="n">
        <v>5.0</v>
      </c>
      <c r="L69">
        <f si="2" t="shared"/>
        <v>92</v>
      </c>
      <c r="M69" s="21">
        <f si="3" t="shared"/>
        <v>6.3783026781938314E-4</v>
      </c>
    </row>
    <row r="70" spans="1:13" x14ac:dyDescent="0.25">
      <c r="A70">
        <v>59</v>
      </c>
      <c r="B70" s="8" t="n">
        <v>0.0</v>
      </c>
      <c r="C70" s="8" t="n">
        <v>0.0</v>
      </c>
      <c r="D70" s="8" t="n">
        <v>0.0</v>
      </c>
      <c r="E70" s="8">
        <f si="0" t="shared"/>
        <v>0</v>
      </c>
      <c r="F70" s="21">
        <f si="1" t="shared"/>
        <v>0</v>
      </c>
      <c r="H70" s="172">
        <v>59</v>
      </c>
      <c r="I70" s="262" t="n">
        <v>69.0</v>
      </c>
      <c r="J70" s="352" t="n">
        <v>5.0</v>
      </c>
      <c r="K70" s="442" t="n">
        <v>6.0</v>
      </c>
      <c r="L70">
        <f si="2" t="shared"/>
        <v>63</v>
      </c>
      <c r="M70" s="21">
        <f si="3" t="shared"/>
        <v>4.3677507470240364E-4</v>
      </c>
    </row>
    <row r="71" spans="1:13" x14ac:dyDescent="0.25">
      <c r="A71">
        <v>60</v>
      </c>
      <c r="B71" s="8" t="n">
        <v>0.0</v>
      </c>
      <c r="C71" s="8" t="n">
        <v>0.0</v>
      </c>
      <c r="D71" s="8" t="n">
        <v>0.0</v>
      </c>
      <c r="E71" s="8">
        <f si="0" t="shared"/>
        <v>0</v>
      </c>
      <c r="F71" s="21">
        <f si="1" t="shared"/>
        <v>0</v>
      </c>
      <c r="H71" s="173">
        <v>60</v>
      </c>
      <c r="I71" s="263" t="n">
        <v>83.0</v>
      </c>
      <c r="J71" s="353" t="n">
        <v>8.0</v>
      </c>
      <c r="K71" s="443" t="n">
        <v>6.0</v>
      </c>
      <c r="L71">
        <f si="2" t="shared"/>
        <v>63</v>
      </c>
      <c r="M71" s="21">
        <f si="3" t="shared"/>
        <v>4.3677507470240364E-4</v>
      </c>
    </row>
    <row r="72" spans="1:13" x14ac:dyDescent="0.25">
      <c r="A72">
        <v>61</v>
      </c>
      <c r="B72" s="8" t="n">
        <v>0.0</v>
      </c>
      <c r="C72" s="8" t="n">
        <v>0.0</v>
      </c>
      <c r="D72" s="8" t="n">
        <v>0.0</v>
      </c>
      <c r="E72" s="8">
        <f si="0" t="shared"/>
        <v>0</v>
      </c>
      <c r="F72" s="21">
        <f si="1" t="shared"/>
        <v>0</v>
      </c>
      <c r="H72" s="174">
        <v>61</v>
      </c>
      <c r="I72" s="264" t="n">
        <v>67.0</v>
      </c>
      <c r="J72" s="354" t="n">
        <v>3.0</v>
      </c>
      <c r="K72" s="444" t="n">
        <v>8.0</v>
      </c>
      <c r="L72">
        <f si="2" t="shared"/>
        <v>79</v>
      </c>
      <c r="M72" s="21">
        <f si="3" t="shared"/>
        <v>5.4770207780142682E-4</v>
      </c>
    </row>
    <row r="73" spans="1:13" x14ac:dyDescent="0.25">
      <c r="A73">
        <v>62</v>
      </c>
      <c r="B73" s="8" t="n">
        <v>0.0</v>
      </c>
      <c r="C73" s="8" t="n">
        <v>0.0</v>
      </c>
      <c r="D73" s="8" t="n">
        <v>0.0</v>
      </c>
      <c r="E73" s="8">
        <f si="0" t="shared"/>
        <v>0</v>
      </c>
      <c r="F73" s="21">
        <f si="1" t="shared"/>
        <v>0</v>
      </c>
      <c r="H73" s="175">
        <v>62</v>
      </c>
      <c r="I73" s="265" t="n">
        <v>49.0</v>
      </c>
      <c r="J73" s="355" t="n">
        <v>2.0</v>
      </c>
      <c r="K73" s="445" t="n">
        <v>6.0</v>
      </c>
      <c r="L73">
        <f si="2" t="shared"/>
        <v>39</v>
      </c>
      <c r="M73" s="21">
        <f si="3" t="shared"/>
        <v>2.7038457005386894E-4</v>
      </c>
    </row>
    <row r="74" spans="1:13" x14ac:dyDescent="0.25">
      <c r="A74">
        <v>63</v>
      </c>
      <c r="B74" s="8" t="n">
        <v>0.0</v>
      </c>
      <c r="C74" s="8" t="n">
        <v>0.0</v>
      </c>
      <c r="D74" s="8" t="n">
        <v>0.0</v>
      </c>
      <c r="E74" s="8">
        <f si="0" t="shared"/>
        <v>0</v>
      </c>
      <c r="F74" s="21">
        <f si="1" t="shared"/>
        <v>0</v>
      </c>
      <c r="H74" s="176">
        <v>63</v>
      </c>
      <c r="I74" s="266" t="n">
        <v>48.0</v>
      </c>
      <c r="J74" s="356" t="n">
        <v>2.0</v>
      </c>
      <c r="K74" s="446" t="n">
        <v>0.0</v>
      </c>
      <c r="L74">
        <f si="2" t="shared"/>
        <v>66</v>
      </c>
      <c r="M74" s="21">
        <f si="3" t="shared"/>
        <v>4.5757388778347051E-4</v>
      </c>
    </row>
    <row r="75" spans="1:13" x14ac:dyDescent="0.25">
      <c r="A75">
        <v>64</v>
      </c>
      <c r="B75" s="8" t="n">
        <v>0.0</v>
      </c>
      <c r="C75" s="8" t="n">
        <v>0.0</v>
      </c>
      <c r="D75" s="8" t="n">
        <v>0.0</v>
      </c>
      <c r="E75" s="8">
        <f si="0" t="shared"/>
        <v>0</v>
      </c>
      <c r="F75" s="21">
        <f si="1" t="shared"/>
        <v>0</v>
      </c>
      <c r="H75" s="177">
        <v>64</v>
      </c>
      <c r="I75" s="267" t="n">
        <v>36.0</v>
      </c>
      <c r="J75" s="357" t="n">
        <v>8.0</v>
      </c>
      <c r="K75" s="447" t="n">
        <v>4.0</v>
      </c>
      <c r="L75">
        <f si="2" t="shared"/>
        <v>57</v>
      </c>
      <c r="M75" s="21">
        <f si="3" t="shared"/>
        <v>3.9517744854026995E-4</v>
      </c>
    </row>
    <row r="76" spans="1:13" x14ac:dyDescent="0.25">
      <c r="A76">
        <v>65</v>
      </c>
      <c r="B76" s="8" t="n">
        <v>0.0</v>
      </c>
      <c r="C76" s="8" t="n">
        <v>0.0</v>
      </c>
      <c r="D76" s="8" t="n">
        <v>0.0</v>
      </c>
      <c r="E76" s="8">
        <f ref="E76:E101" si="4" t="shared">SUM(B76:D76)</f>
        <v>0</v>
      </c>
      <c r="F76" s="21">
        <f ref="F76:F102" si="5" t="shared">E76/$E$102</f>
        <v>0</v>
      </c>
      <c r="H76" s="178">
        <v>65</v>
      </c>
      <c r="I76" s="268" t="n">
        <v>34.0</v>
      </c>
      <c r="J76" s="358" t="n">
        <v>2.0</v>
      </c>
      <c r="K76" s="448" t="n">
        <v>4.0</v>
      </c>
      <c r="L76">
        <f ref="L76:L101" si="6" t="shared">SUM(I76:K76)</f>
        <v>39</v>
      </c>
      <c r="M76" s="21">
        <f ref="M76:M102" si="7" t="shared">L76/$L$102</f>
        <v>2.7038457005386894E-4</v>
      </c>
    </row>
    <row r="77" spans="1:13" x14ac:dyDescent="0.25">
      <c r="A77">
        <v>66</v>
      </c>
      <c r="B77" s="8" t="n">
        <v>0.0</v>
      </c>
      <c r="C77" s="8" t="n">
        <v>0.0</v>
      </c>
      <c r="D77" s="8" t="n">
        <v>0.0</v>
      </c>
      <c r="E77" s="8">
        <f si="4" t="shared"/>
        <v>0</v>
      </c>
      <c r="F77" s="21">
        <f si="5" t="shared"/>
        <v>0</v>
      </c>
      <c r="H77" s="179">
        <v>66</v>
      </c>
      <c r="I77" s="269" t="n">
        <v>32.0</v>
      </c>
      <c r="J77" s="359" t="n">
        <v>6.0</v>
      </c>
      <c r="K77" s="449" t="n">
        <v>2.0</v>
      </c>
      <c r="L77">
        <f si="6" t="shared"/>
        <v>42</v>
      </c>
      <c r="M77" s="21">
        <f si="7" t="shared"/>
        <v>2.9118338313493576E-4</v>
      </c>
    </row>
    <row r="78" spans="1:13" x14ac:dyDescent="0.25">
      <c r="A78">
        <v>67</v>
      </c>
      <c r="B78" s="8" t="n">
        <v>0.0</v>
      </c>
      <c r="C78" s="8" t="n">
        <v>0.0</v>
      </c>
      <c r="D78" s="8" t="n">
        <v>0.0</v>
      </c>
      <c r="E78" s="8">
        <f si="4" t="shared"/>
        <v>0</v>
      </c>
      <c r="F78" s="21">
        <f si="5" t="shared"/>
        <v>0</v>
      </c>
      <c r="H78" s="180">
        <v>67</v>
      </c>
      <c r="I78" s="270" t="n">
        <v>28.0</v>
      </c>
      <c r="J78" s="360" t="n">
        <v>1.0</v>
      </c>
      <c r="K78" s="450" t="n">
        <v>0.0</v>
      </c>
      <c r="L78">
        <f si="6" t="shared"/>
        <v>36</v>
      </c>
      <c r="M78" s="21">
        <f si="7" t="shared"/>
        <v>2.4958575697280207E-4</v>
      </c>
    </row>
    <row r="79" spans="1:13" x14ac:dyDescent="0.25">
      <c r="A79">
        <v>68</v>
      </c>
      <c r="B79" s="8" t="n">
        <v>0.0</v>
      </c>
      <c r="C79" s="8" t="n">
        <v>0.0</v>
      </c>
      <c r="D79" s="8" t="n">
        <v>0.0</v>
      </c>
      <c r="E79" s="8">
        <f si="4" t="shared"/>
        <v>0</v>
      </c>
      <c r="F79" s="21">
        <f si="5" t="shared"/>
        <v>0</v>
      </c>
      <c r="H79" s="181">
        <v>68</v>
      </c>
      <c r="I79" s="271" t="n">
        <v>25.0</v>
      </c>
      <c r="J79" s="361" t="n">
        <v>5.0</v>
      </c>
      <c r="K79" s="451" t="n">
        <v>1.0</v>
      </c>
      <c r="L79">
        <f si="6" t="shared"/>
        <v>29</v>
      </c>
      <c r="M79" s="21">
        <f si="7" t="shared"/>
        <v>2.0105519311697944E-4</v>
      </c>
    </row>
    <row r="80" spans="1:13" x14ac:dyDescent="0.25">
      <c r="A80">
        <v>69</v>
      </c>
      <c r="B80" s="8" t="n">
        <v>0.0</v>
      </c>
      <c r="C80" s="8" t="n">
        <v>0.0</v>
      </c>
      <c r="D80" s="8" t="n">
        <v>0.0</v>
      </c>
      <c r="E80" s="8">
        <f si="4" t="shared"/>
        <v>0</v>
      </c>
      <c r="F80" s="21">
        <f si="5" t="shared"/>
        <v>0</v>
      </c>
      <c r="H80" s="182">
        <v>69</v>
      </c>
      <c r="I80" s="272" t="n">
        <v>24.0</v>
      </c>
      <c r="J80" s="362" t="n">
        <v>3.0</v>
      </c>
      <c r="K80" s="452" t="n">
        <v>1.0</v>
      </c>
      <c r="L80">
        <f si="6" t="shared"/>
        <v>19</v>
      </c>
      <c r="M80" s="21">
        <f si="7" t="shared"/>
        <v>1.3172581618009E-4</v>
      </c>
    </row>
    <row r="81" spans="1:13" x14ac:dyDescent="0.25">
      <c r="A81">
        <v>70</v>
      </c>
      <c r="B81" s="8" t="n">
        <v>0.0</v>
      </c>
      <c r="C81" s="8" t="n">
        <v>0.0</v>
      </c>
      <c r="D81" s="8" t="n">
        <v>0.0</v>
      </c>
      <c r="E81" s="8">
        <f si="4" t="shared"/>
        <v>0</v>
      </c>
      <c r="F81" s="21">
        <f si="5" t="shared"/>
        <v>0</v>
      </c>
      <c r="H81" s="183">
        <v>70</v>
      </c>
      <c r="I81" s="273" t="n">
        <v>18.0</v>
      </c>
      <c r="J81" s="363" t="n">
        <v>1.0</v>
      </c>
      <c r="K81" s="453" t="n">
        <v>0.0</v>
      </c>
      <c r="L81">
        <f si="6" t="shared"/>
        <v>31</v>
      </c>
      <c r="M81" s="21">
        <f si="7" t="shared"/>
        <v>2.1492106850435735E-4</v>
      </c>
    </row>
    <row r="82" spans="1:13" x14ac:dyDescent="0.25">
      <c r="A82">
        <v>71</v>
      </c>
      <c r="B82" s="8" t="n">
        <v>520.538957349</v>
      </c>
      <c r="C82" s="8" t="n">
        <v>0.0</v>
      </c>
      <c r="D82" s="8" t="n">
        <v>0.0</v>
      </c>
      <c r="E82" s="8">
        <f si="4" t="shared"/>
        <v>520.53895734900004</v>
      </c>
      <c r="F82" s="21">
        <f si="5" t="shared"/>
        <v>3.2195496100703561E-3</v>
      </c>
      <c r="H82" s="184">
        <v>71</v>
      </c>
      <c r="I82" s="274" t="n">
        <v>18.0</v>
      </c>
      <c r="J82" s="364" t="n">
        <v>0.0</v>
      </c>
      <c r="K82" s="454" t="n">
        <v>0.0</v>
      </c>
      <c r="L82">
        <f si="6" t="shared"/>
        <v>20</v>
      </c>
      <c r="M82" s="21">
        <f si="7" t="shared"/>
        <v>1.3865875387377894E-4</v>
      </c>
    </row>
    <row r="83" spans="1:13" x14ac:dyDescent="0.25">
      <c r="A83">
        <v>72</v>
      </c>
      <c r="B83" s="8" t="n">
        <v>175.909856239</v>
      </c>
      <c r="C83" s="8" t="n">
        <v>0.0</v>
      </c>
      <c r="D83" s="8" t="n">
        <v>0.0</v>
      </c>
      <c r="E83" s="8">
        <f si="4" t="shared"/>
        <v>175.90985623899999</v>
      </c>
      <c r="F83" s="21">
        <f si="5" t="shared"/>
        <v>1.0880079215321631E-3</v>
      </c>
      <c r="H83" s="185">
        <v>72</v>
      </c>
      <c r="I83" s="275" t="n">
        <v>22.0</v>
      </c>
      <c r="J83" s="365" t="n">
        <v>1.0</v>
      </c>
      <c r="K83" s="455" t="n">
        <v>0.0</v>
      </c>
      <c r="L83">
        <f si="6" t="shared"/>
        <v>23</v>
      </c>
      <c r="M83" s="21">
        <f si="7" t="shared"/>
        <v>1.5945756695484578E-4</v>
      </c>
    </row>
    <row r="84" spans="1:13" x14ac:dyDescent="0.25">
      <c r="A84">
        <v>73</v>
      </c>
      <c r="B84" s="8" t="n">
        <v>0.0</v>
      </c>
      <c r="C84" s="8" t="n">
        <v>0.0</v>
      </c>
      <c r="D84" s="8" t="n">
        <v>0.0</v>
      </c>
      <c r="E84" s="8">
        <f si="4" t="shared"/>
        <v>0</v>
      </c>
      <c r="F84" s="21">
        <f si="5" t="shared"/>
        <v>0</v>
      </c>
      <c r="H84" s="186">
        <v>73</v>
      </c>
      <c r="I84" s="276" t="n">
        <v>6.0</v>
      </c>
      <c r="J84" s="366" t="n">
        <v>1.0</v>
      </c>
      <c r="K84" s="456" t="n">
        <v>1.0</v>
      </c>
      <c r="L84">
        <f si="6" t="shared"/>
        <v>21</v>
      </c>
      <c r="M84" s="21">
        <f si="7" t="shared"/>
        <v>1.4559169156746788E-4</v>
      </c>
    </row>
    <row r="85" spans="1:13" x14ac:dyDescent="0.25">
      <c r="A85">
        <v>74</v>
      </c>
      <c r="B85" s="8" t="n">
        <v>0.0</v>
      </c>
      <c r="C85" s="8" t="n">
        <v>0.0</v>
      </c>
      <c r="D85" s="8" t="n">
        <v>0.0</v>
      </c>
      <c r="E85" s="8">
        <f si="4" t="shared"/>
        <v>0</v>
      </c>
      <c r="F85" s="21">
        <f si="5" t="shared"/>
        <v>0</v>
      </c>
      <c r="H85" s="187">
        <v>74</v>
      </c>
      <c r="I85" s="277" t="n">
        <v>28.0</v>
      </c>
      <c r="J85" s="367" t="n">
        <v>2.0</v>
      </c>
      <c r="K85" s="457" t="n">
        <v>0.0</v>
      </c>
      <c r="L85">
        <f si="6" t="shared"/>
        <v>19</v>
      </c>
      <c r="M85" s="21">
        <f si="7" t="shared"/>
        <v>1.3172581618009E-4</v>
      </c>
    </row>
    <row r="86" spans="1:13" x14ac:dyDescent="0.25">
      <c r="A86">
        <v>75</v>
      </c>
      <c r="B86" s="8" t="n">
        <v>0.0</v>
      </c>
      <c r="C86" s="8" t="n">
        <v>0.0</v>
      </c>
      <c r="D86" s="8" t="n">
        <v>0.0</v>
      </c>
      <c r="E86" s="8">
        <f si="4" t="shared"/>
        <v>0</v>
      </c>
      <c r="F86" s="21">
        <f si="5" t="shared"/>
        <v>0</v>
      </c>
      <c r="H86" s="188">
        <v>75</v>
      </c>
      <c r="I86" s="278" t="n">
        <v>7.0</v>
      </c>
      <c r="J86" s="368" t="n">
        <v>0.0</v>
      </c>
      <c r="K86" s="458" t="n">
        <v>2.0</v>
      </c>
      <c r="L86">
        <f si="6" t="shared"/>
        <v>9</v>
      </c>
      <c r="M86" s="21">
        <f si="7" t="shared"/>
        <v>6.2396439243200518E-5</v>
      </c>
    </row>
    <row r="87" spans="1:13" x14ac:dyDescent="0.25">
      <c r="A87">
        <v>76</v>
      </c>
      <c r="B87" s="8" t="n">
        <v>0.0</v>
      </c>
      <c r="C87" s="8" t="n">
        <v>0.0</v>
      </c>
      <c r="D87" s="8" t="n">
        <v>0.0</v>
      </c>
      <c r="E87" s="8">
        <f si="4" t="shared"/>
        <v>0</v>
      </c>
      <c r="F87" s="21">
        <f si="5" t="shared"/>
        <v>0</v>
      </c>
      <c r="H87" s="189">
        <v>76</v>
      </c>
      <c r="I87" s="279" t="n">
        <v>8.0</v>
      </c>
      <c r="J87" s="369" t="n">
        <v>0.0</v>
      </c>
      <c r="K87" s="459" t="n">
        <v>0.0</v>
      </c>
      <c r="L87">
        <f si="6" t="shared"/>
        <v>12</v>
      </c>
      <c r="M87" s="21">
        <f si="7" t="shared"/>
        <v>8.3195252324267361E-5</v>
      </c>
    </row>
    <row r="88" spans="1:13" x14ac:dyDescent="0.25">
      <c r="A88">
        <v>77</v>
      </c>
      <c r="B88" s="8" t="n">
        <v>0.0</v>
      </c>
      <c r="C88" s="8" t="n">
        <v>0.0</v>
      </c>
      <c r="D88" s="8" t="n">
        <v>0.0</v>
      </c>
      <c r="E88" s="8">
        <f si="4" t="shared"/>
        <v>0</v>
      </c>
      <c r="F88" s="21">
        <f si="5" t="shared"/>
        <v>0</v>
      </c>
      <c r="H88" s="190">
        <v>77</v>
      </c>
      <c r="I88" s="280" t="n">
        <v>8.0</v>
      </c>
      <c r="J88" s="370" t="n">
        <v>0.0</v>
      </c>
      <c r="K88" s="460" t="n">
        <v>2.0</v>
      </c>
      <c r="L88">
        <f si="6" t="shared"/>
        <v>11</v>
      </c>
      <c r="M88" s="21">
        <f si="7" t="shared"/>
        <v>7.6262314630578409E-5</v>
      </c>
    </row>
    <row r="89" spans="1:13" x14ac:dyDescent="0.25">
      <c r="A89">
        <v>78</v>
      </c>
      <c r="B89" s="8" t="n">
        <v>0.0</v>
      </c>
      <c r="C89" s="8" t="n">
        <v>0.0</v>
      </c>
      <c r="D89" s="8" t="n">
        <v>0.0</v>
      </c>
      <c r="E89" s="8">
        <f si="4" t="shared"/>
        <v>0</v>
      </c>
      <c r="F89" s="21">
        <f si="5" t="shared"/>
        <v>0</v>
      </c>
      <c r="H89" s="191">
        <v>78</v>
      </c>
      <c r="I89" s="281" t="n">
        <v>13.0</v>
      </c>
      <c r="J89" s="371" t="n">
        <v>1.0</v>
      </c>
      <c r="K89" s="461" t="n">
        <v>1.0</v>
      </c>
      <c r="L89">
        <f si="6" t="shared"/>
        <v>8</v>
      </c>
      <c r="M89" s="21">
        <f si="7" t="shared"/>
        <v>5.5463501549511572E-5</v>
      </c>
    </row>
    <row r="90" spans="1:13" x14ac:dyDescent="0.25">
      <c r="A90">
        <v>79</v>
      </c>
      <c r="B90" s="8" t="n">
        <v>0.0</v>
      </c>
      <c r="C90" s="8" t="n">
        <v>0.0</v>
      </c>
      <c r="D90" s="8" t="n">
        <v>0.0</v>
      </c>
      <c r="E90" s="8">
        <f si="4" t="shared"/>
        <v>0</v>
      </c>
      <c r="F90" s="21">
        <f si="5" t="shared"/>
        <v>0</v>
      </c>
      <c r="H90" s="192">
        <v>79</v>
      </c>
      <c r="I90" s="282" t="n">
        <v>8.0</v>
      </c>
      <c r="J90" s="372" t="n">
        <v>1.0</v>
      </c>
      <c r="K90" s="462" t="n">
        <v>1.0</v>
      </c>
      <c r="L90">
        <f si="6" t="shared"/>
        <v>9</v>
      </c>
      <c r="M90" s="21">
        <f si="7" t="shared"/>
        <v>6.2396439243200518E-5</v>
      </c>
    </row>
    <row r="91" spans="1:13" x14ac:dyDescent="0.25">
      <c r="A91">
        <v>80</v>
      </c>
      <c r="B91" s="8" t="n">
        <v>0.0</v>
      </c>
      <c r="C91" s="8" t="n">
        <v>0.0</v>
      </c>
      <c r="D91" s="8" t="n">
        <v>0.0</v>
      </c>
      <c r="E91" s="8">
        <f si="4" t="shared"/>
        <v>0</v>
      </c>
      <c r="F91" s="21">
        <f si="5" t="shared"/>
        <v>0</v>
      </c>
      <c r="H91" s="193">
        <v>80</v>
      </c>
      <c r="I91" s="283" t="n">
        <v>9.0</v>
      </c>
      <c r="J91" s="373" t="n">
        <v>0.0</v>
      </c>
      <c r="K91" s="463" t="n">
        <v>0.0</v>
      </c>
      <c r="L91">
        <f si="6" t="shared"/>
        <v>5</v>
      </c>
      <c r="M91" s="21">
        <f si="7" t="shared"/>
        <v>3.4664688468444735E-5</v>
      </c>
    </row>
    <row r="92" spans="1:13" x14ac:dyDescent="0.25">
      <c r="A92">
        <v>81</v>
      </c>
      <c r="B92" s="8" t="n">
        <v>0.0</v>
      </c>
      <c r="C92" s="8" t="n">
        <v>0.0</v>
      </c>
      <c r="D92" s="8" t="n">
        <v>0.0</v>
      </c>
      <c r="E92" s="8">
        <f si="4" t="shared"/>
        <v>0</v>
      </c>
      <c r="F92" s="21">
        <f si="5" t="shared"/>
        <v>0</v>
      </c>
      <c r="H92" s="194">
        <v>81</v>
      </c>
      <c r="I92" s="284" t="n">
        <v>12.0</v>
      </c>
      <c r="J92" s="374" t="n">
        <v>0.0</v>
      </c>
      <c r="K92" s="464" t="n">
        <v>0.0</v>
      </c>
      <c r="L92">
        <f si="6" t="shared"/>
        <v>9</v>
      </c>
      <c r="M92" s="21">
        <f si="7" t="shared"/>
        <v>6.2396439243200518E-5</v>
      </c>
    </row>
    <row r="93" spans="1:13" x14ac:dyDescent="0.25">
      <c r="A93">
        <v>82</v>
      </c>
      <c r="B93" s="8" t="n">
        <v>0.0</v>
      </c>
      <c r="C93" s="8" t="n">
        <v>0.0</v>
      </c>
      <c r="D93" s="8" t="n">
        <v>0.0</v>
      </c>
      <c r="E93" s="8">
        <f si="4" t="shared"/>
        <v>0</v>
      </c>
      <c r="F93" s="21">
        <f si="5" t="shared"/>
        <v>0</v>
      </c>
      <c r="H93" s="195">
        <v>82</v>
      </c>
      <c r="I93" s="285" t="n">
        <v>9.0</v>
      </c>
      <c r="J93" s="375" t="n">
        <v>0.0</v>
      </c>
      <c r="K93" s="465" t="n">
        <v>1.0</v>
      </c>
      <c r="L93">
        <f si="6" t="shared"/>
        <v>6</v>
      </c>
      <c r="M93" s="21">
        <f si="7" t="shared"/>
        <v>4.1597626162133681E-5</v>
      </c>
    </row>
    <row r="94" spans="1:13" x14ac:dyDescent="0.25">
      <c r="A94">
        <v>83</v>
      </c>
      <c r="B94" s="8" t="n">
        <v>0.0</v>
      </c>
      <c r="C94" s="8" t="n">
        <v>0.0</v>
      </c>
      <c r="D94" s="8" t="n">
        <v>0.0</v>
      </c>
      <c r="E94" s="8">
        <f si="4" t="shared"/>
        <v>0</v>
      </c>
      <c r="F94" s="21">
        <f si="5" t="shared"/>
        <v>0</v>
      </c>
      <c r="H94" s="196">
        <v>83</v>
      </c>
      <c r="I94" s="286" t="n">
        <v>5.0</v>
      </c>
      <c r="J94" s="376" t="n">
        <v>0.0</v>
      </c>
      <c r="K94" s="466" t="n">
        <v>0.0</v>
      </c>
      <c r="L94">
        <f si="6" t="shared"/>
        <v>5</v>
      </c>
      <c r="M94" s="21">
        <f si="7" t="shared"/>
        <v>3.4664688468444735E-5</v>
      </c>
    </row>
    <row r="95" spans="1:13" x14ac:dyDescent="0.25">
      <c r="A95">
        <v>84</v>
      </c>
      <c r="B95" s="8" t="n">
        <v>0.0</v>
      </c>
      <c r="C95" s="8" t="n">
        <v>0.0</v>
      </c>
      <c r="D95" s="8" t="n">
        <v>0.0</v>
      </c>
      <c r="E95" s="8">
        <f si="4" t="shared"/>
        <v>0</v>
      </c>
      <c r="F95" s="21">
        <f si="5" t="shared"/>
        <v>0</v>
      </c>
      <c r="H95" s="197">
        <v>84</v>
      </c>
      <c r="I95" s="287" t="n">
        <v>6.0</v>
      </c>
      <c r="J95" s="377" t="n">
        <v>0.0</v>
      </c>
      <c r="K95" s="467" t="n">
        <v>0.0</v>
      </c>
      <c r="L95">
        <f si="6" t="shared"/>
        <v>4</v>
      </c>
      <c r="M95" s="21">
        <f si="7" t="shared"/>
        <v>2.7731750774755786E-5</v>
      </c>
    </row>
    <row r="96" spans="1:13" x14ac:dyDescent="0.25">
      <c r="A96">
        <v>85</v>
      </c>
      <c r="B96" s="8" t="n">
        <v>0.0</v>
      </c>
      <c r="C96" s="8" t="n">
        <v>0.0</v>
      </c>
      <c r="D96" s="8" t="n">
        <v>0.0</v>
      </c>
      <c r="E96" s="8">
        <f si="4" t="shared"/>
        <v>0</v>
      </c>
      <c r="F96" s="21">
        <f si="5" t="shared"/>
        <v>0</v>
      </c>
      <c r="H96" s="198">
        <v>85</v>
      </c>
      <c r="I96" s="288" t="n">
        <v>5.0</v>
      </c>
      <c r="J96" s="378" t="n">
        <v>1.0</v>
      </c>
      <c r="K96" s="468" t="n">
        <v>0.0</v>
      </c>
      <c r="L96">
        <f si="6" t="shared"/>
        <v>4</v>
      </c>
      <c r="M96" s="21">
        <f si="7" t="shared"/>
        <v>2.7731750774755786E-5</v>
      </c>
    </row>
    <row r="97" spans="1:13" x14ac:dyDescent="0.25">
      <c r="A97">
        <v>86</v>
      </c>
      <c r="B97" s="8" t="n">
        <v>0.0</v>
      </c>
      <c r="C97" s="8" t="n">
        <v>0.0</v>
      </c>
      <c r="D97" s="8" t="n">
        <v>0.0</v>
      </c>
      <c r="E97" s="8">
        <f si="4" t="shared"/>
        <v>0</v>
      </c>
      <c r="F97" s="21">
        <f si="5" t="shared"/>
        <v>0</v>
      </c>
      <c r="H97" s="199">
        <v>86</v>
      </c>
      <c r="I97" s="289" t="n">
        <v>2.0</v>
      </c>
      <c r="J97" s="379" t="n">
        <v>0.0</v>
      </c>
      <c r="K97" s="469" t="n">
        <v>0.0</v>
      </c>
      <c r="L97">
        <f si="6" t="shared"/>
        <v>6</v>
      </c>
      <c r="M97" s="21">
        <f si="7" t="shared"/>
        <v>4.1597626162133681E-5</v>
      </c>
    </row>
    <row r="98" spans="1:13" x14ac:dyDescent="0.25">
      <c r="A98">
        <v>87</v>
      </c>
      <c r="B98" s="8" t="n">
        <v>0.0</v>
      </c>
      <c r="C98" s="8" t="n">
        <v>0.0</v>
      </c>
      <c r="D98" s="8" t="n">
        <v>0.0</v>
      </c>
      <c r="E98" s="8">
        <f si="4" t="shared"/>
        <v>0</v>
      </c>
      <c r="F98" s="21">
        <f si="5" t="shared"/>
        <v>0</v>
      </c>
      <c r="H98" s="200">
        <v>87</v>
      </c>
      <c r="I98" s="290" t="n">
        <v>0.0</v>
      </c>
      <c r="J98" s="380" t="n">
        <v>0.0</v>
      </c>
      <c r="K98" s="470" t="n">
        <v>0.0</v>
      </c>
      <c r="L98">
        <f si="6" t="shared"/>
        <v>6</v>
      </c>
      <c r="M98" s="21">
        <f si="7" t="shared"/>
        <v>4.1597626162133681E-5</v>
      </c>
    </row>
    <row r="99" spans="1:13" x14ac:dyDescent="0.25">
      <c r="A99">
        <v>88</v>
      </c>
      <c r="B99" s="8" t="n">
        <v>0.0</v>
      </c>
      <c r="C99" s="8" t="n">
        <v>0.0</v>
      </c>
      <c r="D99" s="8" t="n">
        <v>0.0</v>
      </c>
      <c r="E99" s="8">
        <f si="4" t="shared"/>
        <v>0</v>
      </c>
      <c r="F99" s="21">
        <f si="5" t="shared"/>
        <v>0</v>
      </c>
      <c r="H99" s="201">
        <v>88</v>
      </c>
      <c r="I99" s="291" t="n">
        <v>11.0</v>
      </c>
      <c r="J99" s="381" t="n">
        <v>0.0</v>
      </c>
      <c r="K99" s="471" t="n">
        <v>0.0</v>
      </c>
      <c r="L99">
        <f si="6" t="shared"/>
        <v>9</v>
      </c>
      <c r="M99" s="21">
        <f si="7" t="shared"/>
        <v>6.2396439243200518E-5</v>
      </c>
    </row>
    <row r="100" spans="1:13" x14ac:dyDescent="0.25">
      <c r="A100">
        <v>89</v>
      </c>
      <c r="B100" s="8" t="n">
        <v>0.0</v>
      </c>
      <c r="C100" s="8" t="n">
        <v>0.0</v>
      </c>
      <c r="D100" s="8" t="n">
        <v>0.0</v>
      </c>
      <c r="E100" s="8">
        <f si="4" t="shared"/>
        <v>0</v>
      </c>
      <c r="F100" s="21">
        <f si="5" t="shared"/>
        <v>0</v>
      </c>
      <c r="H100" s="202">
        <v>89</v>
      </c>
      <c r="I100" s="292" t="n">
        <v>2.0</v>
      </c>
      <c r="J100" s="382" t="n">
        <v>0.0</v>
      </c>
      <c r="K100" s="472" t="n">
        <v>0.0</v>
      </c>
      <c r="L100">
        <f si="6" t="shared"/>
        <v>3</v>
      </c>
      <c r="M100" s="21">
        <f si="7" t="shared"/>
        <v>2.079881308106684E-5</v>
      </c>
    </row>
    <row ht="15.75" r="101" spans="1:13" thickBot="1" x14ac:dyDescent="0.3">
      <c r="A101" s="1">
        <v>90</v>
      </c>
      <c r="B101" s="9" t="n">
        <v>0.0</v>
      </c>
      <c r="C101" s="9" t="n">
        <v>0.0</v>
      </c>
      <c r="D101" s="9" t="n">
        <v>0.0</v>
      </c>
      <c r="E101" s="9">
        <f si="4" t="shared"/>
        <v>0</v>
      </c>
      <c r="F101" s="21">
        <f si="5" t="shared"/>
        <v>0</v>
      </c>
      <c r="H101" s="475">
        <v>90</v>
      </c>
      <c r="I101" s="475" t="n">
        <v>26.0</v>
      </c>
      <c r="J101" s="475" t="n">
        <v>0.0</v>
      </c>
      <c r="K101" s="475" t="n">
        <v>1.0</v>
      </c>
      <c r="L101" s="1">
        <f si="6" t="shared"/>
        <v>32</v>
      </c>
      <c r="M101" s="21">
        <f si="7" t="shared"/>
        <v>2.2185400619804629E-4</v>
      </c>
    </row>
    <row r="102" spans="1:13" x14ac:dyDescent="0.25">
      <c r="E102" s="8">
        <f>SUM(E11:E101)</f>
        <v>161680.67599294573</v>
      </c>
      <c r="F102" s="21">
        <f si="5" t="shared"/>
        <v>1</v>
      </c>
      <c r="L102" s="22">
        <f>SUM(L11:L101)</f>
        <v>144239</v>
      </c>
      <c r="M102" s="21">
        <f si="7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G41"/>
  <sheetViews>
    <sheetView topLeftCell="F1" workbookViewId="0">
      <selection activeCell="AD35" sqref="AD3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6" bestFit="true" customWidth="true" width="10.5703125" collapsed="true"/>
    <col min="17" max="17" bestFit="true" customWidth="true" width="11.5703125" collapsed="true"/>
    <col min="18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247</v>
      </c>
    </row>
    <row r="3" spans="1:21" x14ac:dyDescent="0.25">
      <c r="A3" t="s">
        <v>17</v>
      </c>
    </row>
    <row ht="15.75" r="5" spans="1:21" thickBot="1" x14ac:dyDescent="0.3">
      <c r="A5" s="4" t="s">
        <v>41</v>
      </c>
      <c r="B5" s="1"/>
      <c r="C5" s="1"/>
      <c r="D5" s="1"/>
      <c r="E5" s="1"/>
      <c r="F5" s="1"/>
      <c r="G5" s="1"/>
      <c r="H5" s="1"/>
      <c r="I5" s="1"/>
      <c r="J5" s="1"/>
      <c r="L5" s="4" t="s">
        <v>36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15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16</v>
      </c>
      <c r="J6" s="3" t="s">
        <v>4</v>
      </c>
      <c r="L6" s="2" t="s">
        <v>15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16</v>
      </c>
      <c r="U6" s="3" t="s">
        <v>4</v>
      </c>
    </row>
    <row r="7" spans="1:21" x14ac:dyDescent="0.25">
      <c r="A7" s="477" t="s">
        <v>252</v>
      </c>
      <c r="B7" s="13" t="n">
        <v>5362.5234090802005</v>
      </c>
      <c r="C7" s="13" t="n">
        <v>94.6030698936</v>
      </c>
      <c r="D7" s="13" t="n">
        <v>0.0</v>
      </c>
      <c r="E7" s="13" t="n">
        <v>373.34555451899996</v>
      </c>
      <c r="F7" s="13" t="n">
        <v>89.3309268675</v>
      </c>
      <c r="G7" s="13" t="n">
        <v>0.0</v>
      </c>
      <c r="H7" s="13" t="n">
        <v>327.039856179</v>
      </c>
      <c r="I7" s="13"/>
      <c r="J7" s="13">
        <f>SUM(B7:I7)</f>
        <v>6246.8428165393007</v>
      </c>
      <c r="K7" s="13"/>
      <c r="L7" t="str">
        <f>$A$7</f>
        <v>Bellevue</v>
      </c>
      <c r="M7" s="522" t="n">
        <v>0.0</v>
      </c>
      <c r="N7" s="522" t="n">
        <v>0.0</v>
      </c>
      <c r="O7" s="522" t="n">
        <v>0.0</v>
      </c>
      <c r="P7" s="522" t="n">
        <v>0.0</v>
      </c>
      <c r="Q7" s="522" t="n">
        <v>0.0</v>
      </c>
      <c r="R7" s="522" t="n">
        <v>0.0</v>
      </c>
      <c r="S7" s="522" t="n">
        <v>0.0</v>
      </c>
      <c r="T7" s="473"/>
      <c r="U7" s="13">
        <f>SUM(M7:T7)</f>
        <v>0</v>
      </c>
    </row>
    <row r="8" spans="1:21" x14ac:dyDescent="0.25">
      <c r="A8" t="s">
        <v>253</v>
      </c>
      <c r="B8" s="13" t="n">
        <v>1844.964152923</v>
      </c>
      <c r="C8" s="13" t="n">
        <v>2631.9486176826003</v>
      </c>
      <c r="D8" s="13" t="n">
        <v>0.0</v>
      </c>
      <c r="E8" s="13" t="n">
        <v>506.9344112474</v>
      </c>
      <c r="F8" s="13" t="n">
        <v>0.0</v>
      </c>
      <c r="G8" s="13" t="n">
        <v>0.0</v>
      </c>
      <c r="H8" s="13" t="n">
        <v>0.0</v>
      </c>
      <c r="I8" s="13"/>
      <c r="J8" s="13">
        <f ref="J8:J14" si="0" t="shared">SUM(B8:I8)</f>
        <v>4983.8471818530006</v>
      </c>
      <c r="K8" s="13"/>
      <c r="L8" t="str">
        <f>$A$8</f>
        <v>Bellevue Downtown</v>
      </c>
      <c r="M8" s="522" t="n">
        <v>0.0</v>
      </c>
      <c r="N8" s="522" t="n">
        <v>0.0</v>
      </c>
      <c r="O8" s="522" t="n">
        <v>0.0</v>
      </c>
      <c r="P8" s="522" t="n">
        <v>0.0</v>
      </c>
      <c r="Q8" s="522" t="n">
        <v>0.0</v>
      </c>
      <c r="R8" s="522" t="n">
        <v>0.0</v>
      </c>
      <c r="S8" s="522" t="n">
        <v>0.0</v>
      </c>
      <c r="T8" s="473"/>
      <c r="U8" s="13">
        <f ref="U8:U14" si="1" t="shared">SUM(M8:T8)</f>
        <v>0</v>
      </c>
    </row>
    <row r="9" spans="1:21" x14ac:dyDescent="0.25">
      <c r="A9" t="s">
        <v>254</v>
      </c>
      <c r="B9" s="13" t="n">
        <v>0.0</v>
      </c>
      <c r="C9" s="13" t="n">
        <v>0.0</v>
      </c>
      <c r="D9" s="13" t="n">
        <v>2499.6909226349</v>
      </c>
      <c r="E9" s="13" t="n">
        <v>62.3910559558</v>
      </c>
      <c r="F9" s="13" t="n">
        <v>0.0</v>
      </c>
      <c r="G9" s="13" t="n">
        <v>0.0</v>
      </c>
      <c r="H9" s="13" t="n">
        <v>622.6145955101</v>
      </c>
      <c r="I9" s="13"/>
      <c r="J9" s="13">
        <f si="0" t="shared"/>
        <v>3184.6965741007998</v>
      </c>
      <c r="K9" s="14"/>
      <c r="L9" t="str">
        <f>$A$9</f>
        <v>Kirkland</v>
      </c>
      <c r="M9" s="522" t="n">
        <v>0.0</v>
      </c>
      <c r="N9" s="522" t="n">
        <v>0.0</v>
      </c>
      <c r="O9" s="522" t="n">
        <v>0.0</v>
      </c>
      <c r="P9" s="522" t="n">
        <v>0.0</v>
      </c>
      <c r="Q9" s="522" t="n">
        <v>0.0</v>
      </c>
      <c r="R9" s="522" t="n">
        <v>0.0</v>
      </c>
      <c r="S9" s="522" t="n">
        <v>0.0</v>
      </c>
      <c r="T9" s="473"/>
      <c r="U9" s="13">
        <f si="1" t="shared"/>
        <v>0</v>
      </c>
    </row>
    <row r="10" spans="1:21" x14ac:dyDescent="0.25">
      <c r="A10" t="s">
        <v>255</v>
      </c>
      <c r="B10" s="13" t="n">
        <v>348.6759278503</v>
      </c>
      <c r="C10" s="13" t="n">
        <v>407.745583464</v>
      </c>
      <c r="D10" s="13" t="n">
        <v>763.43476922</v>
      </c>
      <c r="E10" s="13" t="n">
        <v>4385.2627506771005</v>
      </c>
      <c r="F10" s="13" t="n">
        <v>0.0</v>
      </c>
      <c r="G10" s="13" t="n">
        <v>0.0</v>
      </c>
      <c r="H10" s="13" t="n">
        <v>702.428165475</v>
      </c>
      <c r="I10" s="13"/>
      <c r="J10" s="13">
        <f si="0" t="shared"/>
        <v>6607.5471966864006</v>
      </c>
      <c r="K10" s="14"/>
      <c r="L10" t="str">
        <f>$A$10</f>
        <v>Redmond</v>
      </c>
      <c r="M10" s="522" t="n">
        <v>0.0</v>
      </c>
      <c r="N10" s="522" t="n">
        <v>0.0</v>
      </c>
      <c r="O10" s="522" t="n">
        <v>0.0</v>
      </c>
      <c r="P10" s="522" t="n">
        <v>0.0</v>
      </c>
      <c r="Q10" s="522" t="n">
        <v>0.0</v>
      </c>
      <c r="R10" s="522" t="n">
        <v>0.0</v>
      </c>
      <c r="S10" s="522" t="n">
        <v>0.0</v>
      </c>
      <c r="T10" s="473"/>
      <c r="U10" s="13">
        <f si="1" t="shared"/>
        <v>0</v>
      </c>
    </row>
    <row r="11" spans="1:21" x14ac:dyDescent="0.25">
      <c r="A11" t="s">
        <v>251</v>
      </c>
      <c r="B11" s="13" t="n">
        <v>56.1388760904</v>
      </c>
      <c r="C11" s="13" t="n">
        <v>0.0</v>
      </c>
      <c r="D11" s="13" t="n">
        <v>0.0</v>
      </c>
      <c r="E11" s="13" t="n">
        <v>0.0</v>
      </c>
      <c r="F11" s="13" t="n">
        <v>31493.1237298401</v>
      </c>
      <c r="G11" s="13" t="n">
        <v>3880.4949930591</v>
      </c>
      <c r="H11" s="13" t="n">
        <v>1320.4057760048</v>
      </c>
      <c r="I11" s="13"/>
      <c r="J11" s="13">
        <f si="0" t="shared"/>
        <v>36750.163374994401</v>
      </c>
      <c r="K11" s="14"/>
      <c r="L11" t="str">
        <f>$A$11</f>
        <v>Seattle</v>
      </c>
      <c r="M11" s="522" t="n">
        <v>0.0</v>
      </c>
      <c r="N11" s="522" t="n">
        <v>0.0</v>
      </c>
      <c r="O11" s="522" t="n">
        <v>0.0</v>
      </c>
      <c r="P11" s="522" t="n">
        <v>0.0</v>
      </c>
      <c r="Q11" s="522" t="n">
        <v>27194.0</v>
      </c>
      <c r="R11" s="522" t="n">
        <v>1631.0</v>
      </c>
      <c r="S11" s="522" t="n">
        <v>2796.0</v>
      </c>
      <c r="T11" s="473"/>
      <c r="U11" s="13">
        <f si="1" t="shared"/>
        <v>32318</v>
      </c>
    </row>
    <row r="12" spans="1:21" x14ac:dyDescent="0.25">
      <c r="A12" t="s">
        <v>256</v>
      </c>
      <c r="B12" s="13" t="n">
        <v>161.2664198805</v>
      </c>
      <c r="C12" s="13" t="n">
        <v>0.0</v>
      </c>
      <c r="D12" s="13" t="n">
        <v>0.0</v>
      </c>
      <c r="E12" s="13" t="n">
        <v>0.0</v>
      </c>
      <c r="F12" s="13" t="n">
        <v>3259.040999355</v>
      </c>
      <c r="G12" s="13" t="n">
        <v>27187.8572837516</v>
      </c>
      <c r="H12" s="13" t="n">
        <v>198.4972902366</v>
      </c>
      <c r="I12" s="13"/>
      <c r="J12" s="13">
        <f si="0" t="shared"/>
        <v>30806.661993223701</v>
      </c>
      <c r="K12" s="14"/>
      <c r="L12" t="str">
        <f>$A$12</f>
        <v>Seattle Downtown</v>
      </c>
      <c r="M12" s="522" t="n">
        <v>0.0</v>
      </c>
      <c r="N12" s="522" t="n">
        <v>0.0</v>
      </c>
      <c r="O12" s="522" t="n">
        <v>0.0</v>
      </c>
      <c r="P12" s="522" t="n">
        <v>0.0</v>
      </c>
      <c r="Q12" s="522" t="n">
        <v>4712.0</v>
      </c>
      <c r="R12" s="522" t="n">
        <v>16924.0</v>
      </c>
      <c r="S12" s="522" t="n">
        <v>1233.0</v>
      </c>
      <c r="T12" s="473"/>
      <c r="U12" s="13">
        <f si="1" t="shared"/>
        <v>22108</v>
      </c>
    </row>
    <row r="13" spans="1:21" x14ac:dyDescent="0.25">
      <c r="A13" t="s">
        <v>257</v>
      </c>
      <c r="B13" s="13" t="n">
        <v>292.475114885</v>
      </c>
      <c r="C13" s="13" t="n">
        <v>0.0</v>
      </c>
      <c r="D13" s="13" t="n">
        <v>1499.369579797</v>
      </c>
      <c r="E13" s="13" t="n">
        <v>496.321471143</v>
      </c>
      <c r="F13" s="13" t="n">
        <v>354.4226864293</v>
      </c>
      <c r="G13" s="13" t="n">
        <v>0.0</v>
      </c>
      <c r="H13" s="13" t="n">
        <v>70458.3280032938</v>
      </c>
      <c r="I13" s="13"/>
      <c r="J13" s="13">
        <f si="0" t="shared"/>
        <v>73100.916855548101</v>
      </c>
      <c r="K13" s="14"/>
      <c r="L13" t="str">
        <f>$A$13</f>
        <v>Rest</v>
      </c>
      <c r="M13" s="522" t="n">
        <v>0.0</v>
      </c>
      <c r="N13" s="522" t="n">
        <v>0.0</v>
      </c>
      <c r="O13" s="522" t="n">
        <v>0.0</v>
      </c>
      <c r="P13" s="522" t="n">
        <v>0.0</v>
      </c>
      <c r="Q13" s="522" t="n">
        <v>3412.0</v>
      </c>
      <c r="R13" s="522" t="n">
        <v>306.0</v>
      </c>
      <c r="S13" s="522" t="n">
        <v>87370.0</v>
      </c>
      <c r="T13" s="473"/>
      <c r="U13" s="13">
        <f si="1" t="shared"/>
        <v>89605</v>
      </c>
    </row>
    <row r="14" spans="1:21" x14ac:dyDescent="0.25">
      <c r="A14" t="s">
        <v>16</v>
      </c>
      <c r="B14" s="15"/>
      <c r="C14" s="15"/>
      <c r="D14" s="15"/>
      <c r="E14" s="15"/>
      <c r="F14" s="15"/>
      <c r="G14" s="15"/>
      <c r="H14" s="15"/>
      <c r="I14" s="15"/>
      <c r="J14" s="15">
        <f si="0" t="shared"/>
        <v>0</v>
      </c>
      <c r="K14" s="13"/>
      <c r="L14" s="476" t="s">
        <v>16</v>
      </c>
      <c r="M14" s="15"/>
      <c r="N14" s="15"/>
      <c r="O14" s="15"/>
      <c r="P14" s="15"/>
      <c r="Q14" s="15"/>
      <c r="R14" s="15"/>
      <c r="S14" s="15"/>
      <c r="T14" s="15"/>
      <c r="U14" s="15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8066.043900709401</v>
      </c>
      <c r="C15" s="16">
        <f si="2" t="shared"/>
        <v>3134.2972710402005</v>
      </c>
      <c r="D15" s="16">
        <f si="2" t="shared"/>
        <v>4762.4952716519001</v>
      </c>
      <c r="E15" s="16">
        <f si="2" t="shared"/>
        <v>5824.2552435423004</v>
      </c>
      <c r="F15" s="16">
        <f si="2" t="shared"/>
        <v>35195.918342491903</v>
      </c>
      <c r="G15" s="16">
        <f si="2" t="shared"/>
        <v>31068.3522768107</v>
      </c>
      <c r="H15" s="16">
        <f si="2" t="shared"/>
        <v>73629.313686699301</v>
      </c>
      <c r="I15" s="16">
        <f si="2" t="shared"/>
        <v>0</v>
      </c>
      <c r="J15" s="16">
        <f si="2" t="shared"/>
        <v>161680.6759929457</v>
      </c>
      <c r="K15" s="13"/>
      <c r="L15" s="16" t="s">
        <v>4</v>
      </c>
      <c r="M15" s="16">
        <f ref="M15:U15" si="3" t="shared">SUM(M7:M14)</f>
        <v>0</v>
      </c>
      <c r="N15" s="16">
        <f si="3" t="shared"/>
        <v>0</v>
      </c>
      <c r="O15" s="16">
        <f si="3" t="shared"/>
        <v>0</v>
      </c>
      <c r="P15" s="16">
        <f si="3" t="shared"/>
        <v>0</v>
      </c>
      <c r="Q15" s="16">
        <f si="3" t="shared"/>
        <v>36297</v>
      </c>
      <c r="R15" s="16">
        <f si="3" t="shared"/>
        <v>18110</v>
      </c>
      <c r="S15" s="16">
        <f si="3" t="shared"/>
        <v>89624</v>
      </c>
      <c r="T15" s="16">
        <f si="3" t="shared"/>
        <v>0</v>
      </c>
      <c r="U15" s="16">
        <f si="3" t="shared"/>
        <v>144031</v>
      </c>
    </row>
    <row ht="15.75" r="18" spans="1:32" thickBot="1" x14ac:dyDescent="0.3">
      <c r="A18" s="4" t="s">
        <v>42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37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15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16</v>
      </c>
      <c r="J19" s="3" t="s">
        <v>4</v>
      </c>
      <c r="L19" s="2" t="s">
        <v>15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16</v>
      </c>
      <c r="U19" s="3" t="s">
        <v>4</v>
      </c>
    </row>
    <row r="20" spans="1:32" x14ac:dyDescent="0.25">
      <c r="A20" t="str">
        <f>$A$7</f>
        <v>Bellevue</v>
      </c>
      <c r="B20" s="13">
        <f ref="B20:G20" si="4" t="shared">($U7/$J7)*B7</f>
        <v>0</v>
      </c>
      <c r="C20" s="13">
        <f si="4" t="shared"/>
        <v>0</v>
      </c>
      <c r="D20" s="13">
        <f si="4" t="shared"/>
        <v>0</v>
      </c>
      <c r="E20" s="13">
        <f si="4" t="shared"/>
        <v>0</v>
      </c>
      <c r="F20" s="13">
        <f si="4" t="shared"/>
        <v>0</v>
      </c>
      <c r="G20" s="13">
        <f si="4" t="shared"/>
        <v>0</v>
      </c>
      <c r="H20" s="13">
        <f ref="H20" si="5" t="shared">($U7/$J7)*H7</f>
        <v>0</v>
      </c>
      <c r="I20" s="13"/>
      <c r="J20" s="13">
        <f>SUM(B20:I20)</f>
        <v>0</v>
      </c>
      <c r="K20" s="13"/>
      <c r="L20" t="str">
        <f>$A$7</f>
        <v>Bellevue</v>
      </c>
      <c r="M20" s="13">
        <f ref="M20:M26" si="6" t="shared">M7</f>
        <v>0</v>
      </c>
      <c r="N20" s="13">
        <f ref="N20:U20" si="7" t="shared">N7</f>
        <v>0</v>
      </c>
      <c r="O20" s="13">
        <f si="7" t="shared"/>
        <v>0</v>
      </c>
      <c r="P20" s="13">
        <f si="7" t="shared"/>
        <v>0</v>
      </c>
      <c r="Q20" s="13">
        <f si="7" t="shared"/>
        <v>0</v>
      </c>
      <c r="R20" s="13">
        <f si="7" t="shared"/>
        <v>0</v>
      </c>
      <c r="S20" s="13">
        <f ref="S20" si="8" t="shared">S7</f>
        <v>0</v>
      </c>
      <c r="T20" s="13"/>
      <c r="U20" s="13">
        <f si="7" t="shared"/>
        <v>0</v>
      </c>
    </row>
    <row r="21" spans="1:32" x14ac:dyDescent="0.25">
      <c r="A21" t="str">
        <f>$A$8</f>
        <v>Bellevue Downtown</v>
      </c>
      <c r="B21" s="13">
        <f ref="B21:G26" si="9" t="shared">($U8/$J8)*B8</f>
        <v>0</v>
      </c>
      <c r="C21" s="13">
        <f si="9" t="shared"/>
        <v>0</v>
      </c>
      <c r="D21" s="13">
        <f si="9" t="shared"/>
        <v>0</v>
      </c>
      <c r="E21" s="13">
        <f si="9" t="shared"/>
        <v>0</v>
      </c>
      <c r="F21" s="13">
        <f si="9" t="shared"/>
        <v>0</v>
      </c>
      <c r="G21" s="13">
        <f si="9" t="shared"/>
        <v>0</v>
      </c>
      <c r="H21" s="13">
        <f ref="H21" si="10" t="shared">($U8/$J8)*H8</f>
        <v>0</v>
      </c>
      <c r="I21" s="13"/>
      <c r="J21" s="13">
        <f ref="J21:J27" si="11" t="shared">SUM(B21:I21)</f>
        <v>0</v>
      </c>
      <c r="K21" s="13"/>
      <c r="L21" t="str">
        <f>$A$8</f>
        <v>Bellevue Downtown</v>
      </c>
      <c r="M21" s="13">
        <f si="6" t="shared"/>
        <v>0</v>
      </c>
      <c r="N21" s="13">
        <f ref="N21:R26" si="12" t="shared">N8</f>
        <v>0</v>
      </c>
      <c r="O21" s="13">
        <f si="12" t="shared"/>
        <v>0</v>
      </c>
      <c r="P21" s="13">
        <f si="12" t="shared"/>
        <v>0</v>
      </c>
      <c r="Q21" s="13">
        <f si="12" t="shared"/>
        <v>0</v>
      </c>
      <c r="R21" s="13">
        <f si="12" t="shared"/>
        <v>0</v>
      </c>
      <c r="S21" s="13">
        <f ref="S21" si="13" t="shared">S8</f>
        <v>0</v>
      </c>
      <c r="T21" s="13"/>
      <c r="U21" s="13">
        <f ref="U21:U26" si="14" t="shared">U8</f>
        <v>0</v>
      </c>
    </row>
    <row r="22" spans="1:32" x14ac:dyDescent="0.25">
      <c r="A22" t="str">
        <f>$A$9</f>
        <v>Kirkland</v>
      </c>
      <c r="B22" s="13">
        <f si="9" t="shared"/>
        <v>0</v>
      </c>
      <c r="C22" s="13">
        <f si="9" t="shared"/>
        <v>0</v>
      </c>
      <c r="D22" s="13">
        <f si="9" t="shared"/>
        <v>0</v>
      </c>
      <c r="E22" s="13">
        <f si="9" t="shared"/>
        <v>0</v>
      </c>
      <c r="F22" s="13">
        <f si="9" t="shared"/>
        <v>0</v>
      </c>
      <c r="G22" s="13">
        <f si="9" t="shared"/>
        <v>0</v>
      </c>
      <c r="H22" s="13">
        <f ref="H22" si="15" t="shared">($U9/$J9)*H9</f>
        <v>0</v>
      </c>
      <c r="I22" s="13"/>
      <c r="J22" s="13">
        <f si="11" t="shared"/>
        <v>0</v>
      </c>
      <c r="K22" s="14"/>
      <c r="L22" t="str">
        <f>$A$9</f>
        <v>Kirkland</v>
      </c>
      <c r="M22" s="13">
        <f si="6" t="shared"/>
        <v>0</v>
      </c>
      <c r="N22" s="13">
        <f si="12" t="shared"/>
        <v>0</v>
      </c>
      <c r="O22" s="13">
        <f si="12" t="shared"/>
        <v>0</v>
      </c>
      <c r="P22" s="13">
        <f si="12" t="shared"/>
        <v>0</v>
      </c>
      <c r="Q22" s="13">
        <f si="12" t="shared"/>
        <v>0</v>
      </c>
      <c r="R22" s="13">
        <f si="12" t="shared"/>
        <v>0</v>
      </c>
      <c r="S22" s="13">
        <f ref="S22" si="16" t="shared">S9</f>
        <v>0</v>
      </c>
      <c r="T22" s="13"/>
      <c r="U22" s="13">
        <f si="14" t="shared"/>
        <v>0</v>
      </c>
    </row>
    <row r="23" spans="1:32" x14ac:dyDescent="0.25">
      <c r="A23" t="str">
        <f>$A$10</f>
        <v>Redmond</v>
      </c>
      <c r="B23" s="13">
        <f si="9" t="shared"/>
        <v>0</v>
      </c>
      <c r="C23" s="13">
        <f si="9" t="shared"/>
        <v>0</v>
      </c>
      <c r="D23" s="13">
        <f si="9" t="shared"/>
        <v>0</v>
      </c>
      <c r="E23" s="13">
        <f si="9" t="shared"/>
        <v>0</v>
      </c>
      <c r="F23" s="13">
        <f si="9" t="shared"/>
        <v>0</v>
      </c>
      <c r="G23" s="13">
        <f si="9" t="shared"/>
        <v>0</v>
      </c>
      <c r="H23" s="13">
        <f ref="H23" si="17" t="shared">($U10/$J10)*H10</f>
        <v>0</v>
      </c>
      <c r="I23" s="13"/>
      <c r="J23" s="13">
        <f>SUM(B23:I23)</f>
        <v>0</v>
      </c>
      <c r="K23" s="14"/>
      <c r="L23" t="str">
        <f>$A$10</f>
        <v>Redmond</v>
      </c>
      <c r="M23" s="13">
        <f si="6" t="shared"/>
        <v>0</v>
      </c>
      <c r="N23" s="13">
        <f si="12" t="shared"/>
        <v>0</v>
      </c>
      <c r="O23" s="13">
        <f si="12" t="shared"/>
        <v>0</v>
      </c>
      <c r="P23" s="13">
        <f si="12" t="shared"/>
        <v>0</v>
      </c>
      <c r="Q23" s="13">
        <f si="12" t="shared"/>
        <v>0</v>
      </c>
      <c r="R23" s="13">
        <f si="12" t="shared"/>
        <v>0</v>
      </c>
      <c r="S23" s="13">
        <f ref="S23" si="18" t="shared">S10</f>
        <v>0</v>
      </c>
      <c r="T23" s="13"/>
      <c r="U23" s="13">
        <f si="14" t="shared"/>
        <v>0</v>
      </c>
    </row>
    <row r="24" spans="1:32" x14ac:dyDescent="0.25">
      <c r="A24" t="str">
        <f>$A$11</f>
        <v>Seattle</v>
      </c>
      <c r="B24" s="13">
        <f si="9" t="shared"/>
        <v>49.368384542312896</v>
      </c>
      <c r="C24" s="13">
        <f si="9" t="shared"/>
        <v>0</v>
      </c>
      <c r="D24" s="13">
        <f si="9" t="shared"/>
        <v>0</v>
      </c>
      <c r="E24" s="13">
        <f si="9" t="shared"/>
        <v>0</v>
      </c>
      <c r="F24" s="13">
        <f si="9" t="shared"/>
        <v>27694.972735645079</v>
      </c>
      <c r="G24" s="13">
        <f si="9" t="shared"/>
        <v>3412.4974059575347</v>
      </c>
      <c r="H24" s="13">
        <f ref="H24" si="19" t="shared">($U11/$J11)*H11</f>
        <v>1161.1614738550702</v>
      </c>
      <c r="I24" s="13"/>
      <c r="J24" s="13">
        <f si="11" t="shared"/>
        <v>32317.999999999996</v>
      </c>
      <c r="K24" s="14"/>
      <c r="L24" t="str">
        <f>$A$11</f>
        <v>Seattle</v>
      </c>
      <c r="M24" s="13">
        <f si="6" t="shared"/>
        <v>0</v>
      </c>
      <c r="N24" s="13">
        <f si="12" t="shared"/>
        <v>0</v>
      </c>
      <c r="O24" s="13">
        <f si="12" t="shared"/>
        <v>0</v>
      </c>
      <c r="P24" s="13">
        <f si="12" t="shared"/>
        <v>0</v>
      </c>
      <c r="Q24" s="13">
        <f si="12" t="shared"/>
        <v>28131</v>
      </c>
      <c r="R24" s="13">
        <f si="12" t="shared"/>
        <v>1502</v>
      </c>
      <c r="S24" s="13">
        <f ref="S24" si="20" t="shared">S11</f>
        <v>2685</v>
      </c>
      <c r="T24" s="13"/>
      <c r="U24" s="13">
        <f si="14" t="shared"/>
        <v>32318</v>
      </c>
    </row>
    <row r="25" spans="1:32" x14ac:dyDescent="0.25">
      <c r="A25" t="str">
        <f>$A$12</f>
        <v>Seattle Downtown</v>
      </c>
      <c r="B25" s="13">
        <f si="9" t="shared"/>
        <v>115.73074718391496</v>
      </c>
      <c r="C25" s="13">
        <f si="9" t="shared"/>
        <v>0</v>
      </c>
      <c r="D25" s="13">
        <f si="9" t="shared"/>
        <v>0</v>
      </c>
      <c r="E25" s="13">
        <f si="9" t="shared"/>
        <v>0</v>
      </c>
      <c r="F25" s="13">
        <f si="9" t="shared"/>
        <v>2338.8083535174569</v>
      </c>
      <c r="G25" s="13">
        <f si="9" t="shared"/>
        <v>19511.011902600574</v>
      </c>
      <c r="H25" s="13">
        <f ref="H25" si="21" t="shared">($U12/$J12)*H12</f>
        <v>142.44899669805284</v>
      </c>
      <c r="I25" s="13"/>
      <c r="J25" s="13">
        <f si="11" t="shared"/>
        <v>22108</v>
      </c>
      <c r="K25" s="14"/>
      <c r="L25" t="str">
        <f>$A$12</f>
        <v>Seattle Downtown</v>
      </c>
      <c r="M25" s="13">
        <f si="6" t="shared"/>
        <v>0</v>
      </c>
      <c r="N25" s="13">
        <f si="12" t="shared"/>
        <v>0</v>
      </c>
      <c r="O25" s="13">
        <f si="12" t="shared"/>
        <v>0</v>
      </c>
      <c r="P25" s="13">
        <f si="12" t="shared"/>
        <v>0</v>
      </c>
      <c r="Q25" s="13">
        <f si="12" t="shared"/>
        <v>4609</v>
      </c>
      <c r="R25" s="13">
        <f si="12" t="shared"/>
        <v>16274</v>
      </c>
      <c r="S25" s="13">
        <f ref="S25:S26" si="22" t="shared">S12</f>
        <v>1225</v>
      </c>
      <c r="T25" s="13"/>
      <c r="U25" s="13">
        <f si="14" t="shared"/>
        <v>22108</v>
      </c>
    </row>
    <row r="26" spans="1:32" x14ac:dyDescent="0.25">
      <c r="A26" t="str">
        <f>$A$13</f>
        <v>Rest</v>
      </c>
      <c r="B26" s="13">
        <f si="9" t="shared"/>
        <v>358.50757824361523</v>
      </c>
      <c r="C26" s="13">
        <f si="9" t="shared"/>
        <v>0</v>
      </c>
      <c r="D26" s="13">
        <f si="9" t="shared"/>
        <v>1837.8840782968018</v>
      </c>
      <c r="E26" s="13">
        <f si="9" t="shared"/>
        <v>608.37657494296093</v>
      </c>
      <c r="F26" s="13">
        <f si="9" t="shared"/>
        <v>434.44112856003255</v>
      </c>
      <c r="G26" s="13">
        <f si="9" t="shared"/>
        <v>0</v>
      </c>
      <c r="H26" s="13">
        <f ref="H26" si="23" t="shared">($U13/$J13)*H13</f>
        <v>86365.790639956584</v>
      </c>
      <c r="I26" s="13"/>
      <c r="J26" s="13">
        <f si="11" t="shared"/>
        <v>89605</v>
      </c>
      <c r="K26" s="14"/>
      <c r="L26" t="str">
        <f>$A$13</f>
        <v>Rest</v>
      </c>
      <c r="M26" s="13">
        <f si="6" t="shared"/>
        <v>0</v>
      </c>
      <c r="N26" s="13">
        <f si="12" t="shared"/>
        <v>0</v>
      </c>
      <c r="O26" s="13">
        <f si="12" t="shared"/>
        <v>0</v>
      </c>
      <c r="P26" s="13">
        <f si="12" t="shared"/>
        <v>0</v>
      </c>
      <c r="Q26" s="13">
        <f si="12" t="shared"/>
        <v>3557</v>
      </c>
      <c r="R26" s="13">
        <f si="12" t="shared"/>
        <v>334</v>
      </c>
      <c r="S26" s="13">
        <f si="22" t="shared"/>
        <v>85714</v>
      </c>
      <c r="T26" s="13"/>
      <c r="U26" s="13">
        <f si="14" t="shared"/>
        <v>89605</v>
      </c>
    </row>
    <row r="27" spans="1:32" x14ac:dyDescent="0.25">
      <c r="A27" s="7" t="s">
        <v>16</v>
      </c>
      <c r="B27" s="15"/>
      <c r="C27" s="15"/>
      <c r="D27" s="15"/>
      <c r="E27" s="15"/>
      <c r="F27" s="15"/>
      <c r="G27" s="15"/>
      <c r="H27" s="15"/>
      <c r="I27" s="15"/>
      <c r="J27" s="15">
        <f si="11" t="shared"/>
        <v>0</v>
      </c>
      <c r="K27" s="13"/>
      <c r="L27" s="476" t="s">
        <v>16</v>
      </c>
      <c r="M27" s="15"/>
      <c r="N27" s="15"/>
      <c r="O27" s="15"/>
      <c r="P27" s="15"/>
      <c r="Q27" s="15"/>
      <c r="R27" s="15"/>
      <c r="S27" s="15"/>
      <c r="T27" s="15"/>
      <c r="U27" s="15"/>
    </row>
    <row ht="15.75" r="28" spans="1:32" thickBot="1" x14ac:dyDescent="0.3">
      <c r="A28" s="1" t="s">
        <v>4</v>
      </c>
      <c r="B28" s="16">
        <f ref="B28:J28" si="24" t="shared">SUM(B20:B27)</f>
        <v>523.60670996984311</v>
      </c>
      <c r="C28" s="16">
        <f si="24" t="shared"/>
        <v>0</v>
      </c>
      <c r="D28" s="16">
        <f si="24" t="shared"/>
        <v>1837.8840782968018</v>
      </c>
      <c r="E28" s="16">
        <f si="24" t="shared"/>
        <v>608.37657494296093</v>
      </c>
      <c r="F28" s="16">
        <f si="24" t="shared"/>
        <v>30468.222217722567</v>
      </c>
      <c r="G28" s="16">
        <f si="24" t="shared"/>
        <v>22923.50930855811</v>
      </c>
      <c r="H28" s="16">
        <f si="24" t="shared"/>
        <v>87669.401110509702</v>
      </c>
      <c r="I28" s="16">
        <f si="24" t="shared"/>
        <v>0</v>
      </c>
      <c r="J28" s="16">
        <f si="24" t="shared"/>
        <v>144031</v>
      </c>
      <c r="K28" s="13"/>
      <c r="L28" s="16" t="s">
        <v>4</v>
      </c>
      <c r="M28" s="16">
        <f ref="M28:U28" si="25" t="shared">M15</f>
        <v>0</v>
      </c>
      <c r="N28" s="16">
        <f si="25" t="shared"/>
        <v>0</v>
      </c>
      <c r="O28" s="16">
        <f si="25" t="shared"/>
        <v>0</v>
      </c>
      <c r="P28" s="16">
        <f si="25" t="shared"/>
        <v>0</v>
      </c>
      <c r="Q28" s="16">
        <f si="25" t="shared"/>
        <v>36297</v>
      </c>
      <c r="R28" s="16">
        <f si="25" t="shared"/>
        <v>18110</v>
      </c>
      <c r="S28" s="16">
        <f si="25" t="shared"/>
        <v>89624</v>
      </c>
      <c r="T28" s="16"/>
      <c r="U28" s="16">
        <f si="25" t="shared"/>
        <v>144031</v>
      </c>
    </row>
    <row ht="15.75" r="31" spans="1:32" thickBot="1" x14ac:dyDescent="0.3">
      <c r="A31" s="4" t="s">
        <v>43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36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36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15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16</v>
      </c>
      <c r="J32" s="3" t="s">
        <v>4</v>
      </c>
      <c r="L32" s="2" t="s">
        <v>15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16</v>
      </c>
      <c r="U32" s="3" t="s">
        <v>4</v>
      </c>
      <c r="W32" s="2" t="s">
        <v>15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16</v>
      </c>
      <c r="AF32" s="3" t="s">
        <v>4</v>
      </c>
    </row>
    <row r="33" spans="1:32" x14ac:dyDescent="0.25">
      <c r="A33" t="str">
        <f>$A$7</f>
        <v>Bellevue</v>
      </c>
      <c r="B33" s="17">
        <f ref="B33:G33" si="26" t="shared">B20/$J$28</f>
        <v>0</v>
      </c>
      <c r="C33" s="17">
        <f si="26" t="shared"/>
        <v>0</v>
      </c>
      <c r="D33" s="17">
        <f si="26" t="shared"/>
        <v>0</v>
      </c>
      <c r="E33" s="17">
        <f si="26" t="shared"/>
        <v>0</v>
      </c>
      <c r="F33" s="17">
        <f si="26" t="shared"/>
        <v>0</v>
      </c>
      <c r="G33" s="17">
        <f si="26" t="shared"/>
        <v>0</v>
      </c>
      <c r="H33" s="17">
        <f ref="H33" si="27" t="shared">H20/$J$28</f>
        <v>0</v>
      </c>
      <c r="I33" s="13"/>
      <c r="J33" s="17">
        <f ref="J33:J39" si="28" t="shared">J20/$J$28</f>
        <v>0</v>
      </c>
      <c r="K33" s="13"/>
      <c r="L33" t="str">
        <f>$A$7</f>
        <v>Bellevue</v>
      </c>
      <c r="M33" s="17">
        <f ref="M33:R33" si="29" t="shared">M20/$U$28</f>
        <v>0</v>
      </c>
      <c r="N33" s="17">
        <f si="29" t="shared"/>
        <v>0</v>
      </c>
      <c r="O33" s="17">
        <f si="29" t="shared"/>
        <v>0</v>
      </c>
      <c r="P33" s="17">
        <f si="29" t="shared"/>
        <v>0</v>
      </c>
      <c r="Q33" s="17">
        <f si="29" t="shared"/>
        <v>0</v>
      </c>
      <c r="R33" s="17">
        <f si="29" t="shared"/>
        <v>0</v>
      </c>
      <c r="S33" s="17">
        <f ref="S33" si="30" t="shared">S20/$U$28</f>
        <v>0</v>
      </c>
      <c r="T33" s="17"/>
      <c r="U33" s="17">
        <f ref="U33:U39" si="31" t="shared">U20/$U$28</f>
        <v>0</v>
      </c>
      <c r="W33" t="str">
        <f>$A$7</f>
        <v>Bellevue</v>
      </c>
      <c r="X33" s="17">
        <f ref="X33:AD33" si="32" t="shared">M33-B33</f>
        <v>0</v>
      </c>
      <c r="Y33" s="17">
        <f si="32" t="shared"/>
        <v>0</v>
      </c>
      <c r="Z33" s="17">
        <f si="32" t="shared"/>
        <v>0</v>
      </c>
      <c r="AA33" s="17">
        <f si="32" t="shared"/>
        <v>0</v>
      </c>
      <c r="AB33" s="17">
        <f si="32" t="shared"/>
        <v>0</v>
      </c>
      <c r="AC33" s="17">
        <f si="32" t="shared"/>
        <v>0</v>
      </c>
      <c r="AD33" s="17">
        <f si="32" t="shared"/>
        <v>0</v>
      </c>
      <c r="AE33" s="17"/>
      <c r="AF33" s="17">
        <f ref="AF33:AF39" si="33" t="shared">U33-J33</f>
        <v>0</v>
      </c>
    </row>
    <row r="34" spans="1:32" x14ac:dyDescent="0.25">
      <c r="A34" t="str">
        <f>$A$8</f>
        <v>Bellevue Downtown</v>
      </c>
      <c r="B34" s="17">
        <f ref="B34:G39" si="34" t="shared">B21/$J$28</f>
        <v>0</v>
      </c>
      <c r="C34" s="17">
        <f si="34" t="shared"/>
        <v>0</v>
      </c>
      <c r="D34" s="17">
        <f si="34" t="shared"/>
        <v>0</v>
      </c>
      <c r="E34" s="17">
        <f si="34" t="shared"/>
        <v>0</v>
      </c>
      <c r="F34" s="17">
        <f si="34" t="shared"/>
        <v>0</v>
      </c>
      <c r="G34" s="17">
        <f si="34" t="shared"/>
        <v>0</v>
      </c>
      <c r="H34" s="17">
        <f ref="H34" si="35" t="shared">H21/$J$28</f>
        <v>0</v>
      </c>
      <c r="I34" s="13"/>
      <c r="J34" s="17">
        <f si="28" t="shared"/>
        <v>0</v>
      </c>
      <c r="K34" s="13"/>
      <c r="L34" t="str">
        <f>$A$8</f>
        <v>Bellevue Downtown</v>
      </c>
      <c r="M34" s="17">
        <f ref="M34:R39" si="36" t="shared">M21/$U$28</f>
        <v>0</v>
      </c>
      <c r="N34" s="17">
        <f si="36" t="shared"/>
        <v>0</v>
      </c>
      <c r="O34" s="17">
        <f si="36" t="shared"/>
        <v>0</v>
      </c>
      <c r="P34" s="17">
        <f si="36" t="shared"/>
        <v>0</v>
      </c>
      <c r="Q34" s="17">
        <f si="36" t="shared"/>
        <v>0</v>
      </c>
      <c r="R34" s="17">
        <f si="36" t="shared"/>
        <v>0</v>
      </c>
      <c r="S34" s="17">
        <f ref="S34" si="37" t="shared">S21/$U$28</f>
        <v>0</v>
      </c>
      <c r="T34" s="17"/>
      <c r="U34" s="17">
        <f si="31" t="shared"/>
        <v>0</v>
      </c>
      <c r="W34" t="str">
        <f>$A$8</f>
        <v>Bellevue Downtown</v>
      </c>
      <c r="X34" s="17">
        <f ref="X34:X38" si="38" t="shared">M34-B34</f>
        <v>0</v>
      </c>
      <c r="Y34" s="17">
        <f ref="Y34:AD38" si="39" t="shared">N34-C34</f>
        <v>0</v>
      </c>
      <c r="Z34" s="17">
        <f si="39" t="shared"/>
        <v>0</v>
      </c>
      <c r="AA34" s="17">
        <f si="39" t="shared"/>
        <v>0</v>
      </c>
      <c r="AB34" s="17">
        <f si="39" t="shared"/>
        <v>0</v>
      </c>
      <c r="AC34" s="17">
        <f si="39" t="shared"/>
        <v>0</v>
      </c>
      <c r="AD34" s="17">
        <f si="39" t="shared"/>
        <v>0</v>
      </c>
      <c r="AE34" s="17"/>
      <c r="AF34" s="17">
        <f si="33" t="shared"/>
        <v>0</v>
      </c>
    </row>
    <row r="35" spans="1:32" x14ac:dyDescent="0.25">
      <c r="A35" t="str">
        <f>$A$9</f>
        <v>Kirkland</v>
      </c>
      <c r="B35" s="17">
        <f si="34" t="shared"/>
        <v>0</v>
      </c>
      <c r="C35" s="17">
        <f si="34" t="shared"/>
        <v>0</v>
      </c>
      <c r="D35" s="17">
        <f si="34" t="shared"/>
        <v>0</v>
      </c>
      <c r="E35" s="17">
        <f si="34" t="shared"/>
        <v>0</v>
      </c>
      <c r="F35" s="17">
        <f si="34" t="shared"/>
        <v>0</v>
      </c>
      <c r="G35" s="17">
        <f si="34" t="shared"/>
        <v>0</v>
      </c>
      <c r="H35" s="17">
        <f ref="H35" si="40" t="shared">H22/$J$28</f>
        <v>0</v>
      </c>
      <c r="I35" s="13"/>
      <c r="J35" s="17">
        <f si="28" t="shared"/>
        <v>0</v>
      </c>
      <c r="K35" s="14"/>
      <c r="L35" t="str">
        <f>$A$9</f>
        <v>Kirkland</v>
      </c>
      <c r="M35" s="17">
        <f si="36" t="shared"/>
        <v>0</v>
      </c>
      <c r="N35" s="17">
        <f si="36" t="shared"/>
        <v>0</v>
      </c>
      <c r="O35" s="17">
        <f si="36" t="shared"/>
        <v>0</v>
      </c>
      <c r="P35" s="17">
        <f si="36" t="shared"/>
        <v>0</v>
      </c>
      <c r="Q35" s="17">
        <f si="36" t="shared"/>
        <v>0</v>
      </c>
      <c r="R35" s="17">
        <f si="36" t="shared"/>
        <v>0</v>
      </c>
      <c r="S35" s="17">
        <f ref="S35" si="41" t="shared">S22/$U$28</f>
        <v>0</v>
      </c>
      <c r="T35" s="17"/>
      <c r="U35" s="17">
        <f si="31" t="shared"/>
        <v>0</v>
      </c>
      <c r="W35" t="str">
        <f>$A$9</f>
        <v>Kirkland</v>
      </c>
      <c r="X35" s="17">
        <f si="38" t="shared"/>
        <v>0</v>
      </c>
      <c r="Y35" s="17">
        <f si="39" t="shared"/>
        <v>0</v>
      </c>
      <c r="Z35" s="17">
        <f si="39" t="shared"/>
        <v>0</v>
      </c>
      <c r="AA35" s="17">
        <f si="39" t="shared"/>
        <v>0</v>
      </c>
      <c r="AB35" s="17">
        <f si="39" t="shared"/>
        <v>0</v>
      </c>
      <c r="AC35" s="17">
        <f si="39" t="shared"/>
        <v>0</v>
      </c>
      <c r="AD35" s="17">
        <f si="39" t="shared"/>
        <v>0</v>
      </c>
      <c r="AE35" s="17"/>
      <c r="AF35" s="17">
        <f si="33" t="shared"/>
        <v>0</v>
      </c>
    </row>
    <row r="36" spans="1:32" x14ac:dyDescent="0.25">
      <c r="A36" t="str">
        <f>$A$10</f>
        <v>Redmond</v>
      </c>
      <c r="B36" s="17">
        <f si="34" t="shared"/>
        <v>0</v>
      </c>
      <c r="C36" s="17">
        <f si="34" t="shared"/>
        <v>0</v>
      </c>
      <c r="D36" s="17">
        <f si="34" t="shared"/>
        <v>0</v>
      </c>
      <c r="E36" s="17">
        <f si="34" t="shared"/>
        <v>0</v>
      </c>
      <c r="F36" s="17">
        <f si="34" t="shared"/>
        <v>0</v>
      </c>
      <c r="G36" s="17">
        <f si="34" t="shared"/>
        <v>0</v>
      </c>
      <c r="H36" s="17">
        <f ref="H36" si="42" t="shared">H23/$J$28</f>
        <v>0</v>
      </c>
      <c r="I36" s="13"/>
      <c r="J36" s="17">
        <f si="28" t="shared"/>
        <v>0</v>
      </c>
      <c r="K36" s="14"/>
      <c r="L36" t="str">
        <f>$A$10</f>
        <v>Redmond</v>
      </c>
      <c r="M36" s="17">
        <f si="36" t="shared"/>
        <v>0</v>
      </c>
      <c r="N36" s="17">
        <f si="36" t="shared"/>
        <v>0</v>
      </c>
      <c r="O36" s="17">
        <f si="36" t="shared"/>
        <v>0</v>
      </c>
      <c r="P36" s="17">
        <f si="36" t="shared"/>
        <v>0</v>
      </c>
      <c r="Q36" s="17">
        <f si="36" t="shared"/>
        <v>0</v>
      </c>
      <c r="R36" s="17">
        <f si="36" t="shared"/>
        <v>0</v>
      </c>
      <c r="S36" s="17">
        <f ref="S36" si="43" t="shared">S23/$U$28</f>
        <v>0</v>
      </c>
      <c r="T36" s="17"/>
      <c r="U36" s="17">
        <f si="31" t="shared"/>
        <v>0</v>
      </c>
      <c r="W36" t="str">
        <f>$A$10</f>
        <v>Redmond</v>
      </c>
      <c r="X36" s="17">
        <f si="38" t="shared"/>
        <v>0</v>
      </c>
      <c r="Y36" s="17">
        <f si="39" t="shared"/>
        <v>0</v>
      </c>
      <c r="Z36" s="17">
        <f si="39" t="shared"/>
        <v>0</v>
      </c>
      <c r="AA36" s="17">
        <f si="39" t="shared"/>
        <v>0</v>
      </c>
      <c r="AB36" s="17">
        <f si="39" t="shared"/>
        <v>0</v>
      </c>
      <c r="AC36" s="17">
        <f si="39" t="shared"/>
        <v>0</v>
      </c>
      <c r="AD36" s="17">
        <f si="39" t="shared"/>
        <v>0</v>
      </c>
      <c r="AE36" s="17"/>
      <c r="AF36" s="17">
        <f si="33" t="shared"/>
        <v>0</v>
      </c>
    </row>
    <row r="37" spans="1:32" x14ac:dyDescent="0.25">
      <c r="A37" t="str">
        <f>$A$11</f>
        <v>Seattle</v>
      </c>
      <c r="B37" s="17">
        <f si="34" t="shared"/>
        <v>3.4276221467817967E-4</v>
      </c>
      <c r="C37" s="17">
        <f si="34" t="shared"/>
        <v>0</v>
      </c>
      <c r="D37" s="17">
        <f si="34" t="shared"/>
        <v>0</v>
      </c>
      <c r="E37" s="17">
        <f si="34" t="shared"/>
        <v>0</v>
      </c>
      <c r="F37" s="17">
        <f si="34" t="shared"/>
        <v>0.1922848049075899</v>
      </c>
      <c r="G37" s="17">
        <f si="34" t="shared"/>
        <v>2.3692798119554364E-2</v>
      </c>
      <c r="H37" s="17">
        <f ref="H37" si="44" t="shared">H24/$J$28</f>
        <v>8.0618858013557504E-3</v>
      </c>
      <c r="I37" s="13"/>
      <c r="J37" s="17">
        <f si="28" t="shared"/>
        <v>0.22438225104317819</v>
      </c>
      <c r="K37" s="14"/>
      <c r="L37" t="str">
        <f>$A$11</f>
        <v>Seattle</v>
      </c>
      <c r="M37" s="17">
        <f si="36" t="shared"/>
        <v>0</v>
      </c>
      <c r="N37" s="17">
        <f si="36" t="shared"/>
        <v>0</v>
      </c>
      <c r="O37" s="17">
        <f si="36" t="shared"/>
        <v>0</v>
      </c>
      <c r="P37" s="17">
        <f si="36" t="shared"/>
        <v>0</v>
      </c>
      <c r="Q37" s="17">
        <f si="36" t="shared"/>
        <v>0.19531212030743381</v>
      </c>
      <c r="R37" s="17">
        <f si="36" t="shared"/>
        <v>1.0428310572029632E-2</v>
      </c>
      <c r="S37" s="17">
        <f ref="S37" si="45" t="shared">S24/$U$28</f>
        <v>1.8641820163714757E-2</v>
      </c>
      <c r="T37" s="17"/>
      <c r="U37" s="17">
        <f si="31" t="shared"/>
        <v>0.22438225104317822</v>
      </c>
      <c r="W37" t="str">
        <f>$A$11</f>
        <v>Seattle</v>
      </c>
      <c r="X37" s="17">
        <f si="38" t="shared"/>
        <v>-3.4276221467817967E-4</v>
      </c>
      <c r="Y37" s="17">
        <f si="39" t="shared"/>
        <v>0</v>
      </c>
      <c r="Z37" s="17">
        <f si="39" t="shared"/>
        <v>0</v>
      </c>
      <c r="AA37" s="17">
        <f si="39" t="shared"/>
        <v>0</v>
      </c>
      <c r="AB37" s="17">
        <f si="39" t="shared"/>
        <v>3.0273153998439106E-3</v>
      </c>
      <c r="AC37" s="17">
        <f si="39" t="shared"/>
        <v>-1.3264487547524732E-2</v>
      </c>
      <c r="AD37" s="17">
        <f si="39" t="shared"/>
        <v>1.0579934362359007E-2</v>
      </c>
      <c r="AE37" s="17"/>
      <c r="AF37" s="17">
        <f si="33" t="shared"/>
        <v>0</v>
      </c>
    </row>
    <row r="38" spans="1:32" x14ac:dyDescent="0.25">
      <c r="A38" t="str">
        <f>$A$12</f>
        <v>Seattle Downtown</v>
      </c>
      <c r="B38" s="17">
        <f si="34" t="shared"/>
        <v>8.0351276589008588E-4</v>
      </c>
      <c r="C38" s="17">
        <f si="34" t="shared"/>
        <v>0</v>
      </c>
      <c r="D38" s="17">
        <f si="34" t="shared"/>
        <v>0</v>
      </c>
      <c r="E38" s="17">
        <f si="34" t="shared"/>
        <v>0</v>
      </c>
      <c r="F38" s="17">
        <f si="34" t="shared"/>
        <v>1.6238228947361728E-2</v>
      </c>
      <c r="G38" s="17">
        <f si="34" t="shared"/>
        <v>0.13546397582881861</v>
      </c>
      <c r="H38" s="17">
        <f ref="H38:H39" si="46" t="shared">H25/$J$28</f>
        <v>9.8901623052018552E-4</v>
      </c>
      <c r="I38" s="13"/>
      <c r="J38" s="17">
        <f si="28" t="shared"/>
        <v>0.15349473377259062</v>
      </c>
      <c r="K38" s="14"/>
      <c r="L38" t="str">
        <f>$A$12</f>
        <v>Seattle Downtown</v>
      </c>
      <c r="M38" s="17">
        <f si="36" t="shared"/>
        <v>0</v>
      </c>
      <c r="N38" s="17">
        <f si="36" t="shared"/>
        <v>0</v>
      </c>
      <c r="O38" s="17">
        <f si="36" t="shared"/>
        <v>0</v>
      </c>
      <c r="P38" s="17">
        <f si="36" t="shared"/>
        <v>0</v>
      </c>
      <c r="Q38" s="17">
        <f si="36" t="shared"/>
        <v>3.2000055543598256E-2</v>
      </c>
      <c r="R38" s="17">
        <f si="36" t="shared"/>
        <v>0.11298956474647819</v>
      </c>
      <c r="S38" s="17">
        <f ref="S38" si="47" t="shared">S25/$U$28</f>
        <v>8.5051134825141813E-3</v>
      </c>
      <c r="T38" s="17"/>
      <c r="U38" s="17">
        <f si="31" t="shared"/>
        <v>0.15349473377259062</v>
      </c>
      <c r="W38" t="str">
        <f>$A$12</f>
        <v>Seattle Downtown</v>
      </c>
      <c r="X38" s="17">
        <f si="38" t="shared"/>
        <v>-8.0351276589008588E-4</v>
      </c>
      <c r="Y38" s="17">
        <f si="39" t="shared"/>
        <v>0</v>
      </c>
      <c r="Z38" s="17">
        <f si="39" t="shared"/>
        <v>0</v>
      </c>
      <c r="AA38" s="17">
        <f si="39" t="shared"/>
        <v>0</v>
      </c>
      <c r="AB38" s="17">
        <f si="39" t="shared"/>
        <v>1.5761826596236529E-2</v>
      </c>
      <c r="AC38" s="17">
        <f si="39" t="shared"/>
        <v>-2.2474411082340426E-2</v>
      </c>
      <c r="AD38" s="17">
        <f si="39" t="shared"/>
        <v>7.5160972519939962E-3</v>
      </c>
      <c r="AE38" s="17"/>
      <c r="AF38" s="17">
        <f si="33" t="shared"/>
        <v>0</v>
      </c>
    </row>
    <row r="39" spans="1:32" x14ac:dyDescent="0.25">
      <c r="A39" t="str">
        <f>$A$13</f>
        <v>Rest</v>
      </c>
      <c r="B39" s="17">
        <f si="34" t="shared"/>
        <v>2.4891001120843099E-3</v>
      </c>
      <c r="C39" s="17">
        <f si="34" t="shared"/>
        <v>0</v>
      </c>
      <c r="D39" s="17">
        <f si="34" t="shared"/>
        <v>1.2760336860098186E-2</v>
      </c>
      <c r="E39" s="17">
        <f si="34" t="shared"/>
        <v>4.2239280081576951E-3</v>
      </c>
      <c r="F39" s="17">
        <f si="34" t="shared"/>
        <v>3.0163029386731507E-3</v>
      </c>
      <c r="G39" s="17">
        <f si="34" t="shared"/>
        <v>0</v>
      </c>
      <c r="H39" s="17">
        <f si="46" t="shared"/>
        <v>0.59963334726521778</v>
      </c>
      <c r="I39" s="13"/>
      <c r="J39" s="17">
        <f si="28" t="shared"/>
        <v>0.62212301518423119</v>
      </c>
      <c r="K39" s="14"/>
      <c r="L39" t="str">
        <f>$A$13</f>
        <v>Rest</v>
      </c>
      <c r="M39" s="17">
        <f si="36" t="shared"/>
        <v>0</v>
      </c>
      <c r="N39" s="17">
        <f si="36" t="shared"/>
        <v>0</v>
      </c>
      <c r="O39" s="17">
        <f si="36" t="shared"/>
        <v>0</v>
      </c>
      <c r="P39" s="17">
        <f si="36" t="shared"/>
        <v>0</v>
      </c>
      <c r="Q39" s="17">
        <f si="36" t="shared"/>
        <v>2.4696072373308522E-2</v>
      </c>
      <c r="R39" s="17">
        <f si="36" t="shared"/>
        <v>2.3189452270691727E-3</v>
      </c>
      <c r="S39" s="17">
        <f ref="S39" si="48" t="shared">S26/$U$28</f>
        <v>0.59510799758385347</v>
      </c>
      <c r="T39" s="17"/>
      <c r="U39" s="17">
        <f si="31" t="shared"/>
        <v>0.62212301518423119</v>
      </c>
      <c r="W39" t="str">
        <f>$A$13</f>
        <v>Rest</v>
      </c>
      <c r="X39" s="17">
        <f ref="X39" si="49" t="shared">M39-B39</f>
        <v>-2.4891001120843099E-3</v>
      </c>
      <c r="Y39" s="17">
        <f ref="Y39" si="50" t="shared">N39-C39</f>
        <v>0</v>
      </c>
      <c r="Z39" s="17">
        <f ref="Z39" si="51" t="shared">O39-D39</f>
        <v>-1.2760336860098186E-2</v>
      </c>
      <c r="AA39" s="17">
        <f ref="AA39" si="52" t="shared">P39-E39</f>
        <v>-4.2239280081576951E-3</v>
      </c>
      <c r="AB39" s="17">
        <f ref="AB39" si="53" t="shared">Q39-F39</f>
        <v>2.1679769434635371E-2</v>
      </c>
      <c r="AC39" s="17">
        <f ref="AC39" si="54" t="shared">R39-G39</f>
        <v>2.3189452270691727E-3</v>
      </c>
      <c r="AD39" s="17">
        <f ref="AD39" si="55" t="shared">S39-H39</f>
        <v>-4.5253496813643102E-3</v>
      </c>
      <c r="AE39" s="17"/>
      <c r="AF39" s="17">
        <f si="33" t="shared"/>
        <v>0</v>
      </c>
    </row>
    <row r="40" spans="1:32" x14ac:dyDescent="0.25">
      <c r="A40" s="7" t="s">
        <v>16</v>
      </c>
      <c r="B40" s="15"/>
      <c r="C40" s="15"/>
      <c r="D40" s="15"/>
      <c r="E40" s="15"/>
      <c r="F40" s="15"/>
      <c r="G40" s="15"/>
      <c r="H40" s="15"/>
      <c r="I40" s="15"/>
      <c r="J40" s="18"/>
      <c r="K40" s="13"/>
      <c r="L40" s="476" t="s">
        <v>16</v>
      </c>
      <c r="M40" s="18"/>
      <c r="N40" s="18"/>
      <c r="O40" s="18"/>
      <c r="P40" s="18"/>
      <c r="Q40" s="18"/>
      <c r="R40" s="18"/>
      <c r="S40" s="18"/>
      <c r="T40" s="18"/>
      <c r="U40" s="18"/>
      <c r="W40" s="476" t="s">
        <v>16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>
        <f ref="B41:G41" si="56" t="shared">B28/$J$28</f>
        <v>3.6353750926525754E-3</v>
      </c>
      <c r="C41" s="19">
        <f si="56" t="shared"/>
        <v>0</v>
      </c>
      <c r="D41" s="19">
        <f si="56" t="shared"/>
        <v>1.2760336860098186E-2</v>
      </c>
      <c r="E41" s="19">
        <f si="56" t="shared"/>
        <v>4.2239280081576951E-3</v>
      </c>
      <c r="F41" s="19">
        <f si="56" t="shared"/>
        <v>0.21153933679362474</v>
      </c>
      <c r="G41" s="19">
        <f si="56" t="shared"/>
        <v>0.15915677394837299</v>
      </c>
      <c r="H41" s="19"/>
      <c r="I41" s="19">
        <f>I28/$J$28</f>
        <v>0</v>
      </c>
      <c r="J41" s="19">
        <f>J28/$J$28</f>
        <v>1</v>
      </c>
      <c r="K41" s="13"/>
      <c r="L41" s="16" t="s">
        <v>4</v>
      </c>
      <c r="M41" s="19">
        <f>M28/$U$28</f>
        <v>0</v>
      </c>
      <c r="N41" s="19">
        <f>N28/$U$28</f>
        <v>0</v>
      </c>
      <c r="O41" s="19">
        <f>O28/$U$28</f>
        <v>0</v>
      </c>
      <c r="P41" s="19">
        <f>P28/$U$28</f>
        <v>0</v>
      </c>
      <c r="Q41" s="19">
        <f ref="Q41:S41" si="57" t="shared">Q28/$U$28</f>
        <v>0.25200824822434059</v>
      </c>
      <c r="R41" s="19">
        <f si="57" t="shared"/>
        <v>0.125736820545577</v>
      </c>
      <c r="S41" s="19">
        <f si="57" t="shared"/>
        <v>0.62225493123008246</v>
      </c>
      <c r="T41" s="19">
        <f>T28/$U$28</f>
        <v>0</v>
      </c>
      <c r="U41" s="19">
        <f>U28/$U$28</f>
        <v>1</v>
      </c>
      <c r="W41" s="16" t="s">
        <v>4</v>
      </c>
      <c r="X41" s="19">
        <f ref="X41:AD41" si="58" t="shared">M41-B41</f>
        <v>-3.6353750926525754E-3</v>
      </c>
      <c r="Y41" s="19">
        <f si="58" t="shared"/>
        <v>0</v>
      </c>
      <c r="Z41" s="19">
        <f si="58" t="shared"/>
        <v>-1.2760336860098186E-2</v>
      </c>
      <c r="AA41" s="19">
        <f si="58" t="shared"/>
        <v>-4.2239280081576951E-3</v>
      </c>
      <c r="AB41" s="19">
        <f si="58" t="shared"/>
        <v>4.0468911430715848E-2</v>
      </c>
      <c r="AC41" s="19">
        <f si="58" t="shared"/>
        <v>-3.3419953402795993E-2</v>
      </c>
      <c r="AD41" s="19">
        <f si="58" t="shared"/>
        <v>0.62225493123008246</v>
      </c>
      <c r="AE41" s="19">
        <f>T41-I41</f>
        <v>0</v>
      </c>
      <c r="AF41" s="19">
        <f>U41-J41</f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22</v>
      </c>
    </row>
    <row r="2" spans="1:3" x14ac:dyDescent="0.25">
      <c r="A2">
        <v>1</v>
      </c>
      <c r="B2" t="s">
        <v>250</v>
      </c>
    </row>
    <row r="3" spans="1:3" x14ac:dyDescent="0.25">
      <c r="B3" t="s">
        <v>23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27</v>
      </c>
      <c r="C5" t="s">
        <v>28</v>
      </c>
    </row>
    <row r="6" spans="1:3" x14ac:dyDescent="0.25">
      <c r="B6" t="s">
        <v>29</v>
      </c>
      <c r="C6" t="s">
        <v>30</v>
      </c>
    </row>
    <row r="8" spans="1:3" x14ac:dyDescent="0.25">
      <c r="A8">
        <v>2</v>
      </c>
      <c r="B8" t="s">
        <v>31</v>
      </c>
    </row>
    <row r="10" spans="1:3" x14ac:dyDescent="0.25">
      <c r="A10">
        <v>3</v>
      </c>
      <c r="B10" t="s">
        <v>32</v>
      </c>
    </row>
    <row r="12" spans="1:3" x14ac:dyDescent="0.25">
      <c r="A12">
        <v>4</v>
      </c>
      <c r="B12" t="s">
        <v>33</v>
      </c>
    </row>
    <row r="14" spans="1:3" x14ac:dyDescent="0.25">
      <c r="A14">
        <v>5</v>
      </c>
      <c r="B14" t="s">
        <v>34</v>
      </c>
    </row>
    <row r="15" spans="1:3" x14ac:dyDescent="0.25">
      <c r="B15" t="s">
        <v>35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E104"/>
  <sheetViews>
    <sheetView topLeftCell="A20" workbookViewId="0">
      <selection activeCell="J50" sqref="J50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480" t="s">
        <v>46</v>
      </c>
    </row>
    <row r="2" spans="1:4" x14ac:dyDescent="0.25">
      <c r="A2" t="s">
        <v>258</v>
      </c>
      <c r="B2" t="s">
        <v>259</v>
      </c>
      <c r="C2" t="s">
        <v>95</v>
      </c>
      <c r="D2" t="s">
        <v>260</v>
      </c>
    </row>
    <row r="3" spans="1:4" x14ac:dyDescent="0.25">
      <c r="A3">
        <v>1</v>
      </c>
      <c r="B3" t="s">
        <v>49</v>
      </c>
      <c r="C3" t="s">
        <v>261</v>
      </c>
      <c r="D3" t="s">
        <v>50</v>
      </c>
    </row>
    <row r="4" spans="1:4" x14ac:dyDescent="0.25">
      <c r="A4">
        <v>2</v>
      </c>
      <c r="B4" t="s">
        <v>52</v>
      </c>
      <c r="C4" t="s">
        <v>261</v>
      </c>
      <c r="D4" t="s">
        <v>53</v>
      </c>
    </row>
    <row r="5" spans="1:4" x14ac:dyDescent="0.25">
      <c r="A5">
        <v>3</v>
      </c>
      <c r="B5" t="s">
        <v>55</v>
      </c>
      <c r="C5" t="s">
        <v>261</v>
      </c>
      <c r="D5" t="s">
        <v>56</v>
      </c>
    </row>
    <row r="6" spans="1:4" x14ac:dyDescent="0.25">
      <c r="A6">
        <v>4</v>
      </c>
      <c r="B6" t="s">
        <v>58</v>
      </c>
      <c r="C6" t="s">
        <v>261</v>
      </c>
      <c r="D6" t="s">
        <v>59</v>
      </c>
    </row>
    <row r="7" spans="1:4" x14ac:dyDescent="0.25">
      <c r="A7">
        <v>5</v>
      </c>
      <c r="B7" t="s">
        <v>61</v>
      </c>
      <c r="C7" t="s">
        <v>261</v>
      </c>
      <c r="D7" t="s">
        <v>62</v>
      </c>
    </row>
    <row r="8" spans="1:4" x14ac:dyDescent="0.25">
      <c r="A8">
        <v>6</v>
      </c>
      <c r="B8" t="s">
        <v>63</v>
      </c>
      <c r="C8" t="s">
        <v>261</v>
      </c>
      <c r="D8" t="s">
        <v>64</v>
      </c>
    </row>
    <row r="9" spans="1:4" x14ac:dyDescent="0.25">
      <c r="A9">
        <v>7</v>
      </c>
      <c r="B9" t="s">
        <v>65</v>
      </c>
      <c r="C9" t="s">
        <v>261</v>
      </c>
      <c r="D9" t="s">
        <v>66</v>
      </c>
    </row>
    <row r="10" spans="1:4" x14ac:dyDescent="0.25">
      <c r="A10">
        <v>8</v>
      </c>
      <c r="B10" t="s">
        <v>68</v>
      </c>
      <c r="C10" t="s">
        <v>261</v>
      </c>
      <c r="D10" t="s">
        <v>69</v>
      </c>
    </row>
    <row r="11" spans="1:4" x14ac:dyDescent="0.25">
      <c r="A11">
        <v>9</v>
      </c>
      <c r="B11" t="s">
        <v>70</v>
      </c>
      <c r="C11" t="s">
        <v>261</v>
      </c>
      <c r="D11" t="s">
        <v>71</v>
      </c>
    </row>
    <row r="12" spans="1:4" x14ac:dyDescent="0.25">
      <c r="A12">
        <v>10</v>
      </c>
      <c r="B12" t="s">
        <v>72</v>
      </c>
      <c r="C12" t="s">
        <v>261</v>
      </c>
      <c r="D12" t="s">
        <v>73</v>
      </c>
    </row>
    <row r="13" spans="1:4" x14ac:dyDescent="0.25">
      <c r="A13">
        <v>11</v>
      </c>
      <c r="B13" t="s">
        <v>74</v>
      </c>
      <c r="C13" t="s">
        <v>261</v>
      </c>
      <c r="D13" t="s">
        <v>75</v>
      </c>
    </row>
    <row r="14" spans="1:4" x14ac:dyDescent="0.25">
      <c r="A14">
        <v>12</v>
      </c>
      <c r="B14" t="s">
        <v>76</v>
      </c>
      <c r="C14" t="s">
        <v>261</v>
      </c>
      <c r="D14" t="s">
        <v>77</v>
      </c>
    </row>
    <row r="15" spans="1:4" x14ac:dyDescent="0.25">
      <c r="A15">
        <v>13</v>
      </c>
      <c r="B15" t="s">
        <v>78</v>
      </c>
      <c r="C15" t="s">
        <v>261</v>
      </c>
      <c r="D15" t="s">
        <v>79</v>
      </c>
    </row>
    <row r="16" spans="1:4" x14ac:dyDescent="0.25">
      <c r="A16">
        <v>14</v>
      </c>
      <c r="B16" t="s">
        <v>80</v>
      </c>
      <c r="C16" t="s">
        <v>261</v>
      </c>
      <c r="D16" t="s">
        <v>81</v>
      </c>
    </row>
    <row r="17" spans="1:4" x14ac:dyDescent="0.25">
      <c r="A17">
        <v>15</v>
      </c>
      <c r="B17" t="s">
        <v>82</v>
      </c>
      <c r="C17" t="s">
        <v>261</v>
      </c>
      <c r="D17" t="s">
        <v>83</v>
      </c>
    </row>
    <row r="18" spans="1:4" x14ac:dyDescent="0.25">
      <c r="A18">
        <v>16</v>
      </c>
      <c r="B18" t="s">
        <v>84</v>
      </c>
      <c r="C18" t="s">
        <v>261</v>
      </c>
      <c r="D18" t="s">
        <v>85</v>
      </c>
    </row>
    <row r="19" spans="1:4" x14ac:dyDescent="0.25">
      <c r="A19">
        <v>17</v>
      </c>
      <c r="B19" t="s">
        <v>87</v>
      </c>
      <c r="C19" t="s">
        <v>261</v>
      </c>
      <c r="D19" t="s">
        <v>88</v>
      </c>
    </row>
    <row r="20" spans="1:4" x14ac:dyDescent="0.25">
      <c r="A20">
        <v>18</v>
      </c>
      <c r="B20" t="s">
        <v>90</v>
      </c>
      <c r="C20" t="s">
        <v>261</v>
      </c>
      <c r="D20" t="s">
        <v>91</v>
      </c>
    </row>
    <row r="21" spans="1:4" x14ac:dyDescent="0.25">
      <c r="A21">
        <v>19</v>
      </c>
      <c r="B21" t="s">
        <v>93</v>
      </c>
      <c r="C21" t="s">
        <v>261</v>
      </c>
      <c r="D21" t="s">
        <v>94</v>
      </c>
    </row>
    <row r="22" spans="1:4" x14ac:dyDescent="0.25">
      <c r="A22">
        <v>20</v>
      </c>
      <c r="B22" t="s">
        <v>96</v>
      </c>
      <c r="C22" t="s">
        <v>92</v>
      </c>
      <c r="D22" t="s">
        <v>97</v>
      </c>
    </row>
    <row r="23" spans="1:4" x14ac:dyDescent="0.25">
      <c r="A23">
        <v>21</v>
      </c>
      <c r="B23" t="s">
        <v>98</v>
      </c>
      <c r="C23" t="s">
        <v>92</v>
      </c>
      <c r="D23" t="s">
        <v>99</v>
      </c>
    </row>
    <row r="24" spans="1:4" x14ac:dyDescent="0.25">
      <c r="A24">
        <v>22</v>
      </c>
      <c r="B24" t="s">
        <v>100</v>
      </c>
      <c r="C24" t="s">
        <v>92</v>
      </c>
      <c r="D24" t="s">
        <v>101</v>
      </c>
    </row>
    <row r="25" spans="1:4" x14ac:dyDescent="0.25">
      <c r="A25">
        <v>23</v>
      </c>
      <c r="B25" t="s">
        <v>102</v>
      </c>
      <c r="C25" t="s">
        <v>92</v>
      </c>
      <c r="D25" t="s">
        <v>103</v>
      </c>
    </row>
    <row r="26" spans="1:4" x14ac:dyDescent="0.25">
      <c r="A26">
        <v>24</v>
      </c>
      <c r="B26" t="s">
        <v>104</v>
      </c>
      <c r="C26" t="s">
        <v>92</v>
      </c>
      <c r="D26" t="s">
        <v>105</v>
      </c>
    </row>
    <row r="27" spans="1:4" x14ac:dyDescent="0.25">
      <c r="A27">
        <v>25</v>
      </c>
      <c r="B27" t="s">
        <v>107</v>
      </c>
      <c r="C27" t="s">
        <v>92</v>
      </c>
      <c r="D27" t="s">
        <v>108</v>
      </c>
    </row>
    <row r="28" spans="1:4" x14ac:dyDescent="0.25">
      <c r="A28">
        <v>26</v>
      </c>
      <c r="B28" t="s">
        <v>109</v>
      </c>
      <c r="C28" t="s">
        <v>106</v>
      </c>
      <c r="D28" t="s">
        <v>97</v>
      </c>
    </row>
    <row r="29" spans="1:4" x14ac:dyDescent="0.25">
      <c r="A29">
        <v>27</v>
      </c>
      <c r="B29" t="s">
        <v>110</v>
      </c>
      <c r="C29" t="s">
        <v>106</v>
      </c>
      <c r="D29" t="s">
        <v>99</v>
      </c>
    </row>
    <row r="30" spans="1:4" x14ac:dyDescent="0.25">
      <c r="A30">
        <v>28</v>
      </c>
      <c r="B30" t="s">
        <v>112</v>
      </c>
      <c r="C30" t="s">
        <v>106</v>
      </c>
      <c r="D30" t="s">
        <v>101</v>
      </c>
    </row>
    <row r="31" spans="1:4" x14ac:dyDescent="0.25">
      <c r="A31">
        <v>29</v>
      </c>
      <c r="B31" t="s">
        <v>113</v>
      </c>
      <c r="C31" t="s">
        <v>106</v>
      </c>
      <c r="D31" t="s">
        <v>103</v>
      </c>
    </row>
    <row r="32" spans="1:4" x14ac:dyDescent="0.25">
      <c r="A32">
        <v>30</v>
      </c>
      <c r="B32" t="s">
        <v>114</v>
      </c>
      <c r="C32" t="s">
        <v>106</v>
      </c>
      <c r="D32" t="s">
        <v>115</v>
      </c>
    </row>
    <row r="33" spans="1:4" x14ac:dyDescent="0.25">
      <c r="A33">
        <v>31</v>
      </c>
      <c r="B33" t="s">
        <v>116</v>
      </c>
      <c r="C33" t="s">
        <v>106</v>
      </c>
      <c r="D33" t="s">
        <v>117</v>
      </c>
    </row>
    <row r="34" spans="1:4" x14ac:dyDescent="0.25">
      <c r="A34">
        <v>32</v>
      </c>
      <c r="B34" t="s">
        <v>118</v>
      </c>
      <c r="C34" t="s">
        <v>106</v>
      </c>
      <c r="D34" t="s">
        <v>119</v>
      </c>
    </row>
    <row r="35" spans="1:4" x14ac:dyDescent="0.25">
      <c r="A35">
        <v>33</v>
      </c>
      <c r="B35" t="s">
        <v>120</v>
      </c>
      <c r="C35" t="s">
        <v>106</v>
      </c>
      <c r="D35" t="s">
        <v>121</v>
      </c>
    </row>
    <row r="36" spans="1:4" x14ac:dyDescent="0.25">
      <c r="A36">
        <v>34</v>
      </c>
      <c r="B36" t="s">
        <v>122</v>
      </c>
      <c r="C36" t="s">
        <v>106</v>
      </c>
      <c r="D36" t="s">
        <v>123</v>
      </c>
    </row>
    <row r="37" spans="1:4" x14ac:dyDescent="0.25">
      <c r="A37">
        <v>35</v>
      </c>
      <c r="B37" t="s">
        <v>125</v>
      </c>
      <c r="C37" t="s">
        <v>106</v>
      </c>
      <c r="D37" t="s">
        <v>126</v>
      </c>
    </row>
    <row r="38" spans="1:4" x14ac:dyDescent="0.25">
      <c r="A38">
        <v>36</v>
      </c>
      <c r="B38" t="s">
        <v>127</v>
      </c>
      <c r="C38" t="s">
        <v>124</v>
      </c>
      <c r="D38" t="s">
        <v>97</v>
      </c>
    </row>
    <row r="39" spans="1:4" x14ac:dyDescent="0.25">
      <c r="A39">
        <v>37</v>
      </c>
      <c r="B39" t="s">
        <v>128</v>
      </c>
      <c r="C39" t="s">
        <v>124</v>
      </c>
      <c r="D39" t="s">
        <v>99</v>
      </c>
    </row>
    <row r="40" spans="1:4" x14ac:dyDescent="0.25">
      <c r="A40">
        <v>38</v>
      </c>
      <c r="B40" t="s">
        <v>130</v>
      </c>
      <c r="C40" t="s">
        <v>124</v>
      </c>
      <c r="D40" t="s">
        <v>101</v>
      </c>
    </row>
    <row r="41" spans="1:4" x14ac:dyDescent="0.25">
      <c r="A41">
        <v>39</v>
      </c>
      <c r="B41" t="s">
        <v>131</v>
      </c>
      <c r="C41" t="s">
        <v>124</v>
      </c>
      <c r="D41" t="s">
        <v>103</v>
      </c>
    </row>
    <row r="42" spans="1:4" x14ac:dyDescent="0.25">
      <c r="A42">
        <v>40</v>
      </c>
      <c r="B42" t="s">
        <v>132</v>
      </c>
      <c r="C42" t="s">
        <v>124</v>
      </c>
      <c r="D42" t="s">
        <v>115</v>
      </c>
    </row>
    <row r="43" spans="1:4" x14ac:dyDescent="0.25">
      <c r="A43">
        <v>41</v>
      </c>
      <c r="B43" t="s">
        <v>133</v>
      </c>
      <c r="C43" t="s">
        <v>124</v>
      </c>
      <c r="D43" t="s">
        <v>117</v>
      </c>
    </row>
    <row r="44" spans="1:4" x14ac:dyDescent="0.25">
      <c r="A44">
        <v>42</v>
      </c>
      <c r="B44" t="s">
        <v>135</v>
      </c>
      <c r="C44" t="s">
        <v>124</v>
      </c>
      <c r="D44" t="s">
        <v>136</v>
      </c>
    </row>
    <row r="45" spans="1:4" x14ac:dyDescent="0.25">
      <c r="A45">
        <v>43</v>
      </c>
      <c r="B45" t="s">
        <v>137</v>
      </c>
      <c r="C45" t="s">
        <v>134</v>
      </c>
      <c r="D45" t="s">
        <v>97</v>
      </c>
    </row>
    <row r="46" spans="1:4" x14ac:dyDescent="0.25">
      <c r="A46">
        <v>44</v>
      </c>
      <c r="B46" t="s">
        <v>138</v>
      </c>
      <c r="C46" t="s">
        <v>134</v>
      </c>
      <c r="D46" t="s">
        <v>139</v>
      </c>
    </row>
    <row r="47" spans="1:4" x14ac:dyDescent="0.25">
      <c r="A47">
        <v>45</v>
      </c>
      <c r="B47" t="s">
        <v>140</v>
      </c>
      <c r="C47" t="s">
        <v>134</v>
      </c>
      <c r="D47" t="s">
        <v>141</v>
      </c>
    </row>
    <row r="48" spans="1:4" x14ac:dyDescent="0.25">
      <c r="A48">
        <v>46</v>
      </c>
      <c r="B48" t="s">
        <v>142</v>
      </c>
      <c r="C48" t="s">
        <v>134</v>
      </c>
      <c r="D48" t="s">
        <v>143</v>
      </c>
    </row>
    <row r="49" spans="1:4" x14ac:dyDescent="0.25">
      <c r="A49">
        <v>47</v>
      </c>
      <c r="B49" t="s">
        <v>144</v>
      </c>
      <c r="C49" t="s">
        <v>134</v>
      </c>
      <c r="D49" t="s">
        <v>145</v>
      </c>
    </row>
    <row r="50" spans="1:4" x14ac:dyDescent="0.25">
      <c r="A50">
        <v>48</v>
      </c>
      <c r="B50" t="s">
        <v>147</v>
      </c>
      <c r="C50" t="s">
        <v>134</v>
      </c>
      <c r="D50" t="s">
        <v>148</v>
      </c>
    </row>
    <row r="51" spans="1:4" x14ac:dyDescent="0.25">
      <c r="A51">
        <v>49</v>
      </c>
      <c r="B51" t="s">
        <v>149</v>
      </c>
      <c r="C51" t="s">
        <v>146</v>
      </c>
      <c r="D51" t="s">
        <v>97</v>
      </c>
    </row>
    <row r="52" spans="1:4" x14ac:dyDescent="0.25">
      <c r="A52">
        <v>50</v>
      </c>
      <c r="B52" t="s">
        <v>150</v>
      </c>
      <c r="C52" t="s">
        <v>146</v>
      </c>
      <c r="D52" t="s">
        <v>99</v>
      </c>
    </row>
    <row r="53" spans="1:4" x14ac:dyDescent="0.25">
      <c r="A53">
        <v>51</v>
      </c>
      <c r="B53" t="s">
        <v>151</v>
      </c>
      <c r="C53" t="s">
        <v>146</v>
      </c>
      <c r="D53" t="s">
        <v>101</v>
      </c>
    </row>
    <row r="54" spans="1:4" x14ac:dyDescent="0.25">
      <c r="A54">
        <v>52</v>
      </c>
      <c r="B54" t="s">
        <v>152</v>
      </c>
      <c r="C54" t="s">
        <v>146</v>
      </c>
      <c r="D54" t="s">
        <v>103</v>
      </c>
    </row>
    <row r="55" spans="1:4" x14ac:dyDescent="0.25">
      <c r="A55">
        <v>53</v>
      </c>
      <c r="B55" t="s">
        <v>153</v>
      </c>
      <c r="C55" t="s">
        <v>146</v>
      </c>
      <c r="D55" t="s">
        <v>115</v>
      </c>
    </row>
    <row r="56" spans="1:4" x14ac:dyDescent="0.25">
      <c r="A56">
        <v>54</v>
      </c>
      <c r="B56" t="s">
        <v>154</v>
      </c>
      <c r="C56" t="s">
        <v>146</v>
      </c>
      <c r="D56" t="s">
        <v>155</v>
      </c>
    </row>
    <row r="57" spans="1:4" x14ac:dyDescent="0.25">
      <c r="A57">
        <v>55</v>
      </c>
      <c r="B57" t="s">
        <v>156</v>
      </c>
      <c r="C57" t="s">
        <v>146</v>
      </c>
      <c r="D57" t="s">
        <v>119</v>
      </c>
    </row>
    <row r="58" spans="1:4" x14ac:dyDescent="0.25">
      <c r="A58">
        <v>56</v>
      </c>
      <c r="B58" t="s">
        <v>157</v>
      </c>
      <c r="C58" t="s">
        <v>146</v>
      </c>
      <c r="D58" t="s">
        <v>123</v>
      </c>
    </row>
    <row r="59" spans="1:4" x14ac:dyDescent="0.25">
      <c r="A59">
        <v>57</v>
      </c>
      <c r="B59" t="s">
        <v>158</v>
      </c>
      <c r="C59" t="s">
        <v>146</v>
      </c>
      <c r="D59" t="s">
        <v>126</v>
      </c>
    </row>
    <row r="60" spans="1:4" x14ac:dyDescent="0.25">
      <c r="A60">
        <v>118</v>
      </c>
      <c r="B60" t="s">
        <v>262</v>
      </c>
    </row>
    <row r="61" spans="1:4" x14ac:dyDescent="0.25">
      <c r="A61">
        <v>70</v>
      </c>
      <c r="B61" t="s">
        <v>159</v>
      </c>
      <c r="C61" t="s">
        <v>92</v>
      </c>
    </row>
    <row r="62" spans="1:4" x14ac:dyDescent="0.25">
      <c r="A62">
        <v>71</v>
      </c>
      <c r="B62" t="s">
        <v>160</v>
      </c>
      <c r="C62" t="s">
        <v>92</v>
      </c>
      <c r="D62" t="s">
        <v>161</v>
      </c>
    </row>
    <row r="63" spans="1:4" x14ac:dyDescent="0.25">
      <c r="A63">
        <v>72</v>
      </c>
      <c r="B63" t="s">
        <v>162</v>
      </c>
      <c r="C63" t="s">
        <v>92</v>
      </c>
      <c r="D63" t="s">
        <v>163</v>
      </c>
    </row>
    <row r="64" spans="1:4" x14ac:dyDescent="0.25">
      <c r="A64">
        <v>73</v>
      </c>
      <c r="B64" t="s">
        <v>164</v>
      </c>
      <c r="C64" t="s">
        <v>92</v>
      </c>
      <c r="D64" t="s">
        <v>165</v>
      </c>
    </row>
    <row r="65" spans="1:4" x14ac:dyDescent="0.25">
      <c r="A65">
        <v>74</v>
      </c>
      <c r="B65" t="s">
        <v>166</v>
      </c>
      <c r="C65" t="s">
        <v>92</v>
      </c>
      <c r="D65" t="s">
        <v>167</v>
      </c>
    </row>
    <row r="66" spans="1:4" x14ac:dyDescent="0.25">
      <c r="A66">
        <v>75</v>
      </c>
      <c r="B66" t="s">
        <v>168</v>
      </c>
      <c r="C66" t="s">
        <v>92</v>
      </c>
      <c r="D66" t="s">
        <v>169</v>
      </c>
    </row>
    <row r="67" spans="1:4" x14ac:dyDescent="0.25">
      <c r="A67">
        <v>76</v>
      </c>
      <c r="B67" t="s">
        <v>170</v>
      </c>
      <c r="C67" t="s">
        <v>92</v>
      </c>
      <c r="D67" t="s">
        <v>171</v>
      </c>
    </row>
    <row r="68" spans="1:4" x14ac:dyDescent="0.25">
      <c r="A68">
        <v>77</v>
      </c>
      <c r="B68" t="s">
        <v>172</v>
      </c>
      <c r="C68" t="s">
        <v>92</v>
      </c>
      <c r="D68" t="s">
        <v>173</v>
      </c>
    </row>
    <row r="69" spans="1:4" x14ac:dyDescent="0.25">
      <c r="A69">
        <v>78</v>
      </c>
      <c r="B69" t="s">
        <v>174</v>
      </c>
      <c r="C69" t="s">
        <v>92</v>
      </c>
      <c r="D69" t="s">
        <v>175</v>
      </c>
    </row>
    <row r="70" spans="1:4" x14ac:dyDescent="0.25">
      <c r="A70">
        <v>79</v>
      </c>
      <c r="B70" t="s">
        <v>176</v>
      </c>
      <c r="C70" t="s">
        <v>92</v>
      </c>
      <c r="D70" t="s">
        <v>177</v>
      </c>
    </row>
    <row r="71" spans="1:4" x14ac:dyDescent="0.25">
      <c r="A71">
        <v>80</v>
      </c>
      <c r="B71" t="s">
        <v>178</v>
      </c>
      <c r="C71" t="s">
        <v>92</v>
      </c>
      <c r="D71" t="s">
        <v>179</v>
      </c>
    </row>
    <row r="72" spans="1:4" x14ac:dyDescent="0.25">
      <c r="A72">
        <v>81</v>
      </c>
      <c r="B72" t="s">
        <v>180</v>
      </c>
      <c r="C72" t="s">
        <v>92</v>
      </c>
      <c r="D72" t="s">
        <v>181</v>
      </c>
    </row>
    <row r="73" spans="1:4" x14ac:dyDescent="0.25">
      <c r="A73">
        <v>82</v>
      </c>
      <c r="B73" t="s">
        <v>182</v>
      </c>
      <c r="C73" t="s">
        <v>92</v>
      </c>
      <c r="D73" t="s">
        <v>181</v>
      </c>
    </row>
    <row r="74" spans="1:4" x14ac:dyDescent="0.25">
      <c r="A74">
        <v>83</v>
      </c>
      <c r="B74" t="s">
        <v>183</v>
      </c>
      <c r="C74" t="s">
        <v>92</v>
      </c>
      <c r="D74" t="s">
        <v>184</v>
      </c>
    </row>
    <row r="75" spans="1:4" x14ac:dyDescent="0.25">
      <c r="A75">
        <v>84</v>
      </c>
      <c r="B75" t="s">
        <v>185</v>
      </c>
      <c r="C75" t="s">
        <v>92</v>
      </c>
      <c r="D75" t="s">
        <v>186</v>
      </c>
    </row>
    <row r="76" spans="1:4" x14ac:dyDescent="0.25">
      <c r="A76">
        <v>85</v>
      </c>
      <c r="B76" t="s">
        <v>187</v>
      </c>
      <c r="C76" t="s">
        <v>92</v>
      </c>
      <c r="D76" t="s">
        <v>188</v>
      </c>
    </row>
    <row r="77" spans="1:4" x14ac:dyDescent="0.25">
      <c r="A77">
        <v>86</v>
      </c>
      <c r="B77" t="s">
        <v>189</v>
      </c>
      <c r="C77" t="s">
        <v>92</v>
      </c>
      <c r="D77" t="s">
        <v>190</v>
      </c>
    </row>
    <row r="78" spans="1:4" x14ac:dyDescent="0.25">
      <c r="A78">
        <v>87</v>
      </c>
      <c r="B78" t="s">
        <v>191</v>
      </c>
      <c r="C78" t="s">
        <v>92</v>
      </c>
      <c r="D78" t="s">
        <v>192</v>
      </c>
    </row>
    <row r="79" spans="1:4" x14ac:dyDescent="0.25">
      <c r="A79">
        <v>88</v>
      </c>
      <c r="B79" t="s">
        <v>193</v>
      </c>
      <c r="C79" t="s">
        <v>92</v>
      </c>
      <c r="D79" t="s">
        <v>194</v>
      </c>
    </row>
    <row r="80" spans="1:4" x14ac:dyDescent="0.25">
      <c r="A80">
        <v>89</v>
      </c>
      <c r="B80" t="s">
        <v>195</v>
      </c>
      <c r="C80" t="s">
        <v>106</v>
      </c>
      <c r="D80" t="s">
        <v>196</v>
      </c>
    </row>
    <row r="81" spans="1:4" x14ac:dyDescent="0.25">
      <c r="A81">
        <v>90</v>
      </c>
      <c r="B81" t="s">
        <v>197</v>
      </c>
      <c r="C81" t="s">
        <v>106</v>
      </c>
      <c r="D81" t="s">
        <v>198</v>
      </c>
    </row>
    <row r="82" spans="1:4" x14ac:dyDescent="0.25">
      <c r="A82">
        <v>91</v>
      </c>
      <c r="B82" t="s">
        <v>199</v>
      </c>
      <c r="C82" t="s">
        <v>106</v>
      </c>
      <c r="D82" t="s">
        <v>200</v>
      </c>
    </row>
    <row r="83" spans="1:4" x14ac:dyDescent="0.25">
      <c r="A83">
        <v>92</v>
      </c>
      <c r="B83" t="s">
        <v>201</v>
      </c>
      <c r="C83" t="s">
        <v>106</v>
      </c>
      <c r="D83" t="s">
        <v>202</v>
      </c>
    </row>
    <row r="84" spans="1:4" x14ac:dyDescent="0.25">
      <c r="A84">
        <v>93</v>
      </c>
      <c r="B84" t="s">
        <v>203</v>
      </c>
      <c r="C84" t="s">
        <v>106</v>
      </c>
      <c r="D84" t="s">
        <v>204</v>
      </c>
    </row>
    <row r="85" spans="1:4" x14ac:dyDescent="0.25">
      <c r="A85">
        <v>94</v>
      </c>
      <c r="B85" t="s">
        <v>205</v>
      </c>
      <c r="C85" t="s">
        <v>106</v>
      </c>
      <c r="D85" t="s">
        <v>206</v>
      </c>
    </row>
    <row r="86" spans="1:4" x14ac:dyDescent="0.25">
      <c r="A86">
        <v>95</v>
      </c>
      <c r="B86" t="s">
        <v>207</v>
      </c>
      <c r="C86" t="s">
        <v>106</v>
      </c>
      <c r="D86" t="s">
        <v>208</v>
      </c>
    </row>
    <row r="87" spans="1:4" x14ac:dyDescent="0.25">
      <c r="A87">
        <v>96</v>
      </c>
      <c r="B87" t="s">
        <v>209</v>
      </c>
      <c r="C87" t="s">
        <v>106</v>
      </c>
      <c r="D87" t="s">
        <v>210</v>
      </c>
    </row>
    <row r="88" spans="1:4" x14ac:dyDescent="0.25">
      <c r="A88">
        <v>97</v>
      </c>
      <c r="B88" t="s">
        <v>211</v>
      </c>
      <c r="C88" t="s">
        <v>106</v>
      </c>
      <c r="D88" t="s">
        <v>212</v>
      </c>
    </row>
    <row r="89" spans="1:4" x14ac:dyDescent="0.25">
      <c r="A89">
        <v>98</v>
      </c>
      <c r="B89" t="s">
        <v>213</v>
      </c>
      <c r="C89" t="s">
        <v>124</v>
      </c>
      <c r="D89" t="s">
        <v>198</v>
      </c>
    </row>
    <row r="90" spans="1:4" x14ac:dyDescent="0.25">
      <c r="A90">
        <v>99</v>
      </c>
      <c r="B90" t="s">
        <v>214</v>
      </c>
      <c r="C90" t="s">
        <v>124</v>
      </c>
      <c r="D90" t="s">
        <v>200</v>
      </c>
    </row>
    <row r="91" spans="1:4" x14ac:dyDescent="0.25">
      <c r="A91">
        <v>100</v>
      </c>
      <c r="B91" t="s">
        <v>215</v>
      </c>
      <c r="C91" t="s">
        <v>124</v>
      </c>
      <c r="D91" t="s">
        <v>202</v>
      </c>
    </row>
    <row r="92" spans="1:4" x14ac:dyDescent="0.25">
      <c r="A92">
        <v>101</v>
      </c>
      <c r="B92" t="s">
        <v>216</v>
      </c>
      <c r="C92" t="s">
        <v>124</v>
      </c>
      <c r="D92" t="s">
        <v>204</v>
      </c>
    </row>
    <row r="93" spans="1:4" x14ac:dyDescent="0.25">
      <c r="A93">
        <v>102</v>
      </c>
      <c r="B93" t="s">
        <v>217</v>
      </c>
      <c r="C93" t="s">
        <v>134</v>
      </c>
      <c r="D93" t="s">
        <v>198</v>
      </c>
    </row>
    <row r="94" spans="1:4" x14ac:dyDescent="0.25">
      <c r="A94">
        <v>103</v>
      </c>
      <c r="B94" t="s">
        <v>218</v>
      </c>
      <c r="C94" t="s">
        <v>134</v>
      </c>
      <c r="D94" t="s">
        <v>200</v>
      </c>
    </row>
    <row r="95" spans="1:4" x14ac:dyDescent="0.25">
      <c r="A95">
        <v>104</v>
      </c>
      <c r="B95" t="s">
        <v>219</v>
      </c>
      <c r="C95" t="s">
        <v>134</v>
      </c>
      <c r="D95" t="s">
        <v>202</v>
      </c>
    </row>
    <row r="96" spans="1:4" x14ac:dyDescent="0.25">
      <c r="A96">
        <v>105</v>
      </c>
      <c r="B96" t="s">
        <v>220</v>
      </c>
      <c r="C96" t="s">
        <v>134</v>
      </c>
      <c r="D96" t="s">
        <v>204</v>
      </c>
    </row>
    <row r="97" spans="1:4" x14ac:dyDescent="0.25">
      <c r="A97">
        <v>106</v>
      </c>
      <c r="B97" t="s">
        <v>221</v>
      </c>
      <c r="C97" t="s">
        <v>146</v>
      </c>
      <c r="D97" t="s">
        <v>198</v>
      </c>
    </row>
    <row r="98" spans="1:4" x14ac:dyDescent="0.25">
      <c r="A98">
        <v>107</v>
      </c>
      <c r="B98" t="s">
        <v>222</v>
      </c>
      <c r="C98" t="s">
        <v>146</v>
      </c>
      <c r="D98" t="s">
        <v>223</v>
      </c>
    </row>
    <row r="99" spans="1:4" x14ac:dyDescent="0.25">
      <c r="A99">
        <v>108</v>
      </c>
      <c r="B99" t="s">
        <v>224</v>
      </c>
      <c r="C99" t="s">
        <v>146</v>
      </c>
      <c r="D99" t="s">
        <v>200</v>
      </c>
    </row>
    <row r="100" spans="1:4" x14ac:dyDescent="0.25">
      <c r="A100">
        <v>109</v>
      </c>
      <c r="B100" t="s">
        <v>225</v>
      </c>
      <c r="C100" t="s">
        <v>146</v>
      </c>
      <c r="D100" t="s">
        <v>202</v>
      </c>
    </row>
    <row r="101" spans="1:4" x14ac:dyDescent="0.25">
      <c r="A101">
        <v>110</v>
      </c>
      <c r="B101" t="s">
        <v>226</v>
      </c>
      <c r="C101" t="s">
        <v>146</v>
      </c>
      <c r="D101" t="s">
        <v>204</v>
      </c>
    </row>
    <row r="102" spans="1:4" x14ac:dyDescent="0.25">
      <c r="A102">
        <v>111</v>
      </c>
      <c r="B102" t="s">
        <v>227</v>
      </c>
      <c r="C102" t="s">
        <v>146</v>
      </c>
      <c r="D102" t="s">
        <v>210</v>
      </c>
    </row>
    <row r="103" spans="1:4" x14ac:dyDescent="0.25">
      <c r="A103">
        <v>112</v>
      </c>
      <c r="B103" t="s">
        <v>228</v>
      </c>
      <c r="C103" t="s">
        <v>146</v>
      </c>
      <c r="D103" t="s">
        <v>229</v>
      </c>
    </row>
    <row r="104" spans="1:4" x14ac:dyDescent="0.25">
      <c r="A104">
        <v>113</v>
      </c>
      <c r="B104" t="s">
        <v>230</v>
      </c>
      <c r="C104" t="s">
        <v>146</v>
      </c>
      <c r="D104" t="s">
        <v>212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L620"/>
  <sheetViews>
    <sheetView workbookViewId="0">
      <selection activeCell="P9" sqref="P9"/>
    </sheetView>
  </sheetViews>
  <sheetFormatPr defaultRowHeight="15" x14ac:dyDescent="0.25"/>
  <sheetData>
    <row r="1" spans="1:11" x14ac:dyDescent="0.25">
      <c r="A1" s="523" t="s">
        <v>231</v>
      </c>
      <c r="B1" s="524"/>
      <c r="C1" s="524"/>
      <c r="D1" s="524"/>
      <c r="E1" s="524"/>
      <c r="F1" s="524"/>
      <c r="G1" s="524"/>
      <c r="H1" s="524" t="s">
        <v>232</v>
      </c>
      <c r="I1" s="524"/>
      <c r="J1" s="524"/>
      <c r="K1" s="525"/>
    </row>
    <row r="2" spans="1:11" x14ac:dyDescent="0.25">
      <c r="A2" s="526">
        <v>1</v>
      </c>
      <c r="B2" s="527" t="s">
        <v>263</v>
      </c>
      <c r="C2" s="527"/>
      <c r="D2" s="527"/>
      <c r="E2" s="527"/>
      <c r="F2" s="527"/>
      <c r="G2" s="527"/>
      <c r="H2" s="527"/>
      <c r="I2" s="527"/>
      <c r="J2" s="527"/>
      <c r="K2" s="528"/>
    </row>
    <row r="3" spans="1:11" x14ac:dyDescent="0.25">
      <c r="A3" s="526">
        <v>2</v>
      </c>
      <c r="B3" s="527" t="s">
        <v>233</v>
      </c>
      <c r="C3" s="527"/>
      <c r="D3" s="527"/>
      <c r="E3" s="527"/>
      <c r="F3" s="527"/>
      <c r="G3" s="527"/>
      <c r="H3" s="527"/>
      <c r="I3" s="527"/>
      <c r="J3" s="527"/>
      <c r="K3" s="528"/>
    </row>
    <row r="4" spans="1:11" x14ac:dyDescent="0.25">
      <c r="A4" s="526">
        <v>3</v>
      </c>
      <c r="B4" s="527" t="s">
        <v>234</v>
      </c>
      <c r="C4" s="527"/>
      <c r="D4" s="527"/>
      <c r="E4" s="527"/>
      <c r="F4" s="527"/>
      <c r="G4" s="527"/>
      <c r="H4" s="527"/>
      <c r="I4" s="527"/>
      <c r="J4" s="527"/>
      <c r="K4" s="528"/>
    </row>
    <row r="5" spans="1:11" x14ac:dyDescent="0.25">
      <c r="A5" s="529">
        <v>4</v>
      </c>
      <c r="B5" s="530" t="s">
        <v>235</v>
      </c>
      <c r="C5" s="530"/>
      <c r="D5" s="530"/>
      <c r="E5" s="530"/>
      <c r="F5" s="530"/>
      <c r="G5" s="530"/>
      <c r="H5" s="530"/>
      <c r="I5" s="530"/>
      <c r="J5" s="530"/>
      <c r="K5" s="531"/>
    </row>
    <row r="8" spans="1:11" x14ac:dyDescent="0.25">
      <c r="A8" t="s">
        <v>236</v>
      </c>
      <c r="B8" t="s">
        <v>237</v>
      </c>
      <c r="C8" t="s">
        <v>238</v>
      </c>
      <c r="D8" t="s">
        <v>264</v>
      </c>
    </row>
    <row r="9" spans="1:11" x14ac:dyDescent="0.25">
      <c r="A9" t="s">
        <v>239</v>
      </c>
      <c r="B9" t="s">
        <v>240</v>
      </c>
      <c r="C9" t="s">
        <v>241</v>
      </c>
      <c r="D9" t="s">
        <v>242</v>
      </c>
      <c r="E9">
        <v>4</v>
      </c>
      <c r="F9" s="518">
        <v>0.46135416666666668</v>
      </c>
      <c r="G9" t="s">
        <v>243</v>
      </c>
      <c r="H9">
        <v>31</v>
      </c>
      <c r="I9" t="s">
        <v>265</v>
      </c>
      <c r="J9">
        <v>16</v>
      </c>
    </row>
    <row r="10" spans="1:11" x14ac:dyDescent="0.25">
      <c r="A10" t="s">
        <v>244</v>
      </c>
    </row>
    <row r="11" spans="1:11" x14ac:dyDescent="0.25">
      <c r="B11">
        <v>1</v>
      </c>
      <c r="C11" t="s">
        <v>49</v>
      </c>
      <c r="D11" t="s">
        <v>245</v>
      </c>
      <c r="E11">
        <v>1</v>
      </c>
      <c r="F11">
        <v>0</v>
      </c>
    </row>
    <row r="12" spans="1:11" x14ac:dyDescent="0.25">
      <c r="B12">
        <v>2</v>
      </c>
      <c r="C12" t="s">
        <v>52</v>
      </c>
      <c r="D12" t="s">
        <v>246</v>
      </c>
      <c r="E12">
        <v>11.7146172749</v>
      </c>
      <c r="F12">
        <v>1.25201685879</v>
      </c>
    </row>
    <row r="13" spans="1:11" x14ac:dyDescent="0.25">
      <c r="B13">
        <v>3</v>
      </c>
      <c r="C13" t="s">
        <v>55</v>
      </c>
      <c r="D13" t="s">
        <v>245</v>
      </c>
      <c r="E13" s="519">
        <v>-0.2117</v>
      </c>
      <c r="F13">
        <v>0</v>
      </c>
    </row>
    <row r="14" spans="1:11" x14ac:dyDescent="0.25">
      <c r="B14">
        <v>4</v>
      </c>
      <c r="C14" t="s">
        <v>58</v>
      </c>
      <c r="D14" t="s">
        <v>246</v>
      </c>
      <c r="E14" s="519">
        <v>0.27120783067900001</v>
      </c>
      <c r="F14">
        <v>0.28080475059900001</v>
      </c>
    </row>
    <row r="15" spans="1:11" x14ac:dyDescent="0.25">
      <c r="B15">
        <v>5</v>
      </c>
      <c r="C15" t="s">
        <v>61</v>
      </c>
      <c r="D15" t="s">
        <v>246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63</v>
      </c>
      <c r="D16" t="s">
        <v>246</v>
      </c>
      <c r="E16" s="519">
        <v>-8.2865473150899996E-2</v>
      </c>
      <c r="F16">
        <v>0.12955742148800001</v>
      </c>
    </row>
    <row r="17" spans="2:6" x14ac:dyDescent="0.25">
      <c r="B17">
        <v>7</v>
      </c>
      <c r="C17" t="s">
        <v>65</v>
      </c>
      <c r="D17" t="s">
        <v>246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68</v>
      </c>
      <c r="D18" t="s">
        <v>245</v>
      </c>
      <c r="E18" s="519">
        <v>6.9400000000000003E-2</v>
      </c>
      <c r="F18">
        <v>0</v>
      </c>
    </row>
    <row r="19" spans="2:6" x14ac:dyDescent="0.25">
      <c r="B19">
        <v>9</v>
      </c>
      <c r="C19" t="s">
        <v>70</v>
      </c>
      <c r="D19" t="s">
        <v>246</v>
      </c>
      <c r="E19" s="519">
        <v>-9.5820044919499997E-2</v>
      </c>
      <c r="F19">
        <v>0.17082561533000001</v>
      </c>
    </row>
    <row r="20" spans="2:6" x14ac:dyDescent="0.25">
      <c r="B20">
        <v>10</v>
      </c>
      <c r="C20" t="s">
        <v>72</v>
      </c>
      <c r="D20" t="s">
        <v>246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74</v>
      </c>
      <c r="D21" t="s">
        <v>246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76</v>
      </c>
      <c r="D22" t="s">
        <v>246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78</v>
      </c>
      <c r="D23" t="s">
        <v>246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80</v>
      </c>
      <c r="D24" t="s">
        <v>246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82</v>
      </c>
      <c r="D25" t="s">
        <v>246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84</v>
      </c>
      <c r="D26" t="s">
        <v>246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87</v>
      </c>
      <c r="D27" t="s">
        <v>245</v>
      </c>
      <c r="E27">
        <v>0</v>
      </c>
      <c r="F27">
        <v>0</v>
      </c>
    </row>
    <row r="28" spans="2:6" x14ac:dyDescent="0.25">
      <c r="B28">
        <v>18</v>
      </c>
      <c r="C28" t="s">
        <v>90</v>
      </c>
      <c r="D28" t="s">
        <v>245</v>
      </c>
      <c r="E28">
        <v>0</v>
      </c>
      <c r="F28">
        <v>0</v>
      </c>
    </row>
    <row r="29" spans="2:6" x14ac:dyDescent="0.25">
      <c r="B29">
        <v>19</v>
      </c>
      <c r="C29" t="s">
        <v>93</v>
      </c>
      <c r="D29" t="s">
        <v>245</v>
      </c>
      <c r="E29">
        <v>0</v>
      </c>
      <c r="F29">
        <v>0</v>
      </c>
    </row>
    <row r="30" spans="2:6" x14ac:dyDescent="0.25">
      <c r="B30">
        <v>20</v>
      </c>
      <c r="C30" t="s">
        <v>96</v>
      </c>
      <c r="D30" t="s">
        <v>246</v>
      </c>
      <c r="E30">
        <v>0.63771148688699997</v>
      </c>
      <c r="F30" s="519">
        <v>6.0015015733300002E-2</v>
      </c>
    </row>
    <row r="31" spans="2:6" x14ac:dyDescent="0.25">
      <c r="B31">
        <v>21</v>
      </c>
      <c r="C31" t="s">
        <v>98</v>
      </c>
      <c r="D31" t="s">
        <v>246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100</v>
      </c>
      <c r="D32" t="s">
        <v>246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102</v>
      </c>
      <c r="D33" t="s">
        <v>246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104</v>
      </c>
      <c r="D34" t="s">
        <v>246</v>
      </c>
      <c r="E34">
        <v>0.10429329553199999</v>
      </c>
      <c r="F34" s="519">
        <v>1.6423300294899999E-2</v>
      </c>
    </row>
    <row r="35" spans="2:6" x14ac:dyDescent="0.25">
      <c r="B35">
        <v>25</v>
      </c>
      <c r="C35" t="s">
        <v>107</v>
      </c>
      <c r="D35" t="s">
        <v>245</v>
      </c>
      <c r="E35">
        <v>0</v>
      </c>
      <c r="F35" s="519">
        <v>0</v>
      </c>
    </row>
    <row r="36" spans="2:6" x14ac:dyDescent="0.25">
      <c r="B36">
        <v>26</v>
      </c>
      <c r="C36" t="s">
        <v>109</v>
      </c>
      <c r="D36" t="s">
        <v>246</v>
      </c>
      <c r="E36">
        <v>0.417326479157</v>
      </c>
      <c r="F36" s="519">
        <v>9.4301876730200004E-2</v>
      </c>
    </row>
    <row r="37" spans="2:6" x14ac:dyDescent="0.25">
      <c r="B37">
        <v>27</v>
      </c>
      <c r="C37" t="s">
        <v>110</v>
      </c>
      <c r="D37" t="s">
        <v>246</v>
      </c>
      <c r="E37">
        <v>-14.8384910501</v>
      </c>
      <c r="F37">
        <v>1.77123626526</v>
      </c>
    </row>
    <row r="38" spans="2:6" x14ac:dyDescent="0.25">
      <c r="B38">
        <v>28</v>
      </c>
      <c r="C38" t="s">
        <v>112</v>
      </c>
      <c r="D38" t="s">
        <v>246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113</v>
      </c>
      <c r="D39" t="s">
        <v>246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114</v>
      </c>
      <c r="D40" t="s">
        <v>246</v>
      </c>
      <c r="E40">
        <v>-0.91046169190000004</v>
      </c>
      <c r="F40" s="519">
        <v>9.2244527309799998E-2</v>
      </c>
    </row>
    <row r="41" spans="2:6" x14ac:dyDescent="0.25">
      <c r="B41">
        <v>31</v>
      </c>
      <c r="C41" t="s">
        <v>116</v>
      </c>
      <c r="D41" t="s">
        <v>246</v>
      </c>
      <c r="E41" s="519">
        <v>5.7553461640599997E-2</v>
      </c>
      <c r="F41" s="519">
        <v>1.69631861578E-2</v>
      </c>
    </row>
    <row r="42" spans="2:6" x14ac:dyDescent="0.25">
      <c r="B42">
        <v>32</v>
      </c>
      <c r="C42" t="s">
        <v>118</v>
      </c>
      <c r="D42" t="s">
        <v>246</v>
      </c>
      <c r="E42">
        <v>0.237798002151</v>
      </c>
      <c r="F42" s="519">
        <v>2.05709725741E-2</v>
      </c>
    </row>
    <row r="43" spans="2:6" x14ac:dyDescent="0.25">
      <c r="B43">
        <v>33</v>
      </c>
      <c r="C43" t="s">
        <v>120</v>
      </c>
      <c r="D43" t="s">
        <v>245</v>
      </c>
      <c r="E43">
        <v>0</v>
      </c>
      <c r="F43" s="519">
        <v>0</v>
      </c>
    </row>
    <row r="44" spans="2:6" x14ac:dyDescent="0.25">
      <c r="B44">
        <v>34</v>
      </c>
      <c r="C44" t="s">
        <v>122</v>
      </c>
      <c r="D44" t="s">
        <v>245</v>
      </c>
      <c r="E44">
        <v>0</v>
      </c>
      <c r="F44" s="519">
        <v>0</v>
      </c>
    </row>
    <row r="45" spans="2:6" x14ac:dyDescent="0.25">
      <c r="B45">
        <v>35</v>
      </c>
      <c r="C45" t="s">
        <v>125</v>
      </c>
      <c r="D45" t="s">
        <v>245</v>
      </c>
      <c r="E45">
        <v>0</v>
      </c>
      <c r="F45" s="519">
        <v>0</v>
      </c>
    </row>
    <row r="46" spans="2:6" x14ac:dyDescent="0.25">
      <c r="B46">
        <v>36</v>
      </c>
      <c r="C46" t="s">
        <v>127</v>
      </c>
      <c r="D46" t="s">
        <v>246</v>
      </c>
      <c r="E46" s="519">
        <v>0.61259135262599995</v>
      </c>
      <c r="F46" s="519">
        <v>9.8788050589500007E-2</v>
      </c>
    </row>
    <row r="47" spans="2:6" x14ac:dyDescent="0.25">
      <c r="B47">
        <v>37</v>
      </c>
      <c r="C47" t="s">
        <v>128</v>
      </c>
      <c r="D47" t="s">
        <v>246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130</v>
      </c>
      <c r="D48" t="s">
        <v>246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131</v>
      </c>
      <c r="D49" t="s">
        <v>246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132</v>
      </c>
      <c r="D50" t="s">
        <v>246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133</v>
      </c>
      <c r="D51" t="s">
        <v>246</v>
      </c>
      <c r="E51">
        <v>-0.22141031751900001</v>
      </c>
      <c r="F51" s="519">
        <v>1.8224220405400001E-2</v>
      </c>
    </row>
    <row r="52" spans="2:6" x14ac:dyDescent="0.25">
      <c r="B52">
        <v>42</v>
      </c>
      <c r="C52" t="s">
        <v>135</v>
      </c>
      <c r="D52" t="s">
        <v>246</v>
      </c>
      <c r="E52">
        <v>0.64228876129599999</v>
      </c>
      <c r="F52" s="519">
        <v>2.3327425635499999E-2</v>
      </c>
    </row>
    <row r="53" spans="2:6" x14ac:dyDescent="0.25">
      <c r="B53">
        <v>43</v>
      </c>
      <c r="C53" t="s">
        <v>137</v>
      </c>
      <c r="D53" t="s">
        <v>246</v>
      </c>
      <c r="E53">
        <v>0.74588429254199995</v>
      </c>
      <c r="F53" s="519">
        <v>9.8514285453599998E-2</v>
      </c>
    </row>
    <row r="54" spans="2:6" x14ac:dyDescent="0.25">
      <c r="B54">
        <v>44</v>
      </c>
      <c r="C54" t="s">
        <v>138</v>
      </c>
      <c r="D54" t="s">
        <v>246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140</v>
      </c>
      <c r="D55" t="s">
        <v>246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142</v>
      </c>
      <c r="D56" t="s">
        <v>246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144</v>
      </c>
      <c r="D57" t="s">
        <v>246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147</v>
      </c>
      <c r="D58" t="s">
        <v>246</v>
      </c>
      <c r="E58">
        <v>0.65760260093900003</v>
      </c>
      <c r="F58" s="519">
        <v>2.9500746847800002E-2</v>
      </c>
    </row>
    <row r="59" spans="2:6" x14ac:dyDescent="0.25">
      <c r="B59">
        <v>49</v>
      </c>
      <c r="C59" t="s">
        <v>149</v>
      </c>
      <c r="D59" t="s">
        <v>246</v>
      </c>
      <c r="E59">
        <v>0.201576719663</v>
      </c>
      <c r="F59" s="519">
        <v>0.11309559824400001</v>
      </c>
    </row>
    <row r="60" spans="2:6" x14ac:dyDescent="0.25">
      <c r="B60">
        <v>50</v>
      </c>
      <c r="C60" t="s">
        <v>150</v>
      </c>
      <c r="D60" t="s">
        <v>246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151</v>
      </c>
      <c r="D61" t="s">
        <v>246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152</v>
      </c>
      <c r="D62" t="s">
        <v>246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153</v>
      </c>
      <c r="D63" t="s">
        <v>246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154</v>
      </c>
      <c r="D64" t="s">
        <v>246</v>
      </c>
      <c r="E64">
        <v>0.20818008309700001</v>
      </c>
      <c r="F64" s="519">
        <v>4.2700310294800002E-2</v>
      </c>
    </row>
    <row r="65" spans="2:6" x14ac:dyDescent="0.25">
      <c r="B65">
        <v>55</v>
      </c>
      <c r="C65" t="s">
        <v>156</v>
      </c>
      <c r="D65" t="s">
        <v>246</v>
      </c>
      <c r="E65">
        <v>0.42522231451499998</v>
      </c>
      <c r="F65" s="519">
        <v>4.5274903018000003E-2</v>
      </c>
    </row>
    <row r="66" spans="2:6" x14ac:dyDescent="0.25">
      <c r="B66">
        <v>56</v>
      </c>
      <c r="C66" t="s">
        <v>157</v>
      </c>
      <c r="D66" t="s">
        <v>246</v>
      </c>
      <c r="E66">
        <v>-0.743588483327</v>
      </c>
      <c r="F66" s="519">
        <v>4.4293261467400001E-2</v>
      </c>
    </row>
    <row r="67" spans="2:6" x14ac:dyDescent="0.25">
      <c r="B67">
        <v>57</v>
      </c>
      <c r="C67" t="s">
        <v>158</v>
      </c>
      <c r="D67" t="s">
        <v>245</v>
      </c>
      <c r="E67" s="519">
        <v>6.2100000000000002E-2</v>
      </c>
      <c r="F67" s="519">
        <v>0</v>
      </c>
    </row>
    <row r="68" spans="2:6" x14ac:dyDescent="0.25">
      <c r="B68">
        <v>118</v>
      </c>
      <c r="C68" t="s">
        <v>262</v>
      </c>
      <c r="D68" t="s">
        <v>245</v>
      </c>
      <c r="E68" s="519">
        <v>-3</v>
      </c>
      <c r="F68" s="519">
        <v>0</v>
      </c>
    </row>
    <row r="69" spans="2:6" x14ac:dyDescent="0.25">
      <c r="B69">
        <v>70</v>
      </c>
      <c r="C69" t="s">
        <v>159</v>
      </c>
      <c r="D69" t="s">
        <v>246</v>
      </c>
      <c r="E69">
        <v>0.29394695214400002</v>
      </c>
      <c r="F69" s="519">
        <v>8.1089668188599993E-3</v>
      </c>
    </row>
    <row r="70" spans="2:6" x14ac:dyDescent="0.25">
      <c r="B70">
        <v>71</v>
      </c>
      <c r="C70" t="s">
        <v>160</v>
      </c>
      <c r="D70" t="s">
        <v>245</v>
      </c>
      <c r="E70">
        <v>0</v>
      </c>
      <c r="F70">
        <v>0</v>
      </c>
    </row>
    <row r="71" spans="2:6" x14ac:dyDescent="0.25">
      <c r="B71">
        <v>72</v>
      </c>
      <c r="C71" t="s">
        <v>162</v>
      </c>
      <c r="D71" t="s">
        <v>246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164</v>
      </c>
      <c r="D72" t="s">
        <v>246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166</v>
      </c>
      <c r="D73" t="s">
        <v>246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168</v>
      </c>
      <c r="D74" t="s">
        <v>246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170</v>
      </c>
      <c r="D75" t="s">
        <v>246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172</v>
      </c>
      <c r="D76" t="s">
        <v>246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174</v>
      </c>
      <c r="D77" t="s">
        <v>246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176</v>
      </c>
      <c r="D78" t="s">
        <v>246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178</v>
      </c>
      <c r="D79" t="s">
        <v>246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180</v>
      </c>
      <c r="D80" t="s">
        <v>246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182</v>
      </c>
      <c r="D81" t="s">
        <v>246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183</v>
      </c>
      <c r="D82" t="s">
        <v>246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185</v>
      </c>
      <c r="D83" t="s">
        <v>246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187</v>
      </c>
      <c r="D84" t="s">
        <v>246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189</v>
      </c>
      <c r="D85" t="s">
        <v>246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191</v>
      </c>
      <c r="D86" t="s">
        <v>246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193</v>
      </c>
      <c r="D87" t="s">
        <v>245</v>
      </c>
      <c r="E87">
        <v>0</v>
      </c>
      <c r="F87">
        <v>0</v>
      </c>
    </row>
    <row r="88" spans="2:6" x14ac:dyDescent="0.25">
      <c r="B88">
        <v>89</v>
      </c>
      <c r="C88" t="s">
        <v>195</v>
      </c>
      <c r="D88" t="s">
        <v>246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197</v>
      </c>
      <c r="D89" t="s">
        <v>246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199</v>
      </c>
      <c r="D90" t="s">
        <v>246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201</v>
      </c>
      <c r="D91" t="s">
        <v>246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203</v>
      </c>
      <c r="D92" t="s">
        <v>246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205</v>
      </c>
      <c r="D93" t="s">
        <v>245</v>
      </c>
      <c r="E93">
        <v>0</v>
      </c>
      <c r="F93">
        <v>0</v>
      </c>
    </row>
    <row r="94" spans="2:6" x14ac:dyDescent="0.25">
      <c r="B94">
        <v>95</v>
      </c>
      <c r="C94" t="s">
        <v>207</v>
      </c>
      <c r="D94" t="s">
        <v>246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209</v>
      </c>
      <c r="D95" t="s">
        <v>246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211</v>
      </c>
      <c r="D96" t="s">
        <v>245</v>
      </c>
      <c r="E96">
        <v>-30</v>
      </c>
      <c r="F96">
        <v>0</v>
      </c>
    </row>
    <row r="97" spans="2:6" x14ac:dyDescent="0.25">
      <c r="B97">
        <v>98</v>
      </c>
      <c r="C97" t="s">
        <v>213</v>
      </c>
      <c r="D97" t="s">
        <v>246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214</v>
      </c>
      <c r="D98" t="s">
        <v>246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215</v>
      </c>
      <c r="D99" t="s">
        <v>245</v>
      </c>
      <c r="E99">
        <v>-0.7</v>
      </c>
      <c r="F99">
        <v>0</v>
      </c>
    </row>
    <row r="100" spans="2:6" x14ac:dyDescent="0.25">
      <c r="B100">
        <v>101</v>
      </c>
      <c r="C100" t="s">
        <v>216</v>
      </c>
      <c r="D100" t="s">
        <v>246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217</v>
      </c>
      <c r="D101" t="s">
        <v>245</v>
      </c>
      <c r="E101">
        <v>0</v>
      </c>
      <c r="F101">
        <v>0</v>
      </c>
    </row>
    <row r="102" spans="2:6" x14ac:dyDescent="0.25">
      <c r="B102">
        <v>103</v>
      </c>
      <c r="C102" t="s">
        <v>218</v>
      </c>
      <c r="D102" t="s">
        <v>245</v>
      </c>
      <c r="E102">
        <v>5</v>
      </c>
      <c r="F102">
        <v>0</v>
      </c>
    </row>
    <row r="103" spans="2:6" x14ac:dyDescent="0.25">
      <c r="B103">
        <v>104</v>
      </c>
      <c r="C103" t="s">
        <v>219</v>
      </c>
      <c r="D103" t="s">
        <v>245</v>
      </c>
      <c r="E103">
        <v>-30</v>
      </c>
      <c r="F103">
        <v>0</v>
      </c>
    </row>
    <row r="104" spans="2:6" x14ac:dyDescent="0.25">
      <c r="B104">
        <v>105</v>
      </c>
      <c r="C104" t="s">
        <v>220</v>
      </c>
      <c r="D104" t="s">
        <v>246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221</v>
      </c>
      <c r="D105" t="s">
        <v>246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222</v>
      </c>
      <c r="D106" t="s">
        <v>245</v>
      </c>
      <c r="E106">
        <v>0</v>
      </c>
      <c r="F106">
        <v>0</v>
      </c>
    </row>
    <row r="107" spans="2:6" x14ac:dyDescent="0.25">
      <c r="B107">
        <v>108</v>
      </c>
      <c r="C107" t="s">
        <v>224</v>
      </c>
      <c r="D107" t="s">
        <v>246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225</v>
      </c>
      <c r="D108" t="s">
        <v>246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226</v>
      </c>
      <c r="D109" t="s">
        <v>246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227</v>
      </c>
      <c r="D110" t="s">
        <v>246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228</v>
      </c>
      <c r="D111" t="s">
        <v>245</v>
      </c>
      <c r="E111">
        <v>-5.6623999999999999</v>
      </c>
      <c r="F111">
        <v>0</v>
      </c>
    </row>
    <row r="112" spans="2:6" x14ac:dyDescent="0.25">
      <c r="B112">
        <v>113</v>
      </c>
      <c r="C112" t="s">
        <v>230</v>
      </c>
      <c r="D112" t="s">
        <v>246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519">
        <v>-5981.59020986</v>
      </c>
      <c r="D114" s="519">
        <v>-29805.783655800002</v>
      </c>
      <c r="E114" s="519">
        <v>-17292.021287899999</v>
      </c>
    </row>
    <row r="115" spans="1:11" x14ac:dyDescent="0.25">
      <c r="B115">
        <v>17</v>
      </c>
      <c r="C115" t="s">
        <v>266</v>
      </c>
      <c r="D115" t="s">
        <v>243</v>
      </c>
      <c r="E115">
        <v>31</v>
      </c>
      <c r="F115" t="s">
        <v>265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X104"/>
  <sheetViews>
    <sheetView tabSelected="1" workbookViewId="0">
      <selection activeCell="H20" sqref="H20"/>
    </sheetView>
  </sheetViews>
  <sheetFormatPr defaultColWidth="9.140625" defaultRowHeight="15" x14ac:dyDescent="0.25"/>
  <cols>
    <col min="1" max="2" style="479" width="9.140625" collapsed="true"/>
    <col min="3" max="3" bestFit="true" customWidth="true" style="479" width="12.7109375" collapsed="true"/>
    <col min="4" max="4" customWidth="true" style="478" width="18.85546875" collapsed="true"/>
    <col min="5" max="5" customWidth="true" style="479" width="6.7109375" collapsed="true"/>
    <col min="6" max="6" customWidth="true" style="479" width="12.7109375" collapsed="true"/>
    <col min="7" max="8" customWidth="true" style="478" width="18.85546875" collapsed="true"/>
    <col min="9" max="9" customWidth="true" style="478" width="6.5703125" collapsed="true"/>
    <col min="10" max="10" customWidth="true" style="478" width="10.140625" collapsed="true"/>
    <col min="11" max="11" customWidth="true" style="478" width="9.85546875" collapsed="true"/>
    <col min="12" max="14" style="479" width="9.140625" collapsed="true"/>
    <col min="15" max="15" customWidth="true" style="479" width="13.0" collapsed="true"/>
    <col min="16" max="16" customWidth="true" style="481" width="19.5703125" collapsed="true"/>
    <col min="17" max="17" customWidth="true" style="556" width="19.5703125" collapsed="true"/>
    <col min="18" max="16384" style="479" width="9.140625" collapsed="true"/>
  </cols>
  <sheetData>
    <row r="1" spans="3:23" x14ac:dyDescent="0.25">
      <c r="C1" s="10" t="s">
        <v>44</v>
      </c>
      <c r="F1" s="10" t="s">
        <v>45</v>
      </c>
      <c r="N1" s="480" t="s">
        <v>272</v>
      </c>
      <c r="S1" s="480"/>
      <c r="T1" s="480" t="s">
        <v>272</v>
      </c>
      <c r="U1" s="505"/>
    </row>
    <row ht="15.75" r="2" spans="3:23" thickBot="1" x14ac:dyDescent="0.3">
      <c r="C2" s="480" t="s">
        <v>47</v>
      </c>
      <c r="M2" s="10" t="s">
        <v>95</v>
      </c>
      <c r="N2" s="10" t="s">
        <v>258</v>
      </c>
      <c r="O2" s="10" t="s">
        <v>259</v>
      </c>
      <c r="P2" s="557" t="s">
        <v>273</v>
      </c>
      <c r="Q2" s="558" t="s">
        <v>274</v>
      </c>
      <c r="T2" s="505"/>
      <c r="U2" s="480" t="s">
        <v>275</v>
      </c>
      <c r="V2" s="482"/>
      <c r="W2" s="482"/>
    </row>
    <row r="3" spans="3:23" x14ac:dyDescent="0.25">
      <c r="C3" s="483" t="s">
        <v>3</v>
      </c>
      <c r="D3" s="484" t="s">
        <v>48</v>
      </c>
      <c r="F3" s="483" t="s">
        <v>3</v>
      </c>
      <c r="G3" s="484" t="s">
        <v>48</v>
      </c>
      <c r="H3" s="532"/>
      <c r="I3" s="532"/>
      <c r="J3" s="532"/>
      <c r="K3" s="532"/>
      <c r="L3" s="485"/>
      <c r="M3" s="479" t="str">
        <f>VLOOKUP(N3,Coeff_Descr!$A:$D,3,FALSE)</f>
        <v>ALL</v>
      </c>
      <c r="N3" s="479">
        <f>OtherTourDestination!B11</f>
        <v>1</v>
      </c>
      <c r="O3" s="479" t="str">
        <f>OtherTourDestination!C11</f>
        <v>Beta00001</v>
      </c>
      <c r="P3" s="481">
        <f>OtherTourDestination!E11</f>
        <v>1</v>
      </c>
      <c r="Q3" s="559">
        <f>_xlfn.IFNA(VLOOKUP(N3,$B$43:$D$46,3,FALSE),P3)</f>
        <v>1</v>
      </c>
      <c r="T3">
        <v>1</v>
      </c>
      <c r="U3" s="477" t="s">
        <v>276</v>
      </c>
    </row>
    <row r="4" spans="3:23" x14ac:dyDescent="0.25">
      <c r="C4" s="486" t="s">
        <v>51</v>
      </c>
      <c r="D4" s="487">
        <f>TLFD!E11</f>
        <v>27635.2445083561</v>
      </c>
      <c r="F4" s="486" t="s">
        <v>51</v>
      </c>
      <c r="G4" s="487">
        <f>TLFD!L11</f>
        <v>45220</v>
      </c>
      <c r="H4" s="487"/>
      <c r="I4" s="487"/>
      <c r="J4" s="487"/>
      <c r="K4" s="487"/>
      <c r="L4" s="488"/>
      <c r="M4" s="479" t="str">
        <f>VLOOKUP(N4,Coeff_Descr!$A:$D,3,FALSE)</f>
        <v>ALL</v>
      </c>
      <c r="N4" s="479">
        <f>OtherTourDestination!B12</f>
        <v>2</v>
      </c>
      <c r="O4" s="479" t="str">
        <f>OtherTourDestination!C12</f>
        <v>Beta00002</v>
      </c>
      <c r="P4" s="481">
        <f>OtherTourDestination!E12</f>
        <v>11.7146172749</v>
      </c>
      <c r="Q4" s="559">
        <f>_xlfn.IFNA(VLOOKUP(N4,$B$43:$D$46,3,FALSE),P4)</f>
        <v>11.7146172749</v>
      </c>
      <c r="T4">
        <v>2</v>
      </c>
      <c r="U4" s="477" t="s">
        <v>277</v>
      </c>
    </row>
    <row r="5" spans="3:23" x14ac:dyDescent="0.25">
      <c r="C5" s="489" t="s">
        <v>54</v>
      </c>
      <c r="D5" s="490">
        <f>TLFD!E12+TLFD!E13+(TLFD!E14/2)</f>
        <v>39990.839916817204</v>
      </c>
      <c r="F5" s="489" t="s">
        <v>54</v>
      </c>
      <c r="G5" s="490">
        <f>TLFD!L12+TLFD!L13+(TLFD!L14/2)</f>
        <v>27015</v>
      </c>
      <c r="H5" s="490"/>
      <c r="I5" s="490"/>
      <c r="J5" s="490"/>
      <c r="K5" s="490"/>
      <c r="L5" s="488"/>
      <c r="M5" s="479" t="str">
        <f>VLOOKUP(N5,Coeff_Descr!$A:$D,3,FALSE)</f>
        <v>ALL</v>
      </c>
      <c r="N5" s="479">
        <f>OtherTourDestination!B13</f>
        <v>3</v>
      </c>
      <c r="O5" s="479" t="str">
        <f>OtherTourDestination!C13</f>
        <v>Beta00003</v>
      </c>
      <c r="P5" s="481">
        <f>OtherTourDestination!E13</f>
        <v>-0.2117</v>
      </c>
      <c r="Q5" s="559">
        <f ref="Q5:Q68" si="0" t="shared">_xlfn.IFNA(VLOOKUP(N5,$B$43:$D$46,3,FALSE),P5)</f>
        <v>-0.2117</v>
      </c>
      <c r="T5">
        <v>3</v>
      </c>
      <c r="U5" s="505" t="s">
        <v>278</v>
      </c>
    </row>
    <row r="6" spans="3:23" x14ac:dyDescent="0.25">
      <c r="C6" s="489" t="s">
        <v>57</v>
      </c>
      <c r="D6" s="490">
        <f>(TLFD!E14/2)+SUM(TLFD!E15:E20)</f>
        <v>82448.437168423785</v>
      </c>
      <c r="F6" s="489" t="s">
        <v>57</v>
      </c>
      <c r="G6" s="490">
        <f>(TLFD!L14/2)+SUM(TLFD!L15:L20)</f>
        <v>55224</v>
      </c>
      <c r="H6" s="490"/>
      <c r="I6" s="490"/>
      <c r="J6" s="490"/>
      <c r="K6" s="490"/>
      <c r="L6" s="491"/>
      <c r="M6" s="479" t="str">
        <f>VLOOKUP(N6,Coeff_Descr!$A:$D,3,FALSE)</f>
        <v>ALL</v>
      </c>
      <c r="N6" s="479">
        <f>OtherTourDestination!B14</f>
        <v>4</v>
      </c>
      <c r="O6" s="479" t="str">
        <f>OtherTourDestination!C14</f>
        <v>Beta00004</v>
      </c>
      <c r="P6" s="481">
        <f>OtherTourDestination!E14</f>
        <v>0.27120783067900001</v>
      </c>
      <c r="Q6" s="559">
        <f si="0" t="shared"/>
        <v>0.27120783067900001</v>
      </c>
      <c r="T6">
        <v>4</v>
      </c>
      <c r="U6" s="505" t="s">
        <v>279</v>
      </c>
    </row>
    <row r="7" spans="3:23" x14ac:dyDescent="0.25">
      <c r="C7" s="492" t="s">
        <v>60</v>
      </c>
      <c r="D7" s="493">
        <f>SUM(TLFD!E21:E101)</f>
        <v>11606.154399348599</v>
      </c>
      <c r="F7" s="492" t="s">
        <v>60</v>
      </c>
      <c r="G7" s="493">
        <f>SUM(TLFD!L21:L101)</f>
        <v>16780</v>
      </c>
      <c r="H7" s="533"/>
      <c r="I7" s="533"/>
      <c r="J7" s="533"/>
      <c r="K7" s="533"/>
      <c r="L7" s="494"/>
      <c r="M7" s="479" t="str">
        <f>VLOOKUP(N7,Coeff_Descr!$A:$D,3,FALSE)</f>
        <v>ALL</v>
      </c>
      <c r="N7" s="479">
        <f>OtherTourDestination!B15</f>
        <v>5</v>
      </c>
      <c r="O7" s="479" t="str">
        <f>OtherTourDestination!C15</f>
        <v>Beta00005</v>
      </c>
      <c r="P7" s="481">
        <f>OtherTourDestination!E15</f>
        <v>-0.34490013167299999</v>
      </c>
      <c r="Q7" s="559">
        <f si="0" t="shared"/>
        <v>-0.34490013167299999</v>
      </c>
      <c r="T7" s="505">
        <v>5</v>
      </c>
      <c r="U7" s="505" t="s">
        <v>280</v>
      </c>
    </row>
    <row ht="15.75" r="8" spans="3:23" thickBot="1" x14ac:dyDescent="0.3">
      <c r="C8" s="495" t="s">
        <v>4</v>
      </c>
      <c r="D8" s="496">
        <f>SUM(D4:D7)</f>
        <v>161680.67599294567</v>
      </c>
      <c r="E8" s="497"/>
      <c r="F8" s="495" t="s">
        <v>4</v>
      </c>
      <c r="G8" s="496">
        <f>SUM(G4:G7)</f>
        <v>144239</v>
      </c>
      <c r="H8" s="534"/>
      <c r="I8" s="534"/>
      <c r="J8" s="534" t="s">
        <v>267</v>
      </c>
      <c r="K8" s="541">
        <v>1</v>
      </c>
      <c r="M8" s="479" t="str">
        <f>VLOOKUP(N8,Coeff_Descr!$A:$D,3,FALSE)</f>
        <v>ALL</v>
      </c>
      <c r="N8" s="479">
        <f>OtherTourDestination!B16</f>
        <v>6</v>
      </c>
      <c r="O8" s="479" t="str">
        <f>OtherTourDestination!C16</f>
        <v>Beta00006</v>
      </c>
      <c r="P8" s="481">
        <f>OtherTourDestination!E16</f>
        <v>-8.2865473150899996E-2</v>
      </c>
      <c r="Q8" s="559">
        <f si="0" t="shared"/>
        <v>-8.2865473150899996E-2</v>
      </c>
      <c r="T8" s="505"/>
      <c r="U8" s="505"/>
    </row>
    <row r="9" spans="3:23" x14ac:dyDescent="0.25">
      <c r="M9" s="479" t="str">
        <f>VLOOKUP(N9,Coeff_Descr!$A:$D,3,FALSE)</f>
        <v>ALL</v>
      </c>
      <c r="N9" s="479">
        <f>OtherTourDestination!B17</f>
        <v>7</v>
      </c>
      <c r="O9" s="479" t="str">
        <f>OtherTourDestination!C17</f>
        <v>Beta00007</v>
      </c>
      <c r="P9" s="481">
        <f>OtherTourDestination!E17</f>
        <v>-3.9895313632499998</v>
      </c>
      <c r="Q9" s="559">
        <f si="0" t="shared"/>
        <v>-3.9895313632499998</v>
      </c>
      <c r="T9" s="505"/>
      <c r="U9" s="560" t="s">
        <v>281</v>
      </c>
    </row>
    <row ht="15.75" r="10" spans="3:23" thickBot="1" x14ac:dyDescent="0.3">
      <c r="C10" s="498" t="s">
        <v>67</v>
      </c>
      <c r="I10" s="542" t="s">
        <v>268</v>
      </c>
      <c r="J10" s="543"/>
      <c r="K10" s="543"/>
      <c r="L10" s="485"/>
      <c r="M10" s="479" t="str">
        <f>VLOOKUP(N10,Coeff_Descr!$A:$D,3,FALSE)</f>
        <v>ALL</v>
      </c>
      <c r="N10" s="479">
        <f>OtherTourDestination!B18</f>
        <v>8</v>
      </c>
      <c r="O10" s="479" t="str">
        <f>OtherTourDestination!C18</f>
        <v>Beta00008</v>
      </c>
      <c r="P10" s="481">
        <f>OtherTourDestination!E18</f>
        <v>6.9400000000000003E-2</v>
      </c>
      <c r="Q10" s="559">
        <f si="0" t="shared"/>
        <v>6.9400000000000003E-2</v>
      </c>
      <c r="T10" s="505">
        <v>1</v>
      </c>
      <c r="U10" s="477" t="s">
        <v>276</v>
      </c>
    </row>
    <row r="11" spans="3:23" x14ac:dyDescent="0.25">
      <c r="C11" s="483" t="s">
        <v>3</v>
      </c>
      <c r="D11" s="484" t="s">
        <v>48</v>
      </c>
      <c r="F11" s="483" t="s">
        <v>3</v>
      </c>
      <c r="G11" s="484" t="s">
        <v>48</v>
      </c>
      <c r="H11" s="532"/>
      <c r="I11" s="484" t="s">
        <v>269</v>
      </c>
      <c r="J11" s="484" t="s">
        <v>270</v>
      </c>
      <c r="K11" s="484" t="s">
        <v>271</v>
      </c>
      <c r="L11" s="499"/>
      <c r="M11" s="479" t="str">
        <f>VLOOKUP(N11,Coeff_Descr!$A:$D,3,FALSE)</f>
        <v>ALL</v>
      </c>
      <c r="N11" s="479">
        <f>OtherTourDestination!B19</f>
        <v>9</v>
      </c>
      <c r="O11" s="479" t="str">
        <f>OtherTourDestination!C19</f>
        <v>Beta00009</v>
      </c>
      <c r="P11" s="481">
        <f>OtherTourDestination!E19</f>
        <v>-9.5820044919499997E-2</v>
      </c>
      <c r="Q11" s="559">
        <f si="0" t="shared"/>
        <v>-9.5820044919499997E-2</v>
      </c>
      <c r="T11" s="505">
        <v>2</v>
      </c>
      <c r="U11" s="505" t="s">
        <v>282</v>
      </c>
    </row>
    <row r="12" spans="3:23" x14ac:dyDescent="0.25">
      <c r="C12" s="486" t="s">
        <v>51</v>
      </c>
      <c r="D12" s="500">
        <f>D4/D$8</f>
        <v>0.17092484515318243</v>
      </c>
      <c r="F12" s="486" t="s">
        <v>51</v>
      </c>
      <c r="G12" s="500">
        <f>G4/G$8</f>
        <v>0.31350744250861418</v>
      </c>
      <c r="H12" s="500"/>
      <c r="I12" s="544">
        <f>D12/G12</f>
        <v>0.54520187395068287</v>
      </c>
      <c r="J12" s="545">
        <f>LN(I12)</f>
        <v>-0.60659914198539722</v>
      </c>
      <c r="K12" s="545">
        <f>K8*J12</f>
        <v>-0.60659914198539722</v>
      </c>
      <c r="L12" s="499"/>
      <c r="M12" s="479" t="str">
        <f>VLOOKUP(N12,Coeff_Descr!$A:$D,3,FALSE)</f>
        <v>ALL</v>
      </c>
      <c r="N12" s="479">
        <f>OtherTourDestination!B20</f>
        <v>10</v>
      </c>
      <c r="O12" s="479" t="str">
        <f>OtherTourDestination!C20</f>
        <v>Beta00010</v>
      </c>
      <c r="P12" s="481">
        <f>OtherTourDestination!E20</f>
        <v>0.517563261484</v>
      </c>
      <c r="Q12" s="559">
        <f si="0" t="shared"/>
        <v>0.517563261484</v>
      </c>
      <c r="T12" s="505">
        <v>3</v>
      </c>
      <c r="U12" s="505" t="s">
        <v>283</v>
      </c>
    </row>
    <row r="13" spans="3:23" x14ac:dyDescent="0.25">
      <c r="C13" s="489" t="s">
        <v>54</v>
      </c>
      <c r="D13" s="501">
        <f ref="D13:D16" si="1" t="shared">D5/D$8</f>
        <v>0.24734458630394429</v>
      </c>
      <c r="F13" s="489" t="s">
        <v>54</v>
      </c>
      <c r="G13" s="501">
        <f ref="G13:G16" si="2" t="shared">G5/G$8</f>
        <v>0.18729331179500691</v>
      </c>
      <c r="H13" s="501"/>
      <c r="I13" s="544">
        <f ref="I13:I15" si="3" t="shared">D13/G13</f>
        <v>1.3206269029759252</v>
      </c>
      <c r="J13" s="545">
        <f ref="J13:J15" si="4" t="shared">LN(I13)</f>
        <v>0.27810655035329845</v>
      </c>
      <c r="K13" s="545">
        <f>K8*(J13-J12)</f>
        <v>0.88470569233869567</v>
      </c>
      <c r="L13" s="499"/>
      <c r="M13" s="479" t="str">
        <f>VLOOKUP(N13,Coeff_Descr!$A:$D,3,FALSE)</f>
        <v>ALL</v>
      </c>
      <c r="N13" s="479">
        <f>OtherTourDestination!B21</f>
        <v>11</v>
      </c>
      <c r="O13" s="479" t="str">
        <f>OtherTourDestination!C21</f>
        <v>Beta00011</v>
      </c>
      <c r="P13" s="481">
        <f>OtherTourDestination!E21</f>
        <v>-0.80352358260699996</v>
      </c>
      <c r="Q13" s="559">
        <f si="0" t="shared"/>
        <v>-0.80352358260699996</v>
      </c>
      <c r="T13" s="505">
        <v>4</v>
      </c>
      <c r="U13" s="505" t="s">
        <v>284</v>
      </c>
    </row>
    <row r="14" spans="3:23" x14ac:dyDescent="0.25">
      <c r="C14" s="489" t="s">
        <v>57</v>
      </c>
      <c r="D14" s="501">
        <f si="1" t="shared"/>
        <v>0.50994614329804699</v>
      </c>
      <c r="F14" s="489" t="s">
        <v>57</v>
      </c>
      <c r="G14" s="501">
        <f si="2" t="shared"/>
        <v>0.38286455119627838</v>
      </c>
      <c r="H14" s="501"/>
      <c r="I14" s="544">
        <f si="3" t="shared"/>
        <v>1.3319231088506267</v>
      </c>
      <c r="J14" s="545">
        <f si="4" t="shared"/>
        <v>0.28662384436386457</v>
      </c>
      <c r="K14" s="545">
        <f>K8*(J14-J13-J12)</f>
        <v>0.61511643599596333</v>
      </c>
      <c r="L14" s="502"/>
      <c r="M14" s="479" t="str">
        <f>VLOOKUP(N14,Coeff_Descr!$A:$D,3,FALSE)</f>
        <v>ALL</v>
      </c>
      <c r="N14" s="479">
        <f>OtherTourDestination!B22</f>
        <v>12</v>
      </c>
      <c r="O14" s="479" t="str">
        <f>OtherTourDestination!C22</f>
        <v>Beta00012</v>
      </c>
      <c r="P14" s="481">
        <f>OtherTourDestination!E22</f>
        <v>-0.80534348065299999</v>
      </c>
      <c r="Q14" s="559">
        <f si="0" t="shared"/>
        <v>-0.80534348065299999</v>
      </c>
      <c r="T14" s="505">
        <v>5</v>
      </c>
      <c r="U14" s="477" t="s">
        <v>285</v>
      </c>
    </row>
    <row ht="15.75" r="15" spans="3:23" thickBot="1" x14ac:dyDescent="0.3">
      <c r="C15" s="492" t="s">
        <v>60</v>
      </c>
      <c r="D15" s="501">
        <f si="1" t="shared"/>
        <v>7.1784425244826353E-2</v>
      </c>
      <c r="F15" s="492" t="s">
        <v>60</v>
      </c>
      <c r="G15" s="501">
        <f si="2" t="shared"/>
        <v>0.11633469450010053</v>
      </c>
      <c r="H15" s="501"/>
      <c r="I15" s="546">
        <f si="3" t="shared"/>
        <v>0.61705087681099569</v>
      </c>
      <c r="J15" s="547">
        <f si="4" t="shared"/>
        <v>-0.48280380011159257</v>
      </c>
      <c r="K15" s="547">
        <f>K8*(J15-J14-J13-J12)</f>
        <v>-0.44093505284335832</v>
      </c>
      <c r="M15" s="479" t="str">
        <f>VLOOKUP(N15,Coeff_Descr!$A:$D,3,FALSE)</f>
        <v>ALL</v>
      </c>
      <c r="N15" s="479">
        <f>OtherTourDestination!B23</f>
        <v>13</v>
      </c>
      <c r="O15" s="479" t="str">
        <f>OtherTourDestination!C23</f>
        <v>Beta00013</v>
      </c>
      <c r="P15" s="481">
        <f>OtherTourDestination!E23</f>
        <v>-0.51977799879300002</v>
      </c>
      <c r="Q15" s="559">
        <f si="0" t="shared"/>
        <v>-0.51977799879300002</v>
      </c>
      <c r="T15" s="505">
        <v>6</v>
      </c>
      <c r="U15" s="505" t="s">
        <v>286</v>
      </c>
    </row>
    <row ht="15.75" r="16" spans="3:23" thickBot="1" x14ac:dyDescent="0.3">
      <c r="C16" s="495" t="s">
        <v>4</v>
      </c>
      <c r="D16" s="503">
        <f si="1" t="shared"/>
        <v>1</v>
      </c>
      <c r="E16" s="497"/>
      <c r="F16" s="495" t="s">
        <v>4</v>
      </c>
      <c r="G16" s="503">
        <f si="2" t="shared"/>
        <v>1</v>
      </c>
      <c r="H16" s="535"/>
      <c r="I16" s="544"/>
      <c r="J16" s="544"/>
      <c r="K16" s="544"/>
      <c r="M16" s="479" t="str">
        <f>VLOOKUP(N16,Coeff_Descr!$A:$D,3,FALSE)</f>
        <v>ALL</v>
      </c>
      <c r="N16" s="479">
        <f>OtherTourDestination!B24</f>
        <v>14</v>
      </c>
      <c r="O16" s="479" t="str">
        <f>OtherTourDestination!C24</f>
        <v>Beta00014</v>
      </c>
      <c r="P16" s="481">
        <f>OtherTourDestination!E24</f>
        <v>-0.27562686954600002</v>
      </c>
      <c r="Q16" s="559">
        <f si="0" t="shared"/>
        <v>-0.27562686954600002</v>
      </c>
      <c r="T16" s="505">
        <v>7</v>
      </c>
      <c r="U16" s="505" t="s">
        <v>279</v>
      </c>
    </row>
    <row r="17" spans="2:21" x14ac:dyDescent="0.25">
      <c r="M17" s="479" t="str">
        <f>VLOOKUP(N17,Coeff_Descr!$A:$D,3,FALSE)</f>
        <v>ALL</v>
      </c>
      <c r="N17" s="479">
        <f>OtherTourDestination!B25</f>
        <v>15</v>
      </c>
      <c r="O17" s="479" t="str">
        <f>OtherTourDestination!C25</f>
        <v>Beta00015</v>
      </c>
      <c r="P17" s="481">
        <f>OtherTourDestination!E25</f>
        <v>-0.55245424085299999</v>
      </c>
      <c r="Q17" s="559">
        <f si="0" t="shared"/>
        <v>-0.55245424085299999</v>
      </c>
      <c r="T17" s="505">
        <v>8</v>
      </c>
      <c r="U17" s="505" t="s">
        <v>287</v>
      </c>
    </row>
    <row r="18" spans="2:21" x14ac:dyDescent="0.25">
      <c r="I18" s="548"/>
      <c r="J18" s="548"/>
      <c r="K18" s="545"/>
      <c r="M18" s="479" t="str">
        <f>VLOOKUP(N18,Coeff_Descr!$A:$D,3,FALSE)</f>
        <v>ALL</v>
      </c>
      <c r="N18" s="479">
        <f>OtherTourDestination!B26</f>
        <v>16</v>
      </c>
      <c r="O18" s="479" t="str">
        <f>OtherTourDestination!C26</f>
        <v>Beta00016</v>
      </c>
      <c r="P18" s="481">
        <f>OtherTourDestination!E26</f>
        <v>-0.493022087256</v>
      </c>
      <c r="Q18" s="559">
        <f si="0" t="shared"/>
        <v>-0.493022087256</v>
      </c>
    </row>
    <row r="19" spans="2:21" x14ac:dyDescent="0.25">
      <c r="C19" s="504" t="s">
        <v>86</v>
      </c>
      <c r="I19" s="548"/>
      <c r="J19" s="548"/>
      <c r="K19" s="545"/>
      <c r="M19" s="479" t="str">
        <f>VLOOKUP(N19,Coeff_Descr!$A:$D,3,FALSE)</f>
        <v>ALL</v>
      </c>
      <c r="N19" s="479">
        <f>OtherTourDestination!B27</f>
        <v>17</v>
      </c>
      <c r="O19" s="479" t="str">
        <f>OtherTourDestination!C27</f>
        <v>Beta00017</v>
      </c>
      <c r="P19" s="481">
        <f>OtherTourDestination!E27</f>
        <v>0</v>
      </c>
      <c r="Q19" s="559">
        <f si="0" t="shared"/>
        <v>0</v>
      </c>
    </row>
    <row r="20" spans="2:21" x14ac:dyDescent="0.25">
      <c r="C20" s="504" t="s">
        <v>89</v>
      </c>
      <c r="I20" s="548"/>
      <c r="J20" s="548"/>
      <c r="K20" s="545"/>
      <c r="M20" s="479" t="str">
        <f>VLOOKUP(N20,Coeff_Descr!$A:$D,3,FALSE)</f>
        <v>ALL</v>
      </c>
      <c r="N20" s="479">
        <f>OtherTourDestination!B28</f>
        <v>18</v>
      </c>
      <c r="O20" s="479" t="str">
        <f>OtherTourDestination!C28</f>
        <v>Beta00018</v>
      </c>
      <c r="P20" s="481">
        <f>OtherTourDestination!E28</f>
        <v>0</v>
      </c>
      <c r="Q20" s="559">
        <f si="0" t="shared"/>
        <v>0</v>
      </c>
    </row>
    <row ht="15.75" r="21" spans="2:21" thickBot="1" x14ac:dyDescent="0.3">
      <c r="C21" s="505"/>
      <c r="I21" s="548"/>
      <c r="J21" s="548"/>
      <c r="K21" s="545"/>
      <c r="M21" s="479" t="str">
        <f>VLOOKUP(N21,Coeff_Descr!$A:$D,3,FALSE)</f>
        <v>ALL</v>
      </c>
      <c r="N21" s="479">
        <f>OtherTourDestination!B29</f>
        <v>19</v>
      </c>
      <c r="O21" s="479" t="str">
        <f>OtherTourDestination!C29</f>
        <v>Beta00019</v>
      </c>
      <c r="P21" s="481">
        <f>OtherTourDestination!E29</f>
        <v>0</v>
      </c>
      <c r="Q21" s="559">
        <f si="0" t="shared"/>
        <v>0</v>
      </c>
    </row>
    <row r="22" spans="2:21" x14ac:dyDescent="0.25">
      <c r="B22" s="536" t="s">
        <v>258</v>
      </c>
      <c r="C22" s="506" t="s">
        <v>95</v>
      </c>
      <c r="D22" s="507"/>
      <c r="M22" s="479" t="str">
        <f>VLOOKUP(N22,Coeff_Descr!$A:$D,3,FALSE)</f>
        <v>ESCORT</v>
      </c>
      <c r="N22" s="479">
        <f>OtherTourDestination!B30</f>
        <v>20</v>
      </c>
      <c r="O22" s="479" t="str">
        <f>OtherTourDestination!C30</f>
        <v>Beta00020</v>
      </c>
      <c r="P22" s="481">
        <f>OtherTourDestination!E30</f>
        <v>0.63771148688699997</v>
      </c>
      <c r="Q22" s="559">
        <f si="0" t="shared"/>
        <v>0.63771148688699997</v>
      </c>
    </row>
    <row r="23" spans="2:21" x14ac:dyDescent="0.25">
      <c r="B23" s="537">
        <v>0</v>
      </c>
      <c r="C23" s="486" t="s">
        <v>51</v>
      </c>
      <c r="D23" s="550" t="e">
        <f>VLOOKUP($B23,$N:$P,3,FALSE)</f>
        <v>#N/A</v>
      </c>
      <c r="I23" s="549"/>
      <c r="J23" s="549"/>
      <c r="K23" s="549"/>
      <c r="M23" s="479" t="str">
        <f>VLOOKUP(N23,Coeff_Descr!$A:$D,3,FALSE)</f>
        <v>ESCORT</v>
      </c>
      <c r="N23" s="479">
        <f>OtherTourDestination!B31</f>
        <v>21</v>
      </c>
      <c r="O23" s="479" t="str">
        <f>OtherTourDestination!C31</f>
        <v>Beta00021</v>
      </c>
      <c r="P23" s="481">
        <f>OtherTourDestination!E31</f>
        <v>-12.0946718381</v>
      </c>
      <c r="Q23" s="559">
        <f si="0" t="shared"/>
        <v>-12.0946718381</v>
      </c>
    </row>
    <row r="24" spans="2:21" x14ac:dyDescent="0.25">
      <c r="B24" s="537">
        <v>0</v>
      </c>
      <c r="C24" s="489" t="s">
        <v>54</v>
      </c>
      <c r="D24" s="550" t="e">
        <f ref="D24:D26" si="5" t="shared">VLOOKUP($B24,$N:$P,3,FALSE)</f>
        <v>#N/A</v>
      </c>
      <c r="M24" s="479" t="str">
        <f>VLOOKUP(N24,Coeff_Descr!$A:$D,3,FALSE)</f>
        <v>ESCORT</v>
      </c>
      <c r="N24" s="479">
        <f>OtherTourDestination!B32</f>
        <v>22</v>
      </c>
      <c r="O24" s="479" t="str">
        <f>OtherTourDestination!C32</f>
        <v>Beta00022</v>
      </c>
      <c r="P24" s="481">
        <f>OtherTourDestination!E32</f>
        <v>-4.03623745316</v>
      </c>
      <c r="Q24" s="559">
        <f si="0" t="shared"/>
        <v>-4.03623745316</v>
      </c>
    </row>
    <row r="25" spans="2:21" x14ac:dyDescent="0.25">
      <c r="B25" s="537">
        <v>0</v>
      </c>
      <c r="C25" s="489" t="s">
        <v>57</v>
      </c>
      <c r="D25" s="550" t="e">
        <f si="5" t="shared"/>
        <v>#N/A</v>
      </c>
      <c r="M25" s="479" t="str">
        <f>VLOOKUP(N25,Coeff_Descr!$A:$D,3,FALSE)</f>
        <v>ESCORT</v>
      </c>
      <c r="N25" s="479">
        <f>OtherTourDestination!B33</f>
        <v>23</v>
      </c>
      <c r="O25" s="479" t="str">
        <f>OtherTourDestination!C33</f>
        <v>Beta00023</v>
      </c>
      <c r="P25" s="481">
        <f>OtherTourDestination!E33</f>
        <v>-2.16371815818</v>
      </c>
      <c r="Q25" s="559">
        <f si="0" t="shared"/>
        <v>-2.16371815818</v>
      </c>
    </row>
    <row ht="15.75" r="26" spans="2:21" thickBot="1" x14ac:dyDescent="0.3">
      <c r="B26" s="538">
        <v>0</v>
      </c>
      <c r="C26" s="509" t="s">
        <v>60</v>
      </c>
      <c r="D26" s="551" t="e">
        <f si="5" t="shared"/>
        <v>#N/A</v>
      </c>
      <c r="M26" s="479" t="str">
        <f>VLOOKUP(N26,Coeff_Descr!$A:$D,3,FALSE)</f>
        <v>ESCORT</v>
      </c>
      <c r="N26" s="479">
        <f>OtherTourDestination!B34</f>
        <v>24</v>
      </c>
      <c r="O26" s="479" t="str">
        <f>OtherTourDestination!C34</f>
        <v>Beta00024</v>
      </c>
      <c r="P26" s="481">
        <f>OtherTourDestination!E34</f>
        <v>0.10429329553199999</v>
      </c>
      <c r="Q26" s="559">
        <f si="0" t="shared"/>
        <v>0.10429329553199999</v>
      </c>
    </row>
    <row r="27" spans="2:21" x14ac:dyDescent="0.25">
      <c r="C27" s="505"/>
      <c r="D27" s="511"/>
      <c r="M27" s="479" t="str">
        <f>VLOOKUP(N27,Coeff_Descr!$A:$D,3,FALSE)</f>
        <v>ESCORT</v>
      </c>
      <c r="N27" s="479">
        <f>OtherTourDestination!B35</f>
        <v>25</v>
      </c>
      <c r="O27" s="479" t="str">
        <f>OtherTourDestination!C35</f>
        <v>Beta00025</v>
      </c>
      <c r="P27" s="481">
        <f>OtherTourDestination!E35</f>
        <v>0</v>
      </c>
      <c r="Q27" s="559">
        <f si="0" t="shared"/>
        <v>0</v>
      </c>
    </row>
    <row r="28" spans="2:21" x14ac:dyDescent="0.25">
      <c r="C28" s="505"/>
      <c r="D28" s="511"/>
      <c r="M28" s="479" t="str">
        <f>VLOOKUP(N28,Coeff_Descr!$A:$D,3,FALSE)</f>
        <v>PERSBUS/MED</v>
      </c>
      <c r="N28" s="479">
        <f>OtherTourDestination!B36</f>
        <v>26</v>
      </c>
      <c r="O28" s="479" t="str">
        <f>OtherTourDestination!C36</f>
        <v>Beta00026</v>
      </c>
      <c r="P28" s="481">
        <f>OtherTourDestination!E36</f>
        <v>0.417326479157</v>
      </c>
      <c r="Q28" s="559">
        <f si="0" t="shared"/>
        <v>0.417326479157</v>
      </c>
    </row>
    <row r="29" spans="2:21" x14ac:dyDescent="0.25">
      <c r="C29" s="504" t="s">
        <v>86</v>
      </c>
      <c r="D29" s="512"/>
      <c r="M29" s="479" t="str">
        <f>VLOOKUP(N29,Coeff_Descr!$A:$D,3,FALSE)</f>
        <v>PERSBUS/MED</v>
      </c>
      <c r="N29" s="479">
        <f>OtherTourDestination!B37</f>
        <v>27</v>
      </c>
      <c r="O29" s="479" t="str">
        <f>OtherTourDestination!C37</f>
        <v>Beta00027</v>
      </c>
      <c r="P29" s="481">
        <f>OtherTourDestination!E37</f>
        <v>-14.8384910501</v>
      </c>
      <c r="Q29" s="559">
        <f si="0" t="shared"/>
        <v>-14.8384910501</v>
      </c>
    </row>
    <row r="30" spans="2:21" x14ac:dyDescent="0.25">
      <c r="C30" s="504" t="s">
        <v>111</v>
      </c>
      <c r="D30" s="512"/>
      <c r="M30" s="479" t="str">
        <f>VLOOKUP(N30,Coeff_Descr!$A:$D,3,FALSE)</f>
        <v>PERSBUS/MED</v>
      </c>
      <c r="N30" s="479">
        <f>OtherTourDestination!B38</f>
        <v>28</v>
      </c>
      <c r="O30" s="479" t="str">
        <f>OtherTourDestination!C38</f>
        <v>Beta00028</v>
      </c>
      <c r="P30" s="481">
        <f>OtherTourDestination!E38</f>
        <v>-5.1880432348000003</v>
      </c>
      <c r="Q30" s="559">
        <f si="0" t="shared"/>
        <v>-5.1880432348000003</v>
      </c>
    </row>
    <row ht="15.75" r="31" spans="2:21" thickBot="1" x14ac:dyDescent="0.3">
      <c r="C31" s="505"/>
      <c r="D31" s="511"/>
      <c r="M31" s="479" t="str">
        <f>VLOOKUP(N31,Coeff_Descr!$A:$D,3,FALSE)</f>
        <v>PERSBUS/MED</v>
      </c>
      <c r="N31" s="479">
        <f>OtherTourDestination!B39</f>
        <v>29</v>
      </c>
      <c r="O31" s="479" t="str">
        <f>OtherTourDestination!C39</f>
        <v>Beta00029</v>
      </c>
      <c r="P31" s="481">
        <f>OtherTourDestination!E39</f>
        <v>-2.6156308707</v>
      </c>
      <c r="Q31" s="559">
        <f si="0" t="shared"/>
        <v>-2.6156308707</v>
      </c>
    </row>
    <row r="32" spans="2:21" x14ac:dyDescent="0.25">
      <c r="B32" s="536" t="s">
        <v>258</v>
      </c>
      <c r="C32" s="506" t="s">
        <v>95</v>
      </c>
      <c r="D32" s="507"/>
      <c r="M32" s="479" t="str">
        <f>VLOOKUP(N32,Coeff_Descr!$A:$D,3,FALSE)</f>
        <v>PERSBUS/MED</v>
      </c>
      <c r="N32" s="479">
        <f>OtherTourDestination!B40</f>
        <v>30</v>
      </c>
      <c r="O32" s="479" t="str">
        <f>OtherTourDestination!C40</f>
        <v>Beta00030</v>
      </c>
      <c r="P32" s="481">
        <f>OtherTourDestination!E40</f>
        <v>-0.91046169190000004</v>
      </c>
      <c r="Q32" s="559">
        <f si="0" t="shared"/>
        <v>-0.91046169190000004</v>
      </c>
    </row>
    <row r="33" spans="2:17" x14ac:dyDescent="0.25">
      <c r="B33" s="537">
        <f>B23</f>
        <v>0</v>
      </c>
      <c r="C33" s="486" t="s">
        <v>51</v>
      </c>
      <c r="D33" s="552">
        <f>K12</f>
        <v>-0.60659914198539722</v>
      </c>
      <c r="M33" s="479" t="str">
        <f>VLOOKUP(N33,Coeff_Descr!$A:$D,3,FALSE)</f>
        <v>PERSBUS/MED</v>
      </c>
      <c r="N33" s="479">
        <f>OtherTourDestination!B41</f>
        <v>31</v>
      </c>
      <c r="O33" s="479" t="str">
        <f>OtherTourDestination!C41</f>
        <v>Beta00031</v>
      </c>
      <c r="P33" s="481">
        <f>OtherTourDestination!E41</f>
        <v>5.7553461640599997E-2</v>
      </c>
      <c r="Q33" s="559">
        <f si="0" t="shared"/>
        <v>5.7553461640599997E-2</v>
      </c>
    </row>
    <row r="34" spans="2:17" x14ac:dyDescent="0.25">
      <c r="B34" s="537">
        <f ref="B34:B36" si="6" t="shared">B24</f>
        <v>0</v>
      </c>
      <c r="C34" s="489" t="s">
        <v>54</v>
      </c>
      <c r="D34" s="553">
        <f ref="D34:D36" si="7" t="shared">K13</f>
        <v>0.88470569233869567</v>
      </c>
      <c r="M34" s="479" t="str">
        <f>VLOOKUP(N34,Coeff_Descr!$A:$D,3,FALSE)</f>
        <v>PERSBUS/MED</v>
      </c>
      <c r="N34" s="479">
        <f>OtherTourDestination!B42</f>
        <v>32</v>
      </c>
      <c r="O34" s="479" t="str">
        <f>OtherTourDestination!C42</f>
        <v>Beta00032</v>
      </c>
      <c r="P34" s="481">
        <f>OtherTourDestination!E42</f>
        <v>0.237798002151</v>
      </c>
      <c r="Q34" s="559">
        <f si="0" t="shared"/>
        <v>0.237798002151</v>
      </c>
    </row>
    <row r="35" spans="2:17" x14ac:dyDescent="0.25">
      <c r="B35" s="537">
        <f si="6" t="shared"/>
        <v>0</v>
      </c>
      <c r="C35" s="489" t="s">
        <v>57</v>
      </c>
      <c r="D35" s="553">
        <f si="7" t="shared"/>
        <v>0.61511643599596333</v>
      </c>
      <c r="G35" s="513"/>
      <c r="H35" s="513"/>
      <c r="I35" s="513"/>
      <c r="J35" s="513"/>
      <c r="K35" s="513"/>
      <c r="M35" s="479" t="str">
        <f>VLOOKUP(N35,Coeff_Descr!$A:$D,3,FALSE)</f>
        <v>PERSBUS/MED</v>
      </c>
      <c r="N35" s="479">
        <f>OtherTourDestination!B43</f>
        <v>33</v>
      </c>
      <c r="O35" s="479" t="str">
        <f>OtherTourDestination!C43</f>
        <v>Beta00033</v>
      </c>
      <c r="P35" s="481">
        <f>OtherTourDestination!E43</f>
        <v>0</v>
      </c>
      <c r="Q35" s="559">
        <f si="0" t="shared"/>
        <v>0</v>
      </c>
    </row>
    <row ht="15.75" r="36" spans="2:17" thickBot="1" x14ac:dyDescent="0.3">
      <c r="B36" s="539">
        <f si="6" t="shared"/>
        <v>0</v>
      </c>
      <c r="C36" s="509" t="s">
        <v>60</v>
      </c>
      <c r="D36" s="510">
        <f si="7" t="shared"/>
        <v>-0.44093505284335832</v>
      </c>
      <c r="G36" s="514"/>
      <c r="H36" s="514"/>
      <c r="I36" s="514"/>
      <c r="J36" s="514"/>
      <c r="K36" s="514"/>
      <c r="M36" s="479" t="str">
        <f>VLOOKUP(N36,Coeff_Descr!$A:$D,3,FALSE)</f>
        <v>PERSBUS/MED</v>
      </c>
      <c r="N36" s="479">
        <f>OtherTourDestination!B44</f>
        <v>34</v>
      </c>
      <c r="O36" s="479" t="str">
        <f>OtherTourDestination!C44</f>
        <v>Beta00034</v>
      </c>
      <c r="P36" s="481">
        <f>OtherTourDestination!E44</f>
        <v>0</v>
      </c>
      <c r="Q36" s="559">
        <f si="0" t="shared"/>
        <v>0</v>
      </c>
    </row>
    <row ht="15.75" r="37" spans="2:17" thickTop="1" x14ac:dyDescent="0.25">
      <c r="C37" s="505"/>
      <c r="D37" s="508"/>
      <c r="M37" s="479" t="str">
        <f>VLOOKUP(N37,Coeff_Descr!$A:$D,3,FALSE)</f>
        <v>PERSBUS/MED</v>
      </c>
      <c r="N37" s="479">
        <f>OtherTourDestination!B45</f>
        <v>35</v>
      </c>
      <c r="O37" s="479" t="str">
        <f>OtherTourDestination!C45</f>
        <v>Beta00035</v>
      </c>
      <c r="P37" s="481">
        <f>OtherTourDestination!E45</f>
        <v>0</v>
      </c>
      <c r="Q37" s="559">
        <f si="0" t="shared"/>
        <v>0</v>
      </c>
    </row>
    <row r="38" spans="2:17" x14ac:dyDescent="0.25">
      <c r="C38" s="505"/>
      <c r="D38" s="508"/>
      <c r="M38" s="479" t="str">
        <f>VLOOKUP(N38,Coeff_Descr!$A:$D,3,FALSE)</f>
        <v>SHOP</v>
      </c>
      <c r="N38" s="479">
        <f>OtherTourDestination!B46</f>
        <v>36</v>
      </c>
      <c r="O38" s="479" t="str">
        <f>OtherTourDestination!C46</f>
        <v>Beta00036</v>
      </c>
      <c r="P38" s="481">
        <f>OtherTourDestination!E46</f>
        <v>0.61259135262599995</v>
      </c>
      <c r="Q38" s="559">
        <f si="0" t="shared"/>
        <v>0.61259135262599995</v>
      </c>
    </row>
    <row r="39" spans="2:17" x14ac:dyDescent="0.25">
      <c r="C39" s="504" t="s">
        <v>86</v>
      </c>
      <c r="D39" s="515"/>
      <c r="M39" s="479" t="str">
        <f>VLOOKUP(N39,Coeff_Descr!$A:$D,3,FALSE)</f>
        <v>SHOP</v>
      </c>
      <c r="N39" s="517">
        <f>OtherTourDestination!B47</f>
        <v>37</v>
      </c>
      <c r="O39" s="517" t="str">
        <f>OtherTourDestination!C47</f>
        <v>Beta00037</v>
      </c>
      <c r="P39" s="561">
        <f>OtherTourDestination!E47</f>
        <v>-20.810228388700001</v>
      </c>
      <c r="Q39" s="559">
        <f si="0" t="shared"/>
        <v>-20.810228388700001</v>
      </c>
    </row>
    <row r="40" spans="2:17" x14ac:dyDescent="0.25">
      <c r="C40" s="504" t="s">
        <v>129</v>
      </c>
      <c r="D40" s="515"/>
      <c r="M40" s="479" t="str">
        <f>VLOOKUP(N40,Coeff_Descr!$A:$D,3,FALSE)</f>
        <v>SHOP</v>
      </c>
      <c r="N40" s="517">
        <f>OtherTourDestination!B48</f>
        <v>38</v>
      </c>
      <c r="O40" s="517" t="str">
        <f>OtherTourDestination!C48</f>
        <v>Beta00038</v>
      </c>
      <c r="P40" s="561">
        <f>OtherTourDestination!E48</f>
        <v>-7.1836373472300004</v>
      </c>
      <c r="Q40" s="559">
        <f si="0" t="shared"/>
        <v>-7.1836373472300004</v>
      </c>
    </row>
    <row ht="15.75" r="41" spans="2:17" thickBot="1" x14ac:dyDescent="0.3">
      <c r="B41" s="540"/>
      <c r="C41" s="505"/>
      <c r="D41" s="508"/>
      <c r="M41" s="479" t="str">
        <f>VLOOKUP(N41,Coeff_Descr!$A:$D,3,FALSE)</f>
        <v>SHOP</v>
      </c>
      <c r="N41" s="517">
        <f>OtherTourDestination!B49</f>
        <v>39</v>
      </c>
      <c r="O41" s="517" t="str">
        <f>OtherTourDestination!C49</f>
        <v>Beta00039</v>
      </c>
      <c r="P41" s="561">
        <f>OtherTourDestination!E49</f>
        <v>-3.6600975390500001</v>
      </c>
      <c r="Q41" s="559">
        <f si="0" t="shared"/>
        <v>-3.6600975390500001</v>
      </c>
    </row>
    <row r="42" spans="2:17" x14ac:dyDescent="0.25">
      <c r="B42" s="536" t="s">
        <v>258</v>
      </c>
      <c r="C42" s="506" t="s">
        <v>95</v>
      </c>
      <c r="D42" s="516"/>
      <c r="M42" s="479" t="str">
        <f>VLOOKUP(N42,Coeff_Descr!$A:$D,3,FALSE)</f>
        <v>SHOP</v>
      </c>
      <c r="N42" s="517">
        <f>OtherTourDestination!B50</f>
        <v>40</v>
      </c>
      <c r="O42" s="517" t="str">
        <f>OtherTourDestination!C50</f>
        <v>Beta00040</v>
      </c>
      <c r="P42" s="561">
        <f>OtherTourDestination!E50</f>
        <v>-1.3605457273599999</v>
      </c>
      <c r="Q42" s="559">
        <f si="0" t="shared"/>
        <v>-1.3605457273599999</v>
      </c>
    </row>
    <row r="43" spans="2:17" x14ac:dyDescent="0.25">
      <c r="B43" s="537">
        <f>B33</f>
        <v>0</v>
      </c>
      <c r="C43" s="486" t="s">
        <v>51</v>
      </c>
      <c r="D43" s="554" t="e">
        <f>D23+D33</f>
        <v>#N/A</v>
      </c>
      <c r="M43" s="479" t="str">
        <f>VLOOKUP(N43,Coeff_Descr!$A:$D,3,FALSE)</f>
        <v>SHOP</v>
      </c>
      <c r="N43" s="479">
        <f>OtherTourDestination!B51</f>
        <v>41</v>
      </c>
      <c r="O43" s="479" t="str">
        <f>OtherTourDestination!C51</f>
        <v>Beta00041</v>
      </c>
      <c r="P43" s="481">
        <f>OtherTourDestination!E51</f>
        <v>-0.22141031751900001</v>
      </c>
      <c r="Q43" s="559">
        <f si="0" t="shared"/>
        <v>-0.22141031751900001</v>
      </c>
    </row>
    <row r="44" spans="2:17" x14ac:dyDescent="0.25">
      <c r="B44" s="537">
        <f ref="B44:B46" si="8" t="shared">B34</f>
        <v>0</v>
      </c>
      <c r="C44" s="489" t="s">
        <v>54</v>
      </c>
      <c r="D44" s="554" t="e">
        <f ref="D44:D46" si="9" t="shared">D24+D34</f>
        <v>#N/A</v>
      </c>
      <c r="M44" s="479" t="str">
        <f>VLOOKUP(N44,Coeff_Descr!$A:$D,3,FALSE)</f>
        <v>SHOP</v>
      </c>
      <c r="N44" s="479">
        <f>OtherTourDestination!B52</f>
        <v>42</v>
      </c>
      <c r="O44" s="479" t="str">
        <f>OtherTourDestination!C52</f>
        <v>Beta00042</v>
      </c>
      <c r="P44" s="481">
        <f>OtherTourDestination!E52</f>
        <v>0.64228876129599999</v>
      </c>
      <c r="Q44" s="559">
        <f si="0" t="shared"/>
        <v>0.64228876129599999</v>
      </c>
    </row>
    <row r="45" spans="2:17" x14ac:dyDescent="0.25">
      <c r="B45" s="537">
        <f si="8" t="shared"/>
        <v>0</v>
      </c>
      <c r="C45" s="489" t="s">
        <v>57</v>
      </c>
      <c r="D45" s="554" t="e">
        <f si="9" t="shared"/>
        <v>#N/A</v>
      </c>
      <c r="M45" s="479" t="str">
        <f>VLOOKUP(N45,Coeff_Descr!$A:$D,3,FALSE)</f>
        <v>MEAL</v>
      </c>
      <c r="N45" s="479">
        <f>OtherTourDestination!B53</f>
        <v>43</v>
      </c>
      <c r="O45" s="479" t="str">
        <f>OtherTourDestination!C53</f>
        <v>Beta00043</v>
      </c>
      <c r="P45" s="481">
        <f>OtherTourDestination!E53</f>
        <v>0.74588429254199995</v>
      </c>
      <c r="Q45" s="559">
        <f si="0" t="shared"/>
        <v>0.74588429254199995</v>
      </c>
    </row>
    <row ht="15.75" r="46" spans="2:17" thickBot="1" x14ac:dyDescent="0.3">
      <c r="B46" s="539">
        <f si="8" t="shared"/>
        <v>0</v>
      </c>
      <c r="C46" s="509" t="s">
        <v>60</v>
      </c>
      <c r="D46" s="555" t="e">
        <f si="9" t="shared"/>
        <v>#N/A</v>
      </c>
      <c r="M46" s="479" t="str">
        <f>VLOOKUP(N46,Coeff_Descr!$A:$D,3,FALSE)</f>
        <v>MEAL</v>
      </c>
      <c r="N46" s="479">
        <f>OtherTourDestination!B54</f>
        <v>44</v>
      </c>
      <c r="O46" s="479" t="str">
        <f>OtherTourDestination!C54</f>
        <v>Beta00044</v>
      </c>
      <c r="P46" s="481">
        <f>OtherTourDestination!E54</f>
        <v>-32.156094092099998</v>
      </c>
      <c r="Q46" s="559">
        <f si="0" t="shared"/>
        <v>-32.156094092099998</v>
      </c>
    </row>
    <row ht="15.75" r="47" spans="2:17" thickTop="1" x14ac:dyDescent="0.25">
      <c r="M47" s="479" t="str">
        <f>VLOOKUP(N47,Coeff_Descr!$A:$D,3,FALSE)</f>
        <v>MEAL</v>
      </c>
      <c r="N47" s="479">
        <f>OtherTourDestination!B55</f>
        <v>45</v>
      </c>
      <c r="O47" s="479" t="str">
        <f>OtherTourDestination!C55</f>
        <v>Beta00045</v>
      </c>
      <c r="P47" s="481">
        <f>OtherTourDestination!E55</f>
        <v>-7.5551873767200002</v>
      </c>
      <c r="Q47" s="559">
        <f si="0" t="shared"/>
        <v>-7.5551873767200002</v>
      </c>
    </row>
    <row r="48" spans="2:17" x14ac:dyDescent="0.25">
      <c r="M48" s="479" t="str">
        <f>VLOOKUP(N48,Coeff_Descr!$A:$D,3,FALSE)</f>
        <v>MEAL</v>
      </c>
      <c r="N48" s="479">
        <f>OtherTourDestination!B56</f>
        <v>46</v>
      </c>
      <c r="O48" s="479" t="str">
        <f>OtherTourDestination!C56</f>
        <v>Beta00046</v>
      </c>
      <c r="P48" s="481">
        <f>OtherTourDestination!E56</f>
        <v>-3.4784098231399998</v>
      </c>
      <c r="Q48" s="559">
        <f si="0" t="shared"/>
        <v>-3.4784098231399998</v>
      </c>
    </row>
    <row r="49" spans="13:17" x14ac:dyDescent="0.25">
      <c r="M49" s="479" t="str">
        <f>VLOOKUP(N49,Coeff_Descr!$A:$D,3,FALSE)</f>
        <v>MEAL</v>
      </c>
      <c r="N49" s="479">
        <f>OtherTourDestination!B57</f>
        <v>47</v>
      </c>
      <c r="O49" s="479" t="str">
        <f>OtherTourDestination!C57</f>
        <v>Beta00047</v>
      </c>
      <c r="P49" s="481">
        <f>OtherTourDestination!E57</f>
        <v>-0.79171784712299997</v>
      </c>
      <c r="Q49" s="559">
        <f si="0" t="shared"/>
        <v>-0.79171784712299997</v>
      </c>
    </row>
    <row r="50" spans="13:17" x14ac:dyDescent="0.25">
      <c r="M50" s="479" t="str">
        <f>VLOOKUP(N50,Coeff_Descr!$A:$D,3,FALSE)</f>
        <v>MEAL</v>
      </c>
      <c r="N50" s="479">
        <f>OtherTourDestination!B58</f>
        <v>48</v>
      </c>
      <c r="O50" s="479" t="str">
        <f>OtherTourDestination!C58</f>
        <v>Beta00048</v>
      </c>
      <c r="P50" s="481">
        <f>OtherTourDestination!E58</f>
        <v>0.65760260093900003</v>
      </c>
      <c r="Q50" s="559">
        <f si="0" t="shared"/>
        <v>0.65760260093900003</v>
      </c>
    </row>
    <row r="51" spans="13:17" x14ac:dyDescent="0.25">
      <c r="M51" s="479" t="str">
        <f>VLOOKUP(N51,Coeff_Descr!$A:$D,3,FALSE)</f>
        <v>SOCREC</v>
      </c>
      <c r="N51" s="479">
        <f>OtherTourDestination!B59</f>
        <v>49</v>
      </c>
      <c r="O51" s="479" t="str">
        <f>OtherTourDestination!C59</f>
        <v>Beta00049</v>
      </c>
      <c r="P51" s="481">
        <f>OtherTourDestination!E59</f>
        <v>0.201576719663</v>
      </c>
      <c r="Q51" s="559">
        <f si="0" t="shared"/>
        <v>0.201576719663</v>
      </c>
    </row>
    <row r="52" spans="13:17" x14ac:dyDescent="0.25">
      <c r="M52" s="479" t="str">
        <f>VLOOKUP(N52,Coeff_Descr!$A:$D,3,FALSE)</f>
        <v>SOCREC</v>
      </c>
      <c r="N52" s="517">
        <f>OtherTourDestination!B60</f>
        <v>50</v>
      </c>
      <c r="O52" s="517" t="str">
        <f>OtherTourDestination!C60</f>
        <v>Beta00050</v>
      </c>
      <c r="P52" s="561">
        <f>OtherTourDestination!E60</f>
        <v>-28.552058518999999</v>
      </c>
      <c r="Q52" s="559">
        <f si="0" t="shared"/>
        <v>-28.552058518999999</v>
      </c>
    </row>
    <row r="53" spans="13:17" x14ac:dyDescent="0.25">
      <c r="M53" s="479" t="str">
        <f>VLOOKUP(N53,Coeff_Descr!$A:$D,3,FALSE)</f>
        <v>SOCREC</v>
      </c>
      <c r="N53" s="517">
        <f>OtherTourDestination!B61</f>
        <v>51</v>
      </c>
      <c r="O53" s="517" t="str">
        <f>OtherTourDestination!C61</f>
        <v>Beta00051</v>
      </c>
      <c r="P53" s="561">
        <f>OtherTourDestination!E61</f>
        <v>-7.25833529236</v>
      </c>
      <c r="Q53" s="559">
        <f si="0" t="shared"/>
        <v>-7.25833529236</v>
      </c>
    </row>
    <row r="54" spans="13:17" x14ac:dyDescent="0.25">
      <c r="M54" s="479" t="str">
        <f>VLOOKUP(N54,Coeff_Descr!$A:$D,3,FALSE)</f>
        <v>SOCREC</v>
      </c>
      <c r="N54" s="517">
        <f>OtherTourDestination!B62</f>
        <v>52</v>
      </c>
      <c r="O54" s="517" t="str">
        <f>OtherTourDestination!C62</f>
        <v>Beta00052</v>
      </c>
      <c r="P54" s="561">
        <f>OtherTourDestination!E62</f>
        <v>-2.64524710889</v>
      </c>
      <c r="Q54" s="559">
        <f si="0" t="shared"/>
        <v>-2.64524710889</v>
      </c>
    </row>
    <row r="55" spans="13:17" x14ac:dyDescent="0.25">
      <c r="M55" s="479" t="str">
        <f>VLOOKUP(N55,Coeff_Descr!$A:$D,3,FALSE)</f>
        <v>SOCREC</v>
      </c>
      <c r="N55" s="517">
        <f>OtherTourDestination!B63</f>
        <v>53</v>
      </c>
      <c r="O55" s="517" t="str">
        <f>OtherTourDestination!C63</f>
        <v>Beta00053</v>
      </c>
      <c r="P55" s="561">
        <f>OtherTourDestination!E63</f>
        <v>-0.76461618005800003</v>
      </c>
      <c r="Q55" s="559">
        <f si="0" t="shared"/>
        <v>-0.76461618005800003</v>
      </c>
    </row>
    <row r="56" spans="13:17" x14ac:dyDescent="0.25">
      <c r="M56" s="479" t="str">
        <f>VLOOKUP(N56,Coeff_Descr!$A:$D,3,FALSE)</f>
        <v>SOCREC</v>
      </c>
      <c r="N56" s="479">
        <f>OtherTourDestination!B64</f>
        <v>54</v>
      </c>
      <c r="O56" s="479" t="str">
        <f>OtherTourDestination!C64</f>
        <v>Beta00054</v>
      </c>
      <c r="P56" s="481">
        <f>OtherTourDestination!E64</f>
        <v>0.20818008309700001</v>
      </c>
      <c r="Q56" s="559">
        <f si="0" t="shared"/>
        <v>0.20818008309700001</v>
      </c>
    </row>
    <row r="57" spans="13:17" x14ac:dyDescent="0.25">
      <c r="M57" s="479" t="str">
        <f>VLOOKUP(N57,Coeff_Descr!$A:$D,3,FALSE)</f>
        <v>SOCREC</v>
      </c>
      <c r="N57" s="479">
        <f>OtherTourDestination!B65</f>
        <v>55</v>
      </c>
      <c r="O57" s="479" t="str">
        <f>OtherTourDestination!C65</f>
        <v>Beta00055</v>
      </c>
      <c r="P57" s="481">
        <f>OtherTourDestination!E65</f>
        <v>0.42522231451499998</v>
      </c>
      <c r="Q57" s="559">
        <f si="0" t="shared"/>
        <v>0.42522231451499998</v>
      </c>
    </row>
    <row r="58" spans="13:17" x14ac:dyDescent="0.25">
      <c r="M58" s="479" t="str">
        <f>VLOOKUP(N58,Coeff_Descr!$A:$D,3,FALSE)</f>
        <v>SOCREC</v>
      </c>
      <c r="N58" s="479">
        <f>OtherTourDestination!B66</f>
        <v>56</v>
      </c>
      <c r="O58" s="479" t="str">
        <f>OtherTourDestination!C66</f>
        <v>Beta00056</v>
      </c>
      <c r="P58" s="481">
        <f>OtherTourDestination!E66</f>
        <v>-0.743588483327</v>
      </c>
      <c r="Q58" s="559">
        <f si="0" t="shared"/>
        <v>-0.743588483327</v>
      </c>
    </row>
    <row r="59" spans="13:17" x14ac:dyDescent="0.25">
      <c r="M59" s="479" t="str">
        <f>VLOOKUP(N59,Coeff_Descr!$A:$D,3,FALSE)</f>
        <v>SOCREC</v>
      </c>
      <c r="N59" s="479">
        <f>OtherTourDestination!B67</f>
        <v>57</v>
      </c>
      <c r="O59" s="479" t="str">
        <f>OtherTourDestination!C67</f>
        <v>Beta00057</v>
      </c>
      <c r="P59" s="481">
        <f>OtherTourDestination!E67</f>
        <v>6.2100000000000002E-2</v>
      </c>
      <c r="Q59" s="559">
        <f si="0" t="shared"/>
        <v>6.2100000000000002E-2</v>
      </c>
    </row>
    <row r="60" spans="13:17" x14ac:dyDescent="0.25">
      <c r="M60" s="479">
        <f>VLOOKUP(N60,Coeff_Descr!$A:$D,3,FALSE)</f>
        <v>0</v>
      </c>
      <c r="N60" s="479">
        <f>OtherTourDestination!B68</f>
        <v>118</v>
      </c>
      <c r="O60" s="479" t="str">
        <f>OtherTourDestination!C68</f>
        <v>Beta00118</v>
      </c>
      <c r="P60" s="481">
        <f>OtherTourDestination!E68</f>
        <v>-3</v>
      </c>
      <c r="Q60" s="559">
        <f si="0" t="shared"/>
        <v>-3</v>
      </c>
    </row>
    <row r="61" spans="13:17" x14ac:dyDescent="0.25">
      <c r="M61" s="479" t="str">
        <f>VLOOKUP(N61,Coeff_Descr!$A:$D,3,FALSE)</f>
        <v>ESCORT</v>
      </c>
      <c r="N61" s="479">
        <f>OtherTourDestination!B69</f>
        <v>70</v>
      </c>
      <c r="O61" s="479" t="str">
        <f>OtherTourDestination!C69</f>
        <v>LSM_0070</v>
      </c>
      <c r="P61" s="481">
        <f>OtherTourDestination!E69</f>
        <v>0.29394695214400002</v>
      </c>
      <c r="Q61" s="559">
        <f si="0" t="shared"/>
        <v>0.29394695214400002</v>
      </c>
    </row>
    <row r="62" spans="13:17" x14ac:dyDescent="0.25">
      <c r="M62" s="479" t="str">
        <f>VLOOKUP(N62,Coeff_Descr!$A:$D,3,FALSE)</f>
        <v>ESCORT</v>
      </c>
      <c r="N62" s="479">
        <f>OtherTourDestination!B70</f>
        <v>71</v>
      </c>
      <c r="O62" s="479" t="str">
        <f>OtherTourDestination!C70</f>
        <v>Gamma071</v>
      </c>
      <c r="P62" s="481">
        <f>OtherTourDestination!E70</f>
        <v>0</v>
      </c>
      <c r="Q62" s="559">
        <f si="0" t="shared"/>
        <v>0</v>
      </c>
    </row>
    <row r="63" spans="13:17" x14ac:dyDescent="0.25">
      <c r="M63" s="479" t="str">
        <f>VLOOKUP(N63,Coeff_Descr!$A:$D,3,FALSE)</f>
        <v>ESCORT</v>
      </c>
      <c r="N63" s="479">
        <f>OtherTourDestination!B71</f>
        <v>72</v>
      </c>
      <c r="O63" s="479" t="str">
        <f>OtherTourDestination!C71</f>
        <v>Gamma072</v>
      </c>
      <c r="P63" s="481">
        <f>OtherTourDestination!E71</f>
        <v>-6.2798471793299999</v>
      </c>
      <c r="Q63" s="559">
        <f si="0" t="shared"/>
        <v>-6.2798471793299999</v>
      </c>
    </row>
    <row r="64" spans="13:17" x14ac:dyDescent="0.25">
      <c r="M64" s="479" t="str">
        <f>VLOOKUP(N64,Coeff_Descr!$A:$D,3,FALSE)</f>
        <v>ESCORT</v>
      </c>
      <c r="N64" s="479">
        <f>OtherTourDestination!B72</f>
        <v>73</v>
      </c>
      <c r="O64" s="479" t="str">
        <f>OtherTourDestination!C72</f>
        <v>Gamma073</v>
      </c>
      <c r="P64" s="481">
        <f>OtherTourDestination!E72</f>
        <v>3.2962256518299999</v>
      </c>
      <c r="Q64" s="559">
        <f si="0" t="shared"/>
        <v>3.2962256518299999</v>
      </c>
    </row>
    <row r="65" spans="13:17" x14ac:dyDescent="0.25">
      <c r="M65" s="479" t="str">
        <f>VLOOKUP(N65,Coeff_Descr!$A:$D,3,FALSE)</f>
        <v>ESCORT</v>
      </c>
      <c r="N65" s="479">
        <f>OtherTourDestination!B73</f>
        <v>74</v>
      </c>
      <c r="O65" s="479" t="str">
        <f>OtherTourDestination!C73</f>
        <v>Gamma074</v>
      </c>
      <c r="P65" s="481">
        <f>OtherTourDestination!E73</f>
        <v>-5.4150639062700003</v>
      </c>
      <c r="Q65" s="559">
        <f si="0" t="shared"/>
        <v>-5.4150639062700003</v>
      </c>
    </row>
    <row r="66" spans="13:17" x14ac:dyDescent="0.25">
      <c r="M66" s="479" t="str">
        <f>VLOOKUP(N66,Coeff_Descr!$A:$D,3,FALSE)</f>
        <v>ESCORT</v>
      </c>
      <c r="N66" s="479">
        <f>OtherTourDestination!B74</f>
        <v>75</v>
      </c>
      <c r="O66" s="479" t="str">
        <f>OtherTourDestination!C74</f>
        <v>Gamma075</v>
      </c>
      <c r="P66" s="481">
        <f>OtherTourDestination!E74</f>
        <v>-5.94820877094</v>
      </c>
      <c r="Q66" s="559">
        <f si="0" t="shared"/>
        <v>-5.94820877094</v>
      </c>
    </row>
    <row r="67" spans="13:17" x14ac:dyDescent="0.25">
      <c r="M67" s="479" t="str">
        <f>VLOOKUP(N67,Coeff_Descr!$A:$D,3,FALSE)</f>
        <v>ESCORT</v>
      </c>
      <c r="N67" s="479">
        <f>OtherTourDestination!B75</f>
        <v>76</v>
      </c>
      <c r="O67" s="479" t="str">
        <f>OtherTourDestination!C75</f>
        <v>Gamma076</v>
      </c>
      <c r="P67" s="481">
        <f>OtherTourDestination!E75</f>
        <v>-4.8479831726300002</v>
      </c>
      <c r="Q67" s="559">
        <f si="0" t="shared"/>
        <v>-4.8479831726300002</v>
      </c>
    </row>
    <row r="68" spans="13:17" x14ac:dyDescent="0.25">
      <c r="M68" s="479" t="str">
        <f>VLOOKUP(N68,Coeff_Descr!$A:$D,3,FALSE)</f>
        <v>ESCORT</v>
      </c>
      <c r="N68" s="479">
        <f>OtherTourDestination!B76</f>
        <v>77</v>
      </c>
      <c r="O68" s="479" t="str">
        <f>OtherTourDestination!C76</f>
        <v>Gamma077</v>
      </c>
      <c r="P68" s="481">
        <f>OtherTourDestination!E76</f>
        <v>-5.4883496585599998</v>
      </c>
      <c r="Q68" s="559">
        <f si="0" t="shared"/>
        <v>-5.4883496585599998</v>
      </c>
    </row>
    <row r="69" spans="13:17" x14ac:dyDescent="0.25">
      <c r="M69" s="479" t="str">
        <f>VLOOKUP(N69,Coeff_Descr!$A:$D,3,FALSE)</f>
        <v>ESCORT</v>
      </c>
      <c r="N69" s="479">
        <f>OtherTourDestination!B77</f>
        <v>78</v>
      </c>
      <c r="O69" s="479" t="str">
        <f>OtherTourDestination!C77</f>
        <v>Gamma078</v>
      </c>
      <c r="P69" s="481">
        <f>OtherTourDestination!E77</f>
        <v>-6.9308352438999998</v>
      </c>
      <c r="Q69" s="559">
        <f ref="Q69:Q104" si="10" t="shared">_xlfn.IFNA(VLOOKUP(N69,$B$43:$D$46,3,FALSE),P69)</f>
        <v>-6.9308352438999998</v>
      </c>
    </row>
    <row r="70" spans="13:17" x14ac:dyDescent="0.25">
      <c r="M70" s="479" t="str">
        <f>VLOOKUP(N70,Coeff_Descr!$A:$D,3,FALSE)</f>
        <v>ESCORT</v>
      </c>
      <c r="N70" s="479">
        <f>OtherTourDestination!B78</f>
        <v>79</v>
      </c>
      <c r="O70" s="479" t="str">
        <f>OtherTourDestination!C78</f>
        <v>Gamma079</v>
      </c>
      <c r="P70" s="481">
        <f>OtherTourDestination!E78</f>
        <v>-22.404820174200001</v>
      </c>
      <c r="Q70" s="559">
        <f si="10" t="shared"/>
        <v>-22.404820174200001</v>
      </c>
    </row>
    <row r="71" spans="13:17" x14ac:dyDescent="0.25">
      <c r="M71" s="479" t="str">
        <f>VLOOKUP(N71,Coeff_Descr!$A:$D,3,FALSE)</f>
        <v>ESCORT</v>
      </c>
      <c r="N71" s="479">
        <f>OtherTourDestination!B79</f>
        <v>80</v>
      </c>
      <c r="O71" s="479" t="str">
        <f>OtherTourDestination!C79</f>
        <v>Gamma080</v>
      </c>
      <c r="P71" s="481">
        <f>OtherTourDestination!E79</f>
        <v>-2.8929233973800002</v>
      </c>
      <c r="Q71" s="559">
        <f si="10" t="shared"/>
        <v>-2.8929233973800002</v>
      </c>
    </row>
    <row r="72" spans="13:17" x14ac:dyDescent="0.25">
      <c r="M72" s="479" t="str">
        <f>VLOOKUP(N72,Coeff_Descr!$A:$D,3,FALSE)</f>
        <v>ESCORT</v>
      </c>
      <c r="N72" s="479">
        <f>OtherTourDestination!B80</f>
        <v>81</v>
      </c>
      <c r="O72" s="479" t="str">
        <f>OtherTourDestination!C80</f>
        <v>Gamma081</v>
      </c>
      <c r="P72" s="481">
        <f>OtherTourDestination!E80</f>
        <v>-2.5610724948299999</v>
      </c>
      <c r="Q72" s="559">
        <f si="10" t="shared"/>
        <v>-2.5610724948299999</v>
      </c>
    </row>
    <row r="73" spans="13:17" x14ac:dyDescent="0.25">
      <c r="M73" s="479" t="str">
        <f>VLOOKUP(N73,Coeff_Descr!$A:$D,3,FALSE)</f>
        <v>ESCORT</v>
      </c>
      <c r="N73" s="479">
        <f>OtherTourDestination!B81</f>
        <v>82</v>
      </c>
      <c r="O73" s="479" t="str">
        <f>OtherTourDestination!C81</f>
        <v>Gamma082</v>
      </c>
      <c r="P73" s="481">
        <f>OtherTourDestination!E81</f>
        <v>-6.7871010869299999</v>
      </c>
      <c r="Q73" s="559">
        <f si="10" t="shared"/>
        <v>-6.7871010869299999</v>
      </c>
    </row>
    <row r="74" spans="13:17" x14ac:dyDescent="0.25">
      <c r="M74" s="479" t="str">
        <f>VLOOKUP(N74,Coeff_Descr!$A:$D,3,FALSE)</f>
        <v>ESCORT</v>
      </c>
      <c r="N74" s="479">
        <f>OtherTourDestination!B82</f>
        <v>83</v>
      </c>
      <c r="O74" s="479" t="str">
        <f>OtherTourDestination!C82</f>
        <v>Gamma083</v>
      </c>
      <c r="P74" s="481">
        <f>OtherTourDestination!E82</f>
        <v>-7.1983706387300002</v>
      </c>
      <c r="Q74" s="559">
        <f si="10" t="shared"/>
        <v>-7.1983706387300002</v>
      </c>
    </row>
    <row r="75" spans="13:17" x14ac:dyDescent="0.25">
      <c r="M75" s="479" t="str">
        <f>VLOOKUP(N75,Coeff_Descr!$A:$D,3,FALSE)</f>
        <v>ESCORT</v>
      </c>
      <c r="N75" s="479">
        <f>OtherTourDestination!B83</f>
        <v>84</v>
      </c>
      <c r="O75" s="479" t="str">
        <f>OtherTourDestination!C83</f>
        <v>Gamma084</v>
      </c>
      <c r="P75" s="481">
        <f>OtherTourDestination!E83</f>
        <v>-6.5584328775399996</v>
      </c>
      <c r="Q75" s="559">
        <f si="10" t="shared"/>
        <v>-6.5584328775399996</v>
      </c>
    </row>
    <row r="76" spans="13:17" x14ac:dyDescent="0.25">
      <c r="M76" s="479" t="str">
        <f>VLOOKUP(N76,Coeff_Descr!$A:$D,3,FALSE)</f>
        <v>ESCORT</v>
      </c>
      <c r="N76" s="479">
        <f>OtherTourDestination!B84</f>
        <v>85</v>
      </c>
      <c r="O76" s="479" t="str">
        <f>OtherTourDestination!C84</f>
        <v>Gamma085</v>
      </c>
      <c r="P76" s="481">
        <f>OtherTourDestination!E84</f>
        <v>-7.3832576457999997</v>
      </c>
      <c r="Q76" s="559">
        <f si="10" t="shared"/>
        <v>-7.3832576457999997</v>
      </c>
    </row>
    <row r="77" spans="13:17" x14ac:dyDescent="0.25">
      <c r="M77" s="479" t="str">
        <f>VLOOKUP(N77,Coeff_Descr!$A:$D,3,FALSE)</f>
        <v>ESCORT</v>
      </c>
      <c r="N77" s="479">
        <f>OtherTourDestination!B85</f>
        <v>86</v>
      </c>
      <c r="O77" s="479" t="str">
        <f>OtherTourDestination!C85</f>
        <v>Gamma086</v>
      </c>
      <c r="P77" s="481">
        <f>OtherTourDestination!E85</f>
        <v>-8.5452246906399996</v>
      </c>
      <c r="Q77" s="559">
        <f si="10" t="shared"/>
        <v>-8.5452246906399996</v>
      </c>
    </row>
    <row r="78" spans="13:17" x14ac:dyDescent="0.25">
      <c r="M78" s="479" t="str">
        <f>VLOOKUP(N78,Coeff_Descr!$A:$D,3,FALSE)</f>
        <v>ESCORT</v>
      </c>
      <c r="N78" s="479">
        <f>OtherTourDestination!B86</f>
        <v>87</v>
      </c>
      <c r="O78" s="479" t="str">
        <f>OtherTourDestination!C86</f>
        <v>Gamma087</v>
      </c>
      <c r="P78" s="481">
        <f>OtherTourDestination!E86</f>
        <v>-24.633851965200002</v>
      </c>
      <c r="Q78" s="559">
        <f si="10" t="shared"/>
        <v>-24.633851965200002</v>
      </c>
    </row>
    <row r="79" spans="13:17" x14ac:dyDescent="0.25">
      <c r="M79" s="479" t="str">
        <f>VLOOKUP(N79,Coeff_Descr!$A:$D,3,FALSE)</f>
        <v>ESCORT</v>
      </c>
      <c r="N79" s="479">
        <f>OtherTourDestination!B87</f>
        <v>88</v>
      </c>
      <c r="O79" s="479" t="str">
        <f>OtherTourDestination!C87</f>
        <v>Gamma088</v>
      </c>
      <c r="P79" s="481">
        <f>OtherTourDestination!E87</f>
        <v>0</v>
      </c>
      <c r="Q79" s="559">
        <f si="10" t="shared"/>
        <v>0</v>
      </c>
    </row>
    <row r="80" spans="13:17" x14ac:dyDescent="0.25">
      <c r="M80" s="479" t="str">
        <f>VLOOKUP(N80,Coeff_Descr!$A:$D,3,FALSE)</f>
        <v>PERSBUS/MED</v>
      </c>
      <c r="N80" s="479">
        <f>OtherTourDestination!B88</f>
        <v>89</v>
      </c>
      <c r="O80" s="479" t="str">
        <f>OtherTourDestination!C88</f>
        <v>Gamma089</v>
      </c>
      <c r="P80" s="481">
        <f>OtherTourDestination!E88</f>
        <v>-0.55009338373399996</v>
      </c>
      <c r="Q80" s="559">
        <f si="10" t="shared"/>
        <v>-0.55009338373399996</v>
      </c>
    </row>
    <row r="81" spans="13:17" x14ac:dyDescent="0.25">
      <c r="M81" s="479" t="str">
        <f>VLOOKUP(N81,Coeff_Descr!$A:$D,3,FALSE)</f>
        <v>PERSBUS/MED</v>
      </c>
      <c r="N81" s="479">
        <f>OtherTourDestination!B89</f>
        <v>90</v>
      </c>
      <c r="O81" s="479" t="str">
        <f>OtherTourDestination!C89</f>
        <v>Gamma090</v>
      </c>
      <c r="P81" s="481">
        <f>OtherTourDestination!E89</f>
        <v>-9.9117567037699992</v>
      </c>
      <c r="Q81" s="559">
        <f si="10" t="shared"/>
        <v>-9.9117567037699992</v>
      </c>
    </row>
    <row r="82" spans="13:17" x14ac:dyDescent="0.25">
      <c r="M82" s="479" t="str">
        <f>VLOOKUP(N82,Coeff_Descr!$A:$D,3,FALSE)</f>
        <v>PERSBUS/MED</v>
      </c>
      <c r="N82" s="479">
        <f>OtherTourDestination!B90</f>
        <v>91</v>
      </c>
      <c r="O82" s="479" t="str">
        <f>OtherTourDestination!C90</f>
        <v>Gamma091</v>
      </c>
      <c r="P82" s="481">
        <f>OtherTourDestination!E90</f>
        <v>-9.3194311560499994</v>
      </c>
      <c r="Q82" s="559">
        <f si="10" t="shared"/>
        <v>-9.3194311560499994</v>
      </c>
    </row>
    <row r="83" spans="13:17" x14ac:dyDescent="0.25">
      <c r="M83" s="479" t="str">
        <f>VLOOKUP(N83,Coeff_Descr!$A:$D,3,FALSE)</f>
        <v>PERSBUS/MED</v>
      </c>
      <c r="N83" s="479">
        <f>OtherTourDestination!B91</f>
        <v>92</v>
      </c>
      <c r="O83" s="479" t="str">
        <f>OtherTourDestination!C91</f>
        <v>Gamma092</v>
      </c>
      <c r="P83" s="481">
        <f>OtherTourDestination!E91</f>
        <v>-0.20086270196799999</v>
      </c>
      <c r="Q83" s="559">
        <f si="10" t="shared"/>
        <v>-0.20086270196799999</v>
      </c>
    </row>
    <row r="84" spans="13:17" x14ac:dyDescent="0.25">
      <c r="M84" s="479" t="str">
        <f>VLOOKUP(N84,Coeff_Descr!$A:$D,3,FALSE)</f>
        <v>PERSBUS/MED</v>
      </c>
      <c r="N84" s="479">
        <f>OtherTourDestination!B92</f>
        <v>93</v>
      </c>
      <c r="O84" s="479" t="str">
        <f>OtherTourDestination!C92</f>
        <v>Gamma093</v>
      </c>
      <c r="P84" s="481">
        <f>OtherTourDestination!E92</f>
        <v>-2.1843835309699999</v>
      </c>
      <c r="Q84" s="559">
        <f si="10" t="shared"/>
        <v>-2.1843835309699999</v>
      </c>
    </row>
    <row r="85" spans="13:17" x14ac:dyDescent="0.25">
      <c r="M85" s="479" t="str">
        <f>VLOOKUP(N85,Coeff_Descr!$A:$D,3,FALSE)</f>
        <v>PERSBUS/MED</v>
      </c>
      <c r="N85" s="479">
        <f>OtherTourDestination!B93</f>
        <v>94</v>
      </c>
      <c r="O85" s="479" t="str">
        <f>OtherTourDestination!C93</f>
        <v>Gamma094</v>
      </c>
      <c r="P85" s="481">
        <f>OtherTourDestination!E93</f>
        <v>0</v>
      </c>
      <c r="Q85" s="559">
        <f si="10" t="shared"/>
        <v>0</v>
      </c>
    </row>
    <row r="86" spans="13:17" x14ac:dyDescent="0.25">
      <c r="M86" s="479" t="str">
        <f>VLOOKUP(N86,Coeff_Descr!$A:$D,3,FALSE)</f>
        <v>PERSBUS/MED</v>
      </c>
      <c r="N86" s="479">
        <f>OtherTourDestination!B94</f>
        <v>95</v>
      </c>
      <c r="O86" s="479" t="str">
        <f>OtherTourDestination!C94</f>
        <v>Gamma095</v>
      </c>
      <c r="P86" s="481">
        <f>OtherTourDestination!E94</f>
        <v>-9.9476357147400005</v>
      </c>
      <c r="Q86" s="559">
        <f si="10" t="shared"/>
        <v>-9.9476357147400005</v>
      </c>
    </row>
    <row r="87" spans="13:17" x14ac:dyDescent="0.25">
      <c r="M87" s="479" t="str">
        <f>VLOOKUP(N87,Coeff_Descr!$A:$D,3,FALSE)</f>
        <v>PERSBUS/MED</v>
      </c>
      <c r="N87" s="479">
        <f>OtherTourDestination!B95</f>
        <v>96</v>
      </c>
      <c r="O87" s="479" t="str">
        <f>OtherTourDestination!C95</f>
        <v>Gamma096</v>
      </c>
      <c r="P87" s="481">
        <f>OtherTourDestination!E95</f>
        <v>-12.800107987600001</v>
      </c>
      <c r="Q87" s="559">
        <f si="10" t="shared"/>
        <v>-12.800107987600001</v>
      </c>
    </row>
    <row r="88" spans="13:17" x14ac:dyDescent="0.25">
      <c r="M88" s="479" t="str">
        <f>VLOOKUP(N88,Coeff_Descr!$A:$D,3,FALSE)</f>
        <v>PERSBUS/MED</v>
      </c>
      <c r="N88" s="479">
        <f>OtherTourDestination!B96</f>
        <v>97</v>
      </c>
      <c r="O88" s="479" t="str">
        <f>OtherTourDestination!C96</f>
        <v>Gamma097</v>
      </c>
      <c r="P88" s="481">
        <f>OtherTourDestination!E96</f>
        <v>-30</v>
      </c>
      <c r="Q88" s="559">
        <f si="10" t="shared"/>
        <v>-30</v>
      </c>
    </row>
    <row r="89" spans="13:17" x14ac:dyDescent="0.25">
      <c r="M89" s="479" t="str">
        <f>VLOOKUP(N89,Coeff_Descr!$A:$D,3,FALSE)</f>
        <v>SHOP</v>
      </c>
      <c r="N89" s="479">
        <f>OtherTourDestination!B97</f>
        <v>98</v>
      </c>
      <c r="O89" s="479" t="str">
        <f>OtherTourDestination!C97</f>
        <v>Gamma098</v>
      </c>
      <c r="P89" s="481">
        <f>OtherTourDestination!E97</f>
        <v>-21.699928591700001</v>
      </c>
      <c r="Q89" s="559">
        <f si="10" t="shared"/>
        <v>-21.699928591700001</v>
      </c>
    </row>
    <row r="90" spans="13:17" x14ac:dyDescent="0.25">
      <c r="M90" s="479" t="str">
        <f>VLOOKUP(N90,Coeff_Descr!$A:$D,3,FALSE)</f>
        <v>SHOP</v>
      </c>
      <c r="N90" s="479">
        <f>OtherTourDestination!B98</f>
        <v>99</v>
      </c>
      <c r="O90" s="479" t="str">
        <f>OtherTourDestination!C98</f>
        <v>Gamma099</v>
      </c>
      <c r="P90" s="481">
        <f>OtherTourDestination!E98</f>
        <v>-17.700475093400001</v>
      </c>
      <c r="Q90" s="559">
        <f si="10" t="shared"/>
        <v>-17.700475093400001</v>
      </c>
    </row>
    <row r="91" spans="13:17" x14ac:dyDescent="0.25">
      <c r="M91" s="479" t="str">
        <f>VLOOKUP(N91,Coeff_Descr!$A:$D,3,FALSE)</f>
        <v>SHOP</v>
      </c>
      <c r="N91" s="479">
        <f>OtherTourDestination!B99</f>
        <v>100</v>
      </c>
      <c r="O91" s="479" t="str">
        <f>OtherTourDestination!C99</f>
        <v>Gamma100</v>
      </c>
      <c r="P91" s="481">
        <f>OtherTourDestination!E99</f>
        <v>-0.7</v>
      </c>
      <c r="Q91" s="559">
        <f si="10" t="shared"/>
        <v>-0.7</v>
      </c>
    </row>
    <row r="92" spans="13:17" x14ac:dyDescent="0.25">
      <c r="M92" s="479" t="str">
        <f>VLOOKUP(N92,Coeff_Descr!$A:$D,3,FALSE)</f>
        <v>SHOP</v>
      </c>
      <c r="N92" s="479">
        <f>OtherTourDestination!B100</f>
        <v>101</v>
      </c>
      <c r="O92" s="479" t="str">
        <f>OtherTourDestination!C100</f>
        <v>Gamma101</v>
      </c>
      <c r="P92" s="481">
        <f>OtherTourDestination!E100</f>
        <v>-17.8758745875</v>
      </c>
      <c r="Q92" s="559">
        <f si="10" t="shared"/>
        <v>-17.8758745875</v>
      </c>
    </row>
    <row r="93" spans="13:17" x14ac:dyDescent="0.25">
      <c r="M93" s="479" t="str">
        <f>VLOOKUP(N93,Coeff_Descr!$A:$D,3,FALSE)</f>
        <v>MEAL</v>
      </c>
      <c r="N93" s="479">
        <f>OtherTourDestination!B101</f>
        <v>102</v>
      </c>
      <c r="O93" s="479" t="str">
        <f>OtherTourDestination!C101</f>
        <v>Gamma102</v>
      </c>
      <c r="P93" s="481">
        <f>OtherTourDestination!E101</f>
        <v>0</v>
      </c>
      <c r="Q93" s="559">
        <f si="10" t="shared"/>
        <v>0</v>
      </c>
    </row>
    <row r="94" spans="13:17" x14ac:dyDescent="0.25">
      <c r="M94" s="479" t="str">
        <f>VLOOKUP(N94,Coeff_Descr!$A:$D,3,FALSE)</f>
        <v>MEAL</v>
      </c>
      <c r="N94" s="479">
        <f>OtherTourDestination!B102</f>
        <v>103</v>
      </c>
      <c r="O94" s="479" t="str">
        <f>OtherTourDestination!C102</f>
        <v>Gamma103</v>
      </c>
      <c r="P94" s="481">
        <f>OtherTourDestination!E102</f>
        <v>5</v>
      </c>
      <c r="Q94" s="559">
        <f si="10" t="shared"/>
        <v>5</v>
      </c>
    </row>
    <row r="95" spans="13:17" x14ac:dyDescent="0.25">
      <c r="M95" s="479" t="str">
        <f>VLOOKUP(N95,Coeff_Descr!$A:$D,3,FALSE)</f>
        <v>MEAL</v>
      </c>
      <c r="N95" s="479">
        <f>OtherTourDestination!B103</f>
        <v>104</v>
      </c>
      <c r="O95" s="479" t="str">
        <f>OtherTourDestination!C103</f>
        <v>Gamma104</v>
      </c>
      <c r="P95" s="481">
        <f>OtherTourDestination!E103</f>
        <v>-30</v>
      </c>
      <c r="Q95" s="559">
        <f si="10" t="shared"/>
        <v>-30</v>
      </c>
    </row>
    <row r="96" spans="13:17" x14ac:dyDescent="0.25">
      <c r="M96" s="479" t="str">
        <f>VLOOKUP(N96,Coeff_Descr!$A:$D,3,FALSE)</f>
        <v>MEAL</v>
      </c>
      <c r="N96" s="479">
        <f>OtherTourDestination!B104</f>
        <v>105</v>
      </c>
      <c r="O96" s="479" t="str">
        <f>OtherTourDestination!C104</f>
        <v>Gamma105</v>
      </c>
      <c r="P96" s="481">
        <f>OtherTourDestination!E104</f>
        <v>-24.158093970700001</v>
      </c>
      <c r="Q96" s="559">
        <f si="10" t="shared"/>
        <v>-24.158093970700001</v>
      </c>
    </row>
    <row r="97" spans="13:17" x14ac:dyDescent="0.25">
      <c r="M97" s="479" t="str">
        <f>VLOOKUP(N97,Coeff_Descr!$A:$D,3,FALSE)</f>
        <v>SOCREC</v>
      </c>
      <c r="N97" s="479">
        <f>OtherTourDestination!B105</f>
        <v>106</v>
      </c>
      <c r="O97" s="479" t="str">
        <f>OtherTourDestination!C105</f>
        <v>Gamma106</v>
      </c>
      <c r="P97" s="481">
        <f>OtherTourDestination!E105</f>
        <v>-9.5803170794600003</v>
      </c>
      <c r="Q97" s="559">
        <f si="10" t="shared"/>
        <v>-9.5803170794600003</v>
      </c>
    </row>
    <row r="98" spans="13:17" x14ac:dyDescent="0.25">
      <c r="M98" s="479" t="str">
        <f>VLOOKUP(N98,Coeff_Descr!$A:$D,3,FALSE)</f>
        <v>SOCREC</v>
      </c>
      <c r="N98" s="479">
        <f>OtherTourDestination!B106</f>
        <v>107</v>
      </c>
      <c r="O98" s="479" t="str">
        <f>OtherTourDestination!C106</f>
        <v>Gamma107</v>
      </c>
      <c r="P98" s="481">
        <f>OtherTourDestination!E106</f>
        <v>0</v>
      </c>
      <c r="Q98" s="559">
        <f si="10" t="shared"/>
        <v>0</v>
      </c>
    </row>
    <row r="99" spans="13:17" x14ac:dyDescent="0.25">
      <c r="M99" s="479" t="str">
        <f>VLOOKUP(N99,Coeff_Descr!$A:$D,3,FALSE)</f>
        <v>SOCREC</v>
      </c>
      <c r="N99" s="479">
        <f>OtherTourDestination!B107</f>
        <v>108</v>
      </c>
      <c r="O99" s="479" t="str">
        <f>OtherTourDestination!C107</f>
        <v>Gamma108</v>
      </c>
      <c r="P99" s="481">
        <f>OtherTourDestination!E107</f>
        <v>-15.671349338700001</v>
      </c>
      <c r="Q99" s="559">
        <f si="10" t="shared"/>
        <v>-15.671349338700001</v>
      </c>
    </row>
    <row r="100" spans="13:17" x14ac:dyDescent="0.25">
      <c r="M100" s="479" t="str">
        <f>VLOOKUP(N100,Coeff_Descr!$A:$D,3,FALSE)</f>
        <v>SOCREC</v>
      </c>
      <c r="N100" s="479">
        <f>OtherTourDestination!B108</f>
        <v>109</v>
      </c>
      <c r="O100" s="479" t="str">
        <f>OtherTourDestination!C108</f>
        <v>Gamma109</v>
      </c>
      <c r="P100" s="481">
        <f>OtherTourDestination!E108</f>
        <v>-18.208541213899998</v>
      </c>
      <c r="Q100" s="559">
        <f si="10" t="shared"/>
        <v>-18.208541213899998</v>
      </c>
    </row>
    <row r="101" spans="13:17" x14ac:dyDescent="0.25">
      <c r="M101" s="479" t="str">
        <f>VLOOKUP(N101,Coeff_Descr!$A:$D,3,FALSE)</f>
        <v>SOCREC</v>
      </c>
      <c r="N101" s="479">
        <f>OtherTourDestination!B109</f>
        <v>110</v>
      </c>
      <c r="O101" s="479" t="str">
        <f>OtherTourDestination!C109</f>
        <v>Gamma110</v>
      </c>
      <c r="P101" s="481">
        <f>OtherTourDestination!E109</f>
        <v>-11.2471450075</v>
      </c>
      <c r="Q101" s="559">
        <f si="10" t="shared"/>
        <v>-11.2471450075</v>
      </c>
    </row>
    <row r="102" spans="13:17" x14ac:dyDescent="0.25">
      <c r="M102" s="479" t="str">
        <f>VLOOKUP(N102,Coeff_Descr!$A:$D,3,FALSE)</f>
        <v>SOCREC</v>
      </c>
      <c r="N102" s="479">
        <f>OtherTourDestination!B110</f>
        <v>111</v>
      </c>
      <c r="O102" s="479" t="str">
        <f>OtherTourDestination!C110</f>
        <v>Gamma111</v>
      </c>
      <c r="P102" s="481">
        <f>OtherTourDestination!E110</f>
        <v>-10.0807778908</v>
      </c>
      <c r="Q102" s="559">
        <f si="10" t="shared"/>
        <v>-10.0807778908</v>
      </c>
    </row>
    <row r="103" spans="13:17" x14ac:dyDescent="0.25">
      <c r="M103" s="479" t="str">
        <f>VLOOKUP(N103,Coeff_Descr!$A:$D,3,FALSE)</f>
        <v>SOCREC</v>
      </c>
      <c r="N103" s="479">
        <f>OtherTourDestination!B111</f>
        <v>112</v>
      </c>
      <c r="O103" s="479" t="str">
        <f>OtherTourDestination!C111</f>
        <v>Gamma112</v>
      </c>
      <c r="P103" s="481">
        <f>OtherTourDestination!E111</f>
        <v>-5.6623999999999999</v>
      </c>
      <c r="Q103" s="559">
        <f si="10" t="shared"/>
        <v>-5.6623999999999999</v>
      </c>
    </row>
    <row r="104" spans="13:17" x14ac:dyDescent="0.25">
      <c r="M104" s="479" t="str">
        <f>VLOOKUP(N104,Coeff_Descr!$A:$D,3,FALSE)</f>
        <v>SOCREC</v>
      </c>
      <c r="N104" s="479">
        <f>OtherTourDestination!B112</f>
        <v>113</v>
      </c>
      <c r="O104" s="479" t="str">
        <f>OtherTourDestination!C112</f>
        <v>Gamma113</v>
      </c>
      <c r="P104" s="481">
        <f>OtherTourDestination!E112</f>
        <v>-12.0597581892</v>
      </c>
      <c r="Q104" s="559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2019-10-07T21:08:15Z</dcterms:modified>
</cp:coreProperties>
</file>