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AC25" s="1"/>
  <c i="5" r="V25"/>
  <c i="5" r="W25"/>
  <c i="5" r="W12"/>
  <c i="5" r="E25" s="1"/>
  <c i="5" r="G12"/>
  <c i="5" l="1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1" r="E20"/>
  <c i="8" r="F6"/>
  <c i="8" r="F10" s="1"/>
  <c i="1" r="F20"/>
  <c i="8" r="C6"/>
  <c i="1" r="C20"/>
  <c i="8" r="D6"/>
  <c i="8" r="D10" s="1"/>
  <c i="1" r="D20"/>
  <c i="8" r="B6"/>
  <c i="8" r="B10" s="1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<sst xmlns="http://schemas.openxmlformats.org/spreadsheetml/2006/main" count="802" uniqueCount="173">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</sst>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abSelected="1" topLeftCell="A34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0.0</v>
      </c>
      <c r="C6" s="4" t="n">
        <v>0.0</v>
      </c>
      <c r="D6" s="4" t="n">
        <v>0.0</v>
      </c>
      <c r="E6" s="4" t="n">
        <v>0.0</v>
      </c>
      <c r="F6" s="4" t="n">
        <v>0.0</v>
      </c>
      <c r="G6" s="4">
        <f>SUM(B6:F6)</f>
        <v>60524.418099999995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0.0</v>
      </c>
      <c r="S6" s="22" t="n">
        <v>0.0</v>
      </c>
      <c r="T6" s="24" t="n">
        <v>0.0</v>
      </c>
      <c r="U6" s="26" t="n">
        <v>0.0</v>
      </c>
      <c r="V6" s="28" t="n">
        <v>0.0</v>
      </c>
      <c r="W6" s="4">
        <f>SUM(R6:V6)</f>
        <v>60466</v>
      </c>
    </row>
    <row r="7" spans="1:33" x14ac:dyDescent="0.25">
      <c r="A7" s="75" t="s">
        <v>168</v>
      </c>
      <c r="B7" s="4" t="n">
        <v>0.0</v>
      </c>
      <c r="C7" s="4" t="n">
        <v>0.0</v>
      </c>
      <c r="D7" s="4" t="n">
        <v>0.0</v>
      </c>
      <c r="E7" s="4" t="n">
        <v>0.0</v>
      </c>
      <c r="F7" s="4" t="n">
        <v>0.0</v>
      </c>
      <c r="G7" s="4">
        <f ref="G7:G12" si="0" t="shared">SUM(B7:F7)</f>
        <v>6663.5614000000005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0.0</v>
      </c>
      <c r="S7" s="23" t="n">
        <v>0.0</v>
      </c>
      <c r="T7" s="25" t="n">
        <v>0.0</v>
      </c>
      <c r="U7" s="27" t="n">
        <v>0.0</v>
      </c>
      <c r="V7" s="29" t="n">
        <v>0.0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0.0</v>
      </c>
      <c r="C8" s="4" t="n">
        <v>0.0</v>
      </c>
      <c r="D8" s="4" t="n">
        <v>0.0</v>
      </c>
      <c r="E8" s="4" t="n">
        <v>0.0</v>
      </c>
      <c r="F8" s="4" t="n">
        <v>0.0</v>
      </c>
      <c r="G8" s="4">
        <f si="0" t="shared"/>
        <v>54157.336499999998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0.0</v>
      </c>
      <c r="S8" s="69" t="n">
        <v>0.0</v>
      </c>
      <c r="T8" s="69" t="n">
        <v>0.0</v>
      </c>
      <c r="U8" s="69" t="n">
        <v>0.0</v>
      </c>
      <c r="V8" s="69" t="n">
        <v>0.0</v>
      </c>
      <c r="W8" s="4">
        <f si="2" t="shared"/>
        <v>56775</v>
      </c>
    </row>
    <row r="9" spans="1:33" x14ac:dyDescent="0.25">
      <c r="A9" s="75" t="s">
        <v>170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>
        <f si="0" t="shared"/>
        <v>49935.573499999991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0.0</v>
      </c>
      <c r="S9" s="69" t="n">
        <v>0.0</v>
      </c>
      <c r="T9" s="69" t="n">
        <v>0.0</v>
      </c>
      <c r="U9" s="69" t="n">
        <v>0.0</v>
      </c>
      <c r="V9" s="69" t="n">
        <v>0.0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306899.83959999995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34322.0</v>
      </c>
      <c r="S10" s="69" t="n">
        <v>111330.0</v>
      </c>
      <c r="T10" s="69" t="n">
        <v>94086.0</v>
      </c>
      <c r="U10" s="69" t="n">
        <v>34083.0</v>
      </c>
      <c r="V10" s="69" t="n">
        <v>14026.0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39773.5939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14858.0</v>
      </c>
      <c r="S11" s="71" t="n">
        <v>17435.0</v>
      </c>
      <c r="T11" s="71" t="n">
        <v>5547.0</v>
      </c>
      <c r="U11" s="71" t="n">
        <v>1609.0</v>
      </c>
      <c r="V11" s="71" t="n">
        <v>609.0</v>
      </c>
      <c r="W11" s="15">
        <f si="2" t="shared"/>
        <v>39981.000000000007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1012364.6392000001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53350.0</v>
      </c>
      <c r="S12" s="15" t="n">
        <v>301788.0</v>
      </c>
      <c r="T12" s="15" t="n">
        <v>399416.0</v>
      </c>
      <c r="U12" s="15" t="n">
        <v>178322.0</v>
      </c>
      <c r="V12" s="15" t="n">
        <v>80285.0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110066.83349999999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110685.57598452416</v>
      </c>
      <c r="S13" s="8">
        <f ref="S13:W13" si="5" t="shared">SUM(S6:S12)</f>
        <v>477919.8564330361</v>
      </c>
      <c r="T13" s="8">
        <f si="5" t="shared"/>
        <v>568169.18090797379</v>
      </c>
      <c r="U13" s="8">
        <f si="5" t="shared"/>
        <v>241935.56716192968</v>
      </c>
      <c r="V13" s="8">
        <f si="5" t="shared"/>
        <v>107988.81951253628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2151.3960687479953</v>
      </c>
      <c r="C19" s="4">
        <f ref="C19:G19" si="6" t="shared">($W6/$G6)*C6</f>
        <v>21532.699083727333</v>
      </c>
      <c r="D19" s="4">
        <f si="6" t="shared"/>
        <v>24488.833869148755</v>
      </c>
      <c r="E19" s="4">
        <f si="6" t="shared"/>
        <v>6841.6367800188737</v>
      </c>
      <c r="F19" s="4">
        <f si="6" t="shared"/>
        <v>5451.434198357043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2820.25</v>
      </c>
      <c r="S19" s="4">
        <f ref="S19:V19" si="8" t="shared">S6</f>
        <v>17113</v>
      </c>
      <c r="T19" s="4">
        <f si="8" t="shared"/>
        <v>24915.5</v>
      </c>
      <c r="U19" s="4">
        <f si="8" t="shared"/>
        <v>10924</v>
      </c>
      <c r="V19" s="4">
        <f si="8" t="shared"/>
        <v>4693.25</v>
      </c>
      <c r="W19" s="4">
        <f>SUM(R19:V19)</f>
        <v>60466</v>
      </c>
      <c r="Y19" s="3" t="str">
        <f>$A$6</f>
        <v>Bellevue</v>
      </c>
      <c r="Z19" s="4">
        <f>R19-B19</f>
        <v>668.85393125200471</v>
      </c>
      <c r="AA19" s="4">
        <f ref="AA19:AE26" si="9" t="shared">S19-C19</f>
        <v>-4419.6990837273333</v>
      </c>
      <c r="AB19" s="4">
        <f si="9" t="shared"/>
        <v>426.66613085124482</v>
      </c>
      <c r="AC19" s="4">
        <f si="9" t="shared"/>
        <v>4082.3632199811263</v>
      </c>
      <c r="AD19" s="4">
        <f si="9" t="shared"/>
        <v>-758.18419835704299</v>
      </c>
      <c r="AE19" s="4">
        <f si="9" t="shared"/>
        <v>0</v>
      </c>
      <c r="AG19" s="3" t="str">
        <f>$A$6</f>
        <v>Bellevue</v>
      </c>
      <c r="AH19" s="17">
        <f>(R6-B19)/B19</f>
        <v>0.3108929782702653</v>
      </c>
      <c r="AI19" s="17">
        <f ref="AI19:AM19" si="10" t="shared">(S6-C19)/C19</f>
        <v>-0.20525522910722249</v>
      </c>
      <c r="AJ19" s="17">
        <f si="10" t="shared"/>
        <v>1.7422884778060522E-2</v>
      </c>
      <c r="AK19" s="17">
        <f si="10" t="shared"/>
        <v>0.59669394199700043</v>
      </c>
      <c r="AL19" s="17">
        <f si="10" t="shared"/>
        <v>-0.13907976704287195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1542.9471825681685</v>
      </c>
      <c r="C20" s="4">
        <f ref="C20:G20" si="11" t="shared">($W7/$G7)*C7</f>
        <v>3101.092023853791</v>
      </c>
      <c r="D20" s="4">
        <f si="11" t="shared"/>
        <v>1081.4681026275227</v>
      </c>
      <c r="E20" s="4">
        <f si="11" t="shared"/>
        <v>234.49269095051784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1455.75</v>
      </c>
      <c r="S20" s="4">
        <f si="13" t="shared"/>
        <v>2772.75</v>
      </c>
      <c r="T20" s="4">
        <f si="13" t="shared"/>
        <v>1216.25</v>
      </c>
      <c r="U20" s="4">
        <f si="13" t="shared"/>
        <v>378.25</v>
      </c>
      <c r="V20" s="4">
        <f si="13" t="shared"/>
        <v>137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-87.1971825681685</v>
      </c>
      <c r="AA20" s="4">
        <f si="9" t="shared"/>
        <v>-328.34202385379103</v>
      </c>
      <c r="AB20" s="4">
        <f si="9" t="shared"/>
        <v>134.78189737247726</v>
      </c>
      <c r="AC20" s="4">
        <f si="9" t="shared"/>
        <v>143.75730904948216</v>
      </c>
      <c r="AD20" s="4">
        <f si="9" t="shared"/>
        <v>137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-5.651339433604758E-2</v>
      </c>
      <c r="AI20" s="17">
        <f ref="AI20:AI26" si="17" t="shared">(S7-C20)/C20</f>
        <v>-0.10587948417143507</v>
      </c>
      <c r="AJ20" s="17">
        <f ref="AJ20:AJ26" si="18" t="shared">(T7-D20)/D20</f>
        <v>0.12462863864871528</v>
      </c>
      <c r="AK20" s="17">
        <f ref="AK20:AK26" si="19" t="shared">(U7-E20)/E20</f>
        <v>0.61305667339464121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2009.5719602089371</v>
      </c>
      <c r="C21" s="4">
        <f si="22" t="shared"/>
        <v>16966.180844445702</v>
      </c>
      <c r="D21" s="4">
        <f si="22" t="shared"/>
        <v>25430.974528769526</v>
      </c>
      <c r="E21" s="4">
        <f si="22" t="shared"/>
        <v>8766.7299322410381</v>
      </c>
      <c r="F21" s="4">
        <f si="22" t="shared"/>
        <v>3601.5427343348028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3135</v>
      </c>
      <c r="S21" s="4">
        <f si="25" t="shared"/>
        <v>18177.5</v>
      </c>
      <c r="T21" s="4">
        <f si="25" t="shared"/>
        <v>22395.5</v>
      </c>
      <c r="U21" s="4">
        <f si="25" t="shared"/>
        <v>9236.25</v>
      </c>
      <c r="V21" s="4">
        <f si="25" t="shared"/>
        <v>3830.75</v>
      </c>
      <c r="W21" s="4">
        <f si="14" t="shared"/>
        <v>56775</v>
      </c>
      <c r="Y21" s="3" t="str">
        <f>$A$8</f>
        <v>Kirkland</v>
      </c>
      <c r="Z21" s="4">
        <f si="15" t="shared"/>
        <v>1125.4280397910629</v>
      </c>
      <c r="AA21" s="4">
        <f si="9" t="shared"/>
        <v>1211.319155554298</v>
      </c>
      <c r="AB21" s="4">
        <f si="9" t="shared"/>
        <v>-3035.4745287695259</v>
      </c>
      <c r="AC21" s="4">
        <f si="9" t="shared"/>
        <v>469.52006775896189</v>
      </c>
      <c r="AD21" s="4">
        <f si="9" t="shared"/>
        <v>229.20726566519716</v>
      </c>
      <c r="AE21" s="4">
        <f si="9" t="shared"/>
        <v>0</v>
      </c>
      <c r="AG21" s="3" t="str">
        <f>$A$8</f>
        <v>Kirkland</v>
      </c>
      <c r="AH21" s="17">
        <f si="16" t="shared"/>
        <v>0.56003370970306088</v>
      </c>
      <c r="AI21" s="17">
        <f si="17" t="shared"/>
        <v>7.1396100669930865E-2</v>
      </c>
      <c r="AJ21" s="17">
        <f si="18" t="shared"/>
        <v>-0.11936131371354085</v>
      </c>
      <c r="AK21" s="17">
        <f si="19" t="shared"/>
        <v>5.3557035677833244E-2</v>
      </c>
      <c r="AL21" s="17">
        <f si="20" t="shared"/>
        <v>6.3641412187083551E-2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2022.9702407282859</v>
      </c>
      <c r="C22" s="4">
        <f si="26" t="shared"/>
        <v>15331.851463121779</v>
      </c>
      <c r="D22" s="4">
        <f si="26" t="shared"/>
        <v>16728.784070976977</v>
      </c>
      <c r="E22" s="4">
        <f si="26" t="shared"/>
        <v>6303.0914795861927</v>
      </c>
      <c r="F22" s="4">
        <f si="26" t="shared"/>
        <v>2816.3027455867714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1687.25</v>
      </c>
      <c r="S22" s="4">
        <f si="28" t="shared"/>
        <v>11837</v>
      </c>
      <c r="T22" s="4">
        <f si="28" t="shared"/>
        <v>17850.75</v>
      </c>
      <c r="U22" s="4">
        <f si="28" t="shared"/>
        <v>8352.25</v>
      </c>
      <c r="V22" s="4">
        <f si="28" t="shared"/>
        <v>3475.75</v>
      </c>
      <c r="W22" s="4">
        <f si="14" t="shared"/>
        <v>43203</v>
      </c>
      <c r="Y22" s="3" t="str">
        <f>$A$9</f>
        <v>Redmond</v>
      </c>
      <c r="Z22" s="4">
        <f si="15" t="shared"/>
        <v>-335.72024072828594</v>
      </c>
      <c r="AA22" s="4">
        <f si="9" t="shared"/>
        <v>-3494.8514631217786</v>
      </c>
      <c r="AB22" s="4">
        <f si="9" t="shared"/>
        <v>1121.9659290230229</v>
      </c>
      <c r="AC22" s="4">
        <f si="9" t="shared"/>
        <v>2049.1585204138073</v>
      </c>
      <c r="AD22" s="4">
        <f si="9" t="shared"/>
        <v>659.44725441322862</v>
      </c>
      <c r="AE22" s="4">
        <f si="9" t="shared"/>
        <v>0</v>
      </c>
      <c r="AG22" s="3" t="str">
        <f>$A$9</f>
        <v>Redmond</v>
      </c>
      <c r="AH22" s="17">
        <f si="16" t="shared"/>
        <v>-0.16595411735143661</v>
      </c>
      <c r="AI22" s="17">
        <f si="17" t="shared"/>
        <v>-0.22794712507671125</v>
      </c>
      <c r="AJ22" s="17">
        <f si="18" t="shared"/>
        <v>6.7067990372924879E-2</v>
      </c>
      <c r="AK22" s="17">
        <f si="19" t="shared"/>
        <v>0.32510372521966596</v>
      </c>
      <c r="AL22" s="17">
        <f si="20" t="shared"/>
        <v>0.2341535388717004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43271.794300670612</v>
      </c>
      <c r="C23" s="15">
        <f si="29" t="shared"/>
        <v>118308.85175095938</v>
      </c>
      <c r="D23" s="15">
        <f si="29" t="shared"/>
        <v>91859.368835853922</v>
      </c>
      <c r="E23" s="15">
        <f si="29" t="shared"/>
        <v>24332.851053826365</v>
      </c>
      <c r="F23" s="15">
        <f si="29" t="shared"/>
        <v>9783.134058689815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34444.654934102538</v>
      </c>
      <c r="S23" s="4">
        <f si="31" t="shared"/>
        <v>110934.38682326471</v>
      </c>
      <c r="T23" s="4">
        <f si="31" t="shared"/>
        <v>94496.084158741185</v>
      </c>
      <c r="U23" s="4">
        <f si="31" t="shared"/>
        <v>33655.00333888521</v>
      </c>
      <c r="V23" s="4">
        <f si="31" t="shared"/>
        <v>14025.870745006401</v>
      </c>
      <c r="W23" s="4">
        <f si="14" t="shared"/>
        <v>287556.00000000006</v>
      </c>
      <c r="Y23" s="3" t="str">
        <f>$A$10</f>
        <v>Seattle</v>
      </c>
      <c r="Z23" s="4">
        <f si="15" t="shared"/>
        <v>-8827.1393665680735</v>
      </c>
      <c r="AA23" s="4">
        <f si="9" t="shared"/>
        <v>-7374.464927694673</v>
      </c>
      <c r="AB23" s="4">
        <f si="9" t="shared"/>
        <v>2636.715322887263</v>
      </c>
      <c r="AC23" s="4">
        <f si="9" t="shared"/>
        <v>9322.1522850588444</v>
      </c>
      <c r="AD23" s="4">
        <f si="9" t="shared"/>
        <v>4242.7366863165862</v>
      </c>
      <c r="AE23" s="4">
        <f si="9" t="shared"/>
        <v>0</v>
      </c>
      <c r="AG23" s="3" t="str">
        <f>$A$10</f>
        <v>Seattle</v>
      </c>
      <c r="AH23" s="17">
        <f si="16" t="shared"/>
        <v>-0.20399291291767102</v>
      </c>
      <c r="AI23" s="17">
        <f si="17" t="shared"/>
        <v>-6.2332317646172003E-2</v>
      </c>
      <c r="AJ23" s="17">
        <f si="18" t="shared"/>
        <v>2.8703825818778304E-2</v>
      </c>
      <c r="AK23" s="17">
        <f si="19" t="shared"/>
        <v>0.38310974182340735</v>
      </c>
      <c r="AL23" s="17">
        <f si="20" t="shared"/>
        <v>0.43367868219571198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17653.817034618038</v>
      </c>
      <c r="C24" s="15">
        <f si="32" t="shared"/>
        <v>18789.131711904469</v>
      </c>
      <c r="D24" s="15">
        <f si="32" t="shared"/>
        <v>3082.757363326929</v>
      </c>
      <c r="E24" s="15">
        <f si="32" t="shared"/>
        <v>325.62793287583708</v>
      </c>
      <c r="F24" s="15">
        <f si="32" t="shared"/>
        <v>129.66595727473353</v>
      </c>
      <c r="G24" s="15">
        <f si="32" t="shared"/>
        <v>39981.000000000015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14840.059615427477</v>
      </c>
      <c r="S24" s="15">
        <f si="34" t="shared"/>
        <v>17392.935086756708</v>
      </c>
      <c r="T24" s="15">
        <f si="34" t="shared"/>
        <v>5499.2251123372598</v>
      </c>
      <c r="U24" s="15">
        <f si="34" t="shared"/>
        <v>1656.121606086193</v>
      </c>
      <c r="V24" s="15">
        <f si="34" t="shared"/>
        <v>592.65857939236366</v>
      </c>
      <c r="W24" s="15">
        <f si="14" t="shared"/>
        <v>39981.000000000007</v>
      </c>
      <c r="Y24" s="14" t="str">
        <f>$A$11</f>
        <v>Seattle Downtown</v>
      </c>
      <c r="Z24" s="4">
        <f si="15" t="shared"/>
        <v>-2813.7574191905605</v>
      </c>
      <c r="AA24" s="4">
        <f si="9" t="shared"/>
        <v>-1396.1966251477606</v>
      </c>
      <c r="AB24" s="4">
        <f si="9" t="shared"/>
        <v>2416.4677490103309</v>
      </c>
      <c r="AC24" s="4">
        <f si="9" t="shared"/>
        <v>1330.4936732103558</v>
      </c>
      <c r="AD24" s="4">
        <f si="9" t="shared"/>
        <v>462.99262211763016</v>
      </c>
      <c r="AE24" s="4">
        <f si="9" t="shared"/>
        <v>0</v>
      </c>
      <c r="AG24" s="14" t="str">
        <f>$A$11</f>
        <v>Seattle Downtown</v>
      </c>
      <c r="AH24" s="17">
        <f si="16" t="shared"/>
        <v>-0.1593852147483435</v>
      </c>
      <c r="AI24" s="17">
        <f si="17" t="shared"/>
        <v>-7.4308735845582188E-2</v>
      </c>
      <c r="AJ24" s="17">
        <f si="18" t="shared"/>
        <v>0.78386569691052987</v>
      </c>
      <c r="AK24" s="17">
        <f si="19" t="shared"/>
        <v>4.0859322523712276</v>
      </c>
      <c r="AL24" s="17">
        <f si="20" t="shared"/>
        <v>3.5706567232342334</v>
      </c>
      <c r="AM24" s="17">
        <f si="21" t="shared"/>
        <v>-1.8198538341170614E-16</v>
      </c>
    </row>
    <row r="25" spans="1:39" x14ac:dyDescent="0.25">
      <c r="A25" s="14" t="str">
        <f>$A$12</f>
        <v>Rest</v>
      </c>
      <c r="B25" s="15">
        <f si="32" t="shared"/>
        <v>57282.764942238806</v>
      </c>
      <c r="C25" s="15">
        <f si="32" t="shared"/>
        <v>297928.90283112606</v>
      </c>
      <c r="D25" s="15">
        <f si="32" t="shared"/>
        <v>400130.85173247382</v>
      </c>
      <c r="E25" s="15">
        <f si="32" t="shared"/>
        <v>170032.31869155707</v>
      </c>
      <c r="F25" s="15">
        <f si="32" t="shared"/>
        <v>87383.161802604154</v>
      </c>
      <c r="G25" s="15">
        <f si="32" t="shared"/>
        <v>1012757.9999999999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52302.611434994142</v>
      </c>
      <c r="S25" s="15">
        <f si="34" t="shared"/>
        <v>299692.28452301468</v>
      </c>
      <c r="T25" s="15">
        <f si="34" t="shared"/>
        <v>401795.8716368954</v>
      </c>
      <c r="U25" s="15">
        <f si="34" t="shared"/>
        <v>177733.69221695827</v>
      </c>
      <c r="V25" s="15">
        <f si="34" t="shared"/>
        <v>81233.540188137515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-4980.1535072446641</v>
      </c>
      <c r="AA25" s="4">
        <f ref="AA25" si="38" t="shared">S25-C25</f>
        <v>1763.381691888615</v>
      </c>
      <c r="AB25" s="4">
        <f ref="AB25" si="39" t="shared">T25-D25</f>
        <v>1665.0199044215842</v>
      </c>
      <c r="AC25" s="4">
        <f ref="AC25" si="40" t="shared">U25-E25</f>
        <v>7701.373525401199</v>
      </c>
      <c r="AD25" s="4">
        <f ref="AD25" si="41" t="shared">V25-F25</f>
        <v>-6149.6216144666396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-8.6939824086117556E-2</v>
      </c>
      <c r="AI25" s="17">
        <f ref="AI25" si="44" t="shared">(S12-C25)/C25</f>
        <v>5.9188003417316856E-3</v>
      </c>
      <c r="AJ25" s="17">
        <f ref="AJ25" si="45" t="shared">(T12-D25)/D25</f>
        <v>4.1611885142383651E-3</v>
      </c>
      <c r="AK25" s="17">
        <f ref="AK25" si="46" t="shared">(U12-E25)/E25</f>
        <v>4.5293586446772428E-2</v>
      </c>
      <c r="AL25" s="17">
        <f ref="AL25" si="47" t="shared">(V12-F25)/F25</f>
        <v>-7.0375361655583529E-2</v>
      </c>
      <c r="AM25" s="17">
        <f ref="AM25" si="48" t="shared">(W12-G25)/G25</f>
        <v>1.1494880497308818E-16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110685.57598452416</v>
      </c>
      <c r="S26" s="8">
        <f ref="S26:W26" si="50" t="shared">SUM(S19:S25)</f>
        <v>477919.8564330361</v>
      </c>
      <c r="T26" s="8">
        <f si="50" t="shared"/>
        <v>568169.18090797379</v>
      </c>
      <c r="U26" s="8">
        <f si="50" t="shared"/>
        <v>241935.56716192968</v>
      </c>
      <c r="V26" s="8">
        <f si="50" t="shared"/>
        <v>107988.81951253628</v>
      </c>
      <c r="W26" s="8">
        <f si="50" t="shared"/>
        <v>1506699</v>
      </c>
      <c r="Y26" s="7" t="str">
        <f>$A$13</f>
        <v>Total</v>
      </c>
      <c r="Z26" s="4">
        <f si="15" t="shared"/>
        <v>-16460.338996248611</v>
      </c>
      <c r="AA26" s="4">
        <f si="9" t="shared"/>
        <v>-16034.627070700401</v>
      </c>
      <c r="AB26" s="4">
        <f si="9" t="shared"/>
        <v>6576.3194054861087</v>
      </c>
      <c r="AC26" s="4">
        <f si="9" t="shared"/>
        <v>26297.815825749101</v>
      </c>
      <c r="AD26" s="4">
        <f si="9" t="shared"/>
        <v>-379.16916428631521</v>
      </c>
      <c r="AE26" s="4">
        <f si="9" t="shared"/>
        <v>0</v>
      </c>
      <c r="AG26" s="7" t="str">
        <f>$A$13</f>
        <v>Total</v>
      </c>
      <c r="AH26" s="17">
        <f si="16" t="shared"/>
        <v>-0.12946022684832439</v>
      </c>
      <c r="AI26" s="17">
        <f si="17" t="shared"/>
        <v>-3.2461750234481085E-2</v>
      </c>
      <c r="AJ26" s="17">
        <f si="18" t="shared"/>
        <v>1.1710119298688731E-2</v>
      </c>
      <c r="AK26" s="17">
        <f si="19" t="shared"/>
        <v>0.12195367305954997</v>
      </c>
      <c r="AL26" s="17">
        <f si="20" t="shared"/>
        <v>-3.4989037714548881E-3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1.4278871020343116E-3</v>
      </c>
      <c r="C32" s="17">
        <f ref="C32:G32" si="51" t="shared">C19/$G$26</f>
        <v>1.4291307742108631E-2</v>
      </c>
      <c r="D32" s="17">
        <f si="51" t="shared"/>
        <v>1.6253301999369984E-2</v>
      </c>
      <c r="E32" s="17">
        <f si="51" t="shared"/>
        <v>4.5408119206416632E-3</v>
      </c>
      <c r="F32" s="17">
        <f si="51" t="shared"/>
        <v>3.6181308930032098E-3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1.8718071758194569E-3</v>
      </c>
      <c r="S32" s="17">
        <f ref="S32:W32" si="53" t="shared">S6/$W$13</f>
        <v>1.1357942097260302E-2</v>
      </c>
      <c r="T32" s="17">
        <f si="53" t="shared"/>
        <v>1.6536481407368027E-2</v>
      </c>
      <c r="U32" s="17">
        <f si="53" t="shared"/>
        <v>7.2502868854363084E-3</v>
      </c>
      <c r="V32" s="17">
        <f si="53" t="shared"/>
        <v>3.1149220912737052E-3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1.0240580119640144E-3</v>
      </c>
      <c r="C33" s="17">
        <f si="54" t="shared"/>
        <v>2.0582027490917503E-3</v>
      </c>
      <c r="D33" s="17">
        <f si="54" t="shared"/>
        <v>7.1777316015177737E-4</v>
      </c>
      <c r="E33" s="17">
        <f si="54" t="shared"/>
        <v>1.5563340186096748E-4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9.661850177109031E-4</v>
      </c>
      <c r="S33" s="17">
        <f si="56" t="shared"/>
        <v>1.8402813036976862E-3</v>
      </c>
      <c r="T33" s="17">
        <f si="56" t="shared"/>
        <v>8.0722825196007965E-4</v>
      </c>
      <c r="U33" s="17">
        <f si="56" t="shared"/>
        <v>2.5104549747494354E-4</v>
      </c>
      <c r="V33" s="17">
        <f si="56" t="shared"/>
        <v>9.0927252224896939E-5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1.3337580765693327E-3</v>
      </c>
      <c r="C34" s="17">
        <f si="54" t="shared"/>
        <v>1.1260497846249119E-2</v>
      </c>
      <c r="D34" s="17">
        <f si="54" t="shared"/>
        <v>1.6878603177389463E-2</v>
      </c>
      <c r="E34" s="17">
        <f si="54" t="shared"/>
        <v>5.8185011951564563E-3</v>
      </c>
      <c r="F34" s="17">
        <f si="54" t="shared"/>
        <v>2.3903531722890923E-3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2.0807075600368752E-3</v>
      </c>
      <c r="S34" s="17">
        <f si="56" t="shared"/>
        <v>1.2064453484073461E-2</v>
      </c>
      <c r="T34" s="17">
        <f si="56" t="shared"/>
        <v>1.4863950928486712E-2</v>
      </c>
      <c r="U34" s="17">
        <f si="56" t="shared"/>
        <v>6.1301228712569667E-3</v>
      </c>
      <c r="V34" s="17">
        <f si="56" t="shared"/>
        <v>2.5424786237994452E-3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1.3426505497967981E-3</v>
      </c>
      <c r="C35" s="72">
        <f si="54" t="shared"/>
        <v>1.0175789234028679E-2</v>
      </c>
      <c r="D35" s="72">
        <f si="54" t="shared"/>
        <v>1.1102936997354467E-2</v>
      </c>
      <c r="E35" s="72">
        <f si="54" t="shared"/>
        <v>4.1833780201527924E-3</v>
      </c>
      <c r="F35" s="72">
        <f si="54" t="shared"/>
        <v>1.8691873729170666E-3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1.1198321628938493E-3</v>
      </c>
      <c r="S35" s="17">
        <f si="56" t="shared"/>
        <v>7.8562473327452934E-3</v>
      </c>
      <c r="T35" s="17">
        <f si="56" t="shared"/>
        <v>1.1847588669004228E-2</v>
      </c>
      <c r="U35" s="17">
        <f si="56" t="shared"/>
        <v>5.5434097985065361E-3</v>
      </c>
      <c r="V35" s="17">
        <f si="56" t="shared"/>
        <v>2.3068642110998946E-3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2.8719601128473975E-2</v>
      </c>
      <c r="C36" s="72">
        <f si="54" t="shared"/>
        <v>7.8521889077353454E-2</v>
      </c>
      <c r="D36" s="72">
        <f si="54" t="shared"/>
        <v>6.0967299265383412E-2</v>
      </c>
      <c r="E36" s="72">
        <f si="54" t="shared"/>
        <v>1.6149775803811089E-2</v>
      </c>
      <c r="F36" s="72">
        <f si="54" t="shared"/>
        <v>6.4930912270399167E-3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2.2861006036442939E-2</v>
      </c>
      <c r="S36" s="17">
        <f si="56" t="shared"/>
        <v>7.3627437745206387E-2</v>
      </c>
      <c r="T36" s="17">
        <f si="56" t="shared"/>
        <v>6.2717294004138308E-2</v>
      </c>
      <c r="U36" s="17">
        <f si="56" t="shared"/>
        <v>2.2336912242515067E-2</v>
      </c>
      <c r="V36" s="17">
        <f si="56" t="shared"/>
        <v>9.3090064737591256E-3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1.1716883753568589E-2</v>
      </c>
      <c r="C37" s="72">
        <f si="54" t="shared"/>
        <v>1.2470395023760199E-2</v>
      </c>
      <c r="D37" s="72">
        <f si="54" t="shared"/>
        <v>2.0460339877619413E-3</v>
      </c>
      <c r="E37" s="72">
        <f si="54" t="shared"/>
        <v>2.1612009623410986E-4</v>
      </c>
      <c r="F37" s="72">
        <f si="54" t="shared"/>
        <v>8.6059629212426327E-5</v>
      </c>
      <c r="G37" s="72">
        <f si="54" t="shared"/>
        <v>2.6535492490537271E-2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9.8493857203246823E-3</v>
      </c>
      <c r="S37" s="72">
        <f si="56" t="shared"/>
        <v>1.1543735734049541E-2</v>
      </c>
      <c r="T37" s="72">
        <f si="56" t="shared"/>
        <v>3.6498498454815859E-3</v>
      </c>
      <c r="U37" s="72">
        <f si="56" t="shared"/>
        <v>1.0991721678226328E-3</v>
      </c>
      <c r="V37" s="72">
        <f si="56" t="shared"/>
        <v>3.9334902285882164E-4</v>
      </c>
      <c r="W37" s="72">
        <f si="56" t="shared"/>
        <v>2.6535492490537264E-2</v>
      </c>
    </row>
    <row r="38" spans="1:23" x14ac:dyDescent="0.25">
      <c r="A38" s="14" t="str">
        <f>A25</f>
        <v>Rest</v>
      </c>
      <c r="B38" s="72">
        <f si="54" t="shared"/>
        <v>3.8018718365273228E-2</v>
      </c>
      <c r="C38" s="72">
        <f si="54" t="shared"/>
        <v>0.1977361787796541</v>
      </c>
      <c r="D38" s="72">
        <f si="54" t="shared"/>
        <v>0.26556787502512036</v>
      </c>
      <c r="E38" s="72">
        <f si="54" t="shared"/>
        <v>0.11285088706606765</v>
      </c>
      <c r="F38" s="72">
        <f si="54" t="shared"/>
        <v>5.7996429149155974E-2</v>
      </c>
      <c r="G38" s="72">
        <f si="54" t="shared"/>
        <v>0.67217008838527126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3.4713377678616729E-2</v>
      </c>
      <c r="S38" s="72">
        <f si="56" t="shared"/>
        <v>0.19890653974218783</v>
      </c>
      <c r="T38" s="72">
        <f si="56" t="shared"/>
        <v>0.26667295301642557</v>
      </c>
      <c r="U38" s="72">
        <f si="56" t="shared"/>
        <v>0.11796230847498954</v>
      </c>
      <c r="V38" s="72">
        <f si="56" t="shared"/>
        <v>5.3914909473051692E-2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7.1924112697242512E-2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7.3462301351845435E-2</v>
      </c>
      <c r="S39" s="19">
        <f si="56" t="shared"/>
        <v>0.3171966374392205</v>
      </c>
      <c r="T39" s="19">
        <f si="56" t="shared"/>
        <v>0.37709534612286449</v>
      </c>
      <c r="U39" s="19">
        <f si="56" t="shared"/>
        <v>0.16057325793800201</v>
      </c>
      <c r="V39" s="19">
        <f si="56" t="shared"/>
        <v>7.1672457148067581E-2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46087.6197</v>
      </c>
      <c r="C6" s="4" t="n">
        <v>71182.4518</v>
      </c>
      <c r="D6" s="4" t="n">
        <v>45999.8784</v>
      </c>
      <c r="E6" s="4" t="n">
        <v>20799.2564</v>
      </c>
      <c r="F6" s="4" t="n">
        <v>7631.19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41327.0</v>
      </c>
      <c r="S6" s="54" t="n">
        <v>63612.0</v>
      </c>
      <c r="T6" s="58" t="n">
        <v>13473.0</v>
      </c>
      <c r="U6" s="62" t="n">
        <v>3226.0</v>
      </c>
      <c r="V6" s="66" t="n">
        <v>1243.0</v>
      </c>
      <c r="W6" s="4">
        <f>SUM(R6:V6)</f>
        <v>130700.19045911886</v>
      </c>
    </row>
    <row r="7" spans="1:39" x14ac:dyDescent="0.25">
      <c r="A7" s="3" t="s">
        <v>7</v>
      </c>
      <c r="B7" s="4" t="n">
        <v>61806.1655</v>
      </c>
      <c r="C7" s="4" t="n">
        <v>206202.8451</v>
      </c>
      <c r="D7" s="4" t="n">
        <v>97213.1404</v>
      </c>
      <c r="E7" s="4" t="n">
        <v>27836.1211</v>
      </c>
      <c r="F7" s="4" t="n">
        <v>9610.6728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42025.0</v>
      </c>
      <c r="S7" s="55" t="n">
        <v>182090.0</v>
      </c>
      <c r="T7" s="59" t="n">
        <v>115998.0</v>
      </c>
      <c r="U7" s="63" t="n">
        <v>30279.0</v>
      </c>
      <c r="V7" s="67" t="n">
        <v>11753.0</v>
      </c>
      <c r="W7" s="4">
        <f ref="W7:W10" si="1" t="shared">SUM(R7:V7)</f>
        <v>414289.80954088114</v>
      </c>
    </row>
    <row r="8" spans="1:39" x14ac:dyDescent="0.25">
      <c r="A8" s="3" t="s">
        <v>8</v>
      </c>
      <c r="B8" s="4" t="n">
        <v>6745.4148</v>
      </c>
      <c r="C8" s="4" t="n">
        <v>81022.3566</v>
      </c>
      <c r="D8" s="4" t="n">
        <v>93264.2027</v>
      </c>
      <c r="E8" s="4" t="n">
        <v>31407.2098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9171.0</v>
      </c>
      <c r="S8" s="56" t="n">
        <v>81858.0</v>
      </c>
      <c r="T8" s="60" t="n">
        <v>101981.0</v>
      </c>
      <c r="U8" s="64" t="n">
        <v>39622.0</v>
      </c>
      <c r="V8" s="68" t="n">
        <v>13900.0</v>
      </c>
      <c r="W8" s="4">
        <f si="1" t="shared"/>
        <v>269358.71631679701</v>
      </c>
    </row>
    <row r="9" spans="1:39" x14ac:dyDescent="0.25">
      <c r="A9" s="5" t="s">
        <v>9</v>
      </c>
      <c r="B9" s="4" t="n">
        <v>6306.1716</v>
      </c>
      <c r="C9" s="4" t="n">
        <v>84504.7686</v>
      </c>
      <c r="D9" s="4" t="n">
        <v>264511.9107</v>
      </c>
      <c r="E9" s="4" t="n">
        <v>116217.3461</v>
      </c>
      <c r="F9" s="4" t="n">
        <v>66591.31940000001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10007.0</v>
      </c>
      <c r="S9" s="57" t="n">
        <v>102993.0</v>
      </c>
      <c r="T9" s="61" t="n">
        <v>267597.0</v>
      </c>
      <c r="U9" s="65" t="n">
        <v>140887.0</v>
      </c>
      <c r="V9" s="69" t="n">
        <v>68024.0</v>
      </c>
      <c r="W9" s="6">
        <f si="1" t="shared"/>
        <v>692350.28368320304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110685.57598452414</v>
      </c>
      <c r="S10" s="8">
        <f ref="S10" si="3" t="shared">SUM(S6:S9)</f>
        <v>477919.8564330361</v>
      </c>
      <c r="T10" s="8">
        <f ref="T10" si="4" t="shared">SUM(T6:T9)</f>
        <v>568169.18090797379</v>
      </c>
      <c r="U10" s="8">
        <f ref="U10" si="5" t="shared">SUM(U6:U9)</f>
        <v>241935.56716192965</v>
      </c>
      <c r="V10" s="8">
        <f ref="V10" si="6" t="shared">SUM(V6:V9)</f>
        <v>107988.81951253628</v>
      </c>
      <c r="W10" s="8">
        <f si="1" t="shared"/>
        <v>1506698.9999999998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29427.777453799426</v>
      </c>
      <c r="C16" s="4">
        <f si="7" t="shared"/>
        <v>48994.261332380738</v>
      </c>
      <c r="D16" s="4">
        <f si="7" t="shared"/>
        <v>33098.580656130682</v>
      </c>
      <c r="E16" s="4">
        <f si="7" t="shared"/>
        <v>14268.332527710307</v>
      </c>
      <c r="F16" s="4">
        <f si="7" t="shared"/>
        <v>4911.2384890976982</v>
      </c>
      <c r="G16" s="4">
        <f si="7" t="shared"/>
        <v>130700.19045911885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43997.02890114476</v>
      </c>
      <c r="S16" s="4">
        <f si="9" t="shared"/>
        <v>67359.932414972354</v>
      </c>
      <c r="T16" s="4">
        <f si="9" t="shared"/>
        <v>14524.120803211266</v>
      </c>
      <c r="U16" s="4">
        <f si="9" t="shared"/>
        <v>3559.5707485888233</v>
      </c>
      <c r="V16" s="4">
        <f si="9" t="shared"/>
        <v>1259.5375912016573</v>
      </c>
      <c r="W16" s="4">
        <f>SUM(R16:V16)</f>
        <v>130700.19045911886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62031.886904289153</v>
      </c>
      <c r="C17" s="4">
        <f si="7" t="shared"/>
        <v>215998.34075814052</v>
      </c>
      <c r="D17" s="4">
        <f si="7" t="shared"/>
        <v>99439.340675635627</v>
      </c>
      <c r="E17" s="4">
        <f si="7" t="shared"/>
        <v>26433.606491302573</v>
      </c>
      <c r="F17" s="4">
        <f si="7" t="shared"/>
        <v>10386.634711513298</v>
      </c>
      <c r="G17" s="4">
        <f si="7" t="shared"/>
        <v>414289.80954088114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45392.186797213537</v>
      </c>
      <c r="S17" s="4">
        <f si="9" t="shared"/>
        <v>198425.2286759532</v>
      </c>
      <c r="T17" s="4">
        <f si="9" t="shared"/>
        <v>125396.52985865259</v>
      </c>
      <c r="U17" s="4">
        <f si="9" t="shared"/>
        <v>32201.287932389034</v>
      </c>
      <c r="V17" s="4">
        <f si="9" t="shared"/>
        <v>12874.576276672798</v>
      </c>
      <c r="W17" s="4">
        <f ref="W17:W20" si="20" t="shared">SUM(R17:V17)</f>
        <v>414289.80954088114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7618.9916667738153</v>
      </c>
      <c r="C18" s="4">
        <f si="7" t="shared"/>
        <v>100826.94198523037</v>
      </c>
      <c r="D18" s="4">
        <f si="7" t="shared"/>
        <v>107816.84438355052</v>
      </c>
      <c r="E18" s="4">
        <f si="7" t="shared"/>
        <v>36715.834252510249</v>
      </c>
      <c r="F18" s="4">
        <f si="7" t="shared"/>
        <v>16380.104028732048</v>
      </c>
      <c r="G18" s="4">
        <f si="7" t="shared"/>
        <v>269358.71631679701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9977.0185777785973</v>
      </c>
      <c r="S18" s="4">
        <f si="9" t="shared"/>
        <v>89809.523571025988</v>
      </c>
      <c r="T18" s="4">
        <f si="9" t="shared"/>
        <v>111797.11950709044</v>
      </c>
      <c r="U18" s="4">
        <f si="9" t="shared"/>
        <v>42427.018551579284</v>
      </c>
      <c r="V18" s="4">
        <f si="9" t="shared"/>
        <v>15348.036109322751</v>
      </c>
      <c r="W18" s="4">
        <f si="20" t="shared"/>
        <v>269358.71631679701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9145.2307044905338</v>
      </c>
      <c r="C19" s="4">
        <f si="7" t="shared"/>
        <v>110207.54886855329</v>
      </c>
      <c r="D19" s="4">
        <f si="7" t="shared"/>
        <v>342473.65512115619</v>
      </c>
      <c r="E19" s="4">
        <f si="7" t="shared"/>
        <v>147060.2971724385</v>
      </c>
      <c r="F19" s="4">
        <f si="7" t="shared"/>
        <v>83463.55181656449</v>
      </c>
      <c r="G19" s="6">
        <f si="7" t="shared"/>
        <v>692350.28368320304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11319.341708387254</v>
      </c>
      <c r="S19" s="4">
        <f si="9" t="shared"/>
        <v>122325.17177108456</v>
      </c>
      <c r="T19" s="4">
        <f si="9" t="shared"/>
        <v>316451.41073901957</v>
      </c>
      <c r="U19" s="4">
        <f si="9" t="shared"/>
        <v>163747.68992937251</v>
      </c>
      <c r="V19" s="4">
        <f si="9" t="shared"/>
        <v>78506.669535339068</v>
      </c>
      <c r="W19" s="6">
        <f si="20" t="shared"/>
        <v>692350.28368320304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127145.91498077272</v>
      </c>
      <c r="C20" s="8">
        <f si="7" t="shared"/>
        <v>493954.48350373632</v>
      </c>
      <c r="D20" s="8">
        <f si="7" t="shared"/>
        <v>561592.86150248756</v>
      </c>
      <c r="E20" s="8">
        <f si="7" t="shared"/>
        <v>215637.75133618055</v>
      </c>
      <c r="F20" s="8">
        <f si="7" t="shared"/>
        <v>108367.98867682258</v>
      </c>
      <c r="G20" s="8">
        <f si="7" t="shared"/>
        <v>1506698.9999999998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110685.57598452414</v>
      </c>
      <c r="S20" s="8">
        <f ref="S20:V20" si="23" t="shared">SUM(S16:S19)</f>
        <v>477919.8564330361</v>
      </c>
      <c r="T20" s="8">
        <f si="23" t="shared"/>
        <v>568169.18090797379</v>
      </c>
      <c r="U20" s="8">
        <f si="23" t="shared"/>
        <v>241935.56716192965</v>
      </c>
      <c r="V20" s="8">
        <f si="23" t="shared"/>
        <v>107988.81951253628</v>
      </c>
      <c r="W20" s="8">
        <f si="20" t="shared"/>
        <v>1506698.9999999998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8.6746052435900514E-2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2.9200941197375697E-2</v>
      </c>
      <c r="S25" s="17">
        <f si="26" t="shared"/>
        <v>4.4706960325169368E-2</v>
      </c>
      <c r="T25" s="17">
        <f si="26" t="shared"/>
        <v>9.6396963183829482E-3</v>
      </c>
      <c r="U25" s="17">
        <f si="26" t="shared"/>
        <v>2.3624962574401547E-3</v>
      </c>
      <c r="V25" s="17">
        <f si="26" t="shared"/>
        <v>8.3595833753235215E-4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1.7544052588674034E-2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3.0126911079926079E-2</v>
      </c>
      <c r="S26" s="17">
        <f si="26" t="shared"/>
        <v>0.13169533442044709</v>
      </c>
      <c r="T26" s="17">
        <f si="26" t="shared"/>
        <v>8.3225999259741071E-2</v>
      </c>
      <c r="U26" s="17">
        <f si="26" t="shared"/>
        <v>2.1372077589743563E-2</v>
      </c>
      <c r="V26" s="17">
        <f si="26" t="shared"/>
        <v>8.544889375165711E-3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0.17877407253658298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6.6217728808332646E-3</v>
      </c>
      <c r="S27" s="17">
        <f si="26" t="shared"/>
        <v>5.9606811692996413E-2</v>
      </c>
      <c r="T27" s="17">
        <f si="26" t="shared"/>
        <v>7.4200035645534013E-2</v>
      </c>
      <c r="U27" s="17">
        <f si="26" t="shared"/>
        <v>2.8158921291896583E-2</v>
      </c>
      <c r="V27" s="17">
        <f si="26" t="shared"/>
        <v>1.0186531025322744E-2</v>
      </c>
      <c r="W27" s="17">
        <f si="26" t="shared"/>
        <v>0.17877407253658298</v>
      </c>
    </row>
    <row r="28" spans="1:39" x14ac:dyDescent="0.25">
      <c r="A28" s="5" t="s">
        <v>9</v>
      </c>
      <c r="B28" s="18">
        <f ref="B28:G28" si="31" t="shared">B19/$G$20</f>
        <v>6.0697131308181228E-3</v>
      </c>
      <c r="C28" s="18">
        <f si="31" t="shared"/>
        <v>7.3145033525975206E-2</v>
      </c>
      <c r="D28" s="18">
        <f si="31" t="shared"/>
        <v>0.22730064539842149</v>
      </c>
      <c r="E28" s="18">
        <f si="31" t="shared"/>
        <v>9.7604297323113987E-2</v>
      </c>
      <c r="F28" s="18">
        <f si="31" t="shared"/>
        <v>5.5394973924164349E-2</v>
      </c>
      <c r="G28" s="18">
        <f si="31" t="shared"/>
        <v>0.45951466330249319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7.5126761937103926E-3</v>
      </c>
      <c r="S28" s="18">
        <f si="26" t="shared"/>
        <v>8.1187531000607674E-2</v>
      </c>
      <c r="T28" s="18">
        <f si="26" t="shared"/>
        <v>0.21002961489920655</v>
      </c>
      <c r="U28" s="18">
        <f si="26" t="shared"/>
        <v>0.10867976279892171</v>
      </c>
      <c r="V28" s="18">
        <f si="26" t="shared"/>
        <v>5.2105078410046787E-2</v>
      </c>
      <c r="W28" s="18">
        <f si="26" t="shared"/>
        <v>0.45951466330249319</v>
      </c>
    </row>
    <row ht="15.75" r="29" spans="1:39" thickBot="1" x14ac:dyDescent="0.3">
      <c r="A29" s="7" t="s">
        <v>4</v>
      </c>
      <c r="B29" s="19">
        <f ref="B29:G29" si="33" t="shared">B20/$G$20</f>
        <v>8.4387070662934494E-2</v>
      </c>
      <c r="C29" s="19">
        <f si="33" t="shared"/>
        <v>0.32783886065082435</v>
      </c>
      <c r="D29" s="19">
        <f si="33" t="shared"/>
        <v>0.37273062602582707</v>
      </c>
      <c r="E29" s="19">
        <f si="33" t="shared"/>
        <v>0.14311932996317153</v>
      </c>
      <c r="F29" s="19">
        <f si="33" t="shared"/>
        <v>7.1924112697242512E-2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7.3462301351845435E-2</v>
      </c>
      <c r="S29" s="19">
        <f si="26" t="shared"/>
        <v>0.31719663743922055</v>
      </c>
      <c r="T29" s="19">
        <f si="26" t="shared"/>
        <v>0.37709534612286455</v>
      </c>
      <c r="U29" s="19">
        <f si="26" t="shared"/>
        <v>0.16057325793800201</v>
      </c>
      <c r="V29" s="19">
        <f si="26" t="shared"/>
        <v>7.1672457148067595E-2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workbookViewId="0">
      <selection activeCell="M12" sqref="M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93162.8118</v>
      </c>
      <c r="C6" s="4" t="n">
        <v>284618.2917</v>
      </c>
      <c r="D6" s="4" t="n">
        <v>39917.8188</v>
      </c>
      <c r="E6" s="4" t="n">
        <v>6338.1714999999995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77649.0</v>
      </c>
      <c r="S6" s="34" t="n">
        <v>293650.0</v>
      </c>
      <c r="T6" s="38" t="n">
        <v>36001.0</v>
      </c>
      <c r="U6" s="42" t="n">
        <v>7886.0</v>
      </c>
      <c r="V6" s="46" t="n">
        <v>3792.0</v>
      </c>
      <c r="W6" s="4">
        <f>SUM(R6:V6)</f>
        <v>466474.83163064456</v>
      </c>
    </row>
    <row r="7" spans="1:39" x14ac:dyDescent="0.25">
      <c r="A7" s="3">
        <v>2</v>
      </c>
      <c r="B7" s="4" t="n">
        <v>24000.6953</v>
      </c>
      <c r="C7" s="4" t="n">
        <v>141426.5145</v>
      </c>
      <c r="D7" s="4" t="n">
        <v>387664.4491</v>
      </c>
      <c r="E7" s="4" t="n">
        <v>113428.9518</v>
      </c>
      <c r="F7" s="4" t="n">
        <v>41617.7359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20368.0</v>
      </c>
      <c r="S7" s="35" t="n">
        <v>118435.0</v>
      </c>
      <c r="T7" s="39" t="n">
        <v>369087.0</v>
      </c>
      <c r="U7" s="43" t="n">
        <v>105149.0</v>
      </c>
      <c r="V7" s="47" t="n">
        <v>35076.0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3175.4094</v>
      </c>
      <c r="C8" s="4" t="n">
        <v>14726.0638</v>
      </c>
      <c r="D8" s="4" t="n">
        <v>58133.3925</v>
      </c>
      <c r="E8" s="4" t="n">
        <v>51086.6193</v>
      </c>
      <c r="F8" s="4" t="n">
        <v>31838.099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4022.0</v>
      </c>
      <c r="S8" s="36" t="n">
        <v>15899.0</v>
      </c>
      <c r="T8" s="40" t="n">
        <v>69226.0</v>
      </c>
      <c r="U8" s="44" t="n">
        <v>65621.0</v>
      </c>
      <c r="V8" s="48" t="n">
        <v>23233.0</v>
      </c>
      <c r="W8" s="4">
        <f si="1" t="shared"/>
        <v>199912.09926920038</v>
      </c>
    </row>
    <row r="9" spans="1:39" x14ac:dyDescent="0.25">
      <c r="A9" s="5" t="s">
        <v>3</v>
      </c>
      <c r="B9" s="4" t="n">
        <v>606.4551</v>
      </c>
      <c r="C9" s="4" t="n">
        <v>2141.5521</v>
      </c>
      <c r="D9" s="4" t="n">
        <v>15273.471800000001</v>
      </c>
      <c r="E9" s="4" t="n">
        <v>25406.1908</v>
      </c>
      <c r="F9" s="4" t="n">
        <v>21430.6056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484.0</v>
      </c>
      <c r="S9" s="37" t="n">
        <v>2563.0</v>
      </c>
      <c r="T9" s="41" t="n">
        <v>24687.0</v>
      </c>
      <c r="U9" s="45" t="n">
        <v>35348.0</v>
      </c>
      <c r="V9" s="49" t="n">
        <v>32816.0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110675.59109026432</v>
      </c>
      <c r="S10" s="8">
        <f ref="S10" si="3" t="shared">SUM(S6:S9)</f>
        <v>477909.87153877632</v>
      </c>
      <c r="T10" s="8">
        <f ref="T10" si="4" t="shared">SUM(T6:T9)</f>
        <v>568099.2580773012</v>
      </c>
      <c r="U10" s="8">
        <f ref="U10" si="5" t="shared">SUM(U6:U9)</f>
        <v>241935.56716192968</v>
      </c>
      <c r="V10" s="8">
        <f ref="V10" si="6" t="shared">SUM(V6:V9)</f>
        <v>107988.81951253628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83832.479119927157</v>
      </c>
      <c r="S16" s="4">
        <f ref="S16:V16" si="9" t="shared">S6</f>
        <v>328240.61339026323</v>
      </c>
      <c r="T16" s="4">
        <f si="9" t="shared"/>
        <v>41187.865222449858</v>
      </c>
      <c r="U16" s="4">
        <f si="9" t="shared"/>
        <v>9043.3083322367856</v>
      </c>
      <c r="V16" s="4">
        <f si="9" t="shared"/>
        <v>4170.5655657675243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21757.181460563137</v>
      </c>
      <c r="S17" s="4">
        <f si="22" t="shared"/>
        <v>129691.33477319771</v>
      </c>
      <c r="T17" s="4">
        <f si="22" t="shared"/>
        <v>423090.1318068101</v>
      </c>
      <c r="U17" s="4">
        <f si="22" t="shared"/>
        <v>119935.23956586247</v>
      </c>
      <c r="V17" s="4">
        <f si="22" t="shared"/>
        <v>40786.080583765921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4557.5521875669256</v>
      </c>
      <c r="S18" s="4">
        <f si="28" t="shared"/>
        <v>17185.417612707217</v>
      </c>
      <c r="T18" s="4">
        <f si="28" t="shared"/>
        <v>76969.638068567016</v>
      </c>
      <c r="U18" s="4">
        <f si="28" t="shared"/>
        <v>74446.601067000636</v>
      </c>
      <c r="V18" s="4">
        <f si="28" t="shared"/>
        <v>26752.89033335858</v>
      </c>
      <c r="W18" s="4">
        <f si="23" t="shared"/>
        <v>199912.09926920038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528.37832220711118</v>
      </c>
      <c r="S19" s="4">
        <f si="31" t="shared"/>
        <v>2792.5057626081175</v>
      </c>
      <c r="T19" s="4">
        <f si="31" t="shared"/>
        <v>26851.622979474294</v>
      </c>
      <c r="U19" s="4">
        <f si="31" t="shared"/>
        <v>38510.418196829785</v>
      </c>
      <c r="V19" s="4">
        <f si="31" t="shared"/>
        <v>36279.283029644248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110675.59109026432</v>
      </c>
      <c r="S20" s="8">
        <f ref="S20:V20" si="34" t="shared">SUM(S16:S19)</f>
        <v>477909.87153877632</v>
      </c>
      <c r="T20" s="8">
        <f si="34" t="shared"/>
        <v>568099.2580773012</v>
      </c>
      <c r="U20" s="8">
        <f si="34" t="shared"/>
        <v>241935.56716192968</v>
      </c>
      <c r="V20" s="8">
        <f si="34" t="shared"/>
        <v>107988.81951253628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5.5643151703541248E-2</v>
      </c>
      <c r="S25" s="17">
        <f ref="S25:W25" si="37" t="shared">S6/$W$10</f>
        <v>0.21786713738967045</v>
      </c>
      <c r="T25" s="17">
        <f si="37" t="shared"/>
        <v>2.7338123087582853E-2</v>
      </c>
      <c r="U25" s="17">
        <f si="37" t="shared"/>
        <v>6.0024251067739062E-3</v>
      </c>
      <c r="V25" s="17">
        <f si="37" t="shared"/>
        <v>2.7681802435257545E-3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1.4441158860633272E-2</v>
      </c>
      <c r="S26" s="17">
        <f si="40" t="shared"/>
        <v>8.6081608121075265E-2</v>
      </c>
      <c r="T26" s="17">
        <f si="40" t="shared"/>
        <v>0.28082276267554157</v>
      </c>
      <c r="U26" s="17">
        <f si="40" t="shared"/>
        <v>7.9606076306259752E-2</v>
      </c>
      <c r="V26" s="17">
        <f si="40" t="shared"/>
        <v>2.7071441679170007E-2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3.0250395840830178E-3</v>
      </c>
      <c r="S27" s="17">
        <f si="43" t="shared"/>
        <v>1.1406686398294459E-2</v>
      </c>
      <c r="T27" s="17">
        <f si="43" t="shared"/>
        <v>5.1087994683887375E-2</v>
      </c>
      <c r="U27" s="17">
        <f si="43" t="shared"/>
        <v>4.9413348626588145E-2</v>
      </c>
      <c r="V27" s="17">
        <f si="43" t="shared"/>
        <v>1.775702151427163E-2</v>
      </c>
      <c r="W27" s="17">
        <f si="43" t="shared"/>
        <v>0.13269009080712463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3.5070697476778174E-4</v>
      </c>
      <c r="S28" s="18">
        <f si="46" t="shared"/>
        <v>1.8535038378088662E-3</v>
      </c>
      <c r="T28" s="18">
        <f si="46" t="shared"/>
        <v>1.782255453516738E-2</v>
      </c>
      <c r="U28" s="18">
        <f si="46" t="shared"/>
        <v>2.556098858567165E-2</v>
      </c>
      <c r="V28" s="18">
        <f si="46" t="shared"/>
        <v>2.4080090085685617E-2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7.3460057123025307E-2</v>
      </c>
      <c r="S29" s="19">
        <f si="49" t="shared"/>
        <v>0.31720893574684905</v>
      </c>
      <c r="T29" s="19">
        <f si="49" t="shared"/>
        <v>0.3770714349821791</v>
      </c>
      <c r="U29" s="19">
        <f si="49" t="shared"/>
        <v>0.16058283862529346</v>
      </c>
      <c r="V29" s="19">
        <f si="49" t="shared"/>
        <v>7.1676733522653011E-2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7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7" t="s">
        <v>133</v>
      </c>
      <c r="Z33" s="95" t="s">
        <v>164</v>
      </c>
    </row>
    <row r="34" spans="17:26" x14ac:dyDescent="0.25">
      <c r="Q34" s="3">
        <v>1</v>
      </c>
      <c r="R34" s="17">
        <f>R25-B25</f>
        <v>-8.6097439402524276E-3</v>
      </c>
      <c r="S34" s="17">
        <f ref="S34:W34" si="50" t="shared">S25-C25</f>
        <v>8.5110323089371553E-3</v>
      </c>
      <c r="T34" s="17">
        <f si="50" t="shared"/>
        <v>-1.075246396433728E-3</v>
      </c>
      <c r="U34" s="17">
        <f si="50" t="shared"/>
        <v>1.0781054684338353E-3</v>
      </c>
      <c r="V34" s="17">
        <f si="50" t="shared"/>
        <v>9.5852559315192255E-5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402676.52848364855</v>
      </c>
    </row>
    <row r="35" spans="17:26" x14ac:dyDescent="0.25">
      <c r="Q35" s="3">
        <v>2</v>
      </c>
      <c r="R35" s="17">
        <f ref="R35:W35" si="51" t="shared">R26-B26</f>
        <v>-1.1819332477021084E-3</v>
      </c>
      <c r="S35" s="17">
        <f si="51" t="shared"/>
        <v>-1.0907026900715169E-2</v>
      </c>
      <c r="T35" s="17">
        <f si="51" t="shared"/>
        <v>9.8546782889149531E-3</v>
      </c>
      <c r="U35" s="17">
        <f si="51" t="shared"/>
        <v>2.3252429525378315E-3</v>
      </c>
      <c r="V35" s="17">
        <f si="51" t="shared"/>
        <v>-9.096109303541669E-5</v>
      </c>
      <c r="W35" s="17">
        <f si="51" t="shared"/>
        <v>0</v>
      </c>
      <c r="Z35" s="96">
        <f>(Z34-Y34)/G20</f>
        <v>-1.7206072788625262E-2</v>
      </c>
    </row>
    <row r="36" spans="17:26" x14ac:dyDescent="0.25">
      <c r="Q36" s="3">
        <v>3</v>
      </c>
      <c r="R36" s="17">
        <f ref="R36:W36" si="52" t="shared">R27-B27</f>
        <v>2.7326522239415948E-4</v>
      </c>
      <c r="S36" s="17">
        <f si="52" t="shared"/>
        <v>-8.0980188515875767E-4</v>
      </c>
      <c r="T36" s="17">
        <f si="52" t="shared"/>
        <v>3.8191265318550383E-3</v>
      </c>
      <c r="U36" s="17">
        <f si="52" t="shared"/>
        <v>6.4857252516355018E-3</v>
      </c>
      <c r="V36" s="17">
        <f si="52" t="shared"/>
        <v>-9.7683151207259393E-3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-2.3913981759292059E-4</v>
      </c>
      <c r="S37" s="18">
        <f si="53" t="shared"/>
        <v>-4.63741226287382E-4</v>
      </c>
      <c r="T37" s="18">
        <f si="53" t="shared"/>
        <v>1.9598941356307256E-3</v>
      </c>
      <c r="U37" s="18">
        <f si="53" t="shared"/>
        <v>-1.046971660796505E-3</v>
      </c>
      <c r="V37" s="18">
        <f si="53" t="shared"/>
        <v>-2.1004143095390906E-4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-9.7575517831532954E-3</v>
      </c>
      <c r="S38" s="19">
        <f si="54" t="shared"/>
        <v>-3.6695377032242016E-3</v>
      </c>
      <c r="T38" s="19">
        <f si="54" t="shared"/>
        <v>1.4558452559966906E-2</v>
      </c>
      <c r="U38" s="19">
        <f si="54" t="shared"/>
        <v>8.8421020118106819E-3</v>
      </c>
      <c r="V38" s="19">
        <f si="54" t="shared"/>
        <v>-9.9734650854000767E-3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O11" sqref="O11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-3.5592513886750705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-2.0471135795960582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-4.1202914310938317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83832.479119927157</v>
      </c>
      <c r="K6" s="4">
        <f>Vehicles_by_HHDrivers!S16</f>
        <v>328240.61339026323</v>
      </c>
      <c r="L6" s="4">
        <f>Vehicles_by_HHDrivers!T16</f>
        <v>41187.865222449858</v>
      </c>
      <c r="M6" s="4">
        <f>Vehicles_by_HHDrivers!U16</f>
        <v>9043.3083322367856</v>
      </c>
      <c r="N6" s="4">
        <f>Vehicles_by_HHDrivers!V16</f>
        <v>4170.5655657675243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1.154731421148175</v>
      </c>
      <c r="U6" s="87">
        <f>LN(T6)-LN($T$22)</f>
        <v>0.18788817403492961</v>
      </c>
      <c r="V6" s="87">
        <f>S6+U6</f>
        <v>-3.5592513886750705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-11.984585925994047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21757.181460563137</v>
      </c>
      <c r="K7" s="4">
        <f>Vehicles_by_HHDrivers!S17</f>
        <v>129691.33477319771</v>
      </c>
      <c r="L7" s="4">
        <f>Vehicles_by_HHDrivers!T17</f>
        <v>423090.1318068101</v>
      </c>
      <c r="M7" s="4">
        <f>Vehicles_by_HHDrivers!U17</f>
        <v>119935.23956586247</v>
      </c>
      <c r="N7" s="4">
        <f>Vehicles_by_HHDrivers!V17</f>
        <v>40786.080583765921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1.0393313905636086</v>
      </c>
      <c r="U7" s="87">
        <f ref="U7:U22" si="4" t="shared">LN(T7)-LN($T$22)</f>
        <v>8.2598005623941539E-2</v>
      </c>
      <c r="V7" s="87">
        <f ref="V7:V22" si="5" t="shared">S7+U7</f>
        <v>-2.0471135795960582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-4.88983430123624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4557.5521875669256</v>
      </c>
      <c r="K8" s="4">
        <f>Vehicles_by_HHDrivers!S18</f>
        <v>17185.417612707217</v>
      </c>
      <c r="L8" s="4">
        <f>Vehicles_by_HHDrivers!T18</f>
        <v>76969.638068567016</v>
      </c>
      <c r="M8" s="4">
        <f>Vehicles_by_HHDrivers!U18</f>
        <v>74446.601067000636</v>
      </c>
      <c r="N8" s="4">
        <f>Vehicles_by_HHDrivers!V18</f>
        <v>26752.89033335858</v>
      </c>
      <c r="O8" s="4">
        <f si="2" t="shared"/>
        <v>199912.09926920038</v>
      </c>
      <c r="Q8">
        <v>3</v>
      </c>
      <c r="R8" t="s">
        <v>90</v>
      </c>
      <c r="S8" s="87">
        <f si="3" t="shared"/>
        <v>-3.96633437255</v>
      </c>
      <c r="T8" s="84">
        <f>E15/M15</f>
        <v>0.82038835149860301</v>
      </c>
      <c r="U8" s="87">
        <f si="4" t="shared"/>
        <v>-0.15395705854383171</v>
      </c>
      <c r="V8" s="87">
        <f si="5" t="shared"/>
        <v>-4.1202914310938317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-1.6930561246334039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528.37832220711118</v>
      </c>
      <c r="K9" s="4">
        <f>Vehicles_by_HHDrivers!S19</f>
        <v>2792.5057626081175</v>
      </c>
      <c r="L9" s="4">
        <f>Vehicles_by_HHDrivers!T19</f>
        <v>26851.622979474294</v>
      </c>
      <c r="M9" s="4">
        <f>Vehicles_by_HHDrivers!U19</f>
        <v>38510.418196829785</v>
      </c>
      <c r="N9" s="4">
        <f>Vehicles_by_HHDrivers!V19</f>
        <v>36279.283029644248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0.44520800121183773</v>
      </c>
      <c r="U9" s="87">
        <f si="4" t="shared"/>
        <v>-0.76519329466404529</v>
      </c>
      <c r="V9" s="87">
        <f si="5" t="shared"/>
        <v>-11.984585925994047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-1.3820480024096717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110675.59109026432</v>
      </c>
      <c r="K10" s="8">
        <f ref="K10:N10" si="7" t="shared">SUM(K6:K9)</f>
        <v>477909.87153877632</v>
      </c>
      <c r="L10" s="8">
        <f si="7" t="shared"/>
        <v>568099.2580773012</v>
      </c>
      <c r="M10" s="8">
        <f si="7" t="shared"/>
        <v>241935.56716192968</v>
      </c>
      <c r="N10" s="8">
        <f si="7" t="shared"/>
        <v>107988.81951253628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1.0818447646140137</v>
      </c>
      <c r="U10" s="87">
        <f si="4" t="shared"/>
        <v>0.12268809225376032</v>
      </c>
      <c r="V10" s="87">
        <f si="5" t="shared"/>
        <v>-4.88983430123624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-2.3469188810138499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1.1267056591853424</v>
      </c>
      <c r="U11" s="87">
        <f si="4" t="shared"/>
        <v>0.16331842187659606</v>
      </c>
      <c r="V11" s="87">
        <f si="5" t="shared"/>
        <v>-1.6930561246334039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-4.9708411737459137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0.97079063483053507</v>
      </c>
      <c r="U12" s="87">
        <f si="4" t="shared"/>
        <v>1.4375940870328379E-2</v>
      </c>
      <c r="V12" s="87">
        <f si="5" t="shared"/>
        <v>-1.3820480024096717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-2.1814089285624747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1.003360038749078</v>
      </c>
      <c r="U13" s="87">
        <f si="4" t="shared"/>
        <v>4.7374799336150374E-2</v>
      </c>
      <c r="V13" s="87">
        <f si="5" t="shared"/>
        <v>-2.3469188810138499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-1.4783124752209142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0.90966557137565707</v>
      </c>
      <c r="U14" s="87">
        <f si="4" t="shared"/>
        <v>-5.0657858095913527E-2</v>
      </c>
      <c r="V14" s="87">
        <f si="5" t="shared"/>
        <v>-4.9708411737459137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-0.33301363761725994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5.5643151703541248E-2</v>
      </c>
      <c r="K15" s="17">
        <f ref="K15:O15" si="9" t="shared">K6/$O$10</f>
        <v>0.21786713738967045</v>
      </c>
      <c r="L15" s="17">
        <f si="9" t="shared"/>
        <v>2.7338123087582853E-2</v>
      </c>
      <c r="M15" s="17">
        <f si="9" t="shared"/>
        <v>6.0024251067739062E-3</v>
      </c>
      <c r="N15" s="17">
        <f si="9" t="shared"/>
        <v>2.7681802435257545E-3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1.0709936134721685</v>
      </c>
      <c r="U15" s="87">
        <f si="4" t="shared"/>
        <v>0.11260722120752527</v>
      </c>
      <c r="V15" s="87">
        <f si="5" t="shared"/>
        <v>-2.1814089285624747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-4.7577221936220582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1.4441158860633272E-2</v>
      </c>
      <c r="K16" s="17">
        <f si="11" t="shared"/>
        <v>8.6081608121075265E-2</v>
      </c>
      <c r="L16" s="17">
        <f si="11" t="shared"/>
        <v>0.28082276267554157</v>
      </c>
      <c r="M16" s="17">
        <f si="11" t="shared"/>
        <v>7.9606076306259752E-2</v>
      </c>
      <c r="N16" s="17">
        <f si="11" t="shared"/>
        <v>2.7071441679170007E-2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0.92524414873814664</v>
      </c>
      <c r="U16" s="87">
        <f si="4" t="shared"/>
        <v>-3.3677238810914251E-2</v>
      </c>
      <c r="V16" s="87">
        <f si="5" t="shared"/>
        <v>-1.4783124752209142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-0.85880609474427405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3.0250395840830178E-3</v>
      </c>
      <c r="K17" s="17">
        <f si="13" t="shared"/>
        <v>1.1406686398294459E-2</v>
      </c>
      <c r="L17" s="17">
        <f si="13" t="shared"/>
        <v>5.1087994683887375E-2</v>
      </c>
      <c r="M17" s="17">
        <f si="13" t="shared"/>
        <v>4.9413348626588145E-2</v>
      </c>
      <c r="N17" s="17">
        <f si="13" t="shared"/>
        <v>1.775702151427163E-2</v>
      </c>
      <c r="O17" s="17">
        <f si="13" t="shared"/>
        <v>0.13269009080712463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1.5501100008734559</v>
      </c>
      <c r="U17" s="87">
        <f si="4" t="shared"/>
        <v>0.48234628962274001</v>
      </c>
      <c r="V17" s="87">
        <f si="5" t="shared"/>
        <v>-0.33301363761725994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-1.70969630273699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3.5070697476778174E-4</v>
      </c>
      <c r="K18" s="17">
        <f si="15" t="shared"/>
        <v>1.8535038378088662E-3</v>
      </c>
      <c r="L18" s="17">
        <f si="15" t="shared"/>
        <v>1.782255453516738E-2</v>
      </c>
      <c r="M18" s="17">
        <f si="15" t="shared"/>
        <v>2.556098858567165E-2</v>
      </c>
      <c r="N18" s="17">
        <f si="15" t="shared"/>
        <v>2.4080090085685617E-2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1.6818792747172062</v>
      </c>
      <c r="U18" s="87">
        <f si="4" t="shared"/>
        <v>0.56393217703794174</v>
      </c>
      <c r="V18" s="87">
        <f si="5" t="shared"/>
        <v>-4.7577221936220582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-0.51575062562272755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7.3460057123025307E-2</v>
      </c>
      <c r="K19" s="19">
        <f ref="K19:N19" si="17" t="shared">K10/$O$10</f>
        <v>0.31720893574684905</v>
      </c>
      <c r="L19" s="19">
        <f si="17" t="shared"/>
        <v>0.3770714349821791</v>
      </c>
      <c r="M19" s="19">
        <f si="17" t="shared"/>
        <v>0.16058283862529346</v>
      </c>
      <c r="N19" s="19">
        <f si="17" t="shared"/>
        <v>7.1676733522653011E-2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1.250197068291802</v>
      </c>
      <c r="U19" s="87">
        <f si="4" t="shared"/>
        <v>0.26732158642572601</v>
      </c>
      <c r="V19" s="87">
        <f si="5" t="shared"/>
        <v>-0.85880609474427405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0.8900329281213043</v>
      </c>
      <c r="U20" s="87">
        <f si="4" t="shared"/>
        <v>-7.247642614699018E-2</v>
      </c>
      <c r="V20" s="87">
        <f si="5" t="shared"/>
        <v>-1.70969630273699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1.0409597483793482</v>
      </c>
      <c r="U21" s="87">
        <f si="4" t="shared"/>
        <v>8.416351548727237E-2</v>
      </c>
      <c r="V21" s="87">
        <f si="5" t="shared"/>
        <v>-0.51575062562272755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0.95693444260159344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2017-05-16T23:54:56Z</dcterms:modified>
</cp:coreProperties>
</file>