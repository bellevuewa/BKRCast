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DF908ECD-C663-F43C-BE37-009161E90720}" lastEdited="7" lowestEdited="5" rupBuild="17927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output\"/>
    </mc:Choice>
  </mc:AlternateContent>
  <bookViews>
    <workbookView windowHeight="6180" windowWidth="25230" xWindow="-15" yWindow="-15"/>
  </bookViews>
  <sheets>
    <sheet name="Vehicles_by_County" r:id="rId1" sheetId="5"/>
    <sheet name="Vehicles_by_Income" r:id="rId2" sheetId="4"/>
    <sheet name="Vehicles_by_HHDrivers" r:id="rId3" sheetId="1"/>
    <sheet name="Coeff" r:id="rId4" sheetId="6"/>
    <sheet name="VehAvailCoefficient" r:id="rId5" sheetId="7"/>
    <sheet name="calibration" r:id="rId6" sheetId="8"/>
  </sheets>
  <definedNames>
    <definedName name="county">Vehicles_by_County!$R$6:$V$11</definedName>
    <definedName name="drivers">Vehicles_by_HHDrivers!$R$6:$V$9</definedName>
    <definedName name="income">Vehicles_by_Income!$R$6:$V$9</definedName>
    <definedName name="out1">Vehicles_by_County!$B$6:$F$12</definedName>
    <definedName name="out3">Vehicles_by_Income!$B$6:$F$9</definedName>
    <definedName name="out5">Vehicles_by_HHDrivers!$B$6:$F$9</definedName>
    <definedName name="out2">Vehicles_by_County!$R$6:$V$12</definedName>
    <definedName name="out4">Vehicles_by_Income!$R$6:$V$9</definedName>
    <definedName name="out6">Vehicles_by_HHDrivers!$R$6:$V$9</definedName>
    <definedName name="out_1">Vehicles_by_County!$B$6:$F$12</definedName>
    <definedName name="out_3">Vehicles_by_Income!$B$6:$F$9</definedName>
    <definedName name="out_5">Vehicles_by_HHDrivers!$B$6:$F$9</definedName>
    <definedName name="out_2">Vehicles_by_County!$R$6:$V$12</definedName>
    <definedName name="out_4">Vehicles_by_Income!$R$6:$V$9</definedName>
    <definedName name="out_6">Vehicles_by_HHDrivers!$R$6:$V$9</definedName>
  </definedNames>
  <calcPr calcId="171027"/>
</workbook>
</file>

<file path=xl/calcChain.xml><?xml version="1.0" encoding="utf-8"?>
<calcChain xmlns="http://schemas.openxmlformats.org/spreadsheetml/2006/main">
  <c i="5" l="1" r="R25"/>
  <c i="5" r="S25"/>
  <c i="5" r="T25"/>
  <c i="5" r="U25"/>
  <c i="5" r="AC25" s="1"/>
  <c i="5" r="V25"/>
  <c i="5" r="W25"/>
  <c i="5" r="W12"/>
  <c i="5" r="E25" s="1"/>
  <c i="5" r="G12"/>
  <c i="5" l="1" r="AK25"/>
  <c i="5" r="G25"/>
  <c i="5" r="F25"/>
  <c i="5" r="B25"/>
  <c i="5" r="D25"/>
  <c i="5" r="C25"/>
  <c i="8" r="Z4"/>
  <c i="8" r="S7" s="1"/>
  <c i="8" r="Z5"/>
  <c i="8" r="S8" s="1"/>
  <c i="8" r="Z6"/>
  <c i="8" r="S9" s="1"/>
  <c i="8" r="Z7"/>
  <c i="8" r="S10" s="1"/>
  <c i="8" r="Z8"/>
  <c i="8" r="S11" s="1"/>
  <c i="8" r="Z9"/>
  <c i="8" r="S12" s="1"/>
  <c i="8" r="Z10"/>
  <c i="8" r="S13" s="1"/>
  <c i="8" r="Z11"/>
  <c i="8" r="S14" s="1"/>
  <c i="8" r="Z12"/>
  <c i="8" r="S15" s="1"/>
  <c i="8" r="Z13"/>
  <c i="8" r="S16" s="1"/>
  <c i="8" r="Z14"/>
  <c i="8" r="S17" s="1"/>
  <c i="8" r="Z15"/>
  <c i="8" r="S18" s="1"/>
  <c i="8" r="Z16"/>
  <c i="8" r="S19" s="1"/>
  <c i="8" r="Z17"/>
  <c i="8" r="S20" s="1"/>
  <c i="8" r="Z18"/>
  <c i="8" r="S21" s="1"/>
  <c i="8" r="Z19"/>
  <c i="8" r="S22" s="1"/>
  <c i="8" r="Z20"/>
  <c i="8" r="Z21"/>
  <c i="8" r="Z22"/>
  <c i="8" r="Z23"/>
  <c i="8" r="Z24"/>
  <c i="8" r="Z25"/>
  <c i="8" r="Z26"/>
  <c i="8" r="Z27"/>
  <c i="8" r="Z28"/>
  <c i="8" r="Z29"/>
  <c i="8" r="Z30"/>
  <c i="8" r="Z31"/>
  <c i="8" r="Z32"/>
  <c i="8" r="Z33"/>
  <c i="8" r="Z34"/>
  <c i="8" r="Z35"/>
  <c i="8" r="Z36"/>
  <c i="8" r="Z37"/>
  <c i="8" r="Z38"/>
  <c i="8" r="Z39"/>
  <c i="8" r="Z40"/>
  <c i="8" r="Z41"/>
  <c i="8" r="Z42"/>
  <c i="8" r="Z43"/>
  <c i="8" r="Z44"/>
  <c i="8" r="Z45"/>
  <c i="8" r="Z46"/>
  <c i="8" r="Z47"/>
  <c i="8" r="Z48"/>
  <c i="8" r="Z49"/>
  <c i="8" r="Z50"/>
  <c i="8" r="Z51"/>
  <c i="8" r="Z52"/>
  <c i="8" r="Z53"/>
  <c i="8" r="Z54"/>
  <c i="8" r="Z55"/>
  <c i="8" r="Z56"/>
  <c i="8" r="Z57"/>
  <c i="8" r="Z58"/>
  <c i="8" r="Z59"/>
  <c i="8" r="Z60"/>
  <c i="8" r="Z61"/>
  <c i="8" r="Z62"/>
  <c i="8" r="Z3"/>
  <c i="8" r="S6" s="1"/>
  <c i="5" l="1" r="AI25"/>
  <c i="5" r="AA25"/>
  <c i="5" r="AL25"/>
  <c i="5" r="AJ25"/>
  <c i="5" r="AB25"/>
  <c i="5" r="AD25"/>
  <c i="5" r="Z25"/>
  <c i="5" r="AH25"/>
  <c i="5" r="AM25"/>
  <c i="5" r="AE25"/>
  <c i="5" r="O6"/>
  <c i="5" l="1" r="A39"/>
  <c i="5" r="A37"/>
  <c i="5" r="A36"/>
  <c i="5" r="A35"/>
  <c i="5" r="A34"/>
  <c i="5" r="A33"/>
  <c i="5" r="A32"/>
  <c i="5" r="A26"/>
  <c i="5" r="A25"/>
  <c i="5" r="A38" s="1"/>
  <c i="5" r="Q38" s="1"/>
  <c i="5" r="A24"/>
  <c i="5" r="A23"/>
  <c i="5" r="A22"/>
  <c i="5" r="A21"/>
  <c i="5" r="A20"/>
  <c i="5" r="A19"/>
  <c i="5" r="AG26"/>
  <c i="5" r="AG24"/>
  <c i="5" r="AG23"/>
  <c i="5" r="AG22"/>
  <c i="5" r="AG21"/>
  <c i="5" r="AG20"/>
  <c i="5" r="AG19"/>
  <c i="5" r="Y26"/>
  <c i="5" r="Y24"/>
  <c i="5" r="Y23"/>
  <c i="5" r="Y22"/>
  <c i="5" r="Y21"/>
  <c i="5" r="Y20"/>
  <c i="5" r="Y19"/>
  <c i="5" r="Q52"/>
  <c i="5" r="Q51"/>
  <c i="5" r="Q50"/>
  <c i="5" r="Q49"/>
  <c i="5" r="Q48"/>
  <c i="5" r="Q47"/>
  <c i="5" r="Q46"/>
  <c i="5" r="Q45"/>
  <c i="5" r="Q39"/>
  <c i="5" r="Q37"/>
  <c i="5" r="Q36"/>
  <c i="5" r="Q35"/>
  <c i="5" r="Q34"/>
  <c i="5" r="Q33"/>
  <c i="5" r="Q32"/>
  <c i="5" r="Q26"/>
  <c i="5" r="Q25"/>
  <c i="5" r="Y25" s="1"/>
  <c i="5" r="AG25" s="1"/>
  <c i="5" r="Q24"/>
  <c i="5" r="Q23"/>
  <c i="5" r="Q22"/>
  <c i="5" r="Q21"/>
  <c i="5" r="Q20"/>
  <c i="5" r="Q19"/>
  <c i="5" r="Q13"/>
  <c i="5" r="Q12"/>
  <c i="5" r="Q11"/>
  <c i="5" r="Q10"/>
  <c i="5" r="Q9"/>
  <c i="5" r="Q8"/>
  <c i="5" r="Q7"/>
  <c i="5" r="Q6"/>
  <c i="5" r="I39"/>
  <c i="5" r="I38"/>
  <c i="5" r="I37"/>
  <c i="5" r="I36"/>
  <c i="5" r="I35"/>
  <c i="5" r="I34"/>
  <c i="5" r="I33"/>
  <c i="5" r="I32"/>
  <c i="5" r="I26"/>
  <c i="5" r="I25"/>
  <c i="5" r="I24"/>
  <c i="5" r="I23"/>
  <c i="5" r="I22"/>
  <c i="5" r="I21"/>
  <c i="5" r="I20"/>
  <c i="5" r="I19"/>
  <c i="5" r="O12"/>
  <c i="5" r="K13"/>
  <c i="5" r="L13"/>
  <c i="5" r="M13"/>
  <c i="5" r="N13"/>
  <c i="5" r="J13"/>
  <c i="5" r="I13"/>
  <c i="5" r="C13"/>
  <c i="5" r="D13"/>
  <c i="5" r="E13"/>
  <c i="5" r="F13"/>
  <c i="5" r="B13"/>
  <c i="5" r="S13"/>
  <c i="5" r="T13"/>
  <c i="5" r="U13"/>
  <c i="5" r="V13"/>
  <c i="5" r="R13"/>
  <c i="5" l="1" r="I12"/>
  <c i="5" r="I11"/>
  <c i="5" r="I10"/>
  <c i="5" r="I9"/>
  <c i="5" r="I8"/>
  <c i="5" r="I7"/>
  <c i="5" r="I6"/>
  <c i="5" l="1" r="O7"/>
  <c i="5" r="O8"/>
  <c i="5" r="O9"/>
  <c i="5" r="O10"/>
  <c i="5" r="O11"/>
  <c i="5" l="1" r="O13"/>
  <c i="5" r="W8"/>
  <c i="5" r="W9"/>
  <c i="5" r="W10"/>
  <c i="5" r="G8"/>
  <c i="5" r="G9"/>
  <c i="5" r="G10"/>
  <c i="5" l="1" r="V23"/>
  <c i="5" r="U23"/>
  <c i="5" r="T23"/>
  <c i="5" r="S23"/>
  <c i="5" r="R23"/>
  <c i="5" r="V22"/>
  <c i="5" r="U22"/>
  <c i="5" r="T22"/>
  <c i="5" r="S22"/>
  <c i="5" r="R22"/>
  <c i="5" r="V21"/>
  <c i="5" r="U21"/>
  <c i="5" r="T21"/>
  <c i="5" r="S21"/>
  <c i="5" r="R21"/>
  <c i="5" r="O23"/>
  <c i="5" r="N23"/>
  <c i="5" r="M23"/>
  <c i="5" r="L23"/>
  <c i="5" r="K23"/>
  <c i="5" r="J23"/>
  <c i="5" r="O22"/>
  <c i="5" r="N22"/>
  <c i="5" r="M22"/>
  <c i="5" r="L22"/>
  <c i="5" r="K22"/>
  <c i="5" r="J22"/>
  <c i="5" r="O21"/>
  <c i="5" r="N21"/>
  <c i="5" r="M21"/>
  <c i="5" r="L21"/>
  <c i="5" r="K21"/>
  <c i="5" r="J21"/>
  <c i="5" r="G23"/>
  <c i="5" r="AM23" s="1"/>
  <c i="5" r="G22"/>
  <c i="5" r="AM22" s="1"/>
  <c i="5" r="G21"/>
  <c i="5" r="AM21" s="1"/>
  <c i="5" r="F23"/>
  <c i="5" r="AL23" s="1"/>
  <c i="5" r="E23"/>
  <c i="5" r="AK23" s="1"/>
  <c i="5" r="D23"/>
  <c i="5" r="AJ23" s="1"/>
  <c i="5" r="C23"/>
  <c i="5" r="AI23" s="1"/>
  <c i="5" r="B23"/>
  <c i="5" r="AH23" s="1"/>
  <c i="5" r="F22"/>
  <c i="5" r="AL22" s="1"/>
  <c i="5" r="E22"/>
  <c i="5" r="AK22" s="1"/>
  <c i="5" r="D22"/>
  <c i="5" r="AJ22" s="1"/>
  <c i="5" r="C22"/>
  <c i="5" r="AI22" s="1"/>
  <c i="5" r="B22"/>
  <c i="5" r="AH22" s="1"/>
  <c i="5" r="F21"/>
  <c i="5" r="AL21" s="1"/>
  <c i="5" r="E21"/>
  <c i="5" r="AK21" s="1"/>
  <c i="5" r="D21"/>
  <c i="5" r="AJ21" s="1"/>
  <c i="5" r="C21"/>
  <c i="5" r="AI21" s="1"/>
  <c i="5" r="B21"/>
  <c i="5" r="AH21" s="1"/>
  <c i="5" r="R19"/>
  <c i="5" r="S19"/>
  <c i="5" r="T19"/>
  <c i="5" r="U19"/>
  <c i="5" r="V19"/>
  <c i="5" r="R20"/>
  <c i="5" r="S20"/>
  <c i="5" r="T20"/>
  <c i="5" r="U20"/>
  <c i="5" r="V20"/>
  <c i="5" r="R24"/>
  <c i="5" r="S24"/>
  <c i="5" r="T24"/>
  <c i="5" r="U24"/>
  <c i="5" r="V24"/>
  <c i="4" r="G6"/>
  <c i="4" r="W6"/>
  <c i="4" r="G7"/>
  <c i="4" r="W7"/>
  <c i="4" r="G8"/>
  <c i="4" r="W8"/>
  <c i="4" r="G9"/>
  <c i="4" r="W9"/>
  <c i="4" r="B10"/>
  <c i="4" r="C10"/>
  <c i="4" r="D10"/>
  <c i="4" r="E10"/>
  <c i="4" r="F10"/>
  <c i="4" r="R10"/>
  <c i="4" r="S10"/>
  <c i="4" r="T10"/>
  <c i="4" r="U10"/>
  <c i="4" r="V10"/>
  <c i="1" r="R17"/>
  <c i="8" r="J7" s="1"/>
  <c i="1" r="S17"/>
  <c i="8" r="K7" s="1"/>
  <c i="1" r="T17"/>
  <c i="8" r="L7" s="1"/>
  <c i="1" r="U17"/>
  <c i="8" r="M7" s="1"/>
  <c i="1" r="V17"/>
  <c i="8" r="N7" s="1"/>
  <c i="1" r="R18"/>
  <c i="8" r="J8" s="1"/>
  <c i="1" r="S18"/>
  <c i="8" r="K8" s="1"/>
  <c i="1" r="T18"/>
  <c i="8" r="L8" s="1"/>
  <c i="1" r="U18"/>
  <c i="8" r="M8" s="1"/>
  <c i="1" r="V18"/>
  <c i="8" r="N8" s="1"/>
  <c i="1" r="R19"/>
  <c i="8" r="J9" s="1"/>
  <c i="1" r="S19"/>
  <c i="8" r="K9" s="1"/>
  <c i="1" r="T19"/>
  <c i="8" r="L9" s="1"/>
  <c i="1" r="U19"/>
  <c i="8" r="M9" s="1"/>
  <c i="1" r="V19"/>
  <c i="8" r="N9" s="1"/>
  <c i="1" r="S16"/>
  <c i="8" r="K6" s="1"/>
  <c i="1" r="T16"/>
  <c i="8" r="L6" s="1"/>
  <c i="1" r="U16"/>
  <c i="8" r="M6" s="1"/>
  <c i="1" r="V16"/>
  <c i="8" r="N6" s="1"/>
  <c i="1" r="R16"/>
  <c i="4" r="R17"/>
  <c i="4" r="S17"/>
  <c i="4" r="T17"/>
  <c i="4" r="U17"/>
  <c i="4" r="V17"/>
  <c i="4" r="R18"/>
  <c i="4" r="S18"/>
  <c i="4" r="T18"/>
  <c i="4" r="U18"/>
  <c i="4" r="V18"/>
  <c i="4" r="R19"/>
  <c i="4" r="S19"/>
  <c i="4" r="T19"/>
  <c i="4" r="U19"/>
  <c i="4" r="V19"/>
  <c i="4" r="S16"/>
  <c i="4" r="T16"/>
  <c i="4" r="U16"/>
  <c i="4" r="V16"/>
  <c i="4" r="R16"/>
  <c i="8" l="1" r="J6"/>
  <c i="1" r="Z34"/>
  <c i="5" r="AD21"/>
  <c i="5" r="Z22"/>
  <c i="5" r="AA22"/>
  <c i="5" r="Z21"/>
  <c i="5" r="AB22"/>
  <c i="5" r="AC22"/>
  <c i="5" r="AD22"/>
  <c i="5" r="Z23"/>
  <c i="5" r="AA21"/>
  <c i="5" r="AA23"/>
  <c i="5" r="AB23"/>
  <c i="5" r="AC23"/>
  <c i="5" r="AD23"/>
  <c i="5" r="AB21"/>
  <c i="5" r="AC21"/>
  <c i="5" r="V26"/>
  <c i="5" r="U26"/>
  <c i="5" r="T26"/>
  <c i="5" r="S26"/>
  <c i="5" r="R26"/>
  <c i="5" r="W22"/>
  <c i="5" r="AE22" s="1"/>
  <c i="5" r="W21"/>
  <c i="5" r="AE21" s="1"/>
  <c i="5" r="W23"/>
  <c i="5" r="AE23" s="1"/>
  <c i="4" r="G10"/>
  <c i="5" r="W24"/>
  <c i="1" r="W19"/>
  <c i="4" r="W10"/>
  <c i="5" r="W20"/>
  <c i="5" r="W19"/>
  <c i="4" r="V20"/>
  <c i="4" r="R20"/>
  <c i="4" r="W19"/>
  <c i="4" r="T20"/>
  <c i="4" r="W16"/>
  <c i="1" r="W17"/>
  <c i="4" r="W17"/>
  <c i="1" r="R20"/>
  <c i="1" r="S20"/>
  <c i="1" r="T20"/>
  <c i="1" r="U20"/>
  <c i="1" r="W18"/>
  <c i="1" r="V20"/>
  <c i="1" r="W16"/>
  <c i="4" r="W18"/>
  <c i="4" r="U20"/>
  <c i="4" r="S20"/>
  <c i="5" l="1" r="W26"/>
  <c i="4" r="W20"/>
  <c i="1" r="W20"/>
  <c i="1" r="V10"/>
  <c i="1" r="U10"/>
  <c i="1" r="T10"/>
  <c i="1" r="S10"/>
  <c i="1" r="R10"/>
  <c i="1" r="W9"/>
  <c i="1" r="W8"/>
  <c i="1" r="W7"/>
  <c i="1" r="W6"/>
  <c i="1" r="F10"/>
  <c i="1" r="E10"/>
  <c i="1" r="D10"/>
  <c i="1" r="C10"/>
  <c i="1" r="B10"/>
  <c i="1" r="G9"/>
  <c i="1" r="G8"/>
  <c i="1" r="G7"/>
  <c i="1" r="G6"/>
  <c i="5" r="W11"/>
  <c i="5" r="W7"/>
  <c i="5" r="W6"/>
  <c i="5" r="G7"/>
  <c i="5" r="G11"/>
  <c i="5" r="G6"/>
  <c i="1" l="1" r="G16"/>
  <c i="5" r="W13"/>
  <c i="5" r="G13"/>
  <c i="5" r="B20"/>
  <c i="5" r="C24"/>
  <c i="5" r="G24"/>
  <c i="5" r="AE24" s="1"/>
  <c i="5" r="M24"/>
  <c i="5" r="B24"/>
  <c i="5" r="F24"/>
  <c i="5" r="L24"/>
  <c i="5" r="E24"/>
  <c i="5" r="K24"/>
  <c i="5" r="O24"/>
  <c i="5" r="J24"/>
  <c i="5" r="D24"/>
  <c i="5" r="N24"/>
  <c i="5" r="C20"/>
  <c i="5" r="G20"/>
  <c i="5" r="AE20" s="1"/>
  <c i="5" r="M20"/>
  <c i="5" r="F20"/>
  <c i="5" r="L20"/>
  <c i="5" r="E20"/>
  <c i="5" r="K20"/>
  <c i="5" r="O20"/>
  <c i="5" r="D20"/>
  <c i="5" r="N20"/>
  <c i="5" r="J20"/>
  <c i="5" r="E19"/>
  <c i="5" r="K19"/>
  <c i="5" r="O19"/>
  <c i="5" r="D19"/>
  <c i="5" r="J19"/>
  <c i="5" r="N19"/>
  <c i="5" r="C19"/>
  <c i="5" r="G19"/>
  <c i="5" r="AE19" s="1"/>
  <c i="5" r="M19"/>
  <c i="5" r="F19"/>
  <c i="5" r="L19"/>
  <c i="5" r="B19"/>
  <c i="1" r="L19"/>
  <c i="1" r="F19"/>
  <c i="8" r="F9" s="1"/>
  <c i="1" r="B19"/>
  <c i="8" r="B9" s="1"/>
  <c i="1" r="M19"/>
  <c i="1" r="G19"/>
  <c i="1" r="N19"/>
  <c i="1" r="J19"/>
  <c i="1" r="D19"/>
  <c i="8" r="D9" s="1"/>
  <c i="1" r="C19"/>
  <c i="8" r="C9" s="1"/>
  <c i="1" r="O19"/>
  <c i="1" r="K19"/>
  <c i="1" r="E19"/>
  <c i="8" r="E9" s="1"/>
  <c i="4" r="G18"/>
  <c i="4" r="C18"/>
  <c i="4" r="O18"/>
  <c i="4" r="K18"/>
  <c i="4" r="L18"/>
  <c i="4" r="E18"/>
  <c i="4" r="M18"/>
  <c i="4" r="D18"/>
  <c i="4" r="F18"/>
  <c i="4" r="B18"/>
  <c i="4" r="N18"/>
  <c i="4" r="J18"/>
  <c i="1" r="N18"/>
  <c i="1" r="J18"/>
  <c i="1" r="D18"/>
  <c i="8" r="D8" s="1"/>
  <c i="1" r="O18"/>
  <c i="1" r="K18"/>
  <c i="1" r="L18"/>
  <c i="1" r="F18"/>
  <c i="8" r="F8" s="1"/>
  <c i="1" r="B18"/>
  <c i="8" r="B8" s="1"/>
  <c i="1" r="M18"/>
  <c i="1" r="G18"/>
  <c i="1" r="C18"/>
  <c i="8" r="C8" s="1"/>
  <c i="1" r="E18"/>
  <c i="8" r="E8" s="1"/>
  <c i="1" r="W10"/>
  <c i="1" r="W28" s="1"/>
  <c i="4" r="E17"/>
  <c i="4" r="M17"/>
  <c i="4" r="F17"/>
  <c i="4" r="G17"/>
  <c i="4" r="C17"/>
  <c i="4" r="O17"/>
  <c i="4" r="K17"/>
  <c i="4" r="J17"/>
  <c i="4" r="D17"/>
  <c i="4" r="L17"/>
  <c i="4" r="B17"/>
  <c i="4" r="N17"/>
  <c i="1" r="G10"/>
  <c i="1" r="L17"/>
  <c i="1" r="F17"/>
  <c i="8" r="F7" s="1"/>
  <c i="1" r="B17"/>
  <c i="8" r="B7" s="1"/>
  <c i="1" r="M17"/>
  <c i="1" r="G17"/>
  <c i="1" r="N17"/>
  <c i="1" r="J17"/>
  <c i="1" r="D17"/>
  <c i="8" r="D7" s="1"/>
  <c i="1" r="C17"/>
  <c i="8" r="C7" s="1"/>
  <c i="1" r="O17"/>
  <c i="1" r="K17"/>
  <c i="1" r="E17"/>
  <c i="8" r="E7" s="1"/>
  <c i="4" r="G16"/>
  <c i="4" r="C16"/>
  <c i="4" r="O16"/>
  <c i="4" r="K16"/>
  <c i="4" r="E16"/>
  <c i="4" r="M16"/>
  <c i="4" r="D16"/>
  <c i="4" r="F16"/>
  <c i="4" r="B16"/>
  <c i="4" r="N16"/>
  <c i="4" r="J16"/>
  <c i="4" r="L16"/>
  <c i="1" r="N16"/>
  <c i="1" r="J16"/>
  <c i="1" r="D16"/>
  <c i="1" r="K16"/>
  <c i="1" r="E16"/>
  <c i="1" r="L16"/>
  <c i="1" r="F16"/>
  <c i="1" r="B16"/>
  <c i="1" r="O16"/>
  <c i="1" r="M16"/>
  <c i="1" r="C16"/>
  <c i="4" r="E19"/>
  <c i="4" r="M19"/>
  <c i="4" r="F19"/>
  <c i="4" r="N19"/>
  <c i="4" r="G19"/>
  <c i="4" r="C19"/>
  <c i="4" r="O19"/>
  <c i="4" r="K19"/>
  <c i="4" r="J19"/>
  <c i="4" r="D19"/>
  <c i="4" r="L19"/>
  <c i="4" r="B19"/>
  <c i="4" r="W28"/>
  <c i="5" l="1" r="W37"/>
  <c i="5" r="R38"/>
  <c i="5" r="S38"/>
  <c i="5" r="U38"/>
  <c i="5" r="T38"/>
  <c i="5" r="V38"/>
  <c i="5" r="W38"/>
  <c i="1" r="Y34"/>
  <c i="8" r="E6"/>
  <c i="1" r="E20"/>
  <c i="8" r="F6"/>
  <c i="8" r="F10" s="1"/>
  <c i="1" r="F20"/>
  <c i="8" r="C6"/>
  <c i="1" r="C20"/>
  <c i="8" r="D6"/>
  <c i="8" r="D10" s="1"/>
  <c i="1" r="D20"/>
  <c i="8" r="B6"/>
  <c i="8" r="B10" s="1"/>
  <c i="1" r="B20"/>
  <c i="1" r="G20"/>
  <c i="8" r="K10"/>
  <c i="8" r="J10"/>
  <c i="8" r="O6"/>
  <c i="8" r="G7"/>
  <c i="8" r="L10"/>
  <c i="8" r="O7"/>
  <c i="8" r="O9"/>
  <c i="8" r="G9"/>
  <c i="8" r="E10"/>
  <c i="8" r="C10"/>
  <c i="8" r="M10"/>
  <c i="8" r="N10"/>
  <c i="8" r="G8"/>
  <c i="8" r="O8"/>
  <c i="5" r="W32"/>
  <c i="5" r="AH24"/>
  <c i="5" r="Z24"/>
  <c i="5" r="AK24"/>
  <c i="5" r="AC24"/>
  <c i="5" r="AL20"/>
  <c i="5" r="AD20"/>
  <c i="5" r="AL19"/>
  <c i="5" r="AD19"/>
  <c i="5" r="AI24"/>
  <c i="5" r="AA24"/>
  <c i="5" r="AH20"/>
  <c i="5" r="Z20"/>
  <c i="5" r="AI19"/>
  <c i="5" r="AA19"/>
  <c i="5" r="AJ20"/>
  <c i="5" r="AB20"/>
  <c i="5" r="AJ24"/>
  <c i="5" r="AB24"/>
  <c i="5" r="W33"/>
  <c i="5" r="AK20"/>
  <c i="5" r="AC20"/>
  <c i="5" r="AH19"/>
  <c i="5" r="Z19"/>
  <c i="5" r="AJ19"/>
  <c i="5" r="AB19"/>
  <c i="5" r="AM24"/>
  <c i="5" r="AL24"/>
  <c i="5" r="AD24"/>
  <c i="5" r="AI20"/>
  <c i="5" r="AA20"/>
  <c i="5" r="AM20"/>
  <c i="5" r="AK19"/>
  <c i="5" r="AC19"/>
  <c i="5" r="AM19"/>
  <c i="5" r="S39"/>
  <c i="5" r="W39"/>
  <c i="5" r="U36"/>
  <c i="5" r="S35"/>
  <c i="5" r="R32"/>
  <c i="5" r="T33"/>
  <c i="5" r="V39"/>
  <c i="5" r="T35"/>
  <c i="5" r="D26"/>
  <c i="5" r="U37"/>
  <c i="5" r="U35"/>
  <c i="5" r="T39"/>
  <c i="5" r="S37"/>
  <c i="5" r="V35"/>
  <c i="5" r="S34"/>
  <c i="5" r="T34"/>
  <c i="5" r="G26"/>
  <c i="5" r="R37"/>
  <c i="5" r="S36"/>
  <c i="5" r="U39"/>
  <c i="5" r="K26"/>
  <c i="5" r="R35"/>
  <c i="5" r="T37"/>
  <c i="5" r="R36"/>
  <c i="5" r="U34"/>
  <c i="5" r="S33"/>
  <c i="5" r="E26"/>
  <c i="5" r="F26"/>
  <c i="5" r="R39"/>
  <c i="5" r="T36"/>
  <c i="5" r="V34"/>
  <c i="5" r="V33"/>
  <c i="5" r="B26"/>
  <c i="5" r="J26"/>
  <c i="5" r="M26"/>
  <c i="5" r="V37"/>
  <c i="5" r="U32"/>
  <c i="5" r="C26"/>
  <c i="5" r="U33"/>
  <c i="5" r="R33"/>
  <c i="5" r="N26"/>
  <c i="5" r="O26"/>
  <c i="5" r="M37" s="1"/>
  <c i="5" r="L26"/>
  <c i="5" r="R34"/>
  <c i="5" r="S32"/>
  <c i="5" r="T32"/>
  <c i="5" r="V32"/>
  <c i="5" r="V36"/>
  <c i="5" r="W36"/>
  <c i="5" r="W34"/>
  <c i="5" r="W35"/>
  <c i="1" r="S29"/>
  <c i="1" r="V29"/>
  <c i="5" r="K25"/>
  <c i="5" r="O25"/>
  <c i="5" r="J25"/>
  <c i="5" r="N25"/>
  <c i="5" r="M25"/>
  <c i="5" r="L25"/>
  <c i="1" r="W25"/>
  <c i="1" r="W26"/>
  <c i="1" r="R29"/>
  <c i="4" r="R29"/>
  <c i="4" r="R25"/>
  <c i="1" r="W27"/>
  <c i="4" r="U29"/>
  <c i="1" r="T29"/>
  <c i="4" r="AC19"/>
  <c i="4" r="AK19" s="1"/>
  <c i="4" r="G20"/>
  <c i="4" r="G29" s="1"/>
  <c i="4" r="C20"/>
  <c i="4" r="O20"/>
  <c i="4" r="L28" s="1"/>
  <c i="4" r="K20"/>
  <c i="4" r="E20"/>
  <c i="4" r="M20"/>
  <c i="4" r="D20"/>
  <c i="4" r="F20"/>
  <c i="4" r="B20"/>
  <c i="4" r="N20"/>
  <c i="4" r="J20"/>
  <c i="4" r="L20"/>
  <c i="4" r="V28"/>
  <c i="4" r="R28"/>
  <c i="4" r="T27"/>
  <c i="4" r="V26"/>
  <c i="4" r="R26"/>
  <c i="4" r="T25"/>
  <c i="4" r="S28"/>
  <c i="4" r="U27"/>
  <c i="4" r="S26"/>
  <c i="4" r="U25"/>
  <c i="4" r="T28"/>
  <c i="4" r="V27"/>
  <c i="4" r="R27"/>
  <c i="4" r="T26"/>
  <c i="4" r="V25"/>
  <c i="4" r="W29"/>
  <c i="4" r="U28"/>
  <c i="4" r="S27"/>
  <c i="4" r="U26"/>
  <c i="4" r="S25"/>
  <c i="4" r="AD16"/>
  <c i="4" r="AL16" s="1"/>
  <c i="4" r="AC16"/>
  <c i="4" r="AK16" s="1"/>
  <c i="1" r="AA17"/>
  <c i="1" r="AI17" s="1"/>
  <c i="1" r="Z17"/>
  <c i="1" r="AH17" s="1"/>
  <c i="4" r="AB17"/>
  <c i="4" r="AJ17" s="1"/>
  <c i="4" r="AE17"/>
  <c i="4" r="AM17" s="1"/>
  <c i="4" r="AC17"/>
  <c i="4" r="AK17" s="1"/>
  <c i="1" r="AC18"/>
  <c i="1" r="AK18" s="1"/>
  <c i="1" r="AA18"/>
  <c i="1" r="AI18" s="1"/>
  <c i="1" r="AD18"/>
  <c i="1" r="AL18" s="1"/>
  <c i="4" r="Z18"/>
  <c i="4" r="AH18" s="1"/>
  <c i="4" r="AA18"/>
  <c i="4" r="AI18" s="1"/>
  <c i="1" r="AB19"/>
  <c i="1" r="AJ19" s="1"/>
  <c i="4" r="AB19"/>
  <c i="4" r="AJ19" s="1"/>
  <c i="4" r="AE19"/>
  <c i="4" r="AM19" s="1"/>
  <c i="1" r="AA16"/>
  <c i="1" r="AI16" s="1"/>
  <c i="4" r="Z16"/>
  <c i="4" r="AH16" s="1"/>
  <c i="4" r="AE16"/>
  <c i="4" r="AM16" s="1"/>
  <c i="1" r="AC17"/>
  <c i="1" r="AK17" s="1"/>
  <c i="4" r="AA17"/>
  <c i="4" r="AI17" s="1"/>
  <c i="1" r="N20"/>
  <c i="1" r="J20"/>
  <c i="1" r="R25"/>
  <c i="1" r="O20"/>
  <c i="1" r="K27" s="1"/>
  <c i="1" r="K20"/>
  <c i="1" r="L20"/>
  <c i="1" r="M20"/>
  <c i="1" r="G29"/>
  <c i="1" r="T28"/>
  <c i="1" r="V27"/>
  <c i="1" r="R27"/>
  <c i="1" r="T26"/>
  <c i="1" r="V25"/>
  <c i="1" r="S25"/>
  <c i="1" r="W29"/>
  <c i="1" r="U28"/>
  <c i="1" r="S27"/>
  <c i="1" r="U26"/>
  <c i="1" r="V28"/>
  <c i="1" r="R28"/>
  <c i="1" r="T27"/>
  <c i="1" r="V26"/>
  <c i="1" r="R26"/>
  <c i="1" r="T25"/>
  <c i="1" r="S28"/>
  <c i="1" r="U27"/>
  <c i="1" r="S26"/>
  <c i="1" r="U25"/>
  <c i="1" r="AB18"/>
  <c i="1" r="AJ18" s="1"/>
  <c i="1" r="Z18"/>
  <c i="1" r="AH18" s="1"/>
  <c i="4" r="AB18"/>
  <c i="4" r="AJ18" s="1"/>
  <c i="1" r="AE19"/>
  <c i="1" r="AM19" s="1"/>
  <c i="1" r="AD19"/>
  <c i="1" r="AL19" s="1"/>
  <c i="4" r="W27"/>
  <c i="4" r="AD19"/>
  <c i="4" r="AL19" s="1"/>
  <c i="1" r="AE16"/>
  <c i="1" r="AM16" s="1"/>
  <c i="1" r="AD16"/>
  <c i="1" r="AL16" s="1"/>
  <c i="4" r="AB16"/>
  <c i="4" r="AJ16" s="1"/>
  <c i="4" r="AA16"/>
  <c i="4" r="AI16" s="1"/>
  <c i="1" r="AB17"/>
  <c i="1" r="AJ17" s="1"/>
  <c i="4" r="AD17"/>
  <c i="4" r="AL17" s="1"/>
  <c i="4" r="Z17"/>
  <c i="4" r="AH17" s="1"/>
  <c i="1" r="AA19"/>
  <c i="1" r="AI19" s="1"/>
  <c i="1" r="Z19"/>
  <c i="1" r="AH19" s="1"/>
  <c i="1" r="U29"/>
  <c i="4" r="AA19"/>
  <c i="4" r="AI19" s="1"/>
  <c i="4" r="Z19"/>
  <c i="4" r="AH19" s="1"/>
  <c i="1" r="AC16"/>
  <c i="1" r="AK16" s="1"/>
  <c i="1" r="AB16"/>
  <c i="1" r="AJ16" s="1"/>
  <c i="1" r="Z16"/>
  <c i="1" r="AH16" s="1"/>
  <c i="1" r="AE17"/>
  <c i="1" r="AM17" s="1"/>
  <c i="1" r="AD17"/>
  <c i="1" r="AL17" s="1"/>
  <c i="1" r="AE18"/>
  <c i="1" r="AM18" s="1"/>
  <c i="4" r="AD18"/>
  <c i="4" r="AL18" s="1"/>
  <c i="4" r="AC18"/>
  <c i="4" r="AK18" s="1"/>
  <c i="4" r="AE18"/>
  <c i="4" r="AM18" s="1"/>
  <c i="1" r="AC19"/>
  <c i="1" r="AK19" s="1"/>
  <c i="4" r="V29"/>
  <c i="4" r="W25"/>
  <c i="4" r="S29"/>
  <c i="4" r="W26"/>
  <c i="4" r="T29"/>
  <c i="5" l="1" r="AM26"/>
  <c i="5" r="E38"/>
  <c i="5" r="C38"/>
  <c i="5" r="F38"/>
  <c i="5" r="D38"/>
  <c i="5" r="B38"/>
  <c i="5" r="G38"/>
  <c i="8" r="G6"/>
  <c i="1" r="Z35"/>
  <c i="1" r="W38"/>
  <c i="8" r="G10"/>
  <c i="8" r="G19" s="1"/>
  <c i="8" r="O10"/>
  <c i="8" r="J19" s="1"/>
  <c i="5" r="AL26"/>
  <c i="5" r="AD26"/>
  <c i="5" r="AI26"/>
  <c i="5" r="AA26"/>
  <c i="5" r="AJ26"/>
  <c i="5" r="AB26"/>
  <c i="5" r="AK26"/>
  <c i="5" r="AC26"/>
  <c i="5" r="E32"/>
  <c i="5" r="AE26"/>
  <c i="5" r="AH26"/>
  <c i="5" r="Z26"/>
  <c i="5" r="N38"/>
  <c i="5" r="V51" s="1"/>
  <c i="5" r="J38"/>
  <c i="5" r="R51" s="1"/>
  <c i="5" r="O38"/>
  <c i="5" r="W51" s="1"/>
  <c i="5" r="K38"/>
  <c i="5" r="S51" s="1"/>
  <c i="5" r="N33"/>
  <c i="5" r="V46" s="1"/>
  <c i="5" r="J32"/>
  <c i="5" r="R45" s="1"/>
  <c i="5" r="F33"/>
  <c i="5" r="K32"/>
  <c i="5" r="S45" s="1"/>
  <c i="5" r="C32"/>
  <c i="5" r="D37"/>
  <c i="5" r="G33"/>
  <c i="5" r="L38"/>
  <c i="5" r="T51" s="1"/>
  <c i="5" r="O37"/>
  <c i="5" r="W50" s="1"/>
  <c i="5" r="O33"/>
  <c i="5" r="W46" s="1"/>
  <c i="5" r="N32"/>
  <c i="5" r="V45" s="1"/>
  <c i="5" r="M38"/>
  <c i="5" r="U51" s="1"/>
  <c i="5" r="K39"/>
  <c i="5" r="S52" s="1"/>
  <c i="5" r="D33"/>
  <c i="5" r="B33"/>
  <c i="5" r="C37"/>
  <c i="5" r="F32"/>
  <c i="5" r="J37"/>
  <c i="5" r="R50" s="1"/>
  <c i="5" r="D39"/>
  <c i="5" r="M33"/>
  <c i="5" r="U46" s="1"/>
  <c i="5" r="M39"/>
  <c i="5" r="U52" s="1"/>
  <c i="5" r="G37"/>
  <c i="5" r="J39"/>
  <c i="5" r="R52" s="1"/>
  <c i="5" r="L32"/>
  <c i="5" r="T45" s="1"/>
  <c i="5" r="G32"/>
  <c i="5" r="B32"/>
  <c i="5" r="G39"/>
  <c i="5" r="B35"/>
  <c i="5" r="F36"/>
  <c i="5" r="G36"/>
  <c i="5" r="B36"/>
  <c i="5" r="C35"/>
  <c i="5" r="E35"/>
  <c i="5" r="B34"/>
  <c i="5" r="D35"/>
  <c i="5" r="C34"/>
  <c i="5" r="F34"/>
  <c i="5" r="C36"/>
  <c i="5" r="E34"/>
  <c i="5" r="F35"/>
  <c i="5" r="G34"/>
  <c i="5" r="D34"/>
  <c i="5" r="D36"/>
  <c i="5" r="G35"/>
  <c i="5" r="E36"/>
  <c i="5" r="N39"/>
  <c i="5" r="V52" s="1"/>
  <c i="5" r="B39"/>
  <c i="5" r="B37"/>
  <c i="5" r="C33"/>
  <c i="5" r="F37"/>
  <c i="5" r="O39"/>
  <c i="5" r="W52" s="1"/>
  <c i="5" r="J34"/>
  <c i="5" r="R47" s="1"/>
  <c i="5" r="K35"/>
  <c i="5" r="S48" s="1"/>
  <c i="5" r="O36"/>
  <c i="5" r="W49" s="1"/>
  <c i="5" r="L34"/>
  <c i="5" r="T47" s="1"/>
  <c i="5" r="O34"/>
  <c i="5" r="W47" s="1"/>
  <c i="5" r="L35"/>
  <c i="5" r="T48" s="1"/>
  <c i="5" r="L36"/>
  <c i="5" r="T49" s="1"/>
  <c i="5" r="J35"/>
  <c i="5" r="R48" s="1"/>
  <c i="5" r="K34"/>
  <c i="5" r="S47" s="1"/>
  <c i="5" r="O35"/>
  <c i="5" r="W48" s="1"/>
  <c i="5" r="M35"/>
  <c i="5" r="U48" s="1"/>
  <c i="5" r="K36"/>
  <c i="5" r="S49" s="1"/>
  <c i="5" r="N36"/>
  <c i="5" r="V49" s="1"/>
  <c i="5" r="N35"/>
  <c i="5" r="V48" s="1"/>
  <c i="5" r="J36"/>
  <c i="5" r="R49" s="1"/>
  <c i="5" r="N34"/>
  <c i="5" r="V47" s="1"/>
  <c i="5" r="M34"/>
  <c i="5" r="U47" s="1"/>
  <c i="5" r="M36"/>
  <c i="5" r="U49" s="1"/>
  <c i="5" r="O32"/>
  <c i="5" r="W45" s="1"/>
  <c i="5" r="K33"/>
  <c i="5" r="S46" s="1"/>
  <c i="5" r="L37"/>
  <c i="5" r="T50" s="1"/>
  <c i="5" r="F39"/>
  <c i="5" r="L33"/>
  <c i="5" r="T46" s="1"/>
  <c i="5" r="E33"/>
  <c i="5" r="L39"/>
  <c i="5" r="T52" s="1"/>
  <c i="5" r="E39"/>
  <c i="5" r="D32"/>
  <c i="5" r="E37"/>
  <c i="5" r="C39"/>
  <c i="5" r="M32"/>
  <c i="5" r="U45" s="1"/>
  <c i="5" r="N37"/>
  <c i="5" r="V50" s="1"/>
  <c i="5" r="K37"/>
  <c i="5" r="S50" s="1"/>
  <c i="5" r="J33"/>
  <c i="5" r="R46" s="1"/>
  <c i="1" r="E25"/>
  <c i="1" r="U34" s="1"/>
  <c i="1" r="D26"/>
  <c i="1" r="T35" s="1"/>
  <c i="1" r="E28"/>
  <c i="1" r="U37" s="1"/>
  <c i="1" r="B28"/>
  <c i="1" r="R37" s="1"/>
  <c i="4" r="C27"/>
  <c i="5" r="U50"/>
  <c i="4" r="C28"/>
  <c i="4" r="G27"/>
  <c i="4" r="F28"/>
  <c i="4" r="K27"/>
  <c i="4" r="S36" s="1"/>
  <c i="1" r="M25"/>
  <c i="1" r="N28"/>
  <c i="1" r="O26"/>
  <c i="1" r="J27"/>
  <c i="4" r="J25"/>
  <c i="4" r="R34" s="1"/>
  <c i="4" r="B25"/>
  <c i="4" r="J26"/>
  <c i="4" r="R35" s="1"/>
  <c i="4" r="L26"/>
  <c i="4" r="T35" s="1"/>
  <c i="4" r="M25"/>
  <c i="4" r="U34" s="1"/>
  <c i="4" r="O27"/>
  <c i="4" r="W36" s="1"/>
  <c i="4" r="N27"/>
  <c i="4" r="V36" s="1"/>
  <c i="4" r="J28"/>
  <c i="4" r="R37" s="1"/>
  <c i="4" r="K28"/>
  <c i="4" r="S37" s="1"/>
  <c i="4" r="N26"/>
  <c i="4" r="V35" s="1"/>
  <c i="4" r="L25"/>
  <c i="4" r="T34" s="1"/>
  <c i="4" r="K26"/>
  <c i="4" r="S35" s="1"/>
  <c i="4" r="O28"/>
  <c i="4" r="W37" s="1"/>
  <c i="4" r="M26"/>
  <c i="4" r="U35" s="1"/>
  <c i="4" r="N28"/>
  <c i="4" r="V37" s="1"/>
  <c i="4" r="O25"/>
  <c i="4" r="W34" s="1"/>
  <c i="4" r="J27"/>
  <c i="4" r="R36" s="1"/>
  <c i="4" r="O26"/>
  <c i="4" r="W35" s="1"/>
  <c i="4" r="N25"/>
  <c i="4" r="V34" s="1"/>
  <c i="4" r="M27"/>
  <c i="4" r="U36" s="1"/>
  <c i="4" r="K25"/>
  <c i="4" r="S34" s="1"/>
  <c i="4" r="L27"/>
  <c i="4" r="T36" s="1"/>
  <c i="4" r="G28"/>
  <c i="4" r="G26"/>
  <c i="4" r="F26"/>
  <c i="4" r="E29"/>
  <c i="4" r="E25"/>
  <c i="4" r="C26"/>
  <c i="4" r="G25"/>
  <c i="1" r="N26"/>
  <c i="4" r="B27"/>
  <c i="1" r="L26"/>
  <c i="1" r="N25"/>
  <c i="1" r="O28"/>
  <c i="4" r="D27"/>
  <c i="4" r="D29"/>
  <c i="4" r="E26"/>
  <c i="1" r="J25"/>
  <c i="4" r="E27"/>
  <c i="4" r="F25"/>
  <c i="1" r="K28"/>
  <c i="1" r="O25"/>
  <c i="4" r="F27"/>
  <c i="4" r="B26"/>
  <c i="4" r="D25"/>
  <c i="4" r="D28"/>
  <c i="4" r="B29"/>
  <c i="4" r="D26"/>
  <c i="4" r="E28"/>
  <c i="1" r="M28"/>
  <c i="1" r="O27"/>
  <c i="1" r="L25"/>
  <c i="4" r="B28"/>
  <c i="1" r="J28"/>
  <c i="1" r="L27"/>
  <c i="4" r="C25"/>
  <c i="1" r="E27"/>
  <c i="1" r="U36" s="1"/>
  <c i="1" r="F26"/>
  <c i="1" r="V35" s="1"/>
  <c i="1" r="D27"/>
  <c i="1" r="T36" s="1"/>
  <c i="1" r="G26"/>
  <c i="1" r="W35" s="1"/>
  <c i="1" r="E26"/>
  <c i="1" r="U35" s="1"/>
  <c i="1" r="B25"/>
  <c i="1" r="R34" s="1"/>
  <c i="1" r="C27"/>
  <c i="1" r="S36" s="1"/>
  <c i="1" r="G27"/>
  <c i="1" r="W36" s="1"/>
  <c i="1" r="K25"/>
  <c i="1" r="D28"/>
  <c i="1" r="T37" s="1"/>
  <c i="1" r="B27"/>
  <c i="1" r="R36" s="1"/>
  <c i="1" r="F27"/>
  <c i="1" r="V36" s="1"/>
  <c i="1" r="C26"/>
  <c i="1" r="S35" s="1"/>
  <c i="1" r="F28"/>
  <c i="1" r="V37" s="1"/>
  <c i="1" r="C25"/>
  <c i="1" r="S34" s="1"/>
  <c i="1" r="E29"/>
  <c i="1" r="U38" s="1"/>
  <c i="1" r="K29"/>
  <c i="1" r="AA20"/>
  <c i="1" r="AI20" s="1"/>
  <c i="1" r="J29"/>
  <c i="1" r="Z20"/>
  <c i="1" r="AH20" s="1"/>
  <c i="1" r="G28"/>
  <c i="1" r="W37" s="1"/>
  <c i="1" r="L28"/>
  <c i="1" r="N27"/>
  <c i="1" r="M29"/>
  <c i="1" r="AC20"/>
  <c i="1" r="AK20" s="1"/>
  <c i="1" r="L29"/>
  <c i="1" r="AB20"/>
  <c i="1" r="AJ20" s="1"/>
  <c i="4" r="N29"/>
  <c i="4" r="V38" s="1"/>
  <c i="4" r="AD20"/>
  <c i="4" r="AL20" s="1"/>
  <c i="4" r="M29"/>
  <c i="4" r="U38" s="1"/>
  <c i="4" r="AC20"/>
  <c i="4" r="AK20" s="1"/>
  <c i="1" r="D29"/>
  <c i="1" r="T38" s="1"/>
  <c i="1" r="G25"/>
  <c i="1" r="W34" s="1"/>
  <c i="1" r="K26"/>
  <c i="4" r="C29"/>
  <c i="4" r="J29"/>
  <c i="4" r="R38" s="1"/>
  <c i="4" r="Z20"/>
  <c i="4" r="AH20" s="1"/>
  <c i="4" r="O29"/>
  <c i="4" r="W38" s="1"/>
  <c i="4" r="AE20"/>
  <c i="4" r="AM20" s="1"/>
  <c i="1" r="F29"/>
  <c i="1" r="V38" s="1"/>
  <c i="1" r="F25"/>
  <c i="1" r="V34" s="1"/>
  <c i="4" r="T37"/>
  <c i="1" r="O29"/>
  <c i="1" r="AE20"/>
  <c i="1" r="AM20" s="1"/>
  <c i="1" r="N29"/>
  <c i="1" r="AD20"/>
  <c i="1" r="AL20" s="1"/>
  <c i="4" r="AB20"/>
  <c i="4" r="AJ20" s="1"/>
  <c i="4" r="L29"/>
  <c i="4" r="T38" s="1"/>
  <c i="4" r="K29"/>
  <c i="4" r="S38" s="1"/>
  <c i="4" r="AA20"/>
  <c i="4" r="AI20" s="1"/>
  <c i="1" r="C29"/>
  <c i="1" r="S38" s="1"/>
  <c i="1" r="B29"/>
  <c i="1" r="R38" s="1"/>
  <c i="1" r="M26"/>
  <c i="1" r="C28"/>
  <c i="1" r="S37" s="1"/>
  <c i="1" r="B26"/>
  <c i="1" r="R35" s="1"/>
  <c i="1" r="D25"/>
  <c i="1" r="T34" s="1"/>
  <c i="1" r="M27"/>
  <c i="1" r="J26"/>
  <c i="4" r="F29"/>
  <c i="4" r="M28"/>
  <c i="4" r="U37" s="1"/>
  <c i="8" l="1" r="G16"/>
  <c i="8" r="K19"/>
  <c i="8" r="L19"/>
  <c i="8" r="O16"/>
  <c i="8" r="O18"/>
  <c i="8" r="G18"/>
  <c i="8" r="D19"/>
  <c i="8" r="E19"/>
  <c i="8" r="C19"/>
  <c i="8" r="M19"/>
  <c i="8" r="F19"/>
  <c i="8" r="O15"/>
  <c i="8" r="N19"/>
  <c i="8" r="O17"/>
  <c i="8" r="G17"/>
  <c i="8" r="B19"/>
  <c i="8" r="G15"/>
  <c i="8" r="M15"/>
  <c i="8" r="K17"/>
  <c i="8" r="K18"/>
  <c i="8" r="K15"/>
  <c i="8" r="M17"/>
  <c i="8" r="N18"/>
  <c i="8" r="N15"/>
  <c i="8" r="L17"/>
  <c i="8" r="J18"/>
  <c i="8" r="J15"/>
  <c i="8" r="M18"/>
  <c i="8" r="N17"/>
  <c i="8" r="M16"/>
  <c i="8" r="L18"/>
  <c i="8" r="L15"/>
  <c i="8" r="L16"/>
  <c i="8" r="N16"/>
  <c i="8" r="K16"/>
  <c i="8" r="J17"/>
  <c i="8" r="J16"/>
  <c i="8" r="D18"/>
  <c i="8" r="C17"/>
  <c i="8" r="E16"/>
  <c i="8" r="C16"/>
  <c i="8" r="B17"/>
  <c i="8" r="F15"/>
  <c i="8" r="F18"/>
  <c i="8" r="B16"/>
  <c i="8" r="B15"/>
  <c i="8" r="E17"/>
  <c i="8" r="E15"/>
  <c i="8" r="F17"/>
  <c i="8" r="C18"/>
  <c i="8" r="D15"/>
  <c i="8" r="E18"/>
  <c i="8" r="F16"/>
  <c i="8" r="D16"/>
  <c i="8" r="B18"/>
  <c i="8" r="D17"/>
  <c i="8" r="C15"/>
  <c i="8" l="1" r="T11"/>
  <c i="8" r="T16"/>
  <c i="8" r="T17"/>
  <c i="8" r="T15"/>
  <c i="8" r="T12"/>
  <c i="8" r="T19"/>
  <c i="8" r="T20"/>
  <c i="8" r="T9"/>
  <c i="8" r="T8"/>
  <c i="8" r="T6"/>
  <c i="8" r="T22"/>
  <c i="8" r="U22" s="1"/>
  <c i="8" r="V22" s="1"/>
  <c i="8" r="AA19" s="1"/>
  <c i="8" r="T18"/>
  <c i="8" r="T13"/>
  <c i="8" r="T21"/>
  <c i="8" r="T10"/>
  <c i="8" r="T7"/>
  <c i="8" r="U7" s="1"/>
  <c i="8" r="V7" s="1"/>
  <c i="8" r="AA4" s="1"/>
  <c i="8" r="T14"/>
  <c i="8" r="U14" s="1"/>
  <c i="8" r="V14" s="1"/>
  <c i="8" r="AA11" s="1"/>
  <c i="8" r="U19"/>
  <c i="8" r="V19" s="1"/>
  <c i="8" r="AA16" s="1"/>
  <c i="8" l="1" r="U10"/>
  <c i="8" r="V10" s="1"/>
  <c i="8" r="AA7" s="1"/>
  <c i="8" r="U21"/>
  <c i="8" r="V21" s="1"/>
  <c i="8" r="AA18" s="1"/>
  <c i="8" r="U12"/>
  <c i="8" r="V12" s="1"/>
  <c i="8" r="AA9" s="1"/>
  <c i="8" r="U15"/>
  <c i="8" r="V15" s="1"/>
  <c i="8" r="AA12" s="1"/>
  <c i="8" r="U13"/>
  <c i="8" r="V13" s="1"/>
  <c i="8" r="AA10" s="1"/>
  <c i="8" r="U18"/>
  <c i="8" r="V18" s="1"/>
  <c i="8" r="AA15" s="1"/>
  <c i="8" r="U11"/>
  <c i="8" r="V11" s="1"/>
  <c i="8" r="AA8" s="1"/>
  <c i="8" r="O19"/>
  <c i="8" r="U17"/>
  <c i="8" r="V17" s="1"/>
  <c i="8" r="AA14" s="1"/>
  <c i="8" r="U20"/>
  <c i="8" r="V20" s="1"/>
  <c i="8" r="AA17" s="1"/>
  <c i="8" r="U16"/>
  <c i="8" r="V16" s="1"/>
  <c i="8" r="AA13" s="1"/>
  <c i="8" r="U6"/>
  <c i="8" r="V6" s="1"/>
  <c i="8" r="AA3" s="1"/>
  <c i="8" r="U8"/>
  <c i="8" r="V8" s="1"/>
  <c i="8" r="AA5" s="1"/>
  <c i="8" r="U9"/>
  <c i="8" r="V9" s="1"/>
  <c i="8" r="AA6" s="1"/>
</calcChain>
</file>

<file path=xl/sharedStrings.xml><?xml version="1.0" encoding="utf-8"?>
<sst xmlns="http://schemas.openxmlformats.org/spreadsheetml/2006/main" count="802" uniqueCount="173">
  <si>
    <t>Table X: Estimated Households by Number of Vehicles and Number of Potential Drivers</t>
  </si>
  <si>
    <t>HH # of Potential Drivers</t>
  </si>
  <si>
    <t>Number of Vehicles</t>
  </si>
  <si>
    <t>4+</t>
  </si>
  <si>
    <t>Total</t>
  </si>
  <si>
    <t>HH Income</t>
  </si>
  <si>
    <t>$0K-$15K</t>
  </si>
  <si>
    <t>$15K-$50K</t>
  </si>
  <si>
    <t>$50K-$75K</t>
  </si>
  <si>
    <t>&gt;$75K</t>
  </si>
  <si>
    <t>County</t>
  </si>
  <si>
    <t>Table X: Estimated Households by Number of Vehicles and Income</t>
  </si>
  <si>
    <t>Table X: Estimated Households by Number of Vehicles and County</t>
  </si>
  <si>
    <t>ACS</t>
  </si>
  <si>
    <t>DaySim</t>
  </si>
  <si>
    <t>The DaySim total here is less because of some households (1930) with 0 HH potential drivers</t>
  </si>
  <si>
    <t>ACS 2006-08</t>
  </si>
  <si>
    <t>Table X: % Diff Households by Number of Vehicles and County</t>
  </si>
  <si>
    <t>Table X: Obsesrved Households by Number of Vehicles and County (ACS)</t>
  </si>
  <si>
    <t>Table X: Adjusted Observed Households by Number of Vehicles and County (ACS)</t>
  </si>
  <si>
    <t>Table X: Difference in Shares of Households by Number of Vehicles and County</t>
  </si>
  <si>
    <t>Table X: Difference in Households by Number of Vehicles and Income</t>
  </si>
  <si>
    <t>Table X: % Difference in Households by Number of Vehicles and Income</t>
  </si>
  <si>
    <t>Table X: Difference in Households by Number of Vehicles and County</t>
  </si>
  <si>
    <t>Table X: Difference in Households by Number of Vehicles and Number of Potential Drivers</t>
  </si>
  <si>
    <t>Table X: % Difference in Households by Number of Vehicles and Number of Potential Drivers</t>
  </si>
  <si>
    <t>Beta00001</t>
  </si>
  <si>
    <t>F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</si>
  <si>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</si>
  <si>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</si>
  <si>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</si>
  <si>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</si>
  <si>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</si>
  <si>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</si>
  <si>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</si>
  <si>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</si>
  <si>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</si>
  <si>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</si>
  <si>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</si>
  <si>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</si>
  <si>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</si>
  <si>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</si>
  <si>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</si>
  <si>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Beta00018</t>
  </si>
  <si>
    <t>Beta00019</t>
  </si>
  <si>
    <t>Beta00020</t>
  </si>
  <si>
    <t>Beta00022</t>
  </si>
  <si>
    <t>Beta00024</t>
  </si>
  <si>
    <t>Beta00025</t>
  </si>
  <si>
    <t>Beta00026</t>
  </si>
  <si>
    <t>Beta00028</t>
  </si>
  <si>
    <t>Beta00029</t>
  </si>
  <si>
    <t>Beta00031</t>
  </si>
  <si>
    <t>Beta00032</t>
  </si>
  <si>
    <t>Beta00034</t>
  </si>
  <si>
    <t>Beta00035</t>
  </si>
  <si>
    <t>Beta00036</t>
  </si>
  <si>
    <t>Beta00037</t>
  </si>
  <si>
    <t>Beta00038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</si>
  <si>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</si>
  <si>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</si>
  <si>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</si>
  <si>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</si>
  <si>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</si>
  <si>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</si>
  <si>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</si>
  <si>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</si>
  <si>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</si>
  <si>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</si>
  <si>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</si>
  <si>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</si>
  <si>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</si>
  <si>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</si>
  <si>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</si>
  <si>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</si>
  <si>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</si>
  <si>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Beta00058</t>
  </si>
  <si>
    <t>Beta00059</t>
  </si>
  <si>
    <t>Beta00060</t>
  </si>
  <si>
    <t>Beta00063</t>
  </si>
  <si>
    <t>Beta00069</t>
  </si>
  <si>
    <t>Beta00072</t>
  </si>
  <si>
    <t>Beta00073</t>
  </si>
  <si>
    <t>Beta00075</t>
  </si>
  <si>
    <t>Beta00076</t>
  </si>
  <si>
    <t>Beta00077</t>
  </si>
  <si>
    <t>Beta00083</t>
  </si>
  <si>
    <t>Index</t>
  </si>
  <si>
    <t>Coeff</t>
  </si>
  <si>
    <t>Descr</t>
  </si>
  <si>
    <t>Has1Driver</t>
  </si>
  <si>
    <t>Has2Drivers</t>
  </si>
  <si>
    <t>Has3Drivers</t>
  </si>
  <si>
    <t>Has4OrMoreDrivers</t>
  </si>
  <si>
    <t>HasNoFullOrPartTimeWorker</t>
  </si>
  <si>
    <t>PartTimeWorkersPerDrivingAgeMembers</t>
  </si>
  <si>
    <t>DrivingAgeStudentsPerDrivingAgeMembers</t>
  </si>
  <si>
    <t>HomeBasedPersonsPerDrivingAgeMembers</t>
  </si>
  <si>
    <t>Has0To15KIncome</t>
  </si>
  <si>
    <t>Has50To75KIncome</t>
  </si>
  <si>
    <t>Has75KPlusIncome</t>
  </si>
  <si>
    <t>HasMissingIncome</t>
  </si>
  <si>
    <t>workTourLogsumDifference</t>
  </si>
  <si>
    <t>schoolTourLogsumDifference</t>
  </si>
  <si>
    <t>Log(distanceToStop)</t>
  </si>
  <si>
    <t>ResidenceParcel.ParkingOffStreetPaidDailyPriceBuffer1</t>
  </si>
  <si>
    <t>foodRetailServiceMedicalLogBuffer1</t>
  </si>
  <si>
    <t>ruralFlag</t>
  </si>
  <si>
    <t>workTourLogsumDifference * ruralFlag</t>
  </si>
  <si>
    <t>0-Auto</t>
  </si>
  <si>
    <t>1-Auto</t>
  </si>
  <si>
    <t>Has1OrLessFullOrPartTimeWorkers</t>
  </si>
  <si>
    <t>RetiredAdultsPerDrivingAgeMembers</t>
  </si>
  <si>
    <t>UniversityStudentsPerDrivingAgeMembers</t>
  </si>
  <si>
    <t>workTourLogsumDifference * household.HasMoreDriversThan1</t>
  </si>
  <si>
    <t>Log(1 + household.ResidenceParcel.StopsTransitBuffer1) * household.HasMoreDriversThan1</t>
  </si>
  <si>
    <t>foodRetailServiceMedicalLogBuffer1 * household.HasMoreDriversThan1</t>
  </si>
  <si>
    <t>Has2OrLessFullOrPartTimeWorkers</t>
  </si>
  <si>
    <t>2-Auto</t>
  </si>
  <si>
    <t>workTourLogsumDifference * household.HasMoreDriversThan2</t>
  </si>
  <si>
    <t>Log(1 + household.ResidenceParcel.StopsTransitBuffer1) * household.HasMoreDriversThan2</t>
  </si>
  <si>
    <t>foodRetailServiceMedicalLogBuffer1 * household.HasMoreDriversThan2</t>
  </si>
  <si>
    <t>Has3OrLessFullOrPartTimeWorkers</t>
  </si>
  <si>
    <t>3-Auto</t>
  </si>
  <si>
    <t>ChildrenUnder5PerDrivingAgeMembers</t>
  </si>
  <si>
    <t>workTourLogsumDifference * household.HasMoreDriversThan3</t>
  </si>
  <si>
    <t>Log(1 + household.ResidenceParcel.StopsTransitBuffer1) * household.HasMoreDriversThan3</t>
  </si>
  <si>
    <t>foodRetailServiceMedicalLogBuffer1 * household.HasMoreDriversThan3</t>
  </si>
  <si>
    <t>Has4OrLessFullOrPartTimeWorkers</t>
  </si>
  <si>
    <t>4-Auto</t>
  </si>
  <si>
    <t>workTourLogsumDifference * household.HasMoreDriversThan4</t>
  </si>
  <si>
    <t>Log(1 + household.ResidenceParcel.StopsTransitBuffer1) * household.HasMoreDriversThan4</t>
  </si>
  <si>
    <t>foodRetailServiceMedicalLogBuffer1 * household.HasMoreDriversThan4</t>
  </si>
  <si>
    <t>Survey</t>
  </si>
  <si>
    <t>Table X: Observed Households by Number of Vehicles and County (Survey)</t>
  </si>
  <si>
    <t>Table X: Adjusted Observed Households by Number of Vehicles and County (Survey)</t>
  </si>
  <si>
    <t>class</t>
  </si>
  <si>
    <t>Count</t>
  </si>
  <si>
    <t>Share</t>
  </si>
  <si>
    <t>CoeffIndex</t>
  </si>
  <si>
    <t>Old Coeff.</t>
  </si>
  <si>
    <t>Ratio (FT)</t>
  </si>
  <si>
    <t>Adj.</t>
  </si>
  <si>
    <t>New Coeff.</t>
  </si>
  <si>
    <t>Auto</t>
  </si>
  <si>
    <t>availability</t>
  </si>
  <si>
    <t>auto27.ALO</t>
  </si>
  <si>
    <t>Created</t>
  </si>
  <si>
    <t>by</t>
  </si>
  <si>
    <t>ALOGIT</t>
  </si>
  <si>
    <t>version</t>
  </si>
  <si>
    <t>on</t>
  </si>
  <si>
    <t>Apr</t>
  </si>
  <si>
    <t>END</t>
  </si>
  <si>
    <t>011:16:44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</si>
  <si>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</si>
  <si>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</si>
  <si>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</si>
  <si>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</si>
  <si>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</si>
  <si>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Old</t>
  </si>
  <si>
    <t>New</t>
  </si>
  <si>
    <t>AutoOwnershipCoefficients_SACOG-v1.5.F12</t>
  </si>
  <si>
    <t>household has at least as many cars as workers</t>
  </si>
  <si>
    <t>Daysim</t>
  </si>
  <si>
    <t>Drivers &lt; Vehicles</t>
  </si>
  <si>
    <t>Seattle</t>
  </si>
  <si>
    <t>Bellevue</t>
  </si>
  <si>
    <t>Bellevue Downtown</t>
  </si>
  <si>
    <t>Kirkland</t>
  </si>
  <si>
    <t>Redmond</t>
  </si>
  <si>
    <t>Seattle Downtown</t>
  </si>
  <si>
    <t>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</si>
</sst>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yy\ hh:mm:ss"/>
    <numFmt numFmtId="165" formatCode="0.00000000000"/>
  </numFmts>
  <fonts count="1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0"/>
      <name val="Verdana"/>
      <family val="2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0">
    <xf borderId="0" fillId="0" fontId="0" numFmtId="0"/>
    <xf borderId="0" fillId="2" fontId="6" numFmtId="0">
      <alignment wrapText="1"/>
    </xf>
    <xf borderId="0" fillId="0" fontId="6" numFmtId="0">
      <alignment wrapText="1"/>
    </xf>
    <xf borderId="0" fillId="0" fontId="6" numFmtId="164">
      <alignment wrapText="1"/>
    </xf>
    <xf borderId="0" fillId="0" fontId="7" numFmtId="0"/>
    <xf borderId="0" fillId="0" fontId="6" numFmtId="0">
      <alignment wrapText="1"/>
    </xf>
    <xf borderId="0" fillId="0" fontId="6" numFmtId="0">
      <alignment wrapText="1"/>
    </xf>
    <xf borderId="0" fillId="0" fontId="6" numFmtId="0">
      <alignment wrapText="1"/>
    </xf>
    <xf borderId="0" fillId="0" fontId="6" numFmtId="164">
      <alignment wrapText="1"/>
    </xf>
    <xf applyAlignment="0" applyBorder="0" applyFill="0" applyFont="0" applyProtection="0" borderId="0" fillId="0" fontId="6" numFmtId="9"/>
  </cellStyleXfs>
  <cellXfs count="98">
    <xf borderId="0" fillId="0" fontId="0" numFmtId="0" xfId="0"/>
    <xf applyFont="1" borderId="0" fillId="0" fontId="1" numFmtId="0" xfId="0"/>
    <xf applyAlignment="1" applyBorder="1" applyFont="1" borderId="2" fillId="0" fontId="2" numFmtId="0" xfId="0">
      <alignment horizontal="right"/>
    </xf>
    <xf applyAlignment="1" applyFont="1" borderId="0" fillId="0" fontId="2" numFmtId="0" xfId="0">
      <alignment horizontal="left"/>
    </xf>
    <xf applyNumberFormat="1" borderId="0" fillId="0" fontId="0" numFmtId="3" xfId="0"/>
    <xf applyAlignment="1" applyBorder="1" applyFont="1" borderId="3" fillId="0" fontId="2" numFmtId="0" xfId="0">
      <alignment horizontal="left"/>
    </xf>
    <xf applyBorder="1" applyNumberFormat="1" borderId="3" fillId="0" fontId="0" numFmtId="3" xfId="0"/>
    <xf applyAlignment="1" applyBorder="1" applyFont="1" borderId="4" fillId="0" fontId="2" numFmtId="0" xfId="0">
      <alignment horizontal="left"/>
    </xf>
    <xf applyBorder="1" applyNumberFormat="1" borderId="4" fillId="0" fontId="0" numFmtId="3" xfId="0"/>
    <xf applyAlignment="1" applyBorder="1" applyFont="1" borderId="1" fillId="0" fontId="1" numFmtId="0" xfId="0">
      <alignment horizontal="center"/>
    </xf>
    <xf applyAlignment="1" applyBorder="1" applyFont="1" borderId="1" fillId="0" fontId="1" numFmtId="0" xfId="0">
      <alignment horizontal="left"/>
    </xf>
    <xf applyBorder="1" applyFont="1" borderId="3" fillId="0" fontId="1" numFmtId="0" xfId="0"/>
    <xf applyBorder="1" borderId="1" fillId="0" fontId="0" numFmtId="0" xfId="0"/>
    <xf applyFont="1" borderId="0" fillId="0" fontId="3" numFmtId="0" xfId="0"/>
    <xf applyAlignment="1" applyBorder="1" applyFont="1" borderId="0" fillId="0" fontId="2" numFmtId="0" xfId="0">
      <alignment horizontal="left"/>
    </xf>
    <xf applyBorder="1" applyNumberFormat="1" borderId="0" fillId="0" fontId="0" numFmtId="3" xfId="0"/>
    <xf applyFont="1" borderId="0" fillId="0" fontId="4" numFmtId="0" xfId="0"/>
    <xf applyNumberFormat="1" borderId="0" fillId="0" fontId="0" numFmtId="9" xfId="0"/>
    <xf applyBorder="1" applyNumberFormat="1" borderId="3" fillId="0" fontId="0" numFmtId="9" xfId="0"/>
    <xf applyBorder="1" applyNumberFormat="1" borderId="4" fillId="0" fontId="0" numFmtId="9" xfId="0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Border="1" borderId="3" fillId="0" fontId="0" numFmtId="0" xfId="0"/>
    <xf applyAlignment="1" applyBorder="1" borderId="0" fillId="0" fontId="6" numFmtId="0" xfId="2"/>
    <xf applyBorder="1" applyNumberFormat="1" borderId="0" fillId="0" fontId="0" numFmtId="9" xfId="0"/>
    <xf applyBorder="1" borderId="0" fillId="0" fontId="0" numFmtId="0" xfId="0"/>
    <xf applyFont="1" borderId="0" fillId="0" fontId="8" numFmtId="0" xfId="0"/>
    <xf applyFont="1" borderId="0" fillId="0" fontId="9" numFmtId="0" xfId="0"/>
    <xf applyNumberFormat="1" borderId="0" fillId="0" fontId="0" numFmtId="11" xfId="0"/>
    <xf applyFont="1" borderId="0" fillId="0" fontId="10" numFmtId="0" xfId="0"/>
    <xf applyFont="1" borderId="0" fillId="0" fontId="11" numFmtId="0" xfId="0"/>
    <xf applyFont="1" applyNumberFormat="1" borderId="0" fillId="0" fontId="10" numFmtId="11" xfId="0"/>
    <xf applyAlignment="1" applyBorder="1" applyFont="1" borderId="5" fillId="0" fontId="2" numFmtId="0" xfId="0">
      <alignment horizontal="right"/>
    </xf>
    <xf applyAlignment="1" applyNumberFormat="1" borderId="0" fillId="0" fontId="6" numFmtId="3" xfId="2"/>
    <xf applyFont="1" borderId="0" fillId="0" fontId="12" numFmtId="0" xfId="0"/>
    <xf applyAlignment="1" applyBorder="1" borderId="2" fillId="0" fontId="0" numFmtId="0" xfId="0">
      <alignment horizontal="center" vertical="top"/>
    </xf>
    <xf applyNumberFormat="1" borderId="0" fillId="0" fontId="0" numFmtId="2" xfId="0"/>
    <xf applyNumberFormat="1" borderId="0" fillId="0" fontId="0" numFmtId="21" xfId="0"/>
    <xf applyFill="1" borderId="0" fillId="3" fontId="0" numFmtId="0" xfId="0"/>
    <xf applyNumberFormat="1" borderId="0" fillId="0" fontId="0" numFmtId="165" xfId="0"/>
    <xf applyFill="1" applyNumberFormat="1" borderId="0" fillId="0" fontId="0" numFmtId="165" xfId="0"/>
    <xf applyFill="1" applyNumberFormat="1" borderId="0" fillId="4" fontId="0" numFmtId="165" xfId="0"/>
    <xf applyFill="1" applyNumberFormat="1" borderId="0" fillId="3" fontId="0" numFmtId="165" xfId="0"/>
    <xf applyBorder="1" applyFont="1" borderId="1" fillId="0" fontId="11" numFmtId="0" xfId="0"/>
    <xf applyBorder="1" applyNumberFormat="1" borderId="1" fillId="0" fontId="0" numFmtId="165" xfId="0"/>
    <xf applyBorder="1" applyNumberFormat="1" borderId="1" fillId="0" fontId="0" numFmtId="2" xfId="0"/>
    <xf applyBorder="1" applyFill="1" borderId="1" fillId="0" fontId="0" numFmtId="0" xfId="0"/>
    <xf applyAlignment="1" applyBorder="1" applyFill="1" applyFont="1" borderId="0" fillId="0" fontId="2" numFmtId="0" xfId="0">
      <alignment horizontal="right"/>
    </xf>
    <xf applyFont="1" borderId="0" fillId="0" fontId="0" numFmtId="9" xfId="9"/>
    <xf applyFont="1" borderId="0" fillId="0" fontId="5" numFmtId="0" xfId="0"/>
  </cellXfs>
  <cellStyles count="10">
    <cellStyle builtinId="0" name="Normal" xfId="0"/>
    <cellStyle name="Normal 2" xfId="4"/>
    <cellStyle builtinId="5" name="Percent" xfId="9"/>
    <cellStyle name="XLConnect.Boolean" xfId="7"/>
    <cellStyle name="XLConnect.Date" xfId="3"/>
    <cellStyle name="XLConnect.DateTime" xfId="8"/>
    <cellStyle name="XLConnect.General" xfId="2"/>
    <cellStyle name="XLConnect.Header" xfId="1"/>
    <cellStyle name="XLConnect.Numeric" xfId="6"/>
    <cellStyle name="XLConnect.String" xfId="5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calcChain.xml" Type="http://schemas.openxmlformats.org/officeDocument/2006/relationships/calcChain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M52"/>
  <sheetViews>
    <sheetView tabSelected="1" topLeftCell="A34" workbookViewId="0">
      <selection activeCell="I52" sqref="I52"/>
    </sheetView>
  </sheetViews>
  <sheetFormatPr defaultRowHeight="15" x14ac:dyDescent="0.25"/>
  <cols>
    <col min="1" max="23" customWidth="true" width="9.28515625" collapsed="true"/>
  </cols>
  <sheetData>
    <row ht="21" r="1" spans="1:33" x14ac:dyDescent="0.35">
      <c r="A1" s="13" t="s">
        <v>133</v>
      </c>
      <c r="I1" s="13" t="s">
        <v>13</v>
      </c>
      <c r="Q1" s="13" t="s">
        <v>14</v>
      </c>
    </row>
    <row r="2" spans="1:33" x14ac:dyDescent="0.25">
      <c r="A2" s="1"/>
      <c r="I2" s="1" t="s">
        <v>16</v>
      </c>
      <c r="Q2" s="1"/>
    </row>
    <row r="3" spans="1:33" x14ac:dyDescent="0.25">
      <c r="A3" s="1" t="s">
        <v>134</v>
      </c>
      <c r="I3" s="1" t="s">
        <v>18</v>
      </c>
      <c r="Q3" s="16" t="s">
        <v>12</v>
      </c>
    </row>
    <row ht="15.75" r="4" spans="1:33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3" x14ac:dyDescent="0.25">
      <c r="A5" s="11" t="s">
        <v>10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10</v>
      </c>
      <c r="J5" s="80">
        <v>0</v>
      </c>
      <c r="K5" s="80">
        <v>1</v>
      </c>
      <c r="L5" s="80">
        <v>2</v>
      </c>
      <c r="M5" s="80">
        <v>3</v>
      </c>
      <c r="N5" s="80" t="s">
        <v>3</v>
      </c>
      <c r="O5" s="2" t="s">
        <v>4</v>
      </c>
      <c r="Q5" s="11" t="s">
        <v>10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3" x14ac:dyDescent="0.25">
      <c r="A6" s="74" t="s">
        <v>167</v>
      </c>
      <c r="B6" s="4" t="n">
        <v>0.0</v>
      </c>
      <c r="C6" s="4" t="n">
        <v>0.0</v>
      </c>
      <c r="D6" s="4" t="n">
        <v>0.0</v>
      </c>
      <c r="E6" s="4" t="n">
        <v>0.0</v>
      </c>
      <c r="F6" s="4" t="n">
        <v>0.0</v>
      </c>
      <c r="G6" s="4">
        <f>SUM(B6:F6)</f>
        <v>60524.418099999995</v>
      </c>
      <c r="I6" s="3" t="str">
        <f>$A$6</f>
        <v>Bellevue</v>
      </c>
      <c r="J6" s="4"/>
      <c r="K6" s="4"/>
      <c r="L6" s="4"/>
      <c r="M6" s="4"/>
      <c r="N6" s="4"/>
      <c r="O6" s="4">
        <f>SUM(J6:N6)</f>
        <v>0</v>
      </c>
      <c r="Q6" s="3" t="str">
        <f>$A$6</f>
        <v>Bellevue</v>
      </c>
      <c r="R6" s="20" t="n">
        <v>0.0</v>
      </c>
      <c r="S6" s="22" t="n">
        <v>0.0</v>
      </c>
      <c r="T6" s="24" t="n">
        <v>0.0</v>
      </c>
      <c r="U6" s="26" t="n">
        <v>0.0</v>
      </c>
      <c r="V6" s="28" t="n">
        <v>0.0</v>
      </c>
      <c r="W6" s="4">
        <f>SUM(R6:V6)</f>
        <v>60466</v>
      </c>
    </row>
    <row r="7" spans="1:33" x14ac:dyDescent="0.25">
      <c r="A7" s="75" t="s">
        <v>168</v>
      </c>
      <c r="B7" s="4" t="n">
        <v>0.0</v>
      </c>
      <c r="C7" s="4" t="n">
        <v>0.0</v>
      </c>
      <c r="D7" s="4" t="n">
        <v>0.0</v>
      </c>
      <c r="E7" s="4" t="n">
        <v>0.0</v>
      </c>
      <c r="F7" s="4" t="n">
        <v>0.0</v>
      </c>
      <c r="G7" s="4">
        <f ref="G7:G12" si="0" t="shared">SUM(B7:F7)</f>
        <v>6663.5614000000005</v>
      </c>
      <c r="I7" s="3" t="str">
        <f>$A$7</f>
        <v>Bellevue Downtown</v>
      </c>
      <c r="J7" s="81"/>
      <c r="K7" s="81"/>
      <c r="L7" s="81"/>
      <c r="M7" s="81"/>
      <c r="N7" s="81"/>
      <c r="O7" s="4">
        <f ref="O7:O11" si="1" t="shared">SUM(J7:N7)</f>
        <v>0</v>
      </c>
      <c r="Q7" s="3" t="str">
        <f>$A$7</f>
        <v>Bellevue Downtown</v>
      </c>
      <c r="R7" s="21" t="n">
        <v>0.0</v>
      </c>
      <c r="S7" s="23" t="n">
        <v>0.0</v>
      </c>
      <c r="T7" s="25" t="n">
        <v>0.0</v>
      </c>
      <c r="U7" s="27" t="n">
        <v>0.0</v>
      </c>
      <c r="V7" s="29" t="n">
        <v>0.0</v>
      </c>
      <c r="W7" s="4">
        <f ref="W7:W12" si="2" t="shared">SUM(R7:V7)</f>
        <v>5960</v>
      </c>
    </row>
    <row r="8" spans="1:33" x14ac:dyDescent="0.25">
      <c r="A8" s="75" t="s">
        <v>169</v>
      </c>
      <c r="B8" s="4" t="n">
        <v>0.0</v>
      </c>
      <c r="C8" s="4" t="n">
        <v>0.0</v>
      </c>
      <c r="D8" s="4" t="n">
        <v>0.0</v>
      </c>
      <c r="E8" s="4" t="n">
        <v>0.0</v>
      </c>
      <c r="F8" s="4" t="n">
        <v>0.0</v>
      </c>
      <c r="G8" s="4">
        <f si="0" t="shared"/>
        <v>54157.336499999998</v>
      </c>
      <c r="I8" s="3" t="str">
        <f>$A$8</f>
        <v>Kirkland</v>
      </c>
      <c r="J8" s="81"/>
      <c r="K8" s="81"/>
      <c r="L8" s="81"/>
      <c r="M8" s="81"/>
      <c r="N8" s="81"/>
      <c r="O8" s="4">
        <f si="1" t="shared"/>
        <v>0</v>
      </c>
      <c r="Q8" s="3" t="str">
        <f>$A$8</f>
        <v>Kirkland</v>
      </c>
      <c r="R8" s="69" t="n">
        <v>0.0</v>
      </c>
      <c r="S8" s="69" t="n">
        <v>0.0</v>
      </c>
      <c r="T8" s="69" t="n">
        <v>0.0</v>
      </c>
      <c r="U8" s="69" t="n">
        <v>0.0</v>
      </c>
      <c r="V8" s="69" t="n">
        <v>0.0</v>
      </c>
      <c r="W8" s="4">
        <f si="2" t="shared"/>
        <v>56775</v>
      </c>
    </row>
    <row r="9" spans="1:33" x14ac:dyDescent="0.25">
      <c r="A9" s="75" t="s">
        <v>170</v>
      </c>
      <c r="B9" s="15" t="n">
        <v>0.0</v>
      </c>
      <c r="C9" s="15" t="n">
        <v>0.0</v>
      </c>
      <c r="D9" s="15" t="n">
        <v>0.0</v>
      </c>
      <c r="E9" s="15" t="n">
        <v>0.0</v>
      </c>
      <c r="F9" s="15" t="n">
        <v>0.0</v>
      </c>
      <c r="G9" s="15">
        <f si="0" t="shared"/>
        <v>49935.573499999991</v>
      </c>
      <c r="I9" s="3" t="str">
        <f>$A$9</f>
        <v>Redmond</v>
      </c>
      <c r="J9" s="81"/>
      <c r="K9" s="81"/>
      <c r="L9" s="81"/>
      <c r="M9" s="81"/>
      <c r="N9" s="81"/>
      <c r="O9" s="4">
        <f si="1" t="shared"/>
        <v>0</v>
      </c>
      <c r="Q9" s="3" t="str">
        <f>$A$9</f>
        <v>Redmond</v>
      </c>
      <c r="R9" s="69" t="n">
        <v>0.0</v>
      </c>
      <c r="S9" s="69" t="n">
        <v>0.0</v>
      </c>
      <c r="T9" s="69" t="n">
        <v>0.0</v>
      </c>
      <c r="U9" s="69" t="n">
        <v>0.0</v>
      </c>
      <c r="V9" s="69" t="n">
        <v>0.0</v>
      </c>
      <c r="W9" s="4">
        <f si="2" t="shared"/>
        <v>43203</v>
      </c>
    </row>
    <row r="10" spans="1:33" x14ac:dyDescent="0.25">
      <c r="A10" s="75" t="s">
        <v>166</v>
      </c>
      <c r="B10" s="15" t="n">
        <v>45634.5796</v>
      </c>
      <c r="C10" s="15" t="n">
        <v>125976.8301</v>
      </c>
      <c r="D10" s="15" t="n">
        <v>97789.8361</v>
      </c>
      <c r="E10" s="15" t="n">
        <v>26257.6648</v>
      </c>
      <c r="F10" s="15" t="n">
        <v>10441.2437</v>
      </c>
      <c r="G10" s="15">
        <f si="0" t="shared"/>
        <v>306899.83959999995</v>
      </c>
      <c r="I10" s="3" t="str">
        <f>$A$10</f>
        <v>Seattle</v>
      </c>
      <c r="J10" s="81"/>
      <c r="K10" s="81"/>
      <c r="L10" s="81"/>
      <c r="M10" s="81"/>
      <c r="N10" s="81"/>
      <c r="O10" s="4">
        <f si="1" t="shared"/>
        <v>0</v>
      </c>
      <c r="Q10" s="3" t="str">
        <f>$A$10</f>
        <v>Seattle</v>
      </c>
      <c r="R10" s="69" t="n">
        <v>38277.0</v>
      </c>
      <c r="S10" s="69" t="n">
        <v>123358.0</v>
      </c>
      <c r="T10" s="69" t="n">
        <v>109385.0</v>
      </c>
      <c r="U10" s="69" t="n">
        <v>37657.0</v>
      </c>
      <c r="V10" s="69" t="n">
        <v>15548.0</v>
      </c>
      <c r="W10" s="4">
        <f si="2" t="shared"/>
        <v>287556.00000000006</v>
      </c>
    </row>
    <row r="11" spans="1:33" x14ac:dyDescent="0.25">
      <c r="A11" s="75" t="s">
        <v>171</v>
      </c>
      <c r="B11" s="15" t="n">
        <v>18050.276</v>
      </c>
      <c r="C11" s="15" t="n">
        <v>19068.5606</v>
      </c>
      <c r="D11" s="15" t="n">
        <v>3223.8574</v>
      </c>
      <c r="E11" s="15" t="n">
        <v>323.9387</v>
      </c>
      <c r="F11" s="15" t="n">
        <v>128.9933</v>
      </c>
      <c r="G11" s="15">
        <f si="0" t="shared"/>
        <v>39773.5939</v>
      </c>
      <c r="I11" s="14" t="str">
        <f>$A$11</f>
        <v>Seattle Downtown</v>
      </c>
      <c r="J11" s="81"/>
      <c r="K11" s="81"/>
      <c r="L11" s="81"/>
      <c r="M11" s="81"/>
      <c r="N11" s="81"/>
      <c r="O11" s="15">
        <f si="1" t="shared"/>
        <v>0</v>
      </c>
      <c r="Q11" s="14" t="str">
        <f>$A$11</f>
        <v>Seattle Downtown</v>
      </c>
      <c r="R11" s="71" t="n">
        <v>20278.0</v>
      </c>
      <c r="S11" s="71" t="n">
        <v>25356.0</v>
      </c>
      <c r="T11" s="71" t="n">
        <v>8784.0</v>
      </c>
      <c r="U11" s="71" t="n">
        <v>2524.0</v>
      </c>
      <c r="V11" s="71" t="n">
        <v>980.0</v>
      </c>
      <c r="W11" s="15">
        <f si="2" t="shared"/>
        <v>39981.000000000007</v>
      </c>
    </row>
    <row r="12" spans="1:33" x14ac:dyDescent="0.25">
      <c r="A12" s="75" t="s">
        <v>172</v>
      </c>
      <c r="B12" s="15" t="n">
        <v>57260.516</v>
      </c>
      <c r="C12" s="15" t="n">
        <v>297867.0314</v>
      </c>
      <c r="D12" s="15" t="n">
        <v>399975.4387</v>
      </c>
      <c r="E12" s="15" t="n">
        <v>169678.3299</v>
      </c>
      <c r="F12" s="15" t="n">
        <v>88436.9112</v>
      </c>
      <c r="G12" s="15">
        <f si="0" t="shared"/>
        <v>1012364.6392000001</v>
      </c>
      <c r="I12" s="14" t="str">
        <f>$A$12</f>
        <v>Rest</v>
      </c>
      <c r="J12" s="81"/>
      <c r="K12" s="81"/>
      <c r="L12" s="81"/>
      <c r="M12" s="81"/>
      <c r="N12" s="81"/>
      <c r="O12" s="15">
        <f>SUM(J12:N12)</f>
        <v>0</v>
      </c>
      <c r="Q12" s="14" t="str">
        <f>$A$12</f>
        <v>Rest</v>
      </c>
      <c r="R12" s="15" t="n">
        <v>53831.0</v>
      </c>
      <c r="S12" s="15" t="n">
        <v>324931.0</v>
      </c>
      <c r="T12" s="15" t="n">
        <v>445077.0</v>
      </c>
      <c r="U12" s="15" t="n">
        <v>185297.0</v>
      </c>
      <c r="V12" s="15" t="n">
        <v>81392.0</v>
      </c>
      <c r="W12" s="15">
        <f si="2" t="shared"/>
        <v>1012758</v>
      </c>
    </row>
    <row ht="15.75" r="13" spans="1:33" thickBot="1" x14ac:dyDescent="0.3">
      <c r="A13" s="7" t="s">
        <v>4</v>
      </c>
      <c r="B13" s="8">
        <f>SUM(B6:B12)</f>
        <v>129139.1344</v>
      </c>
      <c r="C13" s="8">
        <f ref="C13:G13" si="3" t="shared">SUM(C6:C12)</f>
        <v>501698.02500000002</v>
      </c>
      <c r="D13" s="8">
        <f si="3" t="shared"/>
        <v>570396.74479999999</v>
      </c>
      <c r="E13" s="8">
        <f si="3" t="shared"/>
        <v>219018.22450000001</v>
      </c>
      <c r="F13" s="8">
        <f si="3" t="shared"/>
        <v>110066.83349999999</v>
      </c>
      <c r="G13" s="8">
        <f si="3" t="shared"/>
        <v>1530318.9622</v>
      </c>
      <c r="I13" s="7" t="str">
        <f>$A$13</f>
        <v>Total</v>
      </c>
      <c r="J13" s="8">
        <f>SUM(J6:J12)</f>
        <v>0</v>
      </c>
      <c r="K13" s="8">
        <f ref="K13:O13" si="4" t="shared">SUM(K6:K12)</f>
        <v>0</v>
      </c>
      <c r="L13" s="8">
        <f si="4" t="shared"/>
        <v>0</v>
      </c>
      <c r="M13" s="8">
        <f si="4" t="shared"/>
        <v>0</v>
      </c>
      <c r="N13" s="8">
        <f si="4" t="shared"/>
        <v>0</v>
      </c>
      <c r="O13" s="8">
        <f si="4" t="shared"/>
        <v>0</v>
      </c>
      <c r="Q13" s="7" t="str">
        <f>$A$13</f>
        <v>Total</v>
      </c>
      <c r="R13" s="8">
        <f>SUM(R6:R12)</f>
        <v>110685.57598452416</v>
      </c>
      <c r="S13" s="8">
        <f ref="S13:W13" si="5" t="shared">SUM(S6:S12)</f>
        <v>477919.8564330361</v>
      </c>
      <c r="T13" s="8">
        <f si="5" t="shared"/>
        <v>568169.18090797379</v>
      </c>
      <c r="U13" s="8">
        <f si="5" t="shared"/>
        <v>241935.56716192968</v>
      </c>
      <c r="V13" s="8">
        <f si="5" t="shared"/>
        <v>107988.81951253628</v>
      </c>
      <c r="W13" s="8">
        <f si="5" t="shared"/>
        <v>1506699</v>
      </c>
    </row>
    <row r="16" spans="1:33" x14ac:dyDescent="0.25">
      <c r="A16" s="1" t="s">
        <v>135</v>
      </c>
      <c r="I16" s="1" t="s">
        <v>19</v>
      </c>
      <c r="Q16" s="16" t="s">
        <v>12</v>
      </c>
      <c r="Y16" s="1" t="s">
        <v>23</v>
      </c>
      <c r="AG16" s="1" t="s">
        <v>17</v>
      </c>
    </row>
    <row ht="15.75" r="17" spans="1:39" thickBot="1" x14ac:dyDescent="0.3">
      <c r="A17" s="12"/>
      <c r="B17" s="10" t="s">
        <v>2</v>
      </c>
      <c r="C17" s="9"/>
      <c r="D17" s="9"/>
      <c r="E17" s="9"/>
      <c r="F17" s="9"/>
      <c r="G17" s="9"/>
      <c r="I17" s="12"/>
      <c r="J17" s="10" t="s">
        <v>2</v>
      </c>
      <c r="K17" s="9"/>
      <c r="L17" s="9"/>
      <c r="M17" s="9"/>
      <c r="N17" s="9"/>
      <c r="O17" s="9"/>
      <c r="Q17" s="12"/>
      <c r="R17" s="10" t="s">
        <v>2</v>
      </c>
      <c r="S17" s="9"/>
      <c r="T17" s="9"/>
      <c r="U17" s="9"/>
      <c r="V17" s="9"/>
      <c r="W17" s="9"/>
      <c r="Y17" s="12"/>
      <c r="Z17" s="10" t="s">
        <v>2</v>
      </c>
      <c r="AA17" s="9"/>
      <c r="AB17" s="9"/>
      <c r="AC17" s="9"/>
      <c r="AD17" s="9"/>
      <c r="AE17" s="9"/>
      <c r="AG17" s="12"/>
      <c r="AH17" s="10" t="s">
        <v>2</v>
      </c>
      <c r="AI17" s="9"/>
      <c r="AJ17" s="9"/>
      <c r="AK17" s="9"/>
      <c r="AL17" s="9"/>
      <c r="AM17" s="9"/>
    </row>
    <row r="18" spans="1:39" x14ac:dyDescent="0.25">
      <c r="A18" s="11" t="s">
        <v>10</v>
      </c>
      <c r="B18" s="2">
        <v>0</v>
      </c>
      <c r="C18" s="2">
        <v>1</v>
      </c>
      <c r="D18" s="2">
        <v>2</v>
      </c>
      <c r="E18" s="2">
        <v>3</v>
      </c>
      <c r="F18" s="2" t="s">
        <v>3</v>
      </c>
      <c r="G18" s="2" t="s">
        <v>4</v>
      </c>
      <c r="I18" s="11" t="s">
        <v>10</v>
      </c>
      <c r="J18" s="2">
        <v>0</v>
      </c>
      <c r="K18" s="2">
        <v>1</v>
      </c>
      <c r="L18" s="2">
        <v>2</v>
      </c>
      <c r="M18" s="2">
        <v>3</v>
      </c>
      <c r="N18" s="2" t="s">
        <v>3</v>
      </c>
      <c r="O18" s="2" t="s">
        <v>4</v>
      </c>
      <c r="Q18" s="11" t="s">
        <v>10</v>
      </c>
      <c r="R18" s="2">
        <v>0</v>
      </c>
      <c r="S18" s="2">
        <v>1</v>
      </c>
      <c r="T18" s="2">
        <v>2</v>
      </c>
      <c r="U18" s="2">
        <v>3</v>
      </c>
      <c r="V18" s="2" t="s">
        <v>3</v>
      </c>
      <c r="W18" s="2" t="s">
        <v>4</v>
      </c>
      <c r="Y18" s="11" t="s">
        <v>10</v>
      </c>
      <c r="Z18" s="2">
        <v>0</v>
      </c>
      <c r="AA18" s="2">
        <v>1</v>
      </c>
      <c r="AB18" s="2">
        <v>2</v>
      </c>
      <c r="AC18" s="2">
        <v>3</v>
      </c>
      <c r="AD18" s="2" t="s">
        <v>3</v>
      </c>
      <c r="AE18" s="2" t="s">
        <v>4</v>
      </c>
      <c r="AG18" s="11" t="s">
        <v>10</v>
      </c>
      <c r="AH18" s="2">
        <v>0</v>
      </c>
      <c r="AI18" s="2">
        <v>1</v>
      </c>
      <c r="AJ18" s="2">
        <v>2</v>
      </c>
      <c r="AK18" s="2">
        <v>3</v>
      </c>
      <c r="AL18" s="2" t="s">
        <v>3</v>
      </c>
      <c r="AM18" s="2" t="s">
        <v>4</v>
      </c>
    </row>
    <row r="19" spans="1:39" x14ac:dyDescent="0.25">
      <c r="A19" s="3" t="str">
        <f>$A$6</f>
        <v>Bellevue</v>
      </c>
      <c r="B19" s="4">
        <f>($W6/$G6)*B6</f>
        <v>2151.3960687479953</v>
      </c>
      <c r="C19" s="4">
        <f ref="C19:G19" si="6" t="shared">($W6/$G6)*C6</f>
        <v>21532.699083727333</v>
      </c>
      <c r="D19" s="4">
        <f si="6" t="shared"/>
        <v>24488.833869148755</v>
      </c>
      <c r="E19" s="4">
        <f si="6" t="shared"/>
        <v>6841.6367800188737</v>
      </c>
      <c r="F19" s="4">
        <f si="6" t="shared"/>
        <v>5451.434198357043</v>
      </c>
      <c r="G19" s="4">
        <f si="6" t="shared"/>
        <v>60466</v>
      </c>
      <c r="I19" s="3" t="str">
        <f>$A$6</f>
        <v>Bellevue</v>
      </c>
      <c r="J19" s="4" t="e">
        <f>($W6/$O6)*J6</f>
        <v>#DIV/0!</v>
      </c>
      <c r="K19" s="4" t="e">
        <f ref="K19:O19" si="7" t="shared">($W6/$O6)*K6</f>
        <v>#DIV/0!</v>
      </c>
      <c r="L19" s="4" t="e">
        <f si="7" t="shared"/>
        <v>#DIV/0!</v>
      </c>
      <c r="M19" s="4" t="e">
        <f si="7" t="shared"/>
        <v>#DIV/0!</v>
      </c>
      <c r="N19" s="4" t="e">
        <f si="7" t="shared"/>
        <v>#DIV/0!</v>
      </c>
      <c r="O19" s="4" t="e">
        <f si="7" t="shared"/>
        <v>#DIV/0!</v>
      </c>
      <c r="Q19" s="3" t="str">
        <f>$A$6</f>
        <v>Bellevue</v>
      </c>
      <c r="R19" s="4">
        <f>R6</f>
        <v>2820.25</v>
      </c>
      <c r="S19" s="4">
        <f ref="S19:V19" si="8" t="shared">S6</f>
        <v>17113</v>
      </c>
      <c r="T19" s="4">
        <f si="8" t="shared"/>
        <v>24915.5</v>
      </c>
      <c r="U19" s="4">
        <f si="8" t="shared"/>
        <v>10924</v>
      </c>
      <c r="V19" s="4">
        <f si="8" t="shared"/>
        <v>4693.25</v>
      </c>
      <c r="W19" s="4">
        <f>SUM(R19:V19)</f>
        <v>60466</v>
      </c>
      <c r="Y19" s="3" t="str">
        <f>$A$6</f>
        <v>Bellevue</v>
      </c>
      <c r="Z19" s="4">
        <f>R19-B19</f>
        <v>668.85393125200471</v>
      </c>
      <c r="AA19" s="4">
        <f ref="AA19:AE26" si="9" t="shared">S19-C19</f>
        <v>-4419.6990837273333</v>
      </c>
      <c r="AB19" s="4">
        <f si="9" t="shared"/>
        <v>426.66613085124482</v>
      </c>
      <c r="AC19" s="4">
        <f si="9" t="shared"/>
        <v>4082.3632199811263</v>
      </c>
      <c r="AD19" s="4">
        <f si="9" t="shared"/>
        <v>-758.18419835704299</v>
      </c>
      <c r="AE19" s="4">
        <f si="9" t="shared"/>
        <v>0</v>
      </c>
      <c r="AG19" s="3" t="str">
        <f>$A$6</f>
        <v>Bellevue</v>
      </c>
      <c r="AH19" s="17">
        <f>(R6-B19)/B19</f>
        <v>0.3108929782702653</v>
      </c>
      <c r="AI19" s="17">
        <f ref="AI19:AM19" si="10" t="shared">(S6-C19)/C19</f>
        <v>-0.20525522910722249</v>
      </c>
      <c r="AJ19" s="17">
        <f si="10" t="shared"/>
        <v>1.7422884778060522E-2</v>
      </c>
      <c r="AK19" s="17">
        <f si="10" t="shared"/>
        <v>0.59669394199700043</v>
      </c>
      <c r="AL19" s="17">
        <f si="10" t="shared"/>
        <v>-0.13907976704287195</v>
      </c>
      <c r="AM19" s="17">
        <f si="10" t="shared"/>
        <v>0</v>
      </c>
    </row>
    <row r="20" spans="1:39" x14ac:dyDescent="0.25">
      <c r="A20" s="3" t="str">
        <f>$A$7</f>
        <v>Bellevue Downtown</v>
      </c>
      <c r="B20" s="4">
        <f>($W7/$G7)*B7</f>
        <v>1542.9471825681685</v>
      </c>
      <c r="C20" s="4">
        <f ref="C20:G20" si="11" t="shared">($W7/$G7)*C7</f>
        <v>3101.092023853791</v>
      </c>
      <c r="D20" s="4">
        <f si="11" t="shared"/>
        <v>1081.4681026275227</v>
      </c>
      <c r="E20" s="4">
        <f si="11" t="shared"/>
        <v>234.49269095051784</v>
      </c>
      <c r="F20" s="4">
        <f si="11" t="shared"/>
        <v>0</v>
      </c>
      <c r="G20" s="4">
        <f si="11" t="shared"/>
        <v>5960</v>
      </c>
      <c r="I20" s="3" t="str">
        <f>$A$7</f>
        <v>Bellevue Downtown</v>
      </c>
      <c r="J20" s="4" t="e">
        <f ref="J20:O20" si="12" t="shared">($W7/$O7)*J7</f>
        <v>#DIV/0!</v>
      </c>
      <c r="K20" s="4" t="e">
        <f si="12" t="shared"/>
        <v>#DIV/0!</v>
      </c>
      <c r="L20" s="4" t="e">
        <f si="12" t="shared"/>
        <v>#DIV/0!</v>
      </c>
      <c r="M20" s="4" t="e">
        <f si="12" t="shared"/>
        <v>#DIV/0!</v>
      </c>
      <c r="N20" s="4" t="e">
        <f si="12" t="shared"/>
        <v>#DIV/0!</v>
      </c>
      <c r="O20" s="4" t="e">
        <f si="12" t="shared"/>
        <v>#DIV/0!</v>
      </c>
      <c r="Q20" s="3" t="str">
        <f>$A$7</f>
        <v>Bellevue Downtown</v>
      </c>
      <c r="R20" s="4">
        <f ref="R20:V20" si="13" t="shared">R7</f>
        <v>1455.75</v>
      </c>
      <c r="S20" s="4">
        <f si="13" t="shared"/>
        <v>2772.75</v>
      </c>
      <c r="T20" s="4">
        <f si="13" t="shared"/>
        <v>1216.25</v>
      </c>
      <c r="U20" s="4">
        <f si="13" t="shared"/>
        <v>378.25</v>
      </c>
      <c r="V20" s="4">
        <f si="13" t="shared"/>
        <v>137</v>
      </c>
      <c r="W20" s="4">
        <f ref="W20:W24" si="14" t="shared">SUM(R20:V20)</f>
        <v>5960</v>
      </c>
      <c r="Y20" s="3" t="str">
        <f>$A$7</f>
        <v>Bellevue Downtown</v>
      </c>
      <c r="Z20" s="4">
        <f ref="Z20:Z26" si="15" t="shared">R20-B20</f>
        <v>-87.1971825681685</v>
      </c>
      <c r="AA20" s="4">
        <f si="9" t="shared"/>
        <v>-328.34202385379103</v>
      </c>
      <c r="AB20" s="4">
        <f si="9" t="shared"/>
        <v>134.78189737247726</v>
      </c>
      <c r="AC20" s="4">
        <f si="9" t="shared"/>
        <v>143.75730904948216</v>
      </c>
      <c r="AD20" s="4">
        <f si="9" t="shared"/>
        <v>137</v>
      </c>
      <c r="AE20" s="4">
        <f si="9" t="shared"/>
        <v>0</v>
      </c>
      <c r="AG20" s="3" t="str">
        <f>$A$7</f>
        <v>Bellevue Downtown</v>
      </c>
      <c r="AH20" s="17">
        <f ref="AH20:AH26" si="16" t="shared">(R7-B20)/B20</f>
        <v>-5.651339433604758E-2</v>
      </c>
      <c r="AI20" s="17">
        <f ref="AI20:AI26" si="17" t="shared">(S7-C20)/C20</f>
        <v>-0.10587948417143507</v>
      </c>
      <c r="AJ20" s="17">
        <f ref="AJ20:AJ26" si="18" t="shared">(T7-D20)/D20</f>
        <v>0.12462863864871528</v>
      </c>
      <c r="AK20" s="17">
        <f ref="AK20:AK26" si="19" t="shared">(U7-E20)/E20</f>
        <v>0.61305667339464121</v>
      </c>
      <c r="AL20" s="17" t="e">
        <f ref="AL20:AL26" si="20" t="shared">(V7-F20)/F20</f>
        <v>#DIV/0!</v>
      </c>
      <c r="AM20" s="17">
        <f ref="AM20:AM26" si="21" t="shared">(W7-G20)/G20</f>
        <v>0</v>
      </c>
    </row>
    <row r="21" spans="1:39" x14ac:dyDescent="0.25">
      <c r="A21" s="3" t="str">
        <f>$A$8</f>
        <v>Kirkland</v>
      </c>
      <c r="B21" s="4">
        <f ref="B21:F21" si="22" t="shared">($W8/$G8)*B8</f>
        <v>2009.5719602089371</v>
      </c>
      <c r="C21" s="4">
        <f si="22" t="shared"/>
        <v>16966.180844445702</v>
      </c>
      <c r="D21" s="4">
        <f si="22" t="shared"/>
        <v>25430.974528769526</v>
      </c>
      <c r="E21" s="4">
        <f si="22" t="shared"/>
        <v>8766.7299322410381</v>
      </c>
      <c r="F21" s="4">
        <f si="22" t="shared"/>
        <v>3601.5427343348028</v>
      </c>
      <c r="G21" s="4">
        <f ref="G21" si="23" t="shared">($W8/$G8)*G8</f>
        <v>56775</v>
      </c>
      <c r="I21" s="3" t="str">
        <f>$A$8</f>
        <v>Kirkland</v>
      </c>
      <c r="J21" s="4" t="e">
        <f ref="J21:O21" si="24" t="shared">($W8/$O8)*J8</f>
        <v>#DIV/0!</v>
      </c>
      <c r="K21" s="4" t="e">
        <f si="24" t="shared"/>
        <v>#DIV/0!</v>
      </c>
      <c r="L21" s="4" t="e">
        <f si="24" t="shared"/>
        <v>#DIV/0!</v>
      </c>
      <c r="M21" s="4" t="e">
        <f si="24" t="shared"/>
        <v>#DIV/0!</v>
      </c>
      <c r="N21" s="4" t="e">
        <f si="24" t="shared"/>
        <v>#DIV/0!</v>
      </c>
      <c r="O21" s="4" t="e">
        <f si="24" t="shared"/>
        <v>#DIV/0!</v>
      </c>
      <c r="Q21" s="3" t="str">
        <f>$A$8</f>
        <v>Kirkland</v>
      </c>
      <c r="R21" s="4">
        <f ref="R21:V21" si="25" t="shared">R8</f>
        <v>3135</v>
      </c>
      <c r="S21" s="4">
        <f si="25" t="shared"/>
        <v>18177.5</v>
      </c>
      <c r="T21" s="4">
        <f si="25" t="shared"/>
        <v>22395.5</v>
      </c>
      <c r="U21" s="4">
        <f si="25" t="shared"/>
        <v>9236.25</v>
      </c>
      <c r="V21" s="4">
        <f si="25" t="shared"/>
        <v>3830.75</v>
      </c>
      <c r="W21" s="4">
        <f si="14" t="shared"/>
        <v>56775</v>
      </c>
      <c r="Y21" s="3" t="str">
        <f>$A$8</f>
        <v>Kirkland</v>
      </c>
      <c r="Z21" s="4">
        <f si="15" t="shared"/>
        <v>1125.4280397910629</v>
      </c>
      <c r="AA21" s="4">
        <f si="9" t="shared"/>
        <v>1211.319155554298</v>
      </c>
      <c r="AB21" s="4">
        <f si="9" t="shared"/>
        <v>-3035.4745287695259</v>
      </c>
      <c r="AC21" s="4">
        <f si="9" t="shared"/>
        <v>469.52006775896189</v>
      </c>
      <c r="AD21" s="4">
        <f si="9" t="shared"/>
        <v>229.20726566519716</v>
      </c>
      <c r="AE21" s="4">
        <f si="9" t="shared"/>
        <v>0</v>
      </c>
      <c r="AG21" s="3" t="str">
        <f>$A$8</f>
        <v>Kirkland</v>
      </c>
      <c r="AH21" s="17">
        <f si="16" t="shared"/>
        <v>0.56003370970306088</v>
      </c>
      <c r="AI21" s="17">
        <f si="17" t="shared"/>
        <v>7.1396100669930865E-2</v>
      </c>
      <c r="AJ21" s="17">
        <f si="18" t="shared"/>
        <v>-0.11936131371354085</v>
      </c>
      <c r="AK21" s="17">
        <f si="19" t="shared"/>
        <v>5.3557035677833244E-2</v>
      </c>
      <c r="AL21" s="17">
        <f si="20" t="shared"/>
        <v>6.3641412187083551E-2</v>
      </c>
      <c r="AM21" s="17">
        <f si="21" t="shared"/>
        <v>0</v>
      </c>
    </row>
    <row r="22" spans="1:39" x14ac:dyDescent="0.25">
      <c r="A22" s="3" t="str">
        <f>$A$9</f>
        <v>Redmond</v>
      </c>
      <c r="B22" s="4">
        <f ref="B22:G22" si="26" t="shared">($W9/$G9)*B9</f>
        <v>2022.9702407282859</v>
      </c>
      <c r="C22" s="4">
        <f si="26" t="shared"/>
        <v>15331.851463121779</v>
      </c>
      <c r="D22" s="4">
        <f si="26" t="shared"/>
        <v>16728.784070976977</v>
      </c>
      <c r="E22" s="4">
        <f si="26" t="shared"/>
        <v>6303.0914795861927</v>
      </c>
      <c r="F22" s="4">
        <f si="26" t="shared"/>
        <v>2816.3027455867714</v>
      </c>
      <c r="G22" s="4">
        <f si="26" t="shared"/>
        <v>43203</v>
      </c>
      <c r="I22" s="3" t="str">
        <f>$A$9</f>
        <v>Redmond</v>
      </c>
      <c r="J22" s="4" t="e">
        <f ref="J22:O22" si="27" t="shared">($W9/$O9)*J9</f>
        <v>#DIV/0!</v>
      </c>
      <c r="K22" s="4" t="e">
        <f si="27" t="shared"/>
        <v>#DIV/0!</v>
      </c>
      <c r="L22" s="4" t="e">
        <f si="27" t="shared"/>
        <v>#DIV/0!</v>
      </c>
      <c r="M22" s="4" t="e">
        <f si="27" t="shared"/>
        <v>#DIV/0!</v>
      </c>
      <c r="N22" s="4" t="e">
        <f si="27" t="shared"/>
        <v>#DIV/0!</v>
      </c>
      <c r="O22" s="4" t="e">
        <f si="27" t="shared"/>
        <v>#DIV/0!</v>
      </c>
      <c r="Q22" s="3" t="str">
        <f>$A$9</f>
        <v>Redmond</v>
      </c>
      <c r="R22" s="4">
        <f ref="R22:V22" si="28" t="shared">R9</f>
        <v>1687.25</v>
      </c>
      <c r="S22" s="4">
        <f si="28" t="shared"/>
        <v>11837</v>
      </c>
      <c r="T22" s="4">
        <f si="28" t="shared"/>
        <v>17850.75</v>
      </c>
      <c r="U22" s="4">
        <f si="28" t="shared"/>
        <v>8352.25</v>
      </c>
      <c r="V22" s="4">
        <f si="28" t="shared"/>
        <v>3475.75</v>
      </c>
      <c r="W22" s="4">
        <f si="14" t="shared"/>
        <v>43203</v>
      </c>
      <c r="Y22" s="3" t="str">
        <f>$A$9</f>
        <v>Redmond</v>
      </c>
      <c r="Z22" s="4">
        <f si="15" t="shared"/>
        <v>-335.72024072828594</v>
      </c>
      <c r="AA22" s="4">
        <f si="9" t="shared"/>
        <v>-3494.8514631217786</v>
      </c>
      <c r="AB22" s="4">
        <f si="9" t="shared"/>
        <v>1121.9659290230229</v>
      </c>
      <c r="AC22" s="4">
        <f si="9" t="shared"/>
        <v>2049.1585204138073</v>
      </c>
      <c r="AD22" s="4">
        <f si="9" t="shared"/>
        <v>659.44725441322862</v>
      </c>
      <c r="AE22" s="4">
        <f si="9" t="shared"/>
        <v>0</v>
      </c>
      <c r="AG22" s="3" t="str">
        <f>$A$9</f>
        <v>Redmond</v>
      </c>
      <c r="AH22" s="17">
        <f si="16" t="shared"/>
        <v>-0.16595411735143661</v>
      </c>
      <c r="AI22" s="17">
        <f si="17" t="shared"/>
        <v>-0.22794712507671125</v>
      </c>
      <c r="AJ22" s="17">
        <f si="18" t="shared"/>
        <v>6.7067990372924879E-2</v>
      </c>
      <c r="AK22" s="17">
        <f si="19" t="shared"/>
        <v>0.32510372521966596</v>
      </c>
      <c r="AL22" s="17">
        <f si="20" t="shared"/>
        <v>0.2341535388717004</v>
      </c>
      <c r="AM22" s="17">
        <f si="21" t="shared"/>
        <v>0</v>
      </c>
    </row>
    <row r="23" spans="1:39" x14ac:dyDescent="0.25">
      <c r="A23" s="14" t="str">
        <f>$A$10</f>
        <v>Seattle</v>
      </c>
      <c r="B23" s="15">
        <f ref="B23:G23" si="29" t="shared">($W10/$G10)*B10</f>
        <v>43271.794300670612</v>
      </c>
      <c r="C23" s="15">
        <f si="29" t="shared"/>
        <v>118308.85175095938</v>
      </c>
      <c r="D23" s="15">
        <f si="29" t="shared"/>
        <v>91859.368835853922</v>
      </c>
      <c r="E23" s="15">
        <f si="29" t="shared"/>
        <v>24332.851053826365</v>
      </c>
      <c r="F23" s="15">
        <f si="29" t="shared"/>
        <v>9783.134058689815</v>
      </c>
      <c r="G23" s="15">
        <f si="29" t="shared"/>
        <v>287556.00000000006</v>
      </c>
      <c r="I23" s="3" t="str">
        <f>$A$10</f>
        <v>Seattle</v>
      </c>
      <c r="J23" s="4" t="e">
        <f ref="J23:O23" si="30" t="shared">($W10/$O10)*J10</f>
        <v>#DIV/0!</v>
      </c>
      <c r="K23" s="4" t="e">
        <f si="30" t="shared"/>
        <v>#DIV/0!</v>
      </c>
      <c r="L23" s="4" t="e">
        <f si="30" t="shared"/>
        <v>#DIV/0!</v>
      </c>
      <c r="M23" s="4" t="e">
        <f si="30" t="shared"/>
        <v>#DIV/0!</v>
      </c>
      <c r="N23" s="4" t="e">
        <f si="30" t="shared"/>
        <v>#DIV/0!</v>
      </c>
      <c r="O23" s="4" t="e">
        <f si="30" t="shared"/>
        <v>#DIV/0!</v>
      </c>
      <c r="Q23" s="3" t="str">
        <f>$A$10</f>
        <v>Seattle</v>
      </c>
      <c r="R23" s="4">
        <f ref="R23:V23" si="31" t="shared">R10</f>
        <v>34444.654934102538</v>
      </c>
      <c r="S23" s="4">
        <f si="31" t="shared"/>
        <v>110934.38682326471</v>
      </c>
      <c r="T23" s="4">
        <f si="31" t="shared"/>
        <v>94496.084158741185</v>
      </c>
      <c r="U23" s="4">
        <f si="31" t="shared"/>
        <v>33655.00333888521</v>
      </c>
      <c r="V23" s="4">
        <f si="31" t="shared"/>
        <v>14025.870745006401</v>
      </c>
      <c r="W23" s="4">
        <f si="14" t="shared"/>
        <v>287556.00000000006</v>
      </c>
      <c r="Y23" s="3" t="str">
        <f>$A$10</f>
        <v>Seattle</v>
      </c>
      <c r="Z23" s="4">
        <f si="15" t="shared"/>
        <v>-8827.1393665680735</v>
      </c>
      <c r="AA23" s="4">
        <f si="9" t="shared"/>
        <v>-7374.464927694673</v>
      </c>
      <c r="AB23" s="4">
        <f si="9" t="shared"/>
        <v>2636.715322887263</v>
      </c>
      <c r="AC23" s="4">
        <f si="9" t="shared"/>
        <v>9322.1522850588444</v>
      </c>
      <c r="AD23" s="4">
        <f si="9" t="shared"/>
        <v>4242.7366863165862</v>
      </c>
      <c r="AE23" s="4">
        <f si="9" t="shared"/>
        <v>0</v>
      </c>
      <c r="AG23" s="3" t="str">
        <f>$A$10</f>
        <v>Seattle</v>
      </c>
      <c r="AH23" s="17">
        <f si="16" t="shared"/>
        <v>-0.20399291291767102</v>
      </c>
      <c r="AI23" s="17">
        <f si="17" t="shared"/>
        <v>-6.2332317646172003E-2</v>
      </c>
      <c r="AJ23" s="17">
        <f si="18" t="shared"/>
        <v>2.8703825818778304E-2</v>
      </c>
      <c r="AK23" s="17">
        <f si="19" t="shared"/>
        <v>0.38310974182340735</v>
      </c>
      <c r="AL23" s="17">
        <f si="20" t="shared"/>
        <v>0.43367868219571198</v>
      </c>
      <c r="AM23" s="17">
        <f si="21" t="shared"/>
        <v>0</v>
      </c>
    </row>
    <row r="24" spans="1:39" x14ac:dyDescent="0.25">
      <c r="A24" s="14" t="str">
        <f>$A$11</f>
        <v>Seattle Downtown</v>
      </c>
      <c r="B24" s="15">
        <f ref="B24:G25" si="32" t="shared">($W11/$G11)*B11</f>
        <v>17653.817034618038</v>
      </c>
      <c r="C24" s="15">
        <f si="32" t="shared"/>
        <v>18789.131711904469</v>
      </c>
      <c r="D24" s="15">
        <f si="32" t="shared"/>
        <v>3082.757363326929</v>
      </c>
      <c r="E24" s="15">
        <f si="32" t="shared"/>
        <v>325.62793287583708</v>
      </c>
      <c r="F24" s="15">
        <f si="32" t="shared"/>
        <v>129.66595727473353</v>
      </c>
      <c r="G24" s="15">
        <f si="32" t="shared"/>
        <v>39981.000000000015</v>
      </c>
      <c r="I24" s="14" t="str">
        <f>$A$11</f>
        <v>Seattle Downtown</v>
      </c>
      <c r="J24" s="15" t="e">
        <f ref="J24:O24" si="33" t="shared">($W11/$O11)*J11</f>
        <v>#DIV/0!</v>
      </c>
      <c r="K24" s="15" t="e">
        <f si="33" t="shared"/>
        <v>#DIV/0!</v>
      </c>
      <c r="L24" s="15" t="e">
        <f si="33" t="shared"/>
        <v>#DIV/0!</v>
      </c>
      <c r="M24" s="15" t="e">
        <f si="33" t="shared"/>
        <v>#DIV/0!</v>
      </c>
      <c r="N24" s="15" t="e">
        <f si="33" t="shared"/>
        <v>#DIV/0!</v>
      </c>
      <c r="O24" s="15" t="e">
        <f si="33" t="shared"/>
        <v>#DIV/0!</v>
      </c>
      <c r="Q24" s="14" t="str">
        <f>$A$11</f>
        <v>Seattle Downtown</v>
      </c>
      <c r="R24" s="15">
        <f ref="R24:V25" si="34" t="shared">R11</f>
        <v>14840.059615427477</v>
      </c>
      <c r="S24" s="15">
        <f si="34" t="shared"/>
        <v>17392.935086756708</v>
      </c>
      <c r="T24" s="15">
        <f si="34" t="shared"/>
        <v>5499.2251123372598</v>
      </c>
      <c r="U24" s="15">
        <f si="34" t="shared"/>
        <v>1656.121606086193</v>
      </c>
      <c r="V24" s="15">
        <f si="34" t="shared"/>
        <v>592.65857939236366</v>
      </c>
      <c r="W24" s="15">
        <f si="14" t="shared"/>
        <v>39981.000000000007</v>
      </c>
      <c r="Y24" s="14" t="str">
        <f>$A$11</f>
        <v>Seattle Downtown</v>
      </c>
      <c r="Z24" s="4">
        <f si="15" t="shared"/>
        <v>-2813.7574191905605</v>
      </c>
      <c r="AA24" s="4">
        <f si="9" t="shared"/>
        <v>-1396.1966251477606</v>
      </c>
      <c r="AB24" s="4">
        <f si="9" t="shared"/>
        <v>2416.4677490103309</v>
      </c>
      <c r="AC24" s="4">
        <f si="9" t="shared"/>
        <v>1330.4936732103558</v>
      </c>
      <c r="AD24" s="4">
        <f si="9" t="shared"/>
        <v>462.99262211763016</v>
      </c>
      <c r="AE24" s="4">
        <f si="9" t="shared"/>
        <v>0</v>
      </c>
      <c r="AG24" s="14" t="str">
        <f>$A$11</f>
        <v>Seattle Downtown</v>
      </c>
      <c r="AH24" s="17">
        <f si="16" t="shared"/>
        <v>-0.1593852147483435</v>
      </c>
      <c r="AI24" s="17">
        <f si="17" t="shared"/>
        <v>-7.4308735845582188E-2</v>
      </c>
      <c r="AJ24" s="17">
        <f si="18" t="shared"/>
        <v>0.78386569691052987</v>
      </c>
      <c r="AK24" s="17">
        <f si="19" t="shared"/>
        <v>4.0859322523712276</v>
      </c>
      <c r="AL24" s="17">
        <f si="20" t="shared"/>
        <v>3.5706567232342334</v>
      </c>
      <c r="AM24" s="17">
        <f si="21" t="shared"/>
        <v>-1.8198538341170614E-16</v>
      </c>
    </row>
    <row r="25" spans="1:39" x14ac:dyDescent="0.25">
      <c r="A25" s="14" t="str">
        <f>$A$12</f>
        <v>Rest</v>
      </c>
      <c r="B25" s="15">
        <f si="32" t="shared"/>
        <v>57282.764942238806</v>
      </c>
      <c r="C25" s="15">
        <f si="32" t="shared"/>
        <v>297928.90283112606</v>
      </c>
      <c r="D25" s="15">
        <f si="32" t="shared"/>
        <v>400130.85173247382</v>
      </c>
      <c r="E25" s="15">
        <f si="32" t="shared"/>
        <v>170032.31869155707</v>
      </c>
      <c r="F25" s="15">
        <f si="32" t="shared"/>
        <v>87383.161802604154</v>
      </c>
      <c r="G25" s="15">
        <f si="32" t="shared"/>
        <v>1012757.9999999999</v>
      </c>
      <c r="I25" s="14" t="str">
        <f>$A$12</f>
        <v>Rest</v>
      </c>
      <c r="J25" s="15" t="e">
        <f ref="J25:O26" si="35" t="shared">($W12/$O12)*J12</f>
        <v>#DIV/0!</v>
      </c>
      <c r="K25" s="15" t="e">
        <f si="35" t="shared"/>
        <v>#DIV/0!</v>
      </c>
      <c r="L25" s="15" t="e">
        <f si="35" t="shared"/>
        <v>#DIV/0!</v>
      </c>
      <c r="M25" s="15" t="e">
        <f si="35" t="shared"/>
        <v>#DIV/0!</v>
      </c>
      <c r="N25" s="15" t="e">
        <f si="35" t="shared"/>
        <v>#DIV/0!</v>
      </c>
      <c r="O25" s="15" t="e">
        <f si="35" t="shared"/>
        <v>#DIV/0!</v>
      </c>
      <c r="Q25" s="14" t="str">
        <f>$A$12</f>
        <v>Rest</v>
      </c>
      <c r="R25" s="15">
        <f si="34" t="shared"/>
        <v>52302.611434994142</v>
      </c>
      <c r="S25" s="15">
        <f si="34" t="shared"/>
        <v>299692.28452301468</v>
      </c>
      <c r="T25" s="15">
        <f si="34" t="shared"/>
        <v>401795.8716368954</v>
      </c>
      <c r="U25" s="15">
        <f si="34" t="shared"/>
        <v>177733.69221695827</v>
      </c>
      <c r="V25" s="15">
        <f si="34" t="shared"/>
        <v>81233.540188137515</v>
      </c>
      <c r="W25" s="15">
        <f ref="W25" si="36" t="shared">SUM(R25:V25)</f>
        <v>1012758</v>
      </c>
      <c r="Y25" s="14" t="str">
        <f>Q25</f>
        <v>Rest</v>
      </c>
      <c r="Z25" s="4">
        <f ref="Z25" si="37" t="shared">R25-B25</f>
        <v>-4980.1535072446641</v>
      </c>
      <c r="AA25" s="4">
        <f ref="AA25" si="38" t="shared">S25-C25</f>
        <v>1763.381691888615</v>
      </c>
      <c r="AB25" s="4">
        <f ref="AB25" si="39" t="shared">T25-D25</f>
        <v>1665.0199044215842</v>
      </c>
      <c r="AC25" s="4">
        <f ref="AC25" si="40" t="shared">U25-E25</f>
        <v>7701.373525401199</v>
      </c>
      <c r="AD25" s="4">
        <f ref="AD25" si="41" t="shared">V25-F25</f>
        <v>-6149.6216144666396</v>
      </c>
      <c r="AE25" s="4">
        <f ref="AE25" si="42" t="shared">W25-G25</f>
        <v>0</v>
      </c>
      <c r="AG25" s="14" t="str">
        <f>Y25</f>
        <v>Rest</v>
      </c>
      <c r="AH25" s="17">
        <f ref="AH25" si="43" t="shared">(R12-B25)/B25</f>
        <v>-8.6939824086117556E-2</v>
      </c>
      <c r="AI25" s="17">
        <f ref="AI25" si="44" t="shared">(S12-C25)/C25</f>
        <v>5.9188003417316856E-3</v>
      </c>
      <c r="AJ25" s="17">
        <f ref="AJ25" si="45" t="shared">(T12-D25)/D25</f>
        <v>4.1611885142383651E-3</v>
      </c>
      <c r="AK25" s="17">
        <f ref="AK25" si="46" t="shared">(U12-E25)/E25</f>
        <v>4.5293586446772428E-2</v>
      </c>
      <c r="AL25" s="17">
        <f ref="AL25" si="47" t="shared">(V12-F25)/F25</f>
        <v>-7.0375361655583529E-2</v>
      </c>
      <c r="AM25" s="17">
        <f ref="AM25" si="48" t="shared">(W12-G25)/G25</f>
        <v>1.1494880497308818E-16</v>
      </c>
    </row>
    <row ht="15.75" r="26" spans="1:39" thickBot="1" x14ac:dyDescent="0.3">
      <c r="A26" s="7" t="str">
        <f>$A$13</f>
        <v>Total</v>
      </c>
      <c r="B26" s="8">
        <f ref="B26:G26" si="49" t="shared">($W13/$G13)*B13</f>
        <v>127145.91498077277</v>
      </c>
      <c r="C26" s="8">
        <f si="49" t="shared"/>
        <v>493954.4835037365</v>
      </c>
      <c r="D26" s="8">
        <f si="49" t="shared"/>
        <v>561592.86150248768</v>
      </c>
      <c r="E26" s="8">
        <f si="49" t="shared"/>
        <v>215637.75133618058</v>
      </c>
      <c r="F26" s="8">
        <f si="49" t="shared"/>
        <v>108367.9886768226</v>
      </c>
      <c r="G26" s="8">
        <f si="49" t="shared"/>
        <v>1506699</v>
      </c>
      <c r="I26" s="7" t="str">
        <f>$A$13</f>
        <v>Total</v>
      </c>
      <c r="J26" s="8" t="e">
        <f si="35" t="shared"/>
        <v>#DIV/0!</v>
      </c>
      <c r="K26" s="8" t="e">
        <f si="35" t="shared"/>
        <v>#DIV/0!</v>
      </c>
      <c r="L26" s="8" t="e">
        <f si="35" t="shared"/>
        <v>#DIV/0!</v>
      </c>
      <c r="M26" s="8" t="e">
        <f si="35" t="shared"/>
        <v>#DIV/0!</v>
      </c>
      <c r="N26" s="8" t="e">
        <f si="35" t="shared"/>
        <v>#DIV/0!</v>
      </c>
      <c r="O26" s="8" t="e">
        <f si="35" t="shared"/>
        <v>#DIV/0!</v>
      </c>
      <c r="Q26" s="7" t="str">
        <f>$A$13</f>
        <v>Total</v>
      </c>
      <c r="R26" s="8">
        <f>SUM(R19:R25)</f>
        <v>110685.57598452416</v>
      </c>
      <c r="S26" s="8">
        <f ref="S26:W26" si="50" t="shared">SUM(S19:S25)</f>
        <v>477919.8564330361</v>
      </c>
      <c r="T26" s="8">
        <f si="50" t="shared"/>
        <v>568169.18090797379</v>
      </c>
      <c r="U26" s="8">
        <f si="50" t="shared"/>
        <v>241935.56716192968</v>
      </c>
      <c r="V26" s="8">
        <f si="50" t="shared"/>
        <v>107988.81951253628</v>
      </c>
      <c r="W26" s="8">
        <f si="50" t="shared"/>
        <v>1506699</v>
      </c>
      <c r="Y26" s="7" t="str">
        <f>$A$13</f>
        <v>Total</v>
      </c>
      <c r="Z26" s="4">
        <f si="15" t="shared"/>
        <v>-16460.338996248611</v>
      </c>
      <c r="AA26" s="4">
        <f si="9" t="shared"/>
        <v>-16034.627070700401</v>
      </c>
      <c r="AB26" s="4">
        <f si="9" t="shared"/>
        <v>6576.3194054861087</v>
      </c>
      <c r="AC26" s="4">
        <f si="9" t="shared"/>
        <v>26297.815825749101</v>
      </c>
      <c r="AD26" s="4">
        <f si="9" t="shared"/>
        <v>-379.16916428631521</v>
      </c>
      <c r="AE26" s="4">
        <f si="9" t="shared"/>
        <v>0</v>
      </c>
      <c r="AG26" s="7" t="str">
        <f>$A$13</f>
        <v>Total</v>
      </c>
      <c r="AH26" s="17">
        <f si="16" t="shared"/>
        <v>-0.12946022684832439</v>
      </c>
      <c r="AI26" s="17">
        <f si="17" t="shared"/>
        <v>-3.2461750234481085E-2</v>
      </c>
      <c r="AJ26" s="17">
        <f si="18" t="shared"/>
        <v>1.1710119298688731E-2</v>
      </c>
      <c r="AK26" s="17">
        <f si="19" t="shared"/>
        <v>0.12195367305954997</v>
      </c>
      <c r="AL26" s="17">
        <f si="20" t="shared"/>
        <v>-3.4989037714548881E-3</v>
      </c>
      <c r="AM26" s="17">
        <f si="21" t="shared"/>
        <v>0</v>
      </c>
    </row>
    <row r="27" spans="1:39" x14ac:dyDescent="0.25">
      <c r="Q27" s="14"/>
      <c r="R27" s="15"/>
      <c r="S27" s="15"/>
      <c r="T27" s="15"/>
      <c r="U27" s="15"/>
      <c r="V27" s="15"/>
      <c r="W27" s="15"/>
    </row>
    <row r="29" spans="1:39" x14ac:dyDescent="0.25">
      <c r="A29" s="1" t="s">
        <v>135</v>
      </c>
      <c r="I29" s="1" t="s">
        <v>19</v>
      </c>
      <c r="Q29" s="16" t="s">
        <v>12</v>
      </c>
    </row>
    <row ht="15.75" r="30" spans="1:39" thickBot="1" x14ac:dyDescent="0.3">
      <c r="A30" s="12"/>
      <c r="B30" s="10" t="s">
        <v>2</v>
      </c>
      <c r="C30" s="9"/>
      <c r="D30" s="9"/>
      <c r="E30" s="9"/>
      <c r="F30" s="9"/>
      <c r="G30" s="9"/>
      <c r="I30" s="12"/>
      <c r="J30" s="10" t="s">
        <v>2</v>
      </c>
      <c r="K30" s="9"/>
      <c r="L30" s="9"/>
      <c r="M30" s="9"/>
      <c r="N30" s="9"/>
      <c r="O30" s="9"/>
      <c r="Q30" s="12"/>
      <c r="R30" s="10" t="s">
        <v>2</v>
      </c>
      <c r="S30" s="9"/>
      <c r="T30" s="9"/>
      <c r="U30" s="9"/>
      <c r="V30" s="9"/>
      <c r="W30" s="9"/>
    </row>
    <row r="31" spans="1:39" x14ac:dyDescent="0.25">
      <c r="A31" s="11" t="s">
        <v>10</v>
      </c>
      <c r="B31" s="2">
        <v>0</v>
      </c>
      <c r="C31" s="2">
        <v>1</v>
      </c>
      <c r="D31" s="2">
        <v>2</v>
      </c>
      <c r="E31" s="2">
        <v>3</v>
      </c>
      <c r="F31" s="2" t="s">
        <v>3</v>
      </c>
      <c r="G31" s="2" t="s">
        <v>4</v>
      </c>
      <c r="I31" s="11" t="s">
        <v>10</v>
      </c>
      <c r="J31" s="2">
        <v>0</v>
      </c>
      <c r="K31" s="2">
        <v>1</v>
      </c>
      <c r="L31" s="2">
        <v>2</v>
      </c>
      <c r="M31" s="2">
        <v>3</v>
      </c>
      <c r="N31" s="2" t="s">
        <v>3</v>
      </c>
      <c r="O31" s="2" t="s">
        <v>4</v>
      </c>
      <c r="Q31" s="11" t="s">
        <v>10</v>
      </c>
      <c r="R31" s="2">
        <v>0</v>
      </c>
      <c r="S31" s="2">
        <v>1</v>
      </c>
      <c r="T31" s="2">
        <v>2</v>
      </c>
      <c r="U31" s="2">
        <v>3</v>
      </c>
      <c r="V31" s="2" t="s">
        <v>3</v>
      </c>
      <c r="W31" s="2" t="s">
        <v>4</v>
      </c>
    </row>
    <row r="32" spans="1:39" x14ac:dyDescent="0.25">
      <c r="A32" s="3" t="str">
        <f>$A$6</f>
        <v>Bellevue</v>
      </c>
      <c r="B32" s="17">
        <f>B19/$G$26</f>
        <v>1.4278871020343116E-3</v>
      </c>
      <c r="C32" s="17">
        <f ref="C32:G32" si="51" t="shared">C19/$G$26</f>
        <v>1.4291307742108631E-2</v>
      </c>
      <c r="D32" s="17">
        <f si="51" t="shared"/>
        <v>1.6253301999369984E-2</v>
      </c>
      <c r="E32" s="17">
        <f si="51" t="shared"/>
        <v>4.5408119206416632E-3</v>
      </c>
      <c r="F32" s="17">
        <f si="51" t="shared"/>
        <v>3.6181308930032098E-3</v>
      </c>
      <c r="G32" s="17">
        <f si="51" t="shared"/>
        <v>4.0131439657157798E-2</v>
      </c>
      <c r="I32" s="3" t="str">
        <f>$A$6</f>
        <v>Bellevue</v>
      </c>
      <c r="J32" s="17" t="e">
        <f>J19/$O$26</f>
        <v>#DIV/0!</v>
      </c>
      <c r="K32" s="17" t="e">
        <f ref="K32:O32" si="52" t="shared">K19/$O$26</f>
        <v>#DIV/0!</v>
      </c>
      <c r="L32" s="17" t="e">
        <f si="52" t="shared"/>
        <v>#DIV/0!</v>
      </c>
      <c r="M32" s="17" t="e">
        <f si="52" t="shared"/>
        <v>#DIV/0!</v>
      </c>
      <c r="N32" s="17" t="e">
        <f si="52" t="shared"/>
        <v>#DIV/0!</v>
      </c>
      <c r="O32" s="17" t="e">
        <f si="52" t="shared"/>
        <v>#DIV/0!</v>
      </c>
      <c r="Q32" s="3" t="str">
        <f>$A$6</f>
        <v>Bellevue</v>
      </c>
      <c r="R32" s="17">
        <f>R6/$W$13</f>
        <v>1.8718071758194569E-3</v>
      </c>
      <c r="S32" s="17">
        <f ref="S32:W32" si="53" t="shared">S6/$W$13</f>
        <v>1.1357942097260302E-2</v>
      </c>
      <c r="T32" s="17">
        <f si="53" t="shared"/>
        <v>1.6536481407368027E-2</v>
      </c>
      <c r="U32" s="17">
        <f si="53" t="shared"/>
        <v>7.2502868854363084E-3</v>
      </c>
      <c r="V32" s="17">
        <f si="53" t="shared"/>
        <v>3.1149220912737052E-3</v>
      </c>
      <c r="W32" s="17">
        <f si="53" t="shared"/>
        <v>4.0131439657157798E-2</v>
      </c>
    </row>
    <row r="33" spans="1:23" x14ac:dyDescent="0.25">
      <c r="A33" s="3" t="str">
        <f>$A$7</f>
        <v>Bellevue Downtown</v>
      </c>
      <c r="B33" s="17">
        <f ref="B33:G39" si="54" t="shared">B20/$G$26</f>
        <v>1.0240580119640144E-3</v>
      </c>
      <c r="C33" s="17">
        <f si="54" t="shared"/>
        <v>2.0582027490917503E-3</v>
      </c>
      <c r="D33" s="17">
        <f si="54" t="shared"/>
        <v>7.1777316015177737E-4</v>
      </c>
      <c r="E33" s="17">
        <f si="54" t="shared"/>
        <v>1.5563340186096748E-4</v>
      </c>
      <c r="F33" s="17">
        <f si="54" t="shared"/>
        <v>0</v>
      </c>
      <c r="G33" s="17">
        <f si="54" t="shared"/>
        <v>3.955667323068509E-3</v>
      </c>
      <c r="I33" s="3" t="str">
        <f>$A$7</f>
        <v>Bellevue Downtown</v>
      </c>
      <c r="J33" s="17" t="e">
        <f ref="J33:O39" si="55" t="shared">J20/$O$26</f>
        <v>#DIV/0!</v>
      </c>
      <c r="K33" s="17" t="e">
        <f si="55" t="shared"/>
        <v>#DIV/0!</v>
      </c>
      <c r="L33" s="17" t="e">
        <f si="55" t="shared"/>
        <v>#DIV/0!</v>
      </c>
      <c r="M33" s="17" t="e">
        <f si="55" t="shared"/>
        <v>#DIV/0!</v>
      </c>
      <c r="N33" s="17" t="e">
        <f si="55" t="shared"/>
        <v>#DIV/0!</v>
      </c>
      <c r="O33" s="17" t="e">
        <f si="55" t="shared"/>
        <v>#DIV/0!</v>
      </c>
      <c r="Q33" s="3" t="str">
        <f>$A$7</f>
        <v>Bellevue Downtown</v>
      </c>
      <c r="R33" s="17">
        <f ref="R33:W39" si="56" t="shared">R7/$W$13</f>
        <v>9.661850177109031E-4</v>
      </c>
      <c r="S33" s="17">
        <f si="56" t="shared"/>
        <v>1.8402813036976862E-3</v>
      </c>
      <c r="T33" s="17">
        <f si="56" t="shared"/>
        <v>8.0722825196007965E-4</v>
      </c>
      <c r="U33" s="17">
        <f si="56" t="shared"/>
        <v>2.5104549747494354E-4</v>
      </c>
      <c r="V33" s="17">
        <f si="56" t="shared"/>
        <v>9.0927252224896939E-5</v>
      </c>
      <c r="W33" s="17">
        <f si="56" t="shared"/>
        <v>3.955667323068509E-3</v>
      </c>
    </row>
    <row r="34" spans="1:23" x14ac:dyDescent="0.25">
      <c r="A34" s="3" t="str">
        <f>$A$8</f>
        <v>Kirkland</v>
      </c>
      <c r="B34" s="17">
        <f si="54" t="shared"/>
        <v>1.3337580765693327E-3</v>
      </c>
      <c r="C34" s="17">
        <f si="54" t="shared"/>
        <v>1.1260497846249119E-2</v>
      </c>
      <c r="D34" s="17">
        <f si="54" t="shared"/>
        <v>1.6878603177389463E-2</v>
      </c>
      <c r="E34" s="17">
        <f si="54" t="shared"/>
        <v>5.8185011951564563E-3</v>
      </c>
      <c r="F34" s="17">
        <f si="54" t="shared"/>
        <v>2.3903531722890923E-3</v>
      </c>
      <c r="G34" s="17">
        <f si="54" t="shared"/>
        <v>3.7681713467653456E-2</v>
      </c>
      <c r="I34" s="3" t="str">
        <f>$A$8</f>
        <v>Kirkland</v>
      </c>
      <c r="J34" s="17" t="e">
        <f si="55" t="shared"/>
        <v>#DIV/0!</v>
      </c>
      <c r="K34" s="17" t="e">
        <f si="55" t="shared"/>
        <v>#DIV/0!</v>
      </c>
      <c r="L34" s="17" t="e">
        <f si="55" t="shared"/>
        <v>#DIV/0!</v>
      </c>
      <c r="M34" s="17" t="e">
        <f si="55" t="shared"/>
        <v>#DIV/0!</v>
      </c>
      <c r="N34" s="17" t="e">
        <f si="55" t="shared"/>
        <v>#DIV/0!</v>
      </c>
      <c r="O34" s="17" t="e">
        <f si="55" t="shared"/>
        <v>#DIV/0!</v>
      </c>
      <c r="Q34" s="3" t="str">
        <f>$A$8</f>
        <v>Kirkland</v>
      </c>
      <c r="R34" s="17">
        <f si="56" t="shared"/>
        <v>2.0807075600368752E-3</v>
      </c>
      <c r="S34" s="17">
        <f si="56" t="shared"/>
        <v>1.2064453484073461E-2</v>
      </c>
      <c r="T34" s="17">
        <f si="56" t="shared"/>
        <v>1.4863950928486712E-2</v>
      </c>
      <c r="U34" s="17">
        <f si="56" t="shared"/>
        <v>6.1301228712569667E-3</v>
      </c>
      <c r="V34" s="17">
        <f si="56" t="shared"/>
        <v>2.5424786237994452E-3</v>
      </c>
      <c r="W34" s="17">
        <f si="56" t="shared"/>
        <v>3.7681713467653456E-2</v>
      </c>
    </row>
    <row r="35" spans="1:23" x14ac:dyDescent="0.25">
      <c r="A35" s="14" t="str">
        <f>$A$9</f>
        <v>Redmond</v>
      </c>
      <c r="B35" s="72">
        <f si="54" t="shared"/>
        <v>1.3426505497967981E-3</v>
      </c>
      <c r="C35" s="72">
        <f si="54" t="shared"/>
        <v>1.0175789234028679E-2</v>
      </c>
      <c r="D35" s="72">
        <f si="54" t="shared"/>
        <v>1.1102936997354467E-2</v>
      </c>
      <c r="E35" s="72">
        <f si="54" t="shared"/>
        <v>4.1833780201527924E-3</v>
      </c>
      <c r="F35" s="72">
        <f si="54" t="shared"/>
        <v>1.8691873729170666E-3</v>
      </c>
      <c r="G35" s="72">
        <f si="54" t="shared"/>
        <v>2.8673942174249799E-2</v>
      </c>
      <c r="H35" s="73"/>
      <c r="I35" s="14" t="str">
        <f>$A$9</f>
        <v>Redmond</v>
      </c>
      <c r="J35" s="72" t="e">
        <f si="55" t="shared"/>
        <v>#DIV/0!</v>
      </c>
      <c r="K35" s="72" t="e">
        <f si="55" t="shared"/>
        <v>#DIV/0!</v>
      </c>
      <c r="L35" s="72" t="e">
        <f si="55" t="shared"/>
        <v>#DIV/0!</v>
      </c>
      <c r="M35" s="72" t="e">
        <f si="55" t="shared"/>
        <v>#DIV/0!</v>
      </c>
      <c r="N35" s="72" t="e">
        <f si="55" t="shared"/>
        <v>#DIV/0!</v>
      </c>
      <c r="O35" s="72" t="e">
        <f si="55" t="shared"/>
        <v>#DIV/0!</v>
      </c>
      <c r="Q35" s="3" t="str">
        <f>$A$9</f>
        <v>Redmond</v>
      </c>
      <c r="R35" s="17">
        <f si="56" t="shared"/>
        <v>1.1198321628938493E-3</v>
      </c>
      <c r="S35" s="17">
        <f si="56" t="shared"/>
        <v>7.8562473327452934E-3</v>
      </c>
      <c r="T35" s="17">
        <f si="56" t="shared"/>
        <v>1.1847588669004228E-2</v>
      </c>
      <c r="U35" s="17">
        <f si="56" t="shared"/>
        <v>5.5434097985065361E-3</v>
      </c>
      <c r="V35" s="17">
        <f si="56" t="shared"/>
        <v>2.3068642110998946E-3</v>
      </c>
      <c r="W35" s="17">
        <f si="56" t="shared"/>
        <v>2.8673942174249799E-2</v>
      </c>
    </row>
    <row r="36" spans="1:23" x14ac:dyDescent="0.25">
      <c r="A36" s="14" t="str">
        <f>$A$10</f>
        <v>Seattle</v>
      </c>
      <c r="B36" s="72">
        <f si="54" t="shared"/>
        <v>2.8719601128473975E-2</v>
      </c>
      <c r="C36" s="72">
        <f si="54" t="shared"/>
        <v>7.8521889077353454E-2</v>
      </c>
      <c r="D36" s="72">
        <f si="54" t="shared"/>
        <v>6.0967299265383412E-2</v>
      </c>
      <c r="E36" s="72">
        <f si="54" t="shared"/>
        <v>1.6149775803811089E-2</v>
      </c>
      <c r="F36" s="72">
        <f si="54" t="shared"/>
        <v>6.4930912270399167E-3</v>
      </c>
      <c r="G36" s="72">
        <f si="54" t="shared"/>
        <v>0.19085165650206182</v>
      </c>
      <c r="H36" s="73"/>
      <c r="I36" s="14" t="str">
        <f>$A$10</f>
        <v>Seattle</v>
      </c>
      <c r="J36" s="72" t="e">
        <f si="55" t="shared"/>
        <v>#DIV/0!</v>
      </c>
      <c r="K36" s="72" t="e">
        <f si="55" t="shared"/>
        <v>#DIV/0!</v>
      </c>
      <c r="L36" s="72" t="e">
        <f si="55" t="shared"/>
        <v>#DIV/0!</v>
      </c>
      <c r="M36" s="72" t="e">
        <f si="55" t="shared"/>
        <v>#DIV/0!</v>
      </c>
      <c r="N36" s="72" t="e">
        <f si="55" t="shared"/>
        <v>#DIV/0!</v>
      </c>
      <c r="O36" s="72" t="e">
        <f si="55" t="shared"/>
        <v>#DIV/0!</v>
      </c>
      <c r="Q36" s="3" t="str">
        <f>$A$10</f>
        <v>Seattle</v>
      </c>
      <c r="R36" s="17">
        <f si="56" t="shared"/>
        <v>2.2861006036442939E-2</v>
      </c>
      <c r="S36" s="17">
        <f si="56" t="shared"/>
        <v>7.3627437745206387E-2</v>
      </c>
      <c r="T36" s="17">
        <f si="56" t="shared"/>
        <v>6.2717294004138308E-2</v>
      </c>
      <c r="U36" s="17">
        <f si="56" t="shared"/>
        <v>2.2336912242515067E-2</v>
      </c>
      <c r="V36" s="17">
        <f si="56" t="shared"/>
        <v>9.3090064737591256E-3</v>
      </c>
      <c r="W36" s="17">
        <f si="56" t="shared"/>
        <v>0.19085165650206182</v>
      </c>
    </row>
    <row r="37" spans="1:23" x14ac:dyDescent="0.25">
      <c r="A37" s="14" t="str">
        <f>$A$11</f>
        <v>Seattle Downtown</v>
      </c>
      <c r="B37" s="72">
        <f si="54" t="shared"/>
        <v>1.1716883753568589E-2</v>
      </c>
      <c r="C37" s="72">
        <f si="54" t="shared"/>
        <v>1.2470395023760199E-2</v>
      </c>
      <c r="D37" s="72">
        <f si="54" t="shared"/>
        <v>2.0460339877619413E-3</v>
      </c>
      <c r="E37" s="72">
        <f si="54" t="shared"/>
        <v>2.1612009623410986E-4</v>
      </c>
      <c r="F37" s="72">
        <f si="54" t="shared"/>
        <v>8.6059629212426327E-5</v>
      </c>
      <c r="G37" s="72">
        <f si="54" t="shared"/>
        <v>2.6535492490537271E-2</v>
      </c>
      <c r="H37" s="73"/>
      <c r="I37" s="14" t="str">
        <f>$A$11</f>
        <v>Seattle Downtown</v>
      </c>
      <c r="J37" s="72" t="e">
        <f si="55" t="shared"/>
        <v>#DIV/0!</v>
      </c>
      <c r="K37" s="72" t="e">
        <f si="55" t="shared"/>
        <v>#DIV/0!</v>
      </c>
      <c r="L37" s="72" t="e">
        <f si="55" t="shared"/>
        <v>#DIV/0!</v>
      </c>
      <c r="M37" s="72" t="e">
        <f si="55" t="shared"/>
        <v>#DIV/0!</v>
      </c>
      <c r="N37" s="72" t="e">
        <f si="55" t="shared"/>
        <v>#DIV/0!</v>
      </c>
      <c r="O37" s="72" t="e">
        <f si="55" t="shared"/>
        <v>#DIV/0!</v>
      </c>
      <c r="Q37" s="14" t="str">
        <f>$A$11</f>
        <v>Seattle Downtown</v>
      </c>
      <c r="R37" s="72">
        <f si="56" t="shared"/>
        <v>9.8493857203246823E-3</v>
      </c>
      <c r="S37" s="72">
        <f si="56" t="shared"/>
        <v>1.1543735734049541E-2</v>
      </c>
      <c r="T37" s="72">
        <f si="56" t="shared"/>
        <v>3.6498498454815859E-3</v>
      </c>
      <c r="U37" s="72">
        <f si="56" t="shared"/>
        <v>1.0991721678226328E-3</v>
      </c>
      <c r="V37" s="72">
        <f si="56" t="shared"/>
        <v>3.9334902285882164E-4</v>
      </c>
      <c r="W37" s="72">
        <f si="56" t="shared"/>
        <v>2.6535492490537264E-2</v>
      </c>
    </row>
    <row r="38" spans="1:23" x14ac:dyDescent="0.25">
      <c r="A38" s="14" t="str">
        <f>A25</f>
        <v>Rest</v>
      </c>
      <c r="B38" s="72">
        <f si="54" t="shared"/>
        <v>3.8018718365273228E-2</v>
      </c>
      <c r="C38" s="72">
        <f si="54" t="shared"/>
        <v>0.1977361787796541</v>
      </c>
      <c r="D38" s="72">
        <f si="54" t="shared"/>
        <v>0.26556787502512036</v>
      </c>
      <c r="E38" s="72">
        <f si="54" t="shared"/>
        <v>0.11285088706606765</v>
      </c>
      <c r="F38" s="72">
        <f si="54" t="shared"/>
        <v>5.7996429149155974E-2</v>
      </c>
      <c r="G38" s="72">
        <f si="54" t="shared"/>
        <v>0.67217008838527126</v>
      </c>
      <c r="H38" s="73"/>
      <c r="I38" s="14" t="str">
        <f>$A$12</f>
        <v>Rest</v>
      </c>
      <c r="J38" s="72" t="e">
        <f si="55" t="shared"/>
        <v>#DIV/0!</v>
      </c>
      <c r="K38" s="72" t="e">
        <f si="55" t="shared"/>
        <v>#DIV/0!</v>
      </c>
      <c r="L38" s="72" t="e">
        <f si="55" t="shared"/>
        <v>#DIV/0!</v>
      </c>
      <c r="M38" s="72" t="e">
        <f si="55" t="shared"/>
        <v>#DIV/0!</v>
      </c>
      <c r="N38" s="72" t="e">
        <f si="55" t="shared"/>
        <v>#DIV/0!</v>
      </c>
      <c r="O38" s="72" t="e">
        <f si="55" t="shared"/>
        <v>#DIV/0!</v>
      </c>
      <c r="Q38" s="14" t="str">
        <f>A38</f>
        <v>Rest</v>
      </c>
      <c r="R38" s="72">
        <f si="56" t="shared"/>
        <v>3.4713377678616729E-2</v>
      </c>
      <c r="S38" s="72">
        <f si="56" t="shared"/>
        <v>0.19890653974218783</v>
      </c>
      <c r="T38" s="72">
        <f si="56" t="shared"/>
        <v>0.26667295301642557</v>
      </c>
      <c r="U38" s="72">
        <f si="56" t="shared"/>
        <v>0.11796230847498954</v>
      </c>
      <c r="V38" s="72">
        <f si="56" t="shared"/>
        <v>5.3914909473051692E-2</v>
      </c>
      <c r="W38" s="72">
        <f si="56" t="shared"/>
        <v>0.67217008838527137</v>
      </c>
    </row>
    <row ht="15.75" r="39" spans="1:23" thickBot="1" x14ac:dyDescent="0.3">
      <c r="A39" s="7" t="str">
        <f>$A$13</f>
        <v>Total</v>
      </c>
      <c r="B39" s="19">
        <f si="54" t="shared"/>
        <v>8.4387070662934507E-2</v>
      </c>
      <c r="C39" s="19">
        <f si="54" t="shared"/>
        <v>0.3278388606508244</v>
      </c>
      <c r="D39" s="19">
        <f si="54" t="shared"/>
        <v>0.37273062602582713</v>
      </c>
      <c r="E39" s="19">
        <f si="54" t="shared"/>
        <v>0.14311932996317153</v>
      </c>
      <c r="F39" s="19">
        <f si="54" t="shared"/>
        <v>7.1924112697242512E-2</v>
      </c>
      <c r="G39" s="19">
        <f si="54" t="shared"/>
        <v>1</v>
      </c>
      <c r="H39" s="73"/>
      <c r="I39" s="7" t="str">
        <f>$A$13</f>
        <v>Total</v>
      </c>
      <c r="J39" s="19" t="e">
        <f si="55" t="shared"/>
        <v>#DIV/0!</v>
      </c>
      <c r="K39" s="19" t="e">
        <f si="55" t="shared"/>
        <v>#DIV/0!</v>
      </c>
      <c r="L39" s="19" t="e">
        <f si="55" t="shared"/>
        <v>#DIV/0!</v>
      </c>
      <c r="M39" s="19" t="e">
        <f si="55" t="shared"/>
        <v>#DIV/0!</v>
      </c>
      <c r="N39" s="19" t="e">
        <f si="55" t="shared"/>
        <v>#DIV/0!</v>
      </c>
      <c r="O39" s="19" t="e">
        <f si="55" t="shared"/>
        <v>#DIV/0!</v>
      </c>
      <c r="Q39" s="7" t="str">
        <f>$A$13</f>
        <v>Total</v>
      </c>
      <c r="R39" s="19">
        <f si="56" t="shared"/>
        <v>7.3462301351845435E-2</v>
      </c>
      <c r="S39" s="19">
        <f si="56" t="shared"/>
        <v>0.3171966374392205</v>
      </c>
      <c r="T39" s="19">
        <f si="56" t="shared"/>
        <v>0.37709534612286449</v>
      </c>
      <c r="U39" s="19">
        <f si="56" t="shared"/>
        <v>0.16057325793800201</v>
      </c>
      <c r="V39" s="19">
        <f si="56" t="shared"/>
        <v>7.1672457148067581E-2</v>
      </c>
      <c r="W39" s="19">
        <f si="56" t="shared"/>
        <v>1</v>
      </c>
    </row>
    <row r="40" spans="1:23" x14ac:dyDescent="0.25">
      <c r="A40" s="14"/>
      <c r="B40" s="17"/>
      <c r="C40" s="72"/>
      <c r="D40" s="72"/>
      <c r="E40" s="72"/>
      <c r="F40" s="72"/>
      <c r="G40" s="72"/>
      <c r="I40" s="14"/>
      <c r="J40" s="72"/>
      <c r="K40" s="72"/>
      <c r="L40" s="72"/>
      <c r="M40" s="72"/>
      <c r="N40" s="72"/>
      <c r="O40" s="72"/>
      <c r="Q40" s="14"/>
      <c r="R40" s="72"/>
      <c r="S40" s="72"/>
      <c r="T40" s="72"/>
      <c r="U40" s="72"/>
      <c r="V40" s="72"/>
      <c r="W40" s="72"/>
    </row>
    <row r="42" spans="1:23" x14ac:dyDescent="0.25">
      <c r="Q42" s="1" t="s">
        <v>20</v>
      </c>
    </row>
    <row ht="15.75" r="43" spans="1:23" thickBot="1" x14ac:dyDescent="0.3">
      <c r="Q43" s="12"/>
      <c r="R43" s="10" t="s">
        <v>2</v>
      </c>
      <c r="S43" s="9"/>
      <c r="T43" s="9"/>
      <c r="U43" s="9"/>
      <c r="V43" s="9"/>
      <c r="W43" s="9"/>
    </row>
    <row r="44" spans="1:23" x14ac:dyDescent="0.25">
      <c r="Q44" s="11" t="s">
        <v>10</v>
      </c>
      <c r="R44" s="2">
        <v>0</v>
      </c>
      <c r="S44" s="2">
        <v>1</v>
      </c>
      <c r="T44" s="2">
        <v>2</v>
      </c>
      <c r="U44" s="2">
        <v>3</v>
      </c>
      <c r="V44" s="2" t="s">
        <v>3</v>
      </c>
      <c r="W44" s="2" t="s">
        <v>4</v>
      </c>
    </row>
    <row r="45" spans="1:23" x14ac:dyDescent="0.25">
      <c r="Q45" s="3" t="str">
        <f>$A$6</f>
        <v>Bellevue</v>
      </c>
      <c r="R45" s="17" t="e">
        <f>R32-J32</f>
        <v>#DIV/0!</v>
      </c>
      <c r="S45" s="17" t="e">
        <f ref="S45:W45" si="57" t="shared">S32-K32</f>
        <v>#DIV/0!</v>
      </c>
      <c r="T45" s="17" t="e">
        <f si="57" t="shared"/>
        <v>#DIV/0!</v>
      </c>
      <c r="U45" s="17" t="e">
        <f si="57" t="shared"/>
        <v>#DIV/0!</v>
      </c>
      <c r="V45" s="17" t="e">
        <f si="57" t="shared"/>
        <v>#DIV/0!</v>
      </c>
      <c r="W45" s="17" t="e">
        <f si="57" t="shared"/>
        <v>#DIV/0!</v>
      </c>
    </row>
    <row r="46" spans="1:23" x14ac:dyDescent="0.25">
      <c r="Q46" s="3" t="str">
        <f>$A$7</f>
        <v>Bellevue Downtown</v>
      </c>
      <c r="R46" s="17" t="e">
        <f ref="R46:W46" si="58" t="shared">R33-J33</f>
        <v>#DIV/0!</v>
      </c>
      <c r="S46" s="17" t="e">
        <f si="58" t="shared"/>
        <v>#DIV/0!</v>
      </c>
      <c r="T46" s="17" t="e">
        <f si="58" t="shared"/>
        <v>#DIV/0!</v>
      </c>
      <c r="U46" s="17" t="e">
        <f si="58" t="shared"/>
        <v>#DIV/0!</v>
      </c>
      <c r="V46" s="17" t="e">
        <f si="58" t="shared"/>
        <v>#DIV/0!</v>
      </c>
      <c r="W46" s="17" t="e">
        <f si="58" t="shared"/>
        <v>#DIV/0!</v>
      </c>
    </row>
    <row r="47" spans="1:23" x14ac:dyDescent="0.25">
      <c r="Q47" s="3" t="str">
        <f>$A$8</f>
        <v>Kirkland</v>
      </c>
      <c r="R47" s="17" t="e">
        <f ref="R47:R49" si="59" t="shared">R34-J34</f>
        <v>#DIV/0!</v>
      </c>
      <c r="S47" s="17" t="e">
        <f ref="S47:S49" si="60" t="shared">S34-K34</f>
        <v>#DIV/0!</v>
      </c>
      <c r="T47" s="17" t="e">
        <f ref="T47:T49" si="61" t="shared">T34-L34</f>
        <v>#DIV/0!</v>
      </c>
      <c r="U47" s="17" t="e">
        <f ref="U47:U49" si="62" t="shared">U34-M34</f>
        <v>#DIV/0!</v>
      </c>
      <c r="V47" s="17" t="e">
        <f ref="V47:V49" si="63" t="shared">V34-N34</f>
        <v>#DIV/0!</v>
      </c>
      <c r="W47" s="17" t="e">
        <f ref="W47:W49" si="64" t="shared">W34-O34</f>
        <v>#DIV/0!</v>
      </c>
    </row>
    <row r="48" spans="1:23" x14ac:dyDescent="0.25">
      <c r="Q48" s="3" t="str">
        <f>$A$9</f>
        <v>Redmond</v>
      </c>
      <c r="R48" s="17" t="e">
        <f si="59" t="shared"/>
        <v>#DIV/0!</v>
      </c>
      <c r="S48" s="17" t="e">
        <f si="60" t="shared"/>
        <v>#DIV/0!</v>
      </c>
      <c r="T48" s="17" t="e">
        <f si="61" t="shared"/>
        <v>#DIV/0!</v>
      </c>
      <c r="U48" s="17" t="e">
        <f si="62" t="shared"/>
        <v>#DIV/0!</v>
      </c>
      <c r="V48" s="17" t="e">
        <f si="63" t="shared"/>
        <v>#DIV/0!</v>
      </c>
      <c r="W48" s="17" t="e">
        <f si="64" t="shared"/>
        <v>#DIV/0!</v>
      </c>
    </row>
    <row r="49" spans="17:23" x14ac:dyDescent="0.25">
      <c r="Q49" s="3" t="str">
        <f>$A$10</f>
        <v>Seattle</v>
      </c>
      <c r="R49" s="17" t="e">
        <f si="59" t="shared"/>
        <v>#DIV/0!</v>
      </c>
      <c r="S49" s="17" t="e">
        <f si="60" t="shared"/>
        <v>#DIV/0!</v>
      </c>
      <c r="T49" s="17" t="e">
        <f si="61" t="shared"/>
        <v>#DIV/0!</v>
      </c>
      <c r="U49" s="17" t="e">
        <f si="62" t="shared"/>
        <v>#DIV/0!</v>
      </c>
      <c r="V49" s="17" t="e">
        <f si="63" t="shared"/>
        <v>#DIV/0!</v>
      </c>
      <c r="W49" s="17" t="e">
        <f si="64" t="shared"/>
        <v>#DIV/0!</v>
      </c>
    </row>
    <row r="50" spans="17:23" x14ac:dyDescent="0.25">
      <c r="Q50" s="14" t="str">
        <f>$A$11</f>
        <v>Seattle Downtown</v>
      </c>
      <c r="R50" s="72" t="e">
        <f ref="R50:W50" si="65" t="shared">R37-J37</f>
        <v>#DIV/0!</v>
      </c>
      <c r="S50" s="72" t="e">
        <f si="65" t="shared"/>
        <v>#DIV/0!</v>
      </c>
      <c r="T50" s="72" t="e">
        <f si="65" t="shared"/>
        <v>#DIV/0!</v>
      </c>
      <c r="U50" s="72" t="e">
        <f si="65" t="shared"/>
        <v>#DIV/0!</v>
      </c>
      <c r="V50" s="72" t="e">
        <f si="65" t="shared"/>
        <v>#DIV/0!</v>
      </c>
      <c r="W50" s="72" t="e">
        <f si="65" t="shared"/>
        <v>#DIV/0!</v>
      </c>
    </row>
    <row r="51" spans="17:23" x14ac:dyDescent="0.25">
      <c r="Q51" s="14" t="str">
        <f>$A$12</f>
        <v>Rest</v>
      </c>
      <c r="R51" s="72" t="e">
        <f ref="R51:W52" si="66" t="shared">R38-J38</f>
        <v>#DIV/0!</v>
      </c>
      <c r="S51" s="72" t="e">
        <f si="66" t="shared"/>
        <v>#DIV/0!</v>
      </c>
      <c r="T51" s="72" t="e">
        <f si="66" t="shared"/>
        <v>#DIV/0!</v>
      </c>
      <c r="U51" s="72" t="e">
        <f si="66" t="shared"/>
        <v>#DIV/0!</v>
      </c>
      <c r="V51" s="72" t="e">
        <f si="66" t="shared"/>
        <v>#DIV/0!</v>
      </c>
      <c r="W51" s="72" t="e">
        <f si="66" t="shared"/>
        <v>#DIV/0!</v>
      </c>
    </row>
    <row ht="15.75" r="52" spans="17:23" thickBot="1" x14ac:dyDescent="0.3">
      <c r="Q52" s="7" t="str">
        <f>$A$13</f>
        <v>Total</v>
      </c>
      <c r="R52" s="19" t="e">
        <f si="66" t="shared"/>
        <v>#DIV/0!</v>
      </c>
      <c r="S52" s="19" t="e">
        <f ref="S52" si="67" t="shared">S39-K39</f>
        <v>#DIV/0!</v>
      </c>
      <c r="T52" s="19" t="e">
        <f ref="T52" si="68" t="shared">T39-L39</f>
        <v>#DIV/0!</v>
      </c>
      <c r="U52" s="19" t="e">
        <f ref="U52" si="69" t="shared">U39-M39</f>
        <v>#DIV/0!</v>
      </c>
      <c r="V52" s="19" t="e">
        <f ref="V52" si="70" t="shared">V39-N39</f>
        <v>#DIV/0!</v>
      </c>
      <c r="W52" s="19" t="e">
        <f ref="W52" si="71" t="shared">W39-O39</f>
        <v>#DIV/0!</v>
      </c>
    </row>
  </sheetData>
  <pageMargins bottom="0.75" footer="0.3" header="0.3" left="0.7" right="0.7" top="0.75"/>
  <pageSetup horizontalDpi="4294967293" orientation="portrait" r:id="rId1" verticalDpi="0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M38"/>
  <sheetViews>
    <sheetView workbookViewId="0">
      <selection activeCell="N12" sqref="N12"/>
    </sheetView>
  </sheetViews>
  <sheetFormatPr defaultRowHeight="15" x14ac:dyDescent="0.25"/>
  <cols>
    <col min="1" max="23" customWidth="true" width="9.28515625" collapsed="true"/>
  </cols>
  <sheetData>
    <row ht="21" r="1" spans="1:39" x14ac:dyDescent="0.35">
      <c r="A1" s="13" t="s">
        <v>133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6" t="s">
        <v>11</v>
      </c>
      <c r="I3" s="16" t="s">
        <v>11</v>
      </c>
      <c r="Q3" s="16" t="s">
        <v>11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5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5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5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 t="s">
        <v>6</v>
      </c>
      <c r="B6" s="4" t="n">
        <v>46087.6197</v>
      </c>
      <c r="C6" s="4" t="n">
        <v>71182.4518</v>
      </c>
      <c r="D6" s="4" t="n">
        <v>45999.8784</v>
      </c>
      <c r="E6" s="4" t="n">
        <v>20799.2564</v>
      </c>
      <c r="F6" s="4" t="n">
        <v>7631.19</v>
      </c>
      <c r="G6" s="4">
        <f>SUM(B6:F6)</f>
        <v>215162.08120000002</v>
      </c>
      <c r="I6" s="3" t="s">
        <v>6</v>
      </c>
      <c r="O6" s="4"/>
      <c r="Q6" s="3" t="s">
        <v>6</v>
      </c>
      <c r="R6" s="50" t="n">
        <v>42790.0</v>
      </c>
      <c r="S6" s="54" t="n">
        <v>68296.0</v>
      </c>
      <c r="T6" s="58" t="n">
        <v>12887.0</v>
      </c>
      <c r="U6" s="62" t="n">
        <v>3101.0</v>
      </c>
      <c r="V6" s="66" t="n">
        <v>1133.0</v>
      </c>
      <c r="W6" s="4">
        <f>SUM(R6:V6)</f>
        <v>130700.19045911886</v>
      </c>
    </row>
    <row r="7" spans="1:39" x14ac:dyDescent="0.25">
      <c r="A7" s="3" t="s">
        <v>7</v>
      </c>
      <c r="B7" s="4" t="n">
        <v>61806.1655</v>
      </c>
      <c r="C7" s="4" t="n">
        <v>206202.8451</v>
      </c>
      <c r="D7" s="4" t="n">
        <v>97213.1404</v>
      </c>
      <c r="E7" s="4" t="n">
        <v>27836.1211</v>
      </c>
      <c r="F7" s="4" t="n">
        <v>9610.6728</v>
      </c>
      <c r="G7" s="4">
        <f ref="G7:G10" si="0" t="shared">SUM(B7:F7)</f>
        <v>436271.20319999999</v>
      </c>
      <c r="I7" s="3" t="s">
        <v>7</v>
      </c>
      <c r="O7" s="4"/>
      <c r="Q7" s="3" t="s">
        <v>7</v>
      </c>
      <c r="R7" s="51" t="n">
        <v>45058.0</v>
      </c>
      <c r="S7" s="55" t="n">
        <v>192561.0</v>
      </c>
      <c r="T7" s="59" t="n">
        <v>118219.0</v>
      </c>
      <c r="U7" s="63" t="n">
        <v>29068.0</v>
      </c>
      <c r="V7" s="67" t="n">
        <v>10905.0</v>
      </c>
      <c r="W7" s="4">
        <f ref="W7:W10" si="1" t="shared">SUM(R7:V7)</f>
        <v>414289.80954088114</v>
      </c>
    </row>
    <row r="8" spans="1:39" x14ac:dyDescent="0.25">
      <c r="A8" s="3" t="s">
        <v>8</v>
      </c>
      <c r="B8" s="4" t="n">
        <v>6745.4148</v>
      </c>
      <c r="C8" s="4" t="n">
        <v>81022.3566</v>
      </c>
      <c r="D8" s="4" t="n">
        <v>93264.2027</v>
      </c>
      <c r="E8" s="4" t="n">
        <v>31407.2098</v>
      </c>
      <c r="F8" s="4" t="n">
        <v>15173.966</v>
      </c>
      <c r="G8" s="4">
        <f si="0" t="shared"/>
        <v>249524.66700000002</v>
      </c>
      <c r="I8" s="3" t="s">
        <v>8</v>
      </c>
      <c r="O8" s="4"/>
      <c r="Q8" s="3" t="s">
        <v>8</v>
      </c>
      <c r="R8" s="52" t="n">
        <v>10961.0</v>
      </c>
      <c r="S8" s="56" t="n">
        <v>89966.0</v>
      </c>
      <c r="T8" s="60" t="n">
        <v>110992.0</v>
      </c>
      <c r="U8" s="64" t="n">
        <v>39156.0</v>
      </c>
      <c r="V8" s="68" t="n">
        <v>13445.0</v>
      </c>
      <c r="W8" s="4">
        <f si="1" t="shared"/>
        <v>269358.71631679701</v>
      </c>
    </row>
    <row r="9" spans="1:39" x14ac:dyDescent="0.25">
      <c r="A9" s="5" t="s">
        <v>9</v>
      </c>
      <c r="B9" s="4" t="n">
        <v>6306.1716</v>
      </c>
      <c r="C9" s="4" t="n">
        <v>84504.7686</v>
      </c>
      <c r="D9" s="4" t="n">
        <v>264511.9107</v>
      </c>
      <c r="E9" s="4" t="n">
        <v>116217.3461</v>
      </c>
      <c r="F9" s="4" t="n">
        <v>66591.31940000001</v>
      </c>
      <c r="G9" s="6">
        <f si="0" t="shared"/>
        <v>629361.01080000005</v>
      </c>
      <c r="I9" s="5" t="s">
        <v>9</v>
      </c>
      <c r="J9" s="70"/>
      <c r="K9" s="70"/>
      <c r="L9" s="70"/>
      <c r="M9" s="70"/>
      <c r="N9" s="70"/>
      <c r="O9" s="6"/>
      <c r="Q9" s="5" t="s">
        <v>9</v>
      </c>
      <c r="R9" s="53" t="n">
        <v>13577.0</v>
      </c>
      <c r="S9" s="57" t="n">
        <v>122822.0</v>
      </c>
      <c r="T9" s="61" t="n">
        <v>321148.0</v>
      </c>
      <c r="U9" s="65" t="n">
        <v>154153.0</v>
      </c>
      <c r="V9" s="69" t="n">
        <v>72437.0</v>
      </c>
      <c r="W9" s="6">
        <f si="1" t="shared"/>
        <v>692350.28368320304</v>
      </c>
    </row>
    <row ht="15.75" r="10" spans="1:39" thickBot="1" x14ac:dyDescent="0.3">
      <c r="A10" s="7" t="s">
        <v>4</v>
      </c>
      <c r="B10" s="8">
        <f>SUM(B6:B9)</f>
        <v>129139.13439999998</v>
      </c>
      <c r="C10" s="8">
        <f ref="C10:F10" si="2" t="shared">SUM(C6:C9)</f>
        <v>501698.02499999997</v>
      </c>
      <c r="D10" s="8">
        <f si="2" t="shared"/>
        <v>570396.74479999999</v>
      </c>
      <c r="E10" s="8">
        <f si="2" t="shared"/>
        <v>219018.22450000001</v>
      </c>
      <c r="F10" s="8">
        <f si="2" t="shared"/>
        <v>110066.83350000001</v>
      </c>
      <c r="G10" s="8">
        <f si="0" t="shared"/>
        <v>1530318.9622</v>
      </c>
      <c r="I10" s="7" t="s">
        <v>4</v>
      </c>
      <c r="J10" s="8"/>
      <c r="K10" s="8"/>
      <c r="L10" s="8"/>
      <c r="M10" s="8"/>
      <c r="N10" s="8"/>
      <c r="O10" s="8"/>
      <c r="Q10" s="7" t="s">
        <v>4</v>
      </c>
      <c r="R10" s="8">
        <f>SUM(R6:R9)</f>
        <v>110685.57598452414</v>
      </c>
      <c r="S10" s="8">
        <f ref="S10" si="3" t="shared">SUM(S6:S9)</f>
        <v>477919.8564330361</v>
      </c>
      <c r="T10" s="8">
        <f ref="T10" si="4" t="shared">SUM(T6:T9)</f>
        <v>568169.18090797379</v>
      </c>
      <c r="U10" s="8">
        <f ref="U10" si="5" t="shared">SUM(U6:U9)</f>
        <v>241935.56716192965</v>
      </c>
      <c r="V10" s="8">
        <f ref="V10" si="6" t="shared">SUM(V6:V9)</f>
        <v>107988.81951253628</v>
      </c>
      <c r="W10" s="8">
        <f si="1" t="shared"/>
        <v>1506698.9999999998</v>
      </c>
    </row>
    <row r="13" spans="1:39" x14ac:dyDescent="0.25">
      <c r="A13" s="16" t="s">
        <v>11</v>
      </c>
      <c r="I13" s="16" t="s">
        <v>11</v>
      </c>
      <c r="Q13" s="16" t="s">
        <v>11</v>
      </c>
      <c r="Y13" s="1" t="s">
        <v>21</v>
      </c>
      <c r="AG13" s="1" t="s">
        <v>22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5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5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5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5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5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 t="s">
        <v>6</v>
      </c>
      <c r="B16" s="4">
        <f ref="B16:G20" si="7" t="shared">($W6/$G6)*B6</f>
        <v>29427.777453799426</v>
      </c>
      <c r="C16" s="4">
        <f si="7" t="shared"/>
        <v>48994.261332380738</v>
      </c>
      <c r="D16" s="4">
        <f si="7" t="shared"/>
        <v>33098.580656130682</v>
      </c>
      <c r="E16" s="4">
        <f si="7" t="shared"/>
        <v>14268.332527710307</v>
      </c>
      <c r="F16" s="4">
        <f si="7" t="shared"/>
        <v>4911.2384890976982</v>
      </c>
      <c r="G16" s="4">
        <f si="7" t="shared"/>
        <v>130700.19045911885</v>
      </c>
      <c r="I16" s="3" t="s">
        <v>6</v>
      </c>
      <c r="J16" s="4" t="e">
        <f ref="J16:O20" si="8" t="shared">($W6/$O6)*J6</f>
        <v>#DIV/0!</v>
      </c>
      <c r="K16" s="4" t="e">
        <f si="8" t="shared"/>
        <v>#DIV/0!</v>
      </c>
      <c r="L16" s="4" t="e">
        <f si="8" t="shared"/>
        <v>#DIV/0!</v>
      </c>
      <c r="M16" s="4" t="e">
        <f si="8" t="shared"/>
        <v>#DIV/0!</v>
      </c>
      <c r="N16" s="4" t="e">
        <f si="8" t="shared"/>
        <v>#DIV/0!</v>
      </c>
      <c r="O16" s="4" t="e">
        <f si="8" t="shared"/>
        <v>#DIV/0!</v>
      </c>
      <c r="Q16" s="3" t="s">
        <v>6</v>
      </c>
      <c r="R16" s="4">
        <f ref="R16:V19" si="9" t="shared">R6</f>
        <v>43997.02890114476</v>
      </c>
      <c r="S16" s="4">
        <f si="9" t="shared"/>
        <v>67359.932414972354</v>
      </c>
      <c r="T16" s="4">
        <f si="9" t="shared"/>
        <v>14524.120803211266</v>
      </c>
      <c r="U16" s="4">
        <f si="9" t="shared"/>
        <v>3559.5707485888233</v>
      </c>
      <c r="V16" s="4">
        <f si="9" t="shared"/>
        <v>1259.5375912016573</v>
      </c>
      <c r="W16" s="4">
        <f>SUM(R16:V16)</f>
        <v>130700.19045911886</v>
      </c>
      <c r="Y16" s="3" t="s">
        <v>6</v>
      </c>
      <c r="Z16" s="4" t="e">
        <f>R16-J16</f>
        <v>#DIV/0!</v>
      </c>
      <c r="AA16" s="4" t="e">
        <f ref="AA16:AA20" si="10" t="shared">S16-K16</f>
        <v>#DIV/0!</v>
      </c>
      <c r="AB16" s="4" t="e">
        <f ref="AB16:AB20" si="11" t="shared">T16-L16</f>
        <v>#DIV/0!</v>
      </c>
      <c r="AC16" s="4" t="e">
        <f ref="AC16:AC20" si="12" t="shared">U16-M16</f>
        <v>#DIV/0!</v>
      </c>
      <c r="AD16" s="4" t="e">
        <f ref="AD16:AD20" si="13" t="shared">V16-N16</f>
        <v>#DIV/0!</v>
      </c>
      <c r="AE16" s="4" t="e">
        <f ref="AE16:AE20" si="14" t="shared">W16-O16</f>
        <v>#DIV/0!</v>
      </c>
      <c r="AG16" s="3" t="s">
        <v>6</v>
      </c>
      <c r="AH16" s="17" t="e">
        <f>Z16/J16</f>
        <v>#DIV/0!</v>
      </c>
      <c r="AI16" s="17" t="e">
        <f ref="AI16:AI20" si="15" t="shared">AA16/K16</f>
        <v>#DIV/0!</v>
      </c>
      <c r="AJ16" s="17" t="e">
        <f ref="AJ16:AJ20" si="16" t="shared">AB16/L16</f>
        <v>#DIV/0!</v>
      </c>
      <c r="AK16" s="17" t="e">
        <f ref="AK16:AK20" si="17" t="shared">AC16/M16</f>
        <v>#DIV/0!</v>
      </c>
      <c r="AL16" s="17" t="e">
        <f ref="AL16:AL20" si="18" t="shared">AD16/N16</f>
        <v>#DIV/0!</v>
      </c>
      <c r="AM16" s="17" t="e">
        <f ref="AM16:AM20" si="19" t="shared">AE16/O16</f>
        <v>#DIV/0!</v>
      </c>
    </row>
    <row r="17" spans="1:39" x14ac:dyDescent="0.25">
      <c r="A17" s="3" t="s">
        <v>7</v>
      </c>
      <c r="B17" s="4">
        <f si="7" t="shared"/>
        <v>62031.886904289153</v>
      </c>
      <c r="C17" s="4">
        <f si="7" t="shared"/>
        <v>215998.34075814052</v>
      </c>
      <c r="D17" s="4">
        <f si="7" t="shared"/>
        <v>99439.340675635627</v>
      </c>
      <c r="E17" s="4">
        <f si="7" t="shared"/>
        <v>26433.606491302573</v>
      </c>
      <c r="F17" s="4">
        <f si="7" t="shared"/>
        <v>10386.634711513298</v>
      </c>
      <c r="G17" s="4">
        <f si="7" t="shared"/>
        <v>414289.80954088114</v>
      </c>
      <c r="I17" s="3" t="s">
        <v>7</v>
      </c>
      <c r="J17" s="4" t="e">
        <f si="8" t="shared"/>
        <v>#DIV/0!</v>
      </c>
      <c r="K17" s="4" t="e">
        <f si="8" t="shared"/>
        <v>#DIV/0!</v>
      </c>
      <c r="L17" s="4" t="e">
        <f si="8" t="shared"/>
        <v>#DIV/0!</v>
      </c>
      <c r="M17" s="4" t="e">
        <f si="8" t="shared"/>
        <v>#DIV/0!</v>
      </c>
      <c r="N17" s="4" t="e">
        <f si="8" t="shared"/>
        <v>#DIV/0!</v>
      </c>
      <c r="O17" s="4" t="e">
        <f si="8" t="shared"/>
        <v>#DIV/0!</v>
      </c>
      <c r="Q17" s="3" t="s">
        <v>7</v>
      </c>
      <c r="R17" s="4">
        <f si="9" t="shared"/>
        <v>45392.186797213537</v>
      </c>
      <c r="S17" s="4">
        <f si="9" t="shared"/>
        <v>198425.2286759532</v>
      </c>
      <c r="T17" s="4">
        <f si="9" t="shared"/>
        <v>125396.52985865259</v>
      </c>
      <c r="U17" s="4">
        <f si="9" t="shared"/>
        <v>32201.287932389034</v>
      </c>
      <c r="V17" s="4">
        <f si="9" t="shared"/>
        <v>12874.576276672798</v>
      </c>
      <c r="W17" s="4">
        <f ref="W17:W20" si="20" t="shared">SUM(R17:V17)</f>
        <v>414289.80954088114</v>
      </c>
      <c r="Y17" s="3" t="s">
        <v>7</v>
      </c>
      <c r="Z17" s="4" t="e">
        <f ref="Z17:Z20" si="21" t="shared">R17-J17</f>
        <v>#DIV/0!</v>
      </c>
      <c r="AA17" s="4" t="e">
        <f si="10" t="shared"/>
        <v>#DIV/0!</v>
      </c>
      <c r="AB17" s="4" t="e">
        <f si="11" t="shared"/>
        <v>#DIV/0!</v>
      </c>
      <c r="AC17" s="4" t="e">
        <f si="12" t="shared"/>
        <v>#DIV/0!</v>
      </c>
      <c r="AD17" s="4" t="e">
        <f si="13" t="shared"/>
        <v>#DIV/0!</v>
      </c>
      <c r="AE17" s="4" t="e">
        <f si="14" t="shared"/>
        <v>#DIV/0!</v>
      </c>
      <c r="AG17" s="3" t="s">
        <v>7</v>
      </c>
      <c r="AH17" s="17" t="e">
        <f ref="AH17:AH20" si="22" t="shared">Z17/J17</f>
        <v>#DIV/0!</v>
      </c>
      <c r="AI17" s="17" t="e">
        <f si="15" t="shared"/>
        <v>#DIV/0!</v>
      </c>
      <c r="AJ17" s="17" t="e">
        <f si="16" t="shared"/>
        <v>#DIV/0!</v>
      </c>
      <c r="AK17" s="17" t="e">
        <f si="17" t="shared"/>
        <v>#DIV/0!</v>
      </c>
      <c r="AL17" s="17" t="e">
        <f si="18" t="shared"/>
        <v>#DIV/0!</v>
      </c>
      <c r="AM17" s="17" t="e">
        <f si="19" t="shared"/>
        <v>#DIV/0!</v>
      </c>
    </row>
    <row r="18" spans="1:39" x14ac:dyDescent="0.25">
      <c r="A18" s="3" t="s">
        <v>8</v>
      </c>
      <c r="B18" s="4">
        <f si="7" t="shared"/>
        <v>7618.9916667738153</v>
      </c>
      <c r="C18" s="4">
        <f si="7" t="shared"/>
        <v>100826.94198523037</v>
      </c>
      <c r="D18" s="4">
        <f si="7" t="shared"/>
        <v>107816.84438355052</v>
      </c>
      <c r="E18" s="4">
        <f si="7" t="shared"/>
        <v>36715.834252510249</v>
      </c>
      <c r="F18" s="4">
        <f si="7" t="shared"/>
        <v>16380.104028732048</v>
      </c>
      <c r="G18" s="4">
        <f si="7" t="shared"/>
        <v>269358.71631679701</v>
      </c>
      <c r="I18" s="3" t="s">
        <v>8</v>
      </c>
      <c r="J18" s="4" t="e">
        <f si="8" t="shared"/>
        <v>#DIV/0!</v>
      </c>
      <c r="K18" s="4" t="e">
        <f si="8" t="shared"/>
        <v>#DIV/0!</v>
      </c>
      <c r="L18" s="4" t="e">
        <f si="8" t="shared"/>
        <v>#DIV/0!</v>
      </c>
      <c r="M18" s="4" t="e">
        <f si="8" t="shared"/>
        <v>#DIV/0!</v>
      </c>
      <c r="N18" s="4" t="e">
        <f si="8" t="shared"/>
        <v>#DIV/0!</v>
      </c>
      <c r="O18" s="4" t="e">
        <f si="8" t="shared"/>
        <v>#DIV/0!</v>
      </c>
      <c r="Q18" s="3" t="s">
        <v>8</v>
      </c>
      <c r="R18" s="4">
        <f si="9" t="shared"/>
        <v>9977.0185777785973</v>
      </c>
      <c r="S18" s="4">
        <f si="9" t="shared"/>
        <v>89809.523571025988</v>
      </c>
      <c r="T18" s="4">
        <f si="9" t="shared"/>
        <v>111797.11950709044</v>
      </c>
      <c r="U18" s="4">
        <f si="9" t="shared"/>
        <v>42427.018551579284</v>
      </c>
      <c r="V18" s="4">
        <f si="9" t="shared"/>
        <v>15348.036109322751</v>
      </c>
      <c r="W18" s="4">
        <f si="20" t="shared"/>
        <v>269358.71631679701</v>
      </c>
      <c r="Y18" s="3" t="s">
        <v>8</v>
      </c>
      <c r="Z18" s="4" t="e">
        <f si="21" t="shared"/>
        <v>#DIV/0!</v>
      </c>
      <c r="AA18" s="4" t="e">
        <f si="10" t="shared"/>
        <v>#DIV/0!</v>
      </c>
      <c r="AB18" s="4" t="e">
        <f si="11" t="shared"/>
        <v>#DIV/0!</v>
      </c>
      <c r="AC18" s="4" t="e">
        <f si="12" t="shared"/>
        <v>#DIV/0!</v>
      </c>
      <c r="AD18" s="4" t="e">
        <f si="13" t="shared"/>
        <v>#DIV/0!</v>
      </c>
      <c r="AE18" s="4" t="e">
        <f si="14" t="shared"/>
        <v>#DIV/0!</v>
      </c>
      <c r="AG18" s="3" t="s">
        <v>8</v>
      </c>
      <c r="AH18" s="17" t="e">
        <f si="22" t="shared"/>
        <v>#DIV/0!</v>
      </c>
      <c r="AI18" s="17" t="e">
        <f si="15" t="shared"/>
        <v>#DIV/0!</v>
      </c>
      <c r="AJ18" s="17" t="e">
        <f si="16" t="shared"/>
        <v>#DIV/0!</v>
      </c>
      <c r="AK18" s="17" t="e">
        <f si="17" t="shared"/>
        <v>#DIV/0!</v>
      </c>
      <c r="AL18" s="17" t="e">
        <f si="18" t="shared"/>
        <v>#DIV/0!</v>
      </c>
      <c r="AM18" s="17" t="e">
        <f si="19" t="shared"/>
        <v>#DIV/0!</v>
      </c>
    </row>
    <row r="19" spans="1:39" x14ac:dyDescent="0.25">
      <c r="A19" s="5" t="s">
        <v>9</v>
      </c>
      <c r="B19" s="4">
        <f si="7" t="shared"/>
        <v>9145.2307044905338</v>
      </c>
      <c r="C19" s="4">
        <f si="7" t="shared"/>
        <v>110207.54886855329</v>
      </c>
      <c r="D19" s="4">
        <f si="7" t="shared"/>
        <v>342473.65512115619</v>
      </c>
      <c r="E19" s="4">
        <f si="7" t="shared"/>
        <v>147060.2971724385</v>
      </c>
      <c r="F19" s="4">
        <f si="7" t="shared"/>
        <v>83463.55181656449</v>
      </c>
      <c r="G19" s="6">
        <f si="7" t="shared"/>
        <v>692350.28368320304</v>
      </c>
      <c r="I19" s="5" t="s">
        <v>9</v>
      </c>
      <c r="J19" s="6" t="e">
        <f si="8" t="shared"/>
        <v>#DIV/0!</v>
      </c>
      <c r="K19" s="6" t="e">
        <f si="8" t="shared"/>
        <v>#DIV/0!</v>
      </c>
      <c r="L19" s="6" t="e">
        <f si="8" t="shared"/>
        <v>#DIV/0!</v>
      </c>
      <c r="M19" s="6" t="e">
        <f si="8" t="shared"/>
        <v>#DIV/0!</v>
      </c>
      <c r="N19" s="6" t="e">
        <f si="8" t="shared"/>
        <v>#DIV/0!</v>
      </c>
      <c r="O19" s="6" t="e">
        <f si="8" t="shared"/>
        <v>#DIV/0!</v>
      </c>
      <c r="Q19" s="5" t="s">
        <v>9</v>
      </c>
      <c r="R19" s="4">
        <f si="9" t="shared"/>
        <v>11319.341708387254</v>
      </c>
      <c r="S19" s="4">
        <f si="9" t="shared"/>
        <v>122325.17177108456</v>
      </c>
      <c r="T19" s="4">
        <f si="9" t="shared"/>
        <v>316451.41073901957</v>
      </c>
      <c r="U19" s="4">
        <f si="9" t="shared"/>
        <v>163747.68992937251</v>
      </c>
      <c r="V19" s="4">
        <f si="9" t="shared"/>
        <v>78506.669535339068</v>
      </c>
      <c r="W19" s="6">
        <f si="20" t="shared"/>
        <v>692350.28368320304</v>
      </c>
      <c r="Y19" s="5" t="s">
        <v>9</v>
      </c>
      <c r="Z19" s="4" t="e">
        <f si="21" t="shared"/>
        <v>#DIV/0!</v>
      </c>
      <c r="AA19" s="4" t="e">
        <f si="10" t="shared"/>
        <v>#DIV/0!</v>
      </c>
      <c r="AB19" s="4" t="e">
        <f si="11" t="shared"/>
        <v>#DIV/0!</v>
      </c>
      <c r="AC19" s="4" t="e">
        <f si="12" t="shared"/>
        <v>#DIV/0!</v>
      </c>
      <c r="AD19" s="4" t="e">
        <f si="13" t="shared"/>
        <v>#DIV/0!</v>
      </c>
      <c r="AE19" s="6" t="e">
        <f si="14" t="shared"/>
        <v>#DIV/0!</v>
      </c>
      <c r="AG19" s="5" t="s">
        <v>9</v>
      </c>
      <c r="AH19" s="17" t="e">
        <f si="22" t="shared"/>
        <v>#DIV/0!</v>
      </c>
      <c r="AI19" s="17" t="e">
        <f si="15" t="shared"/>
        <v>#DIV/0!</v>
      </c>
      <c r="AJ19" s="17" t="e">
        <f si="16" t="shared"/>
        <v>#DIV/0!</v>
      </c>
      <c r="AK19" s="17" t="e">
        <f si="17" t="shared"/>
        <v>#DIV/0!</v>
      </c>
      <c r="AL19" s="17" t="e">
        <f si="18" t="shared"/>
        <v>#DIV/0!</v>
      </c>
      <c r="AM19" s="18" t="e">
        <f si="19" t="shared"/>
        <v>#DIV/0!</v>
      </c>
    </row>
    <row ht="15.75" r="20" spans="1:39" thickBot="1" x14ac:dyDescent="0.3">
      <c r="A20" s="7" t="s">
        <v>4</v>
      </c>
      <c r="B20" s="8">
        <f si="7" t="shared"/>
        <v>127145.91498077272</v>
      </c>
      <c r="C20" s="8">
        <f si="7" t="shared"/>
        <v>493954.48350373632</v>
      </c>
      <c r="D20" s="8">
        <f si="7" t="shared"/>
        <v>561592.86150248756</v>
      </c>
      <c r="E20" s="8">
        <f si="7" t="shared"/>
        <v>215637.75133618055</v>
      </c>
      <c r="F20" s="8">
        <f si="7" t="shared"/>
        <v>108367.98867682258</v>
      </c>
      <c r="G20" s="8">
        <f si="7" t="shared"/>
        <v>1506698.9999999998</v>
      </c>
      <c r="I20" s="7" t="s">
        <v>4</v>
      </c>
      <c r="J20" s="8" t="e">
        <f si="8" t="shared"/>
        <v>#DIV/0!</v>
      </c>
      <c r="K20" s="8" t="e">
        <f si="8" t="shared"/>
        <v>#DIV/0!</v>
      </c>
      <c r="L20" s="8" t="e">
        <f si="8" t="shared"/>
        <v>#DIV/0!</v>
      </c>
      <c r="M20" s="8" t="e">
        <f si="8" t="shared"/>
        <v>#DIV/0!</v>
      </c>
      <c r="N20" s="8" t="e">
        <f si="8" t="shared"/>
        <v>#DIV/0!</v>
      </c>
      <c r="O20" s="8" t="e">
        <f si="8" t="shared"/>
        <v>#DIV/0!</v>
      </c>
      <c r="Q20" s="7" t="s">
        <v>4</v>
      </c>
      <c r="R20" s="8">
        <f>SUM(R16:R19)</f>
        <v>110685.57598452414</v>
      </c>
      <c r="S20" s="8">
        <f ref="S20:V20" si="23" t="shared">SUM(S16:S19)</f>
        <v>477919.8564330361</v>
      </c>
      <c r="T20" s="8">
        <f si="23" t="shared"/>
        <v>568169.18090797379</v>
      </c>
      <c r="U20" s="8">
        <f si="23" t="shared"/>
        <v>241935.56716192965</v>
      </c>
      <c r="V20" s="8">
        <f si="23" t="shared"/>
        <v>107988.81951253628</v>
      </c>
      <c r="W20" s="8">
        <f si="20" t="shared"/>
        <v>1506698.9999999998</v>
      </c>
      <c r="Y20" s="7" t="s">
        <v>4</v>
      </c>
      <c r="Z20" s="8" t="e">
        <f si="21" t="shared"/>
        <v>#DIV/0!</v>
      </c>
      <c r="AA20" s="8" t="e">
        <f si="10" t="shared"/>
        <v>#DIV/0!</v>
      </c>
      <c r="AB20" s="8" t="e">
        <f si="11" t="shared"/>
        <v>#DIV/0!</v>
      </c>
      <c r="AC20" s="8" t="e">
        <f si="12" t="shared"/>
        <v>#DIV/0!</v>
      </c>
      <c r="AD20" s="8" t="e">
        <f si="13" t="shared"/>
        <v>#DIV/0!</v>
      </c>
      <c r="AE20" s="8" t="e">
        <f si="14" t="shared"/>
        <v>#DIV/0!</v>
      </c>
      <c r="AG20" s="7" t="s">
        <v>4</v>
      </c>
      <c r="AH20" s="19" t="e">
        <f si="22" t="shared"/>
        <v>#DIV/0!</v>
      </c>
      <c r="AI20" s="19" t="e">
        <f si="15" t="shared"/>
        <v>#DIV/0!</v>
      </c>
      <c r="AJ20" s="19" t="e">
        <f si="16" t="shared"/>
        <v>#DIV/0!</v>
      </c>
      <c r="AK20" s="19" t="e">
        <f si="17" t="shared"/>
        <v>#DIV/0!</v>
      </c>
      <c r="AL20" s="19" t="e">
        <f si="18" t="shared"/>
        <v>#DIV/0!</v>
      </c>
      <c r="AM20" s="19" t="e">
        <f si="19" t="shared"/>
        <v>#DIV/0!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5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5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5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 t="s">
        <v>6</v>
      </c>
      <c r="B25" s="17">
        <f>B16/$G$20</f>
        <v>1.9531291554450776E-2</v>
      </c>
      <c r="C25" s="17">
        <f ref="C25:G25" si="24" t="shared">C16/$G$20</f>
        <v>3.2517617209794888E-2</v>
      </c>
      <c r="D25" s="17">
        <f si="24" t="shared"/>
        <v>2.1967613077416716E-2</v>
      </c>
      <c r="E25" s="17">
        <f si="24" t="shared"/>
        <v>9.4699289823052309E-3</v>
      </c>
      <c r="F25" s="17">
        <f si="24" t="shared"/>
        <v>3.2596016119329071E-3</v>
      </c>
      <c r="G25" s="17">
        <f si="24" t="shared"/>
        <v>8.6746052435900514E-2</v>
      </c>
      <c r="I25" s="3" t="s">
        <v>6</v>
      </c>
      <c r="J25" s="17" t="e">
        <f>J16/$O$20</f>
        <v>#DIV/0!</v>
      </c>
      <c r="K25" s="17" t="e">
        <f ref="K25:O25" si="25" t="shared">K16/$O$20</f>
        <v>#DIV/0!</v>
      </c>
      <c r="L25" s="17" t="e">
        <f si="25" t="shared"/>
        <v>#DIV/0!</v>
      </c>
      <c r="M25" s="17" t="e">
        <f si="25" t="shared"/>
        <v>#DIV/0!</v>
      </c>
      <c r="N25" s="17" t="e">
        <f si="25" t="shared"/>
        <v>#DIV/0!</v>
      </c>
      <c r="O25" s="17" t="e">
        <f si="25" t="shared"/>
        <v>#DIV/0!</v>
      </c>
      <c r="Q25" s="3" t="s">
        <v>6</v>
      </c>
      <c r="R25" s="17">
        <f ref="R25:W29" si="26" t="shared">R6/$W$10</f>
        <v>2.9200941197375697E-2</v>
      </c>
      <c r="S25" s="17">
        <f si="26" t="shared"/>
        <v>4.4706960325169368E-2</v>
      </c>
      <c r="T25" s="17">
        <f si="26" t="shared"/>
        <v>9.6396963183829482E-3</v>
      </c>
      <c r="U25" s="17">
        <f si="26" t="shared"/>
        <v>2.3624962574401547E-3</v>
      </c>
      <c r="V25" s="17">
        <f si="26" t="shared"/>
        <v>8.3595833753235215E-4</v>
      </c>
      <c r="W25" s="17">
        <f si="26" t="shared"/>
        <v>8.6746052435900528E-2</v>
      </c>
    </row>
    <row r="26" spans="1:39" x14ac:dyDescent="0.25">
      <c r="A26" s="3" t="s">
        <v>7</v>
      </c>
      <c r="B26" s="17">
        <f ref="B26:G26" si="27" t="shared">B17/$G$20</f>
        <v>4.1170722821405707E-2</v>
      </c>
      <c r="C26" s="17">
        <f si="27" t="shared"/>
        <v>0.14335865408959622</v>
      </c>
      <c r="D26" s="17">
        <f si="27" t="shared"/>
        <v>6.5998146063437776E-2</v>
      </c>
      <c r="E26" s="17">
        <f si="27" t="shared"/>
        <v>1.7544052588674034E-2</v>
      </c>
      <c r="F26" s="17">
        <f si="27" t="shared"/>
        <v>6.8936361619097771E-3</v>
      </c>
      <c r="G26" s="17">
        <f si="27" t="shared"/>
        <v>0.27496521172502353</v>
      </c>
      <c r="I26" s="3" t="s">
        <v>7</v>
      </c>
      <c r="J26" s="17" t="e">
        <f ref="J26:O26" si="28" t="shared">J17/$O$20</f>
        <v>#DIV/0!</v>
      </c>
      <c r="K26" s="17" t="e">
        <f si="28" t="shared"/>
        <v>#DIV/0!</v>
      </c>
      <c r="L26" s="17" t="e">
        <f si="28" t="shared"/>
        <v>#DIV/0!</v>
      </c>
      <c r="M26" s="17" t="e">
        <f si="28" t="shared"/>
        <v>#DIV/0!</v>
      </c>
      <c r="N26" s="17" t="e">
        <f si="28" t="shared"/>
        <v>#DIV/0!</v>
      </c>
      <c r="O26" s="17" t="e">
        <f si="28" t="shared"/>
        <v>#DIV/0!</v>
      </c>
      <c r="Q26" s="3" t="s">
        <v>7</v>
      </c>
      <c r="R26" s="17">
        <f si="26" t="shared"/>
        <v>3.0126911079926079E-2</v>
      </c>
      <c r="S26" s="17">
        <f si="26" t="shared"/>
        <v>0.13169533442044709</v>
      </c>
      <c r="T26" s="17">
        <f si="26" t="shared"/>
        <v>8.3225999259741071E-2</v>
      </c>
      <c r="U26" s="17">
        <f si="26" t="shared"/>
        <v>2.1372077589743563E-2</v>
      </c>
      <c r="V26" s="17">
        <f si="26" t="shared"/>
        <v>8.544889375165711E-3</v>
      </c>
      <c r="W26" s="17">
        <f si="26" t="shared"/>
        <v>0.27496521172502353</v>
      </c>
    </row>
    <row r="27" spans="1:39" x14ac:dyDescent="0.25">
      <c r="A27" s="3" t="s">
        <v>8</v>
      </c>
      <c r="B27" s="17">
        <f ref="B27:G27" si="29" t="shared">B18/$G$20</f>
        <v>5.0567443575483999E-3</v>
      </c>
      <c r="C27" s="17">
        <f si="29" t="shared"/>
        <v>6.691910062011748E-2</v>
      </c>
      <c r="D27" s="17">
        <f si="29" t="shared"/>
        <v>7.1558316812814327E-2</v>
      </c>
      <c r="E27" s="17">
        <f si="29" t="shared"/>
        <v>2.4368393589237303E-2</v>
      </c>
      <c r="F27" s="17">
        <f si="29" t="shared"/>
        <v>1.0871517156865473E-2</v>
      </c>
      <c r="G27" s="17">
        <f si="29" t="shared"/>
        <v>0.17877407253658298</v>
      </c>
      <c r="I27" s="3" t="s">
        <v>8</v>
      </c>
      <c r="J27" s="17" t="e">
        <f ref="J27:O27" si="30" t="shared">J18/$O$20</f>
        <v>#DIV/0!</v>
      </c>
      <c r="K27" s="17" t="e">
        <f si="30" t="shared"/>
        <v>#DIV/0!</v>
      </c>
      <c r="L27" s="17" t="e">
        <f si="30" t="shared"/>
        <v>#DIV/0!</v>
      </c>
      <c r="M27" s="17" t="e">
        <f si="30" t="shared"/>
        <v>#DIV/0!</v>
      </c>
      <c r="N27" s="17" t="e">
        <f si="30" t="shared"/>
        <v>#DIV/0!</v>
      </c>
      <c r="O27" s="17" t="e">
        <f si="30" t="shared"/>
        <v>#DIV/0!</v>
      </c>
      <c r="Q27" s="3" t="s">
        <v>8</v>
      </c>
      <c r="R27" s="17">
        <f si="26" t="shared"/>
        <v>6.6217728808332646E-3</v>
      </c>
      <c r="S27" s="17">
        <f si="26" t="shared"/>
        <v>5.9606811692996413E-2</v>
      </c>
      <c r="T27" s="17">
        <f si="26" t="shared"/>
        <v>7.4200035645534013E-2</v>
      </c>
      <c r="U27" s="17">
        <f si="26" t="shared"/>
        <v>2.8158921291896583E-2</v>
      </c>
      <c r="V27" s="17">
        <f si="26" t="shared"/>
        <v>1.0186531025322744E-2</v>
      </c>
      <c r="W27" s="17">
        <f si="26" t="shared"/>
        <v>0.17877407253658298</v>
      </c>
    </row>
    <row r="28" spans="1:39" x14ac:dyDescent="0.25">
      <c r="A28" s="5" t="s">
        <v>9</v>
      </c>
      <c r="B28" s="18">
        <f ref="B28:G28" si="31" t="shared">B19/$G$20</f>
        <v>6.0697131308181228E-3</v>
      </c>
      <c r="C28" s="18">
        <f si="31" t="shared"/>
        <v>7.3145033525975206E-2</v>
      </c>
      <c r="D28" s="18">
        <f si="31" t="shared"/>
        <v>0.22730064539842149</v>
      </c>
      <c r="E28" s="18">
        <f si="31" t="shared"/>
        <v>9.7604297323113987E-2</v>
      </c>
      <c r="F28" s="18">
        <f si="31" t="shared"/>
        <v>5.5394973924164349E-2</v>
      </c>
      <c r="G28" s="18">
        <f si="31" t="shared"/>
        <v>0.45951466330249319</v>
      </c>
      <c r="I28" s="5" t="s">
        <v>9</v>
      </c>
      <c r="J28" s="18" t="e">
        <f ref="J28:O28" si="32" t="shared">J19/$O$20</f>
        <v>#DIV/0!</v>
      </c>
      <c r="K28" s="18" t="e">
        <f si="32" t="shared"/>
        <v>#DIV/0!</v>
      </c>
      <c r="L28" s="18" t="e">
        <f si="32" t="shared"/>
        <v>#DIV/0!</v>
      </c>
      <c r="M28" s="18" t="e">
        <f si="32" t="shared"/>
        <v>#DIV/0!</v>
      </c>
      <c r="N28" s="18" t="e">
        <f si="32" t="shared"/>
        <v>#DIV/0!</v>
      </c>
      <c r="O28" s="18" t="e">
        <f si="32" t="shared"/>
        <v>#DIV/0!</v>
      </c>
      <c r="Q28" s="5" t="s">
        <v>9</v>
      </c>
      <c r="R28" s="18">
        <f si="26" t="shared"/>
        <v>7.5126761937103926E-3</v>
      </c>
      <c r="S28" s="18">
        <f si="26" t="shared"/>
        <v>8.1187531000607674E-2</v>
      </c>
      <c r="T28" s="18">
        <f si="26" t="shared"/>
        <v>0.21002961489920655</v>
      </c>
      <c r="U28" s="18">
        <f si="26" t="shared"/>
        <v>0.10867976279892171</v>
      </c>
      <c r="V28" s="18">
        <f si="26" t="shared"/>
        <v>5.2105078410046787E-2</v>
      </c>
      <c r="W28" s="18">
        <f si="26" t="shared"/>
        <v>0.45951466330249319</v>
      </c>
    </row>
    <row ht="15.75" r="29" spans="1:39" thickBot="1" x14ac:dyDescent="0.3">
      <c r="A29" s="7" t="s">
        <v>4</v>
      </c>
      <c r="B29" s="19">
        <f ref="B29:G29" si="33" t="shared">B20/$G$20</f>
        <v>8.4387070662934494E-2</v>
      </c>
      <c r="C29" s="19">
        <f si="33" t="shared"/>
        <v>0.32783886065082435</v>
      </c>
      <c r="D29" s="19">
        <f si="33" t="shared"/>
        <v>0.37273062602582707</v>
      </c>
      <c r="E29" s="19">
        <f si="33" t="shared"/>
        <v>0.14311932996317153</v>
      </c>
      <c r="F29" s="19">
        <f si="33" t="shared"/>
        <v>7.1924112697242512E-2</v>
      </c>
      <c r="G29" s="19">
        <f si="33" t="shared"/>
        <v>1</v>
      </c>
      <c r="I29" s="7" t="s">
        <v>4</v>
      </c>
      <c r="J29" s="19" t="e">
        <f ref="J29:O29" si="34" t="shared">J20/$O$20</f>
        <v>#DIV/0!</v>
      </c>
      <c r="K29" s="19" t="e">
        <f si="34" t="shared"/>
        <v>#DIV/0!</v>
      </c>
      <c r="L29" s="19" t="e">
        <f si="34" t="shared"/>
        <v>#DIV/0!</v>
      </c>
      <c r="M29" s="19" t="e">
        <f si="34" t="shared"/>
        <v>#DIV/0!</v>
      </c>
      <c r="N29" s="19" t="e">
        <f si="34" t="shared"/>
        <v>#DIV/0!</v>
      </c>
      <c r="O29" s="19" t="e">
        <f si="34" t="shared"/>
        <v>#DIV/0!</v>
      </c>
      <c r="Q29" s="7" t="s">
        <v>4</v>
      </c>
      <c r="R29" s="19">
        <f si="26" t="shared"/>
        <v>7.3462301351845435E-2</v>
      </c>
      <c r="S29" s="19">
        <f si="26" t="shared"/>
        <v>0.31719663743922055</v>
      </c>
      <c r="T29" s="19">
        <f si="26" t="shared"/>
        <v>0.37709534612286455</v>
      </c>
      <c r="U29" s="19">
        <f si="26" t="shared"/>
        <v>0.16057325793800201</v>
      </c>
      <c r="V29" s="19">
        <f si="26" t="shared"/>
        <v>7.1672457148067595E-2</v>
      </c>
      <c r="W29" s="19">
        <f si="26" t="shared"/>
        <v>1</v>
      </c>
    </row>
    <row ht="15.75" r="32" spans="1:39" thickBot="1" x14ac:dyDescent="0.3">
      <c r="Q32" s="12"/>
      <c r="R32" s="10" t="s">
        <v>2</v>
      </c>
      <c r="S32" s="9"/>
      <c r="T32" s="9"/>
      <c r="U32" s="9"/>
      <c r="V32" s="9"/>
      <c r="W32" s="9"/>
    </row>
    <row r="33" spans="17:23" x14ac:dyDescent="0.25">
      <c r="Q33" s="11" t="s">
        <v>5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</row>
    <row r="34" spans="17:23" x14ac:dyDescent="0.25">
      <c r="Q34" s="3" t="s">
        <v>6</v>
      </c>
      <c r="R34" s="17" t="e">
        <f>R25-J25</f>
        <v>#DIV/0!</v>
      </c>
      <c r="S34" s="17" t="e">
        <f ref="S34:W34" si="35" t="shared">S25-K25</f>
        <v>#DIV/0!</v>
      </c>
      <c r="T34" s="17" t="e">
        <f si="35" t="shared"/>
        <v>#DIV/0!</v>
      </c>
      <c r="U34" s="17" t="e">
        <f si="35" t="shared"/>
        <v>#DIV/0!</v>
      </c>
      <c r="V34" s="17" t="e">
        <f si="35" t="shared"/>
        <v>#DIV/0!</v>
      </c>
      <c r="W34" s="17" t="e">
        <f si="35" t="shared"/>
        <v>#DIV/0!</v>
      </c>
    </row>
    <row r="35" spans="17:23" x14ac:dyDescent="0.25">
      <c r="Q35" s="3" t="s">
        <v>7</v>
      </c>
      <c r="R35" s="17" t="e">
        <f ref="R35:W38" si="36" t="shared">R26-J26</f>
        <v>#DIV/0!</v>
      </c>
      <c r="S35" s="17" t="e">
        <f si="36" t="shared"/>
        <v>#DIV/0!</v>
      </c>
      <c r="T35" s="17" t="e">
        <f si="36" t="shared"/>
        <v>#DIV/0!</v>
      </c>
      <c r="U35" s="17" t="e">
        <f si="36" t="shared"/>
        <v>#DIV/0!</v>
      </c>
      <c r="V35" s="17" t="e">
        <f si="36" t="shared"/>
        <v>#DIV/0!</v>
      </c>
      <c r="W35" s="17" t="e">
        <f si="36" t="shared"/>
        <v>#DIV/0!</v>
      </c>
    </row>
    <row r="36" spans="17:23" x14ac:dyDescent="0.25">
      <c r="Q36" s="3" t="s">
        <v>8</v>
      </c>
      <c r="R36" s="17" t="e">
        <f si="36" t="shared"/>
        <v>#DIV/0!</v>
      </c>
      <c r="S36" s="17" t="e">
        <f si="36" t="shared"/>
        <v>#DIV/0!</v>
      </c>
      <c r="T36" s="17" t="e">
        <f si="36" t="shared"/>
        <v>#DIV/0!</v>
      </c>
      <c r="U36" s="17" t="e">
        <f si="36" t="shared"/>
        <v>#DIV/0!</v>
      </c>
      <c r="V36" s="17" t="e">
        <f si="36" t="shared"/>
        <v>#DIV/0!</v>
      </c>
      <c r="W36" s="17" t="e">
        <f si="36" t="shared"/>
        <v>#DIV/0!</v>
      </c>
    </row>
    <row r="37" spans="17:23" x14ac:dyDescent="0.25">
      <c r="Q37" s="5" t="s">
        <v>9</v>
      </c>
      <c r="R37" s="18" t="e">
        <f si="36" t="shared"/>
        <v>#DIV/0!</v>
      </c>
      <c r="S37" s="18" t="e">
        <f si="36" t="shared"/>
        <v>#DIV/0!</v>
      </c>
      <c r="T37" s="18" t="e">
        <f si="36" t="shared"/>
        <v>#DIV/0!</v>
      </c>
      <c r="U37" s="18" t="e">
        <f si="36" t="shared"/>
        <v>#DIV/0!</v>
      </c>
      <c r="V37" s="18" t="e">
        <f si="36" t="shared"/>
        <v>#DIV/0!</v>
      </c>
      <c r="W37" s="18" t="e">
        <f si="36" t="shared"/>
        <v>#DIV/0!</v>
      </c>
    </row>
    <row ht="15.75" r="38" spans="17:23" thickBot="1" x14ac:dyDescent="0.3">
      <c r="Q38" s="7" t="s">
        <v>4</v>
      </c>
      <c r="R38" s="19" t="e">
        <f si="36" t="shared"/>
        <v>#DIV/0!</v>
      </c>
      <c r="S38" s="19" t="e">
        <f si="36" t="shared"/>
        <v>#DIV/0!</v>
      </c>
      <c r="T38" s="19" t="e">
        <f si="36" t="shared"/>
        <v>#DIV/0!</v>
      </c>
      <c r="U38" s="19" t="e">
        <f si="36" t="shared"/>
        <v>#DIV/0!</v>
      </c>
      <c r="V38" s="19" t="e">
        <f si="36" t="shared"/>
        <v>#DIV/0!</v>
      </c>
      <c r="W38" s="19" t="e">
        <f si="36" t="shared"/>
        <v>#DIV/0!</v>
      </c>
    </row>
  </sheetData>
  <pageMargins bottom="0.75" footer="0.3" header="0.3" left="0.7" right="0.7" top="0.75"/>
  <pageSetup horizontalDpi="4294967293" orientation="portrait" r:id="rId1" verticalDpi="0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M38"/>
  <sheetViews>
    <sheetView workbookViewId="0">
      <selection activeCell="M12" sqref="M12"/>
    </sheetView>
  </sheetViews>
  <sheetFormatPr defaultRowHeight="15" x14ac:dyDescent="0.25"/>
  <cols>
    <col min="1" max="23" customWidth="true" width="9.28515625" collapsed="true"/>
  </cols>
  <sheetData>
    <row ht="21" r="1" spans="1:39" x14ac:dyDescent="0.35">
      <c r="A1" s="13" t="s">
        <v>133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" t="s">
        <v>0</v>
      </c>
      <c r="I3" s="1" t="s">
        <v>0</v>
      </c>
      <c r="Q3" s="1" t="s">
        <v>0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1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>
        <v>1</v>
      </c>
      <c r="B6" s="4" t="n">
        <v>93162.8118</v>
      </c>
      <c r="C6" s="4" t="n">
        <v>284618.2917</v>
      </c>
      <c r="D6" s="4" t="n">
        <v>39917.8188</v>
      </c>
      <c r="E6" s="4" t="n">
        <v>6338.1714999999995</v>
      </c>
      <c r="F6" s="4" t="n">
        <v>4120.7077</v>
      </c>
      <c r="G6" s="4">
        <f>SUM(B6:F6)</f>
        <v>477430.02370000002</v>
      </c>
      <c r="I6" s="3">
        <v>1</v>
      </c>
      <c r="O6" s="4"/>
      <c r="Q6" s="3">
        <v>1</v>
      </c>
      <c r="R6" s="30" t="n">
        <v>88096.0</v>
      </c>
      <c r="S6" s="34" t="n">
        <v>325453.0</v>
      </c>
      <c r="T6" s="38" t="n">
        <v>41026.0</v>
      </c>
      <c r="U6" s="42" t="n">
        <v>8973.0</v>
      </c>
      <c r="V6" s="46" t="n">
        <v>4080.0</v>
      </c>
      <c r="W6" s="4">
        <f>SUM(R6:V6)</f>
        <v>466474.83163064456</v>
      </c>
    </row>
    <row r="7" spans="1:39" x14ac:dyDescent="0.25">
      <c r="A7" s="3">
        <v>2</v>
      </c>
      <c r="B7" s="4" t="n">
        <v>24000.6953</v>
      </c>
      <c r="C7" s="4" t="n">
        <v>141426.5145</v>
      </c>
      <c r="D7" s="4" t="n">
        <v>387664.4491</v>
      </c>
      <c r="E7" s="4" t="n">
        <v>113428.9518</v>
      </c>
      <c r="F7" s="4" t="n">
        <v>41617.7359</v>
      </c>
      <c r="G7" s="4">
        <f ref="G7:G10" si="0" t="shared">SUM(B7:F7)</f>
        <v>807609.38310000009</v>
      </c>
      <c r="I7" s="3">
        <v>2</v>
      </c>
      <c r="O7" s="4"/>
      <c r="Q7" s="3">
        <v>2</v>
      </c>
      <c r="R7" s="31" t="n">
        <v>20844.0</v>
      </c>
      <c r="S7" s="35" t="n">
        <v>131270.0</v>
      </c>
      <c r="T7" s="39" t="n">
        <v>430391.0</v>
      </c>
      <c r="U7" s="43" t="n">
        <v>122640.0</v>
      </c>
      <c r="V7" s="47" t="n">
        <v>41308.0</v>
      </c>
      <c r="W7" s="4">
        <f ref="W7:W10" si="1" t="shared">SUM(R7:V7)</f>
        <v>735259.96819019935</v>
      </c>
    </row>
    <row r="8" spans="1:39" x14ac:dyDescent="0.25">
      <c r="A8" s="3">
        <v>3</v>
      </c>
      <c r="B8" s="4" t="n">
        <v>3175.4094</v>
      </c>
      <c r="C8" s="4" t="n">
        <v>14726.0638</v>
      </c>
      <c r="D8" s="4" t="n">
        <v>58133.3925</v>
      </c>
      <c r="E8" s="4" t="n">
        <v>51086.6193</v>
      </c>
      <c r="F8" s="4" t="n">
        <v>31838.099</v>
      </c>
      <c r="G8" s="4">
        <f si="0" t="shared"/>
        <v>173650.07490000001</v>
      </c>
      <c r="I8" s="3">
        <v>3</v>
      </c>
      <c r="O8" s="4"/>
      <c r="Q8" s="3">
        <v>3</v>
      </c>
      <c r="R8" s="32" t="n">
        <v>2973.0</v>
      </c>
      <c r="S8" s="36" t="n">
        <v>14566.0</v>
      </c>
      <c r="T8" s="40" t="n">
        <v>70042.0</v>
      </c>
      <c r="U8" s="44" t="n">
        <v>63003.0</v>
      </c>
      <c r="V8" s="48" t="n">
        <v>23138.0</v>
      </c>
      <c r="W8" s="4">
        <f si="1" t="shared"/>
        <v>199912.09926920038</v>
      </c>
    </row>
    <row r="9" spans="1:39" x14ac:dyDescent="0.25">
      <c r="A9" s="5" t="s">
        <v>3</v>
      </c>
      <c r="B9" s="4" t="n">
        <v>606.4551</v>
      </c>
      <c r="C9" s="4" t="n">
        <v>2141.5521</v>
      </c>
      <c r="D9" s="4" t="n">
        <v>15273.471800000001</v>
      </c>
      <c r="E9" s="4" t="n">
        <v>25406.1908</v>
      </c>
      <c r="F9" s="4" t="n">
        <v>21430.6056</v>
      </c>
      <c r="G9" s="6">
        <f si="0" t="shared"/>
        <v>71629.480500000005</v>
      </c>
      <c r="I9" s="5" t="s">
        <v>3</v>
      </c>
      <c r="J9" s="70"/>
      <c r="K9" s="70"/>
      <c r="L9" s="70"/>
      <c r="M9" s="70"/>
      <c r="N9" s="70"/>
      <c r="O9" s="6"/>
      <c r="Q9" s="5" t="s">
        <v>3</v>
      </c>
      <c r="R9" s="33" t="n">
        <v>458.0</v>
      </c>
      <c r="S9" s="37" t="n">
        <v>2348.0</v>
      </c>
      <c r="T9" s="41" t="n">
        <v>21774.0</v>
      </c>
      <c r="U9" s="45" t="n">
        <v>30855.0</v>
      </c>
      <c r="V9" s="49" t="n">
        <v>29393.0</v>
      </c>
      <c r="W9" s="6">
        <f si="1" t="shared"/>
        <v>104962.20829076355</v>
      </c>
    </row>
    <row ht="15.75" r="10" spans="1:39" thickBot="1" x14ac:dyDescent="0.3">
      <c r="A10" s="7" t="s">
        <v>4</v>
      </c>
      <c r="B10" s="8">
        <f>SUM(B6:B9)</f>
        <v>129139.1344</v>
      </c>
      <c r="C10" s="8">
        <f ref="C10:F10" si="2" t="shared">SUM(C6:C9)</f>
        <v>501698.02500000002</v>
      </c>
      <c r="D10" s="8">
        <f si="2" t="shared"/>
        <v>570396.74479999999</v>
      </c>
      <c r="E10" s="8">
        <f si="2" t="shared"/>
        <v>219018.22450000001</v>
      </c>
      <c r="F10" s="8">
        <f si="2" t="shared"/>
        <v>110066.83350000001</v>
      </c>
      <c r="G10" s="8">
        <f si="0" t="shared"/>
        <v>1530318.9622</v>
      </c>
      <c r="I10" s="7" t="s">
        <v>4</v>
      </c>
      <c r="J10" s="8"/>
      <c r="K10" s="8"/>
      <c r="L10" s="8"/>
      <c r="M10" s="8"/>
      <c r="N10" s="8"/>
      <c r="O10" s="8"/>
      <c r="Q10" s="7" t="s">
        <v>4</v>
      </c>
      <c r="R10" s="8">
        <f>SUM(R6:R9)</f>
        <v>110675.59109026432</v>
      </c>
      <c r="S10" s="8">
        <f ref="S10" si="3" t="shared">SUM(S6:S9)</f>
        <v>477909.87153877632</v>
      </c>
      <c r="T10" s="8">
        <f ref="T10" si="4" t="shared">SUM(T6:T9)</f>
        <v>568099.2580773012</v>
      </c>
      <c r="U10" s="8">
        <f ref="U10" si="5" t="shared">SUM(U6:U9)</f>
        <v>241935.56716192968</v>
      </c>
      <c r="V10" s="8">
        <f ref="V10" si="6" t="shared">SUM(V6:V9)</f>
        <v>107988.81951253628</v>
      </c>
      <c r="W10" s="8">
        <f si="1" t="shared"/>
        <v>1506609.1073808079</v>
      </c>
    </row>
    <row r="11" spans="1:39" x14ac:dyDescent="0.25">
      <c r="A11" s="14"/>
      <c r="B11" s="15"/>
      <c r="C11" s="15"/>
      <c r="D11" s="15"/>
      <c r="E11" s="15"/>
      <c r="F11" s="15"/>
      <c r="G11" s="15"/>
      <c r="I11" s="14"/>
      <c r="J11" s="15"/>
      <c r="K11" s="15"/>
      <c r="L11" s="15"/>
      <c r="M11" s="15"/>
      <c r="N11" s="15"/>
      <c r="O11" s="15"/>
      <c r="Q11" s="14"/>
      <c r="R11" s="15"/>
      <c r="S11" s="15"/>
      <c r="T11" s="15"/>
      <c r="U11" s="15"/>
      <c r="V11" s="15"/>
      <c r="W11" s="15"/>
    </row>
    <row r="12" spans="1:39" x14ac:dyDescent="0.25">
      <c r="A12" s="14"/>
      <c r="B12" s="15"/>
      <c r="C12" s="15"/>
      <c r="D12" s="15"/>
      <c r="E12" s="15"/>
      <c r="F12" s="15"/>
      <c r="G12" s="15"/>
      <c r="I12" s="14"/>
      <c r="J12" s="15"/>
      <c r="K12" s="15"/>
      <c r="L12" s="15"/>
      <c r="M12" s="15"/>
      <c r="N12" s="15"/>
      <c r="O12" s="15"/>
      <c r="Q12" s="14"/>
      <c r="R12" s="15"/>
      <c r="S12" s="15"/>
      <c r="T12" s="15"/>
      <c r="U12" s="15"/>
      <c r="V12" s="15"/>
      <c r="W12" s="15"/>
    </row>
    <row r="13" spans="1:39" x14ac:dyDescent="0.25">
      <c r="A13" s="1" t="s">
        <v>0</v>
      </c>
      <c r="I13" s="1" t="s">
        <v>0</v>
      </c>
      <c r="Q13" s="1" t="s">
        <v>0</v>
      </c>
      <c r="Y13" s="1" t="s">
        <v>24</v>
      </c>
      <c r="AG13" s="1" t="s">
        <v>25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1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1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1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1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1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>
        <v>1</v>
      </c>
      <c r="B16" s="4">
        <f>($W6/$G6)*B6</f>
        <v>96803.997752528187</v>
      </c>
      <c r="C16" s="4">
        <f ref="C16:F16" si="7" t="shared">($W6/$G6)*C6</f>
        <v>315417.81460040621</v>
      </c>
      <c r="D16" s="4">
        <f si="7" t="shared"/>
        <v>42807.841235995307</v>
      </c>
      <c r="E16" s="4">
        <f si="7" t="shared"/>
        <v>7419.0248147773173</v>
      </c>
      <c r="F16" s="4">
        <f si="7" t="shared"/>
        <v>4026.1532269374966</v>
      </c>
      <c r="G16" s="4">
        <f>($W6/$G6)*G6</f>
        <v>466474.83163064456</v>
      </c>
      <c r="I16" s="3">
        <v>1</v>
      </c>
      <c r="J16" s="4" t="e">
        <f>($W6/$O6)*J6</f>
        <v>#DIV/0!</v>
      </c>
      <c r="K16" s="4" t="e">
        <f ref="K16:O16" si="8" t="shared">($W6/$O6)*K6</f>
        <v>#DIV/0!</v>
      </c>
      <c r="L16" s="4" t="e">
        <f si="8" t="shared"/>
        <v>#DIV/0!</v>
      </c>
      <c r="M16" s="4" t="e">
        <f si="8" t="shared"/>
        <v>#DIV/0!</v>
      </c>
      <c r="N16" s="4" t="e">
        <f si="8" t="shared"/>
        <v>#DIV/0!</v>
      </c>
      <c r="O16" s="4" t="e">
        <f si="8" t="shared"/>
        <v>#DIV/0!</v>
      </c>
      <c r="Q16" s="3">
        <v>1</v>
      </c>
      <c r="R16" s="4">
        <f>R6</f>
        <v>83832.479119927157</v>
      </c>
      <c r="S16" s="4">
        <f ref="S16:V16" si="9" t="shared">S6</f>
        <v>328240.61339026323</v>
      </c>
      <c r="T16" s="4">
        <f si="9" t="shared"/>
        <v>41187.865222449858</v>
      </c>
      <c r="U16" s="4">
        <f si="9" t="shared"/>
        <v>9043.3083322367856</v>
      </c>
      <c r="V16" s="4">
        <f si="9" t="shared"/>
        <v>4170.5655657675243</v>
      </c>
      <c r="W16" s="4">
        <f>SUM(R16:V16)</f>
        <v>466474.83163064456</v>
      </c>
      <c r="Y16" s="3">
        <v>1</v>
      </c>
      <c r="Z16" s="4" t="e">
        <f>R16-J16</f>
        <v>#DIV/0!</v>
      </c>
      <c r="AA16" s="4" t="e">
        <f ref="AA16:AA20" si="10" t="shared">S16-K16</f>
        <v>#DIV/0!</v>
      </c>
      <c r="AB16" s="4" t="e">
        <f ref="AB16:AB20" si="11" t="shared">T16-L16</f>
        <v>#DIV/0!</v>
      </c>
      <c r="AC16" s="4" t="e">
        <f ref="AC16:AC20" si="12" t="shared">U16-M16</f>
        <v>#DIV/0!</v>
      </c>
      <c r="AD16" s="4" t="e">
        <f ref="AD16:AD20" si="13" t="shared">V16-N16</f>
        <v>#DIV/0!</v>
      </c>
      <c r="AE16" s="4" t="e">
        <f ref="AE16:AE19" si="14" t="shared">W16-O16</f>
        <v>#DIV/0!</v>
      </c>
      <c r="AG16" s="3">
        <v>1</v>
      </c>
      <c r="AH16" s="17" t="e">
        <f>Z16/J16</f>
        <v>#DIV/0!</v>
      </c>
      <c r="AI16" s="17" t="e">
        <f ref="AI16:AI20" si="15" t="shared">AA16/K16</f>
        <v>#DIV/0!</v>
      </c>
      <c r="AJ16" s="17" t="e">
        <f ref="AJ16:AJ20" si="16" t="shared">AB16/L16</f>
        <v>#DIV/0!</v>
      </c>
      <c r="AK16" s="17" t="e">
        <f ref="AK16:AK20" si="17" t="shared">AC16/M16</f>
        <v>#DIV/0!</v>
      </c>
      <c r="AL16" s="17" t="e">
        <f ref="AL16:AL20" si="18" t="shared">AD16/N16</f>
        <v>#DIV/0!</v>
      </c>
      <c r="AM16" s="17" t="e">
        <f ref="AM16:AM20" si="19" t="shared">AE16/O16</f>
        <v>#DIV/0!</v>
      </c>
    </row>
    <row r="17" spans="1:39" x14ac:dyDescent="0.25">
      <c r="A17" s="3">
        <v>2</v>
      </c>
      <c r="B17" s="4">
        <f ref="B17:G17" si="20" t="shared">($W7/$G7)*B7</f>
        <v>23537.892855867311</v>
      </c>
      <c r="C17" s="4">
        <f si="20" t="shared"/>
        <v>146123.96083626265</v>
      </c>
      <c r="D17" s="4">
        <f si="20" t="shared"/>
        <v>408242.98374642298</v>
      </c>
      <c r="E17" s="4">
        <f si="20" t="shared"/>
        <v>116432.00735669595</v>
      </c>
      <c r="F17" s="4">
        <f si="20" t="shared"/>
        <v>40923.123394950395</v>
      </c>
      <c r="G17" s="4">
        <f si="20" t="shared"/>
        <v>735259.96819019935</v>
      </c>
      <c r="I17" s="3">
        <v>2</v>
      </c>
      <c r="J17" s="4" t="e">
        <f ref="J17:O17" si="21" t="shared">($W7/$O7)*J7</f>
        <v>#DIV/0!</v>
      </c>
      <c r="K17" s="4" t="e">
        <f si="21" t="shared"/>
        <v>#DIV/0!</v>
      </c>
      <c r="L17" s="4" t="e">
        <f si="21" t="shared"/>
        <v>#DIV/0!</v>
      </c>
      <c r="M17" s="4" t="e">
        <f si="21" t="shared"/>
        <v>#DIV/0!</v>
      </c>
      <c r="N17" s="4" t="e">
        <f si="21" t="shared"/>
        <v>#DIV/0!</v>
      </c>
      <c r="O17" s="4" t="e">
        <f si="21" t="shared"/>
        <v>#DIV/0!</v>
      </c>
      <c r="Q17" s="3">
        <v>2</v>
      </c>
      <c r="R17" s="4">
        <f ref="R17:V17" si="22" t="shared">R7</f>
        <v>21757.181460563137</v>
      </c>
      <c r="S17" s="4">
        <f si="22" t="shared"/>
        <v>129691.33477319771</v>
      </c>
      <c r="T17" s="4">
        <f si="22" t="shared"/>
        <v>423090.1318068101</v>
      </c>
      <c r="U17" s="4">
        <f si="22" t="shared"/>
        <v>119935.23956586247</v>
      </c>
      <c r="V17" s="4">
        <f si="22" t="shared"/>
        <v>40786.080583765921</v>
      </c>
      <c r="W17" s="4">
        <f ref="W17:W20" si="23" t="shared">SUM(R17:V17)</f>
        <v>735259.96819019935</v>
      </c>
      <c r="Y17" s="3">
        <v>2</v>
      </c>
      <c r="Z17" s="4" t="e">
        <f ref="Z17:Z20" si="24" t="shared">R17-J17</f>
        <v>#DIV/0!</v>
      </c>
      <c r="AA17" s="4" t="e">
        <f si="10" t="shared"/>
        <v>#DIV/0!</v>
      </c>
      <c r="AB17" s="4" t="e">
        <f si="11" t="shared"/>
        <v>#DIV/0!</v>
      </c>
      <c r="AC17" s="4" t="e">
        <f si="12" t="shared"/>
        <v>#DIV/0!</v>
      </c>
      <c r="AD17" s="4" t="e">
        <f si="13" t="shared"/>
        <v>#DIV/0!</v>
      </c>
      <c r="AE17" s="4" t="e">
        <f si="14" t="shared"/>
        <v>#DIV/0!</v>
      </c>
      <c r="AG17" s="3">
        <v>2</v>
      </c>
      <c r="AH17" s="17" t="e">
        <f ref="AH17:AH20" si="25" t="shared">Z17/J17</f>
        <v>#DIV/0!</v>
      </c>
      <c r="AI17" s="17" t="e">
        <f si="15" t="shared"/>
        <v>#DIV/0!</v>
      </c>
      <c r="AJ17" s="17" t="e">
        <f si="16" t="shared"/>
        <v>#DIV/0!</v>
      </c>
      <c r="AK17" s="17" t="e">
        <f si="17" t="shared"/>
        <v>#DIV/0!</v>
      </c>
      <c r="AL17" s="17" t="e">
        <f si="18" t="shared"/>
        <v>#DIV/0!</v>
      </c>
      <c r="AM17" s="17" t="e">
        <f si="19" t="shared"/>
        <v>#DIV/0!</v>
      </c>
    </row>
    <row r="18" spans="1:39" x14ac:dyDescent="0.25">
      <c r="A18" s="3">
        <v>3</v>
      </c>
      <c r="B18" s="4">
        <f ref="B18:G18" si="26" t="shared">($W8/$G8)*B8</f>
        <v>4145.8483147774432</v>
      </c>
      <c r="C18" s="4">
        <f si="26" t="shared"/>
        <v>18405.47250806155</v>
      </c>
      <c r="D18" s="4">
        <f si="26" t="shared"/>
        <v>71215.707253434535</v>
      </c>
      <c r="E18" s="4">
        <f si="26" t="shared"/>
        <v>64675.148334916907</v>
      </c>
      <c r="F18" s="4">
        <f si="26" t="shared"/>
        <v>41469.922858009937</v>
      </c>
      <c r="G18" s="4">
        <f si="26" t="shared"/>
        <v>199912.09926920038</v>
      </c>
      <c r="I18" s="3">
        <v>3</v>
      </c>
      <c r="J18" s="4" t="e">
        <f ref="J18:O18" si="27" t="shared">($W8/$O8)*J8</f>
        <v>#DIV/0!</v>
      </c>
      <c r="K18" s="4" t="e">
        <f si="27" t="shared"/>
        <v>#DIV/0!</v>
      </c>
      <c r="L18" s="4" t="e">
        <f si="27" t="shared"/>
        <v>#DIV/0!</v>
      </c>
      <c r="M18" s="4" t="e">
        <f si="27" t="shared"/>
        <v>#DIV/0!</v>
      </c>
      <c r="N18" s="4" t="e">
        <f si="27" t="shared"/>
        <v>#DIV/0!</v>
      </c>
      <c r="O18" s="4" t="e">
        <f si="27" t="shared"/>
        <v>#DIV/0!</v>
      </c>
      <c r="Q18" s="3">
        <v>3</v>
      </c>
      <c r="R18" s="4">
        <f ref="R18:V18" si="28" t="shared">R8</f>
        <v>4557.5521875669256</v>
      </c>
      <c r="S18" s="4">
        <f si="28" t="shared"/>
        <v>17185.417612707217</v>
      </c>
      <c r="T18" s="4">
        <f si="28" t="shared"/>
        <v>76969.638068567016</v>
      </c>
      <c r="U18" s="4">
        <f si="28" t="shared"/>
        <v>74446.601067000636</v>
      </c>
      <c r="V18" s="4">
        <f si="28" t="shared"/>
        <v>26752.89033335858</v>
      </c>
      <c r="W18" s="4">
        <f si="23" t="shared"/>
        <v>199912.09926920038</v>
      </c>
      <c r="Y18" s="3">
        <v>3</v>
      </c>
      <c r="Z18" s="4" t="e">
        <f si="24" t="shared"/>
        <v>#DIV/0!</v>
      </c>
      <c r="AA18" s="4" t="e">
        <f si="10" t="shared"/>
        <v>#DIV/0!</v>
      </c>
      <c r="AB18" s="4" t="e">
        <f si="11" t="shared"/>
        <v>#DIV/0!</v>
      </c>
      <c r="AC18" s="4" t="e">
        <f si="12" t="shared"/>
        <v>#DIV/0!</v>
      </c>
      <c r="AD18" s="4" t="e">
        <f si="13" t="shared"/>
        <v>#DIV/0!</v>
      </c>
      <c r="AE18" s="4" t="e">
        <f si="14" t="shared"/>
        <v>#DIV/0!</v>
      </c>
      <c r="AG18" s="3">
        <v>3</v>
      </c>
      <c r="AH18" s="17" t="e">
        <f si="25" t="shared"/>
        <v>#DIV/0!</v>
      </c>
      <c r="AI18" s="17" t="e">
        <f si="15" t="shared"/>
        <v>#DIV/0!</v>
      </c>
      <c r="AJ18" s="17" t="e">
        <f si="16" t="shared"/>
        <v>#DIV/0!</v>
      </c>
      <c r="AK18" s="17" t="e">
        <f si="17" t="shared"/>
        <v>#DIV/0!</v>
      </c>
      <c r="AL18" s="17" t="e">
        <f si="18" t="shared"/>
        <v>#DIV/0!</v>
      </c>
      <c r="AM18" s="17" t="e">
        <f si="19" t="shared"/>
        <v>#DIV/0!</v>
      </c>
    </row>
    <row r="19" spans="1:39" x14ac:dyDescent="0.25">
      <c r="A19" s="5" t="s">
        <v>3</v>
      </c>
      <c r="B19" s="4">
        <f ref="B19:G19" si="29" t="shared">($W9/$G9)*B9</f>
        <v>888.66854932999047</v>
      </c>
      <c r="C19" s="4">
        <f si="29" t="shared"/>
        <v>3491.1825176006314</v>
      </c>
      <c r="D19" s="4">
        <f si="29" t="shared"/>
        <v>23898.82862523081</v>
      </c>
      <c r="E19" s="4">
        <f si="29" t="shared"/>
        <v>40087.795236155405</v>
      </c>
      <c r="F19" s="4">
        <f si="29" t="shared"/>
        <v>36595.733362446706</v>
      </c>
      <c r="G19" s="6">
        <f si="29" t="shared"/>
        <v>104962.20829076355</v>
      </c>
      <c r="I19" s="5" t="s">
        <v>3</v>
      </c>
      <c r="J19" s="6" t="e">
        <f ref="J19:O19" si="30" t="shared">($W9/$O9)*J9</f>
        <v>#DIV/0!</v>
      </c>
      <c r="K19" s="6" t="e">
        <f si="30" t="shared"/>
        <v>#DIV/0!</v>
      </c>
      <c r="L19" s="6" t="e">
        <f si="30" t="shared"/>
        <v>#DIV/0!</v>
      </c>
      <c r="M19" s="6" t="e">
        <f si="30" t="shared"/>
        <v>#DIV/0!</v>
      </c>
      <c r="N19" s="6" t="e">
        <f si="30" t="shared"/>
        <v>#DIV/0!</v>
      </c>
      <c r="O19" s="6" t="e">
        <f si="30" t="shared"/>
        <v>#DIV/0!</v>
      </c>
      <c r="Q19" s="5" t="s">
        <v>3</v>
      </c>
      <c r="R19" s="4">
        <f ref="R19:V19" si="31" t="shared">R9</f>
        <v>528.37832220711118</v>
      </c>
      <c r="S19" s="4">
        <f si="31" t="shared"/>
        <v>2792.5057626081175</v>
      </c>
      <c r="T19" s="4">
        <f si="31" t="shared"/>
        <v>26851.622979474294</v>
      </c>
      <c r="U19" s="4">
        <f si="31" t="shared"/>
        <v>38510.418196829785</v>
      </c>
      <c r="V19" s="4">
        <f si="31" t="shared"/>
        <v>36279.283029644248</v>
      </c>
      <c r="W19" s="6">
        <f si="23" t="shared"/>
        <v>104962.20829076355</v>
      </c>
      <c r="Y19" s="5" t="s">
        <v>3</v>
      </c>
      <c r="Z19" s="4" t="e">
        <f si="24" t="shared"/>
        <v>#DIV/0!</v>
      </c>
      <c r="AA19" s="4" t="e">
        <f si="10" t="shared"/>
        <v>#DIV/0!</v>
      </c>
      <c r="AB19" s="4" t="e">
        <f si="11" t="shared"/>
        <v>#DIV/0!</v>
      </c>
      <c r="AC19" s="4" t="e">
        <f si="12" t="shared"/>
        <v>#DIV/0!</v>
      </c>
      <c r="AD19" s="4" t="e">
        <f si="13" t="shared"/>
        <v>#DIV/0!</v>
      </c>
      <c r="AE19" s="6" t="e">
        <f si="14" t="shared"/>
        <v>#DIV/0!</v>
      </c>
      <c r="AG19" s="5" t="s">
        <v>3</v>
      </c>
      <c r="AH19" s="17" t="e">
        <f si="25" t="shared"/>
        <v>#DIV/0!</v>
      </c>
      <c r="AI19" s="17" t="e">
        <f si="15" t="shared"/>
        <v>#DIV/0!</v>
      </c>
      <c r="AJ19" s="17" t="e">
        <f si="16" t="shared"/>
        <v>#DIV/0!</v>
      </c>
      <c r="AK19" s="17" t="e">
        <f si="17" t="shared"/>
        <v>#DIV/0!</v>
      </c>
      <c r="AL19" s="17" t="e">
        <f si="18" t="shared"/>
        <v>#DIV/0!</v>
      </c>
      <c r="AM19" s="18" t="e">
        <f si="19" t="shared"/>
        <v>#DIV/0!</v>
      </c>
    </row>
    <row ht="15.75" r="20" spans="1:39" thickBot="1" x14ac:dyDescent="0.3">
      <c r="A20" s="7" t="s">
        <v>4</v>
      </c>
      <c r="B20" s="8">
        <f>SUM(B16:B19)</f>
        <v>125376.40747250292</v>
      </c>
      <c r="C20" s="8">
        <f ref="C20:G20" si="32" t="shared">SUM(C16:C19)</f>
        <v>483438.4304623311</v>
      </c>
      <c r="D20" s="8">
        <f si="32" t="shared"/>
        <v>546165.36086108361</v>
      </c>
      <c r="E20" s="8">
        <f si="32" t="shared"/>
        <v>228613.97574254556</v>
      </c>
      <c r="F20" s="8">
        <f si="32" t="shared"/>
        <v>123014.93284234454</v>
      </c>
      <c r="G20" s="8">
        <f si="32" t="shared"/>
        <v>1506609.1073808079</v>
      </c>
      <c r="I20" s="7" t="s">
        <v>4</v>
      </c>
      <c r="J20" s="8" t="e">
        <f ref="J20:O20" si="33" t="shared">($W10/$O10)*J10</f>
        <v>#DIV/0!</v>
      </c>
      <c r="K20" s="8" t="e">
        <f si="33" t="shared"/>
        <v>#DIV/0!</v>
      </c>
      <c r="L20" s="8" t="e">
        <f si="33" t="shared"/>
        <v>#DIV/0!</v>
      </c>
      <c r="M20" s="8" t="e">
        <f si="33" t="shared"/>
        <v>#DIV/0!</v>
      </c>
      <c r="N20" s="8" t="e">
        <f si="33" t="shared"/>
        <v>#DIV/0!</v>
      </c>
      <c r="O20" s="8" t="e">
        <f si="33" t="shared"/>
        <v>#DIV/0!</v>
      </c>
      <c r="Q20" s="7" t="s">
        <v>4</v>
      </c>
      <c r="R20" s="8">
        <f>SUM(R16:R19)</f>
        <v>110675.59109026432</v>
      </c>
      <c r="S20" s="8">
        <f ref="S20:V20" si="34" t="shared">SUM(S16:S19)</f>
        <v>477909.87153877632</v>
      </c>
      <c r="T20" s="8">
        <f si="34" t="shared"/>
        <v>568099.2580773012</v>
      </c>
      <c r="U20" s="8">
        <f si="34" t="shared"/>
        <v>241935.56716192968</v>
      </c>
      <c r="V20" s="8">
        <f si="34" t="shared"/>
        <v>107988.81951253628</v>
      </c>
      <c r="W20" s="8">
        <f si="23" t="shared"/>
        <v>1506609.1073808079</v>
      </c>
      <c r="Y20" s="7" t="s">
        <v>4</v>
      </c>
      <c r="Z20" s="8" t="e">
        <f si="24" t="shared"/>
        <v>#DIV/0!</v>
      </c>
      <c r="AA20" s="8" t="e">
        <f si="10" t="shared"/>
        <v>#DIV/0!</v>
      </c>
      <c r="AB20" s="8" t="e">
        <f si="11" t="shared"/>
        <v>#DIV/0!</v>
      </c>
      <c r="AC20" s="8" t="e">
        <f si="12" t="shared"/>
        <v>#DIV/0!</v>
      </c>
      <c r="AD20" s="8" t="e">
        <f si="13" t="shared"/>
        <v>#DIV/0!</v>
      </c>
      <c r="AE20" s="8" t="e">
        <f>W20-O20</f>
        <v>#DIV/0!</v>
      </c>
      <c r="AG20" s="7" t="s">
        <v>4</v>
      </c>
      <c r="AH20" s="19" t="e">
        <f si="25" t="shared"/>
        <v>#DIV/0!</v>
      </c>
      <c r="AI20" s="19" t="e">
        <f si="15" t="shared"/>
        <v>#DIV/0!</v>
      </c>
      <c r="AJ20" s="19" t="e">
        <f si="16" t="shared"/>
        <v>#DIV/0!</v>
      </c>
      <c r="AK20" s="19" t="e">
        <f si="17" t="shared"/>
        <v>#DIV/0!</v>
      </c>
      <c r="AL20" s="19" t="e">
        <f si="18" t="shared"/>
        <v>#DIV/0!</v>
      </c>
      <c r="AM20" s="19" t="e">
        <f si="19" t="shared"/>
        <v>#DIV/0!</v>
      </c>
    </row>
    <row r="21" spans="1:39" x14ac:dyDescent="0.25">
      <c r="A21" s="14"/>
      <c r="B21" s="15"/>
      <c r="C21" s="15"/>
      <c r="D21" s="15"/>
      <c r="E21" s="15"/>
      <c r="F21" s="15"/>
      <c r="G21" s="15"/>
      <c r="I21" s="14"/>
      <c r="J21" s="15"/>
      <c r="K21" s="15"/>
      <c r="L21" s="15"/>
      <c r="M21" s="15"/>
      <c r="N21" s="15"/>
      <c r="O21" s="15"/>
      <c r="Q21" s="14"/>
      <c r="R21" s="15"/>
      <c r="S21" s="15"/>
      <c r="T21" s="15"/>
      <c r="U21" s="15"/>
      <c r="V21" s="15"/>
      <c r="W21" s="15"/>
    </row>
    <row r="22" spans="1:39" x14ac:dyDescent="0.25">
      <c r="Q22" t="s">
        <v>15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1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1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1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>
        <v>1</v>
      </c>
      <c r="B25" s="17">
        <f>B16/$G$20</f>
        <v>6.4252895643793675E-2</v>
      </c>
      <c r="C25" s="17">
        <f ref="C25:G25" si="35" t="shared">C16/$G$20</f>
        <v>0.2093561050807333</v>
      </c>
      <c r="D25" s="17">
        <f si="35" t="shared"/>
        <v>2.8413369484016581E-2</v>
      </c>
      <c r="E25" s="17">
        <f si="35" t="shared"/>
        <v>4.9243196383400708E-3</v>
      </c>
      <c r="F25" s="17">
        <f si="35" t="shared"/>
        <v>2.6723276842105623E-3</v>
      </c>
      <c r="G25" s="17">
        <f si="35" t="shared"/>
        <v>0.30961901753109422</v>
      </c>
      <c r="I25" s="3">
        <v>1</v>
      </c>
      <c r="J25" s="17" t="e">
        <f>J16/$O$20</f>
        <v>#DIV/0!</v>
      </c>
      <c r="K25" s="17" t="e">
        <f ref="K25:O25" si="36" t="shared">K16/$O$20</f>
        <v>#DIV/0!</v>
      </c>
      <c r="L25" s="17" t="e">
        <f si="36" t="shared"/>
        <v>#DIV/0!</v>
      </c>
      <c r="M25" s="17" t="e">
        <f si="36" t="shared"/>
        <v>#DIV/0!</v>
      </c>
      <c r="N25" s="17" t="e">
        <f si="36" t="shared"/>
        <v>#DIV/0!</v>
      </c>
      <c r="O25" s="17" t="e">
        <f si="36" t="shared"/>
        <v>#DIV/0!</v>
      </c>
      <c r="Q25" s="3">
        <v>1</v>
      </c>
      <c r="R25" s="17">
        <f>R6/$W$10</f>
        <v>5.5643151703541248E-2</v>
      </c>
      <c r="S25" s="17">
        <f ref="S25:W25" si="37" t="shared">S6/$W$10</f>
        <v>0.21786713738967045</v>
      </c>
      <c r="T25" s="17">
        <f si="37" t="shared"/>
        <v>2.7338123087582853E-2</v>
      </c>
      <c r="U25" s="17">
        <f si="37" t="shared"/>
        <v>6.0024251067739062E-3</v>
      </c>
      <c r="V25" s="17">
        <f si="37" t="shared"/>
        <v>2.7681802435257545E-3</v>
      </c>
      <c r="W25" s="17">
        <f si="37" t="shared"/>
        <v>0.30961901753109422</v>
      </c>
    </row>
    <row r="26" spans="1:39" x14ac:dyDescent="0.25">
      <c r="A26" s="3">
        <v>2</v>
      </c>
      <c r="B26" s="17">
        <f ref="B26:G26" si="38" t="shared">B17/$G$20</f>
        <v>1.562309210833538E-2</v>
      </c>
      <c r="C26" s="17">
        <f si="38" t="shared"/>
        <v>9.6988635021790434E-2</v>
      </c>
      <c r="D26" s="17">
        <f si="38" t="shared"/>
        <v>0.27096808438662662</v>
      </c>
      <c r="E26" s="17">
        <f si="38" t="shared"/>
        <v>7.728083335372192E-2</v>
      </c>
      <c r="F26" s="17">
        <f si="38" t="shared"/>
        <v>2.7162402772205423E-2</v>
      </c>
      <c r="G26" s="17">
        <f si="38" t="shared"/>
        <v>0.48802304764267984</v>
      </c>
      <c r="I26" s="3">
        <v>2</v>
      </c>
      <c r="J26" s="17" t="e">
        <f ref="J26:O26" si="39" t="shared">J17/$O$20</f>
        <v>#DIV/0!</v>
      </c>
      <c r="K26" s="17" t="e">
        <f si="39" t="shared"/>
        <v>#DIV/0!</v>
      </c>
      <c r="L26" s="17" t="e">
        <f si="39" t="shared"/>
        <v>#DIV/0!</v>
      </c>
      <c r="M26" s="17" t="e">
        <f si="39" t="shared"/>
        <v>#DIV/0!</v>
      </c>
      <c r="N26" s="17" t="e">
        <f si="39" t="shared"/>
        <v>#DIV/0!</v>
      </c>
      <c r="O26" s="17" t="e">
        <f si="39" t="shared"/>
        <v>#DIV/0!</v>
      </c>
      <c r="Q26" s="3">
        <v>2</v>
      </c>
      <c r="R26" s="17">
        <f ref="R26:W26" si="40" t="shared">R7/$W$10</f>
        <v>1.4441158860633272E-2</v>
      </c>
      <c r="S26" s="17">
        <f si="40" t="shared"/>
        <v>8.6081608121075265E-2</v>
      </c>
      <c r="T26" s="17">
        <f si="40" t="shared"/>
        <v>0.28082276267554157</v>
      </c>
      <c r="U26" s="17">
        <f si="40" t="shared"/>
        <v>7.9606076306259752E-2</v>
      </c>
      <c r="V26" s="17">
        <f si="40" t="shared"/>
        <v>2.7071441679170007E-2</v>
      </c>
      <c r="W26" s="17">
        <f si="40" t="shared"/>
        <v>0.48802304764267984</v>
      </c>
    </row>
    <row r="27" spans="1:39" x14ac:dyDescent="0.25">
      <c r="A27" s="3">
        <v>3</v>
      </c>
      <c r="B27" s="17">
        <f ref="B27:G27" si="41" t="shared">B18/$G$20</f>
        <v>2.7517743616888584E-3</v>
      </c>
      <c r="C27" s="17">
        <f si="41" t="shared"/>
        <v>1.2216488283453217E-2</v>
      </c>
      <c r="D27" s="17">
        <f si="41" t="shared"/>
        <v>4.7268868152032337E-2</v>
      </c>
      <c r="E27" s="17">
        <f si="41" t="shared"/>
        <v>4.2927623374952643E-2</v>
      </c>
      <c r="F27" s="17">
        <f si="41" t="shared"/>
        <v>2.7525336634997569E-2</v>
      </c>
      <c r="G27" s="17">
        <f si="41" t="shared"/>
        <v>0.13269009080712463</v>
      </c>
      <c r="I27" s="3">
        <v>3</v>
      </c>
      <c r="J27" s="17" t="e">
        <f ref="J27:O27" si="42" t="shared">J18/$O$20</f>
        <v>#DIV/0!</v>
      </c>
      <c r="K27" s="17" t="e">
        <f si="42" t="shared"/>
        <v>#DIV/0!</v>
      </c>
      <c r="L27" s="17" t="e">
        <f si="42" t="shared"/>
        <v>#DIV/0!</v>
      </c>
      <c r="M27" s="17" t="e">
        <f si="42" t="shared"/>
        <v>#DIV/0!</v>
      </c>
      <c r="N27" s="17" t="e">
        <f si="42" t="shared"/>
        <v>#DIV/0!</v>
      </c>
      <c r="O27" s="17" t="e">
        <f si="42" t="shared"/>
        <v>#DIV/0!</v>
      </c>
      <c r="Q27" s="3">
        <v>3</v>
      </c>
      <c r="R27" s="17">
        <f ref="R27:W27" si="43" t="shared">R8/$W$10</f>
        <v>3.0250395840830178E-3</v>
      </c>
      <c r="S27" s="17">
        <f si="43" t="shared"/>
        <v>1.1406686398294459E-2</v>
      </c>
      <c r="T27" s="17">
        <f si="43" t="shared"/>
        <v>5.1087994683887375E-2</v>
      </c>
      <c r="U27" s="17">
        <f si="43" t="shared"/>
        <v>4.9413348626588145E-2</v>
      </c>
      <c r="V27" s="17">
        <f si="43" t="shared"/>
        <v>1.775702151427163E-2</v>
      </c>
      <c r="W27" s="17">
        <f si="43" t="shared"/>
        <v>0.13269009080712463</v>
      </c>
    </row>
    <row r="28" spans="1:39" x14ac:dyDescent="0.25">
      <c r="A28" s="5" t="s">
        <v>3</v>
      </c>
      <c r="B28" s="18">
        <f ref="B28:G28" si="44" t="shared">B19/$G$20</f>
        <v>5.8984679236070232E-4</v>
      </c>
      <c r="C28" s="18">
        <f si="44" t="shared"/>
        <v>2.3172450640962482E-3</v>
      </c>
      <c r="D28" s="18">
        <f si="44" t="shared"/>
        <v>1.5862660399536654E-2</v>
      </c>
      <c r="E28" s="18">
        <f si="44" t="shared"/>
        <v>2.6607960246468155E-2</v>
      </c>
      <c r="F28" s="18">
        <f si="44" t="shared"/>
        <v>2.4290131516639526E-2</v>
      </c>
      <c r="G28" s="18">
        <f si="44" t="shared"/>
        <v>6.9667844019101297E-2</v>
      </c>
      <c r="I28" s="5" t="s">
        <v>3</v>
      </c>
      <c r="J28" s="18" t="e">
        <f ref="J28:O28" si="45" t="shared">J19/$O$20</f>
        <v>#DIV/0!</v>
      </c>
      <c r="K28" s="18" t="e">
        <f si="45" t="shared"/>
        <v>#DIV/0!</v>
      </c>
      <c r="L28" s="18" t="e">
        <f si="45" t="shared"/>
        <v>#DIV/0!</v>
      </c>
      <c r="M28" s="18" t="e">
        <f si="45" t="shared"/>
        <v>#DIV/0!</v>
      </c>
      <c r="N28" s="18" t="e">
        <f si="45" t="shared"/>
        <v>#DIV/0!</v>
      </c>
      <c r="O28" s="18" t="e">
        <f si="45" t="shared"/>
        <v>#DIV/0!</v>
      </c>
      <c r="Q28" s="5" t="s">
        <v>3</v>
      </c>
      <c r="R28" s="18">
        <f ref="R28:W28" si="46" t="shared">R9/$W$10</f>
        <v>3.5070697476778174E-4</v>
      </c>
      <c r="S28" s="18">
        <f si="46" t="shared"/>
        <v>1.8535038378088662E-3</v>
      </c>
      <c r="T28" s="18">
        <f si="46" t="shared"/>
        <v>1.782255453516738E-2</v>
      </c>
      <c r="U28" s="18">
        <f si="46" t="shared"/>
        <v>2.556098858567165E-2</v>
      </c>
      <c r="V28" s="18">
        <f si="46" t="shared"/>
        <v>2.4080090085685617E-2</v>
      </c>
      <c r="W28" s="18">
        <f si="46" t="shared"/>
        <v>6.9667844019101297E-2</v>
      </c>
    </row>
    <row ht="15.75" r="29" spans="1:39" thickBot="1" x14ac:dyDescent="0.3">
      <c r="A29" s="7" t="s">
        <v>4</v>
      </c>
      <c r="B29" s="19">
        <f ref="B29:G29" si="47" t="shared">B20/$G$20</f>
        <v>8.3217608906178603E-2</v>
      </c>
      <c r="C29" s="19">
        <f si="47" t="shared"/>
        <v>0.32087847345007325</v>
      </c>
      <c r="D29" s="19">
        <f si="47" t="shared"/>
        <v>0.36251298242221219</v>
      </c>
      <c r="E29" s="19">
        <f si="47" t="shared"/>
        <v>0.15174073661348278</v>
      </c>
      <c r="F29" s="19">
        <f si="47" t="shared"/>
        <v>8.1650198608053087E-2</v>
      </c>
      <c r="G29" s="19">
        <f si="47" t="shared"/>
        <v>1</v>
      </c>
      <c r="I29" s="7" t="s">
        <v>4</v>
      </c>
      <c r="J29" s="19" t="e">
        <f ref="J29:O29" si="48" t="shared">J20/$O$20</f>
        <v>#DIV/0!</v>
      </c>
      <c r="K29" s="19" t="e">
        <f si="48" t="shared"/>
        <v>#DIV/0!</v>
      </c>
      <c r="L29" s="19" t="e">
        <f si="48" t="shared"/>
        <v>#DIV/0!</v>
      </c>
      <c r="M29" s="19" t="e">
        <f si="48" t="shared"/>
        <v>#DIV/0!</v>
      </c>
      <c r="N29" s="19" t="e">
        <f si="48" t="shared"/>
        <v>#DIV/0!</v>
      </c>
      <c r="O29" s="19" t="e">
        <f si="48" t="shared"/>
        <v>#DIV/0!</v>
      </c>
      <c r="Q29" s="7" t="s">
        <v>4</v>
      </c>
      <c r="R29" s="19">
        <f ref="R29:W29" si="49" t="shared">R10/$W$10</f>
        <v>7.3460057123025307E-2</v>
      </c>
      <c r="S29" s="19">
        <f si="49" t="shared"/>
        <v>0.31720893574684905</v>
      </c>
      <c r="T29" s="19">
        <f si="49" t="shared"/>
        <v>0.3770714349821791</v>
      </c>
      <c r="U29" s="19">
        <f si="49" t="shared"/>
        <v>0.16058283862529346</v>
      </c>
      <c r="V29" s="19">
        <f si="49" t="shared"/>
        <v>7.1676733522653011E-2</v>
      </c>
      <c r="W29" s="19">
        <f si="49" t="shared"/>
        <v>1</v>
      </c>
    </row>
    <row ht="15.75" r="32" spans="1:39" thickBot="1" x14ac:dyDescent="0.3">
      <c r="Q32" s="12"/>
      <c r="R32" s="10" t="s">
        <v>2</v>
      </c>
      <c r="S32" s="9"/>
      <c r="T32" s="9"/>
      <c r="U32" s="9"/>
      <c r="V32" s="9"/>
      <c r="W32" s="9"/>
      <c r="Y32" s="97" t="s">
        <v>165</v>
      </c>
    </row>
    <row r="33" spans="17:26" x14ac:dyDescent="0.25">
      <c r="Q33" s="11" t="s">
        <v>1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  <c r="Y33" s="97" t="s">
        <v>133</v>
      </c>
      <c r="Z33" s="95" t="s">
        <v>164</v>
      </c>
    </row>
    <row r="34" spans="17:26" x14ac:dyDescent="0.25">
      <c r="Q34" s="3">
        <v>1</v>
      </c>
      <c r="R34" s="17">
        <f>R25-B25</f>
        <v>-8.6097439402524276E-3</v>
      </c>
      <c r="S34" s="17">
        <f ref="S34:W34" si="50" t="shared">S25-C25</f>
        <v>8.5110323089371553E-3</v>
      </c>
      <c r="T34" s="17">
        <f si="50" t="shared"/>
        <v>-1.075246396433728E-3</v>
      </c>
      <c r="U34" s="17">
        <f si="50" t="shared"/>
        <v>1.0781054684338353E-3</v>
      </c>
      <c r="V34" s="17">
        <f si="50" t="shared"/>
        <v>9.5852559315192255E-5</v>
      </c>
      <c r="W34" s="17">
        <f si="50" t="shared"/>
        <v>0</v>
      </c>
      <c r="Y34" s="4">
        <f>B16+B17+C17+B18+C18+D18+B19+C19+D19+E19</f>
        <v>428599.35444924847</v>
      </c>
      <c r="Z34" s="4">
        <f>R16+R17+S17+R18+S18+T18+R19+S19+T19+U19</f>
        <v>402676.52848364855</v>
      </c>
    </row>
    <row r="35" spans="17:26" x14ac:dyDescent="0.25">
      <c r="Q35" s="3">
        <v>2</v>
      </c>
      <c r="R35" s="17">
        <f ref="R35:W35" si="51" t="shared">R26-B26</f>
        <v>-1.1819332477021084E-3</v>
      </c>
      <c r="S35" s="17">
        <f si="51" t="shared"/>
        <v>-1.0907026900715169E-2</v>
      </c>
      <c r="T35" s="17">
        <f si="51" t="shared"/>
        <v>9.8546782889149531E-3</v>
      </c>
      <c r="U35" s="17">
        <f si="51" t="shared"/>
        <v>2.3252429525378315E-3</v>
      </c>
      <c r="V35" s="17">
        <f si="51" t="shared"/>
        <v>-9.096109303541669E-5</v>
      </c>
      <c r="W35" s="17">
        <f si="51" t="shared"/>
        <v>0</v>
      </c>
      <c r="Z35" s="96">
        <f>(Z34-Y34)/G20</f>
        <v>-1.7206072788625262E-2</v>
      </c>
    </row>
    <row r="36" spans="17:26" x14ac:dyDescent="0.25">
      <c r="Q36" s="3">
        <v>3</v>
      </c>
      <c r="R36" s="17">
        <f ref="R36:W36" si="52" t="shared">R27-B27</f>
        <v>2.7326522239415948E-4</v>
      </c>
      <c r="S36" s="17">
        <f si="52" t="shared"/>
        <v>-8.0980188515875767E-4</v>
      </c>
      <c r="T36" s="17">
        <f si="52" t="shared"/>
        <v>3.8191265318550383E-3</v>
      </c>
      <c r="U36" s="17">
        <f si="52" t="shared"/>
        <v>6.4857252516355018E-3</v>
      </c>
      <c r="V36" s="17">
        <f si="52" t="shared"/>
        <v>-9.7683151207259393E-3</v>
      </c>
      <c r="W36" s="17">
        <f si="52" t="shared"/>
        <v>0</v>
      </c>
    </row>
    <row r="37" spans="17:26" x14ac:dyDescent="0.25">
      <c r="Q37" s="5" t="s">
        <v>3</v>
      </c>
      <c r="R37" s="18">
        <f ref="R37:W37" si="53" t="shared">R28-B28</f>
        <v>-2.3913981759292059E-4</v>
      </c>
      <c r="S37" s="18">
        <f si="53" t="shared"/>
        <v>-4.63741226287382E-4</v>
      </c>
      <c r="T37" s="18">
        <f si="53" t="shared"/>
        <v>1.9598941356307256E-3</v>
      </c>
      <c r="U37" s="18">
        <f si="53" t="shared"/>
        <v>-1.046971660796505E-3</v>
      </c>
      <c r="V37" s="18">
        <f si="53" t="shared"/>
        <v>-2.1004143095390906E-4</v>
      </c>
      <c r="W37" s="18">
        <f si="53" t="shared"/>
        <v>0</v>
      </c>
    </row>
    <row ht="15.75" r="38" spans="17:26" thickBot="1" x14ac:dyDescent="0.3">
      <c r="Q38" s="7" t="s">
        <v>4</v>
      </c>
      <c r="R38" s="19">
        <f ref="R38:W38" si="54" t="shared">R29-B29</f>
        <v>-9.7575517831532954E-3</v>
      </c>
      <c r="S38" s="19">
        <f si="54" t="shared"/>
        <v>-3.6695377032242016E-3</v>
      </c>
      <c r="T38" s="19">
        <f si="54" t="shared"/>
        <v>1.4558452559966906E-2</v>
      </c>
      <c r="U38" s="19">
        <f si="54" t="shared"/>
        <v>8.8421020118106819E-3</v>
      </c>
      <c r="V38" s="19">
        <f si="54" t="shared"/>
        <v>-9.9734650854000767E-3</v>
      </c>
      <c r="W38" s="19">
        <f si="54" t="shared"/>
        <v>0</v>
      </c>
    </row>
  </sheetData>
  <pageMargins bottom="0.75" footer="0.3" header="0.3" left="0.7" right="0.7" top="0.75"/>
  <pageSetup horizontalDpi="4294967293" orientation="portrait" r:id="rId1" verticalDpi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O61"/>
  <sheetViews>
    <sheetView workbookViewId="0">
      <selection activeCell="O18" sqref="O18"/>
    </sheetView>
  </sheetViews>
  <sheetFormatPr defaultRowHeight="15" x14ac:dyDescent="0.25"/>
  <cols>
    <col min="6" max="6" bestFit="true" customWidth="true" width="84.7109375" collapsed="true"/>
  </cols>
  <sheetData>
    <row r="1" spans="1:7" x14ac:dyDescent="0.25">
      <c r="A1" t="s">
        <v>87</v>
      </c>
      <c r="B1" t="s">
        <v>88</v>
      </c>
      <c r="F1" t="s">
        <v>89</v>
      </c>
      <c r="G1" t="s">
        <v>136</v>
      </c>
    </row>
    <row r="2" spans="1:7" x14ac:dyDescent="0.25">
      <c r="A2">
        <v>1</v>
      </c>
      <c r="B2" t="s">
        <v>26</v>
      </c>
      <c r="C2" t="s">
        <v>27</v>
      </c>
      <c r="D2">
        <v>-2.88892731349</v>
      </c>
      <c r="E2">
        <v>0.48543234191599999</v>
      </c>
      <c r="F2" t="s">
        <v>90</v>
      </c>
      <c r="G2" t="s">
        <v>109</v>
      </c>
    </row>
    <row r="3" spans="1:7" x14ac:dyDescent="0.25">
      <c r="A3">
        <v>2</v>
      </c>
      <c r="B3" t="s">
        <v>28</v>
      </c>
      <c r="C3" t="s">
        <v>27</v>
      </c>
      <c r="D3">
        <v>-1.84920255786</v>
      </c>
      <c r="E3">
        <v>0.120667788954</v>
      </c>
      <c r="F3" t="s">
        <v>90</v>
      </c>
      <c r="G3" t="s">
        <v>118</v>
      </c>
    </row>
    <row r="4" spans="1:7" x14ac:dyDescent="0.25">
      <c r="A4">
        <v>3</v>
      </c>
      <c r="B4" t="s">
        <v>29</v>
      </c>
      <c r="C4" t="s">
        <v>27</v>
      </c>
      <c r="D4">
        <v>-3.06909125469</v>
      </c>
      <c r="E4">
        <v>0.18162390207699999</v>
      </c>
      <c r="F4" t="s">
        <v>90</v>
      </c>
      <c r="G4" t="s">
        <v>123</v>
      </c>
    </row>
    <row r="5" spans="1:7" x14ac:dyDescent="0.25">
      <c r="A5">
        <v>4</v>
      </c>
      <c r="B5" t="s">
        <v>30</v>
      </c>
      <c r="C5" t="s">
        <v>27</v>
      </c>
      <c r="D5">
        <v>-4.8440472338499996</v>
      </c>
      <c r="E5">
        <v>0.34758296123299998</v>
      </c>
      <c r="F5" t="s">
        <v>90</v>
      </c>
      <c r="G5" t="s">
        <v>129</v>
      </c>
    </row>
    <row r="6" spans="1:7" x14ac:dyDescent="0.25">
      <c r="A6">
        <v>5</v>
      </c>
      <c r="B6" t="s">
        <v>31</v>
      </c>
      <c r="C6" t="s">
        <v>27</v>
      </c>
      <c r="D6">
        <v>-3.7501392251399999</v>
      </c>
      <c r="E6">
        <v>0.48593392329200003</v>
      </c>
      <c r="F6" t="s">
        <v>91</v>
      </c>
      <c r="G6" t="s">
        <v>109</v>
      </c>
    </row>
    <row r="7" spans="1:7" x14ac:dyDescent="0.25">
      <c r="A7">
        <v>6</v>
      </c>
      <c r="B7" t="s">
        <v>32</v>
      </c>
      <c r="C7" t="s">
        <v>27</v>
      </c>
      <c r="D7">
        <v>-1.54083688408</v>
      </c>
      <c r="E7">
        <v>0.17120485389099999</v>
      </c>
      <c r="F7" t="s">
        <v>91</v>
      </c>
      <c r="G7" t="s">
        <v>110</v>
      </c>
    </row>
    <row r="8" spans="1:7" x14ac:dyDescent="0.25">
      <c r="A8">
        <v>7</v>
      </c>
      <c r="B8" t="s">
        <v>33</v>
      </c>
      <c r="C8" t="s">
        <v>27</v>
      </c>
      <c r="D8">
        <v>-1.50533715645</v>
      </c>
      <c r="E8">
        <v>0.108778102305</v>
      </c>
      <c r="F8" t="s">
        <v>91</v>
      </c>
      <c r="G8" t="s">
        <v>123</v>
      </c>
    </row>
    <row r="9" spans="1:7" x14ac:dyDescent="0.25">
      <c r="A9">
        <v>8</v>
      </c>
      <c r="B9" t="s">
        <v>34</v>
      </c>
      <c r="C9" t="s">
        <v>27</v>
      </c>
      <c r="D9">
        <v>-2.6342137133099999</v>
      </c>
      <c r="E9">
        <v>0.162199862</v>
      </c>
      <c r="F9" t="s">
        <v>91</v>
      </c>
      <c r="G9" t="s">
        <v>129</v>
      </c>
    </row>
    <row r="10" spans="1:7" x14ac:dyDescent="0.25">
      <c r="A10">
        <v>9</v>
      </c>
      <c r="B10" t="s">
        <v>35</v>
      </c>
      <c r="C10" t="s">
        <v>27</v>
      </c>
      <c r="D10">
        <v>-3.1293105723300001</v>
      </c>
      <c r="E10">
        <v>0.68731231591800002</v>
      </c>
      <c r="F10" t="s">
        <v>92</v>
      </c>
      <c r="G10" t="s">
        <v>109</v>
      </c>
    </row>
    <row r="11" spans="1:7" x14ac:dyDescent="0.25">
      <c r="A11">
        <v>10</v>
      </c>
      <c r="B11" t="s">
        <v>36</v>
      </c>
      <c r="C11" t="s">
        <v>27</v>
      </c>
      <c r="D11">
        <v>-1.2916609235900001</v>
      </c>
      <c r="E11">
        <v>0.26131690816499997</v>
      </c>
      <c r="F11" t="s">
        <v>92</v>
      </c>
      <c r="G11" t="s">
        <v>110</v>
      </c>
    </row>
    <row r="12" spans="1:7" x14ac:dyDescent="0.25">
      <c r="A12">
        <v>11</v>
      </c>
      <c r="B12" t="s">
        <v>37</v>
      </c>
      <c r="C12" t="s">
        <v>27</v>
      </c>
      <c r="D12">
        <v>-0.36600413520000002</v>
      </c>
      <c r="E12">
        <v>0.204749856644</v>
      </c>
      <c r="F12" t="s">
        <v>92</v>
      </c>
      <c r="G12" t="s">
        <v>118</v>
      </c>
    </row>
    <row r="13" spans="1:7" x14ac:dyDescent="0.25">
      <c r="A13">
        <v>12</v>
      </c>
      <c r="B13" t="s">
        <v>38</v>
      </c>
      <c r="C13" t="s">
        <v>27</v>
      </c>
      <c r="D13">
        <v>-0.96396736597999999</v>
      </c>
      <c r="E13">
        <v>0.203518529877</v>
      </c>
      <c r="F13" t="s">
        <v>92</v>
      </c>
      <c r="G13" t="s">
        <v>129</v>
      </c>
    </row>
    <row r="14" spans="1:7" x14ac:dyDescent="0.25">
      <c r="A14">
        <v>13</v>
      </c>
      <c r="B14" t="s">
        <v>39</v>
      </c>
      <c r="C14" t="s">
        <v>27</v>
      </c>
      <c r="D14">
        <v>-4.3599306108100002</v>
      </c>
      <c r="E14">
        <v>1.2200761253100001</v>
      </c>
      <c r="F14" t="s">
        <v>93</v>
      </c>
      <c r="G14" t="s">
        <v>109</v>
      </c>
    </row>
    <row r="15" spans="1:7" x14ac:dyDescent="0.25">
      <c r="A15">
        <v>14</v>
      </c>
      <c r="B15" t="s">
        <v>40</v>
      </c>
      <c r="C15" t="s">
        <v>27</v>
      </c>
      <c r="D15">
        <v>-1.1985630522499999</v>
      </c>
      <c r="E15">
        <v>0.39337121020799998</v>
      </c>
      <c r="F15" t="s">
        <v>93</v>
      </c>
      <c r="G15" t="s">
        <v>110</v>
      </c>
    </row>
    <row r="16" spans="1:7" x14ac:dyDescent="0.25">
      <c r="A16">
        <v>15</v>
      </c>
      <c r="B16" t="s">
        <v>41</v>
      </c>
      <c r="C16" t="s">
        <v>27</v>
      </c>
      <c r="D16">
        <v>-1.15121947805</v>
      </c>
      <c r="E16">
        <v>0.30214458233000002</v>
      </c>
      <c r="F16" t="s">
        <v>93</v>
      </c>
      <c r="G16" t="s">
        <v>118</v>
      </c>
    </row>
    <row r="17" spans="1:15" x14ac:dyDescent="0.25">
      <c r="A17">
        <v>16</v>
      </c>
      <c r="B17" t="s">
        <v>42</v>
      </c>
      <c r="C17" t="s">
        <v>27</v>
      </c>
      <c r="D17">
        <v>-1.4377901695099999</v>
      </c>
      <c r="E17">
        <v>0.30270627538400002</v>
      </c>
      <c r="F17" t="s">
        <v>93</v>
      </c>
      <c r="G17" t="s">
        <v>123</v>
      </c>
    </row>
    <row customFormat="1" r="18" s="77" spans="1:15" x14ac:dyDescent="0.25">
      <c r="A18" s="77">
        <v>18</v>
      </c>
      <c r="B18" s="77" t="s">
        <v>43</v>
      </c>
      <c r="C18" s="77" t="s">
        <v>27</v>
      </c>
      <c r="D18" s="77">
        <v>0.39953921787000002</v>
      </c>
      <c r="E18" s="77">
        <v>0.124608088395</v>
      </c>
      <c r="F18" s="77" t="s">
        <v>94</v>
      </c>
      <c r="G18" s="77" t="s">
        <v>109</v>
      </c>
      <c r="H18" s="77" t="s">
        <v>110</v>
      </c>
      <c r="I18" s="77" t="s">
        <v>111</v>
      </c>
      <c r="J18" s="77" t="s">
        <v>118</v>
      </c>
      <c r="K18" s="77" t="s">
        <v>117</v>
      </c>
      <c r="L18" s="77" t="s">
        <v>123</v>
      </c>
      <c r="M18" s="77" t="s">
        <v>122</v>
      </c>
      <c r="N18" s="77" t="s">
        <v>129</v>
      </c>
      <c r="O18" s="77" t="s">
        <v>128</v>
      </c>
    </row>
    <row r="19" spans="1:15" x14ac:dyDescent="0.25">
      <c r="A19" s="78">
        <v>19</v>
      </c>
      <c r="B19" s="78" t="s">
        <v>44</v>
      </c>
      <c r="C19" s="78" t="s">
        <v>27</v>
      </c>
      <c r="D19" s="78">
        <v>0.69903044631199995</v>
      </c>
      <c r="E19" s="78">
        <v>0.40297798012199998</v>
      </c>
      <c r="F19" s="78" t="s">
        <v>95</v>
      </c>
      <c r="G19" s="78" t="s">
        <v>109</v>
      </c>
      <c r="H19" s="78"/>
      <c r="I19" s="78"/>
      <c r="J19" s="78"/>
      <c r="K19" s="78"/>
      <c r="L19" s="78"/>
      <c r="M19" s="78"/>
    </row>
    <row r="20" spans="1:15" x14ac:dyDescent="0.25">
      <c r="A20">
        <v>20</v>
      </c>
      <c r="B20" t="s">
        <v>45</v>
      </c>
      <c r="C20" t="s">
        <v>27</v>
      </c>
      <c r="D20">
        <v>0.32485446959800002</v>
      </c>
      <c r="E20">
        <v>0.204037451392</v>
      </c>
      <c r="F20" t="s">
        <v>95</v>
      </c>
      <c r="G20" t="s">
        <v>110</v>
      </c>
    </row>
    <row r="21" spans="1:15" x14ac:dyDescent="0.25">
      <c r="A21">
        <v>22</v>
      </c>
      <c r="B21" t="s">
        <v>46</v>
      </c>
      <c r="C21" t="s">
        <v>27</v>
      </c>
      <c r="D21">
        <v>-0.43856128772000003</v>
      </c>
      <c r="E21">
        <v>0.318213047774</v>
      </c>
      <c r="F21" t="s">
        <v>95</v>
      </c>
      <c r="G21" t="s">
        <v>129</v>
      </c>
    </row>
    <row r="22" spans="1:15" x14ac:dyDescent="0.25">
      <c r="A22">
        <v>24</v>
      </c>
      <c r="B22" t="s">
        <v>47</v>
      </c>
      <c r="C22" t="s">
        <v>27</v>
      </c>
      <c r="D22">
        <v>0.239019734309</v>
      </c>
      <c r="E22">
        <v>0.118684885778</v>
      </c>
      <c r="F22" t="s">
        <v>112</v>
      </c>
      <c r="G22" t="s">
        <v>110</v>
      </c>
    </row>
    <row r="23" spans="1:15" x14ac:dyDescent="0.25">
      <c r="A23">
        <v>25</v>
      </c>
      <c r="B23" t="s">
        <v>48</v>
      </c>
      <c r="C23" t="s">
        <v>27</v>
      </c>
      <c r="D23">
        <v>-0.30115653367700002</v>
      </c>
      <c r="E23">
        <v>0.15726577946500001</v>
      </c>
      <c r="F23" t="s">
        <v>112</v>
      </c>
      <c r="G23" t="s">
        <v>123</v>
      </c>
    </row>
    <row r="24" spans="1:15" x14ac:dyDescent="0.25">
      <c r="A24">
        <v>26</v>
      </c>
      <c r="B24" t="s">
        <v>49</v>
      </c>
      <c r="C24" t="s">
        <v>27</v>
      </c>
      <c r="D24">
        <v>-0.56373515910799998</v>
      </c>
      <c r="E24">
        <v>0.25328633007399998</v>
      </c>
      <c r="F24" t="s">
        <v>112</v>
      </c>
      <c r="G24" t="s">
        <v>129</v>
      </c>
    </row>
    <row r="25" spans="1:15" x14ac:dyDescent="0.25">
      <c r="A25">
        <v>28</v>
      </c>
      <c r="B25" t="s">
        <v>50</v>
      </c>
      <c r="C25" t="s">
        <v>27</v>
      </c>
      <c r="D25">
        <v>0.31959884056900001</v>
      </c>
      <c r="E25">
        <v>0.22861927141800001</v>
      </c>
      <c r="F25" t="s">
        <v>113</v>
      </c>
      <c r="G25" t="s">
        <v>110</v>
      </c>
    </row>
    <row r="26" spans="1:15" x14ac:dyDescent="0.25">
      <c r="A26">
        <v>29</v>
      </c>
      <c r="B26" t="s">
        <v>51</v>
      </c>
      <c r="C26" t="s">
        <v>27</v>
      </c>
      <c r="D26">
        <v>0.57068696704599997</v>
      </c>
      <c r="E26">
        <v>0.28285417099100002</v>
      </c>
      <c r="F26" t="s">
        <v>113</v>
      </c>
      <c r="G26" t="s">
        <v>123</v>
      </c>
    </row>
    <row r="27" spans="1:15" x14ac:dyDescent="0.25">
      <c r="A27">
        <v>31</v>
      </c>
      <c r="B27" t="s">
        <v>52</v>
      </c>
      <c r="C27" t="s">
        <v>27</v>
      </c>
      <c r="D27">
        <v>2.9250059989500001</v>
      </c>
      <c r="E27">
        <v>1.2854634766599999</v>
      </c>
      <c r="F27" t="s">
        <v>96</v>
      </c>
      <c r="G27" t="s">
        <v>109</v>
      </c>
    </row>
    <row r="28" spans="1:15" x14ac:dyDescent="0.25">
      <c r="A28">
        <v>32</v>
      </c>
      <c r="B28" t="s">
        <v>53</v>
      </c>
      <c r="C28" t="s">
        <v>27</v>
      </c>
      <c r="D28">
        <v>1.2969669216299999</v>
      </c>
      <c r="E28">
        <v>0.553290083268</v>
      </c>
      <c r="F28" t="s">
        <v>96</v>
      </c>
      <c r="G28" t="s">
        <v>110</v>
      </c>
    </row>
    <row r="29" spans="1:15" x14ac:dyDescent="0.25">
      <c r="A29">
        <v>34</v>
      </c>
      <c r="B29" t="s">
        <v>54</v>
      </c>
      <c r="C29" t="s">
        <v>27</v>
      </c>
      <c r="D29">
        <v>-2.59112200624</v>
      </c>
      <c r="E29">
        <v>0.67748006502500002</v>
      </c>
      <c r="F29" t="s">
        <v>96</v>
      </c>
      <c r="G29" t="s">
        <v>129</v>
      </c>
    </row>
    <row r="30" spans="1:15" x14ac:dyDescent="0.25">
      <c r="A30">
        <v>35</v>
      </c>
      <c r="B30" t="s">
        <v>55</v>
      </c>
      <c r="C30" t="s">
        <v>27</v>
      </c>
      <c r="D30">
        <v>-1.0636437007299999</v>
      </c>
      <c r="E30">
        <v>0.67287579243399998</v>
      </c>
      <c r="F30" t="s">
        <v>97</v>
      </c>
      <c r="G30" t="s">
        <v>109</v>
      </c>
    </row>
    <row r="31" spans="1:15" x14ac:dyDescent="0.25">
      <c r="A31">
        <v>36</v>
      </c>
      <c r="B31" t="s">
        <v>56</v>
      </c>
      <c r="C31" t="s">
        <v>27</v>
      </c>
      <c r="D31">
        <v>-0.53660640919000002</v>
      </c>
      <c r="E31">
        <v>0.28655587340499999</v>
      </c>
      <c r="F31" t="s">
        <v>97</v>
      </c>
      <c r="G31" t="s">
        <v>110</v>
      </c>
    </row>
    <row r="32" spans="1:15" x14ac:dyDescent="0.25">
      <c r="A32">
        <v>37</v>
      </c>
      <c r="B32" t="s">
        <v>57</v>
      </c>
      <c r="C32" t="s">
        <v>27</v>
      </c>
      <c r="D32">
        <v>0.28589368992800002</v>
      </c>
      <c r="E32">
        <v>0.26930228656600003</v>
      </c>
      <c r="F32" t="s">
        <v>97</v>
      </c>
      <c r="G32" t="s">
        <v>123</v>
      </c>
    </row>
    <row r="33" spans="1:7" x14ac:dyDescent="0.25">
      <c r="A33">
        <v>38</v>
      </c>
      <c r="B33" t="s">
        <v>58</v>
      </c>
      <c r="C33" t="s">
        <v>27</v>
      </c>
      <c r="D33">
        <v>0.64783551265499995</v>
      </c>
      <c r="E33">
        <v>0.37530750296900001</v>
      </c>
      <c r="F33" t="s">
        <v>97</v>
      </c>
      <c r="G33" t="s">
        <v>129</v>
      </c>
    </row>
    <row r="34" spans="1:7" x14ac:dyDescent="0.25">
      <c r="A34">
        <v>41</v>
      </c>
      <c r="B34" t="s">
        <v>59</v>
      </c>
      <c r="C34" t="s">
        <v>27</v>
      </c>
      <c r="D34">
        <v>-0.47288768158</v>
      </c>
      <c r="E34">
        <v>0.28996962859499997</v>
      </c>
      <c r="F34" t="s">
        <v>124</v>
      </c>
      <c r="G34" t="s">
        <v>123</v>
      </c>
    </row>
    <row r="35" spans="1:7" x14ac:dyDescent="0.25">
      <c r="A35">
        <v>42</v>
      </c>
      <c r="B35" t="s">
        <v>60</v>
      </c>
      <c r="C35" t="s">
        <v>27</v>
      </c>
      <c r="D35">
        <v>-1.73045435445</v>
      </c>
      <c r="E35">
        <v>0.60204136834499999</v>
      </c>
      <c r="F35" t="s">
        <v>124</v>
      </c>
      <c r="G35" t="s">
        <v>129</v>
      </c>
    </row>
    <row r="36" spans="1:7" x14ac:dyDescent="0.25">
      <c r="A36">
        <v>43</v>
      </c>
      <c r="B36" t="s">
        <v>61</v>
      </c>
      <c r="C36" t="s">
        <v>27</v>
      </c>
      <c r="D36">
        <v>2.0718120356499998</v>
      </c>
      <c r="E36">
        <v>0.25112785750200001</v>
      </c>
      <c r="F36" t="s">
        <v>98</v>
      </c>
      <c r="G36" t="s">
        <v>109</v>
      </c>
    </row>
    <row r="37" spans="1:7" x14ac:dyDescent="0.25">
      <c r="A37">
        <v>44</v>
      </c>
      <c r="B37" t="s">
        <v>62</v>
      </c>
      <c r="C37" t="s">
        <v>27</v>
      </c>
      <c r="D37">
        <v>0.60728378971399999</v>
      </c>
      <c r="E37">
        <v>0.181439147627</v>
      </c>
      <c r="F37" t="s">
        <v>98</v>
      </c>
      <c r="G37" t="s">
        <v>110</v>
      </c>
    </row>
    <row r="38" spans="1:7" x14ac:dyDescent="0.25">
      <c r="A38">
        <v>45</v>
      </c>
      <c r="B38" t="s">
        <v>63</v>
      </c>
      <c r="C38" t="s">
        <v>27</v>
      </c>
      <c r="D38">
        <v>-0.71462161389500001</v>
      </c>
      <c r="E38">
        <v>0.32036605145399999</v>
      </c>
      <c r="F38" t="s">
        <v>98</v>
      </c>
      <c r="G38" t="s">
        <v>123</v>
      </c>
    </row>
    <row r="39" spans="1:7" x14ac:dyDescent="0.25">
      <c r="A39">
        <v>46</v>
      </c>
      <c r="B39" t="s">
        <v>64</v>
      </c>
      <c r="C39" t="s">
        <v>27</v>
      </c>
      <c r="D39">
        <v>-1.4356778668800001</v>
      </c>
      <c r="E39">
        <v>0.571538197034</v>
      </c>
      <c r="F39" t="s">
        <v>98</v>
      </c>
      <c r="G39" t="s">
        <v>129</v>
      </c>
    </row>
    <row r="40" spans="1:7" x14ac:dyDescent="0.25">
      <c r="A40">
        <v>47</v>
      </c>
      <c r="B40" t="s">
        <v>65</v>
      </c>
      <c r="C40" t="s">
        <v>27</v>
      </c>
      <c r="D40">
        <v>-1.45349726543</v>
      </c>
      <c r="E40">
        <v>0.40356684826</v>
      </c>
      <c r="F40" t="s">
        <v>99</v>
      </c>
      <c r="G40" t="s">
        <v>109</v>
      </c>
    </row>
    <row r="41" spans="1:7" x14ac:dyDescent="0.25">
      <c r="A41">
        <v>48</v>
      </c>
      <c r="B41" t="s">
        <v>66</v>
      </c>
      <c r="C41" t="s">
        <v>27</v>
      </c>
      <c r="D41">
        <v>-1.0930755785699999</v>
      </c>
      <c r="E41">
        <v>0.126439275741</v>
      </c>
      <c r="F41" t="s">
        <v>99</v>
      </c>
      <c r="G41" t="s">
        <v>110</v>
      </c>
    </row>
    <row r="42" spans="1:7" x14ac:dyDescent="0.25">
      <c r="A42">
        <v>49</v>
      </c>
      <c r="B42" t="s">
        <v>67</v>
      </c>
      <c r="C42" t="s">
        <v>27</v>
      </c>
      <c r="D42">
        <v>0.14078168516299999</v>
      </c>
      <c r="E42">
        <v>0.12041492006899999</v>
      </c>
      <c r="F42" t="s">
        <v>99</v>
      </c>
      <c r="G42" t="s">
        <v>123</v>
      </c>
    </row>
    <row r="43" spans="1:7" x14ac:dyDescent="0.25">
      <c r="A43">
        <v>50</v>
      </c>
      <c r="B43" t="s">
        <v>68</v>
      </c>
      <c r="C43" t="s">
        <v>27</v>
      </c>
      <c r="D43">
        <v>0.188609995585</v>
      </c>
      <c r="E43">
        <v>0.169738586315</v>
      </c>
      <c r="F43" t="s">
        <v>99</v>
      </c>
      <c r="G43" t="s">
        <v>129</v>
      </c>
    </row>
    <row r="44" spans="1:7" x14ac:dyDescent="0.25">
      <c r="A44">
        <v>51</v>
      </c>
      <c r="B44" t="s">
        <v>69</v>
      </c>
      <c r="C44" t="s">
        <v>27</v>
      </c>
      <c r="D44">
        <v>-0.58492078305700002</v>
      </c>
      <c r="E44">
        <v>0.39231975258899998</v>
      </c>
      <c r="F44" t="s">
        <v>100</v>
      </c>
      <c r="G44" t="s">
        <v>109</v>
      </c>
    </row>
    <row r="45" spans="1:7" x14ac:dyDescent="0.25">
      <c r="A45">
        <v>52</v>
      </c>
      <c r="B45" t="s">
        <v>70</v>
      </c>
      <c r="C45" t="s">
        <v>27</v>
      </c>
      <c r="D45">
        <v>-1.0058660612699999</v>
      </c>
      <c r="E45">
        <v>0.1591759079</v>
      </c>
      <c r="F45" t="s">
        <v>100</v>
      </c>
      <c r="G45" t="s">
        <v>110</v>
      </c>
    </row>
    <row r="46" spans="1:7" x14ac:dyDescent="0.25">
      <c r="A46">
        <v>53</v>
      </c>
      <c r="B46" t="s">
        <v>71</v>
      </c>
      <c r="C46" t="s">
        <v>27</v>
      </c>
      <c r="D46">
        <v>0.22559840834</v>
      </c>
      <c r="E46">
        <v>0.13586187288400001</v>
      </c>
      <c r="F46" t="s">
        <v>100</v>
      </c>
      <c r="G46" t="s">
        <v>123</v>
      </c>
    </row>
    <row r="47" spans="1:7" x14ac:dyDescent="0.25">
      <c r="A47">
        <v>54</v>
      </c>
      <c r="B47" t="s">
        <v>72</v>
      </c>
      <c r="C47" t="s">
        <v>27</v>
      </c>
      <c r="D47">
        <v>0.34302043279099997</v>
      </c>
      <c r="E47">
        <v>0.18564049817600001</v>
      </c>
      <c r="F47" t="s">
        <v>100</v>
      </c>
      <c r="G47" t="s">
        <v>129</v>
      </c>
    </row>
    <row r="48" spans="1:7" x14ac:dyDescent="0.25">
      <c r="A48">
        <v>55</v>
      </c>
      <c r="B48" t="s">
        <v>73</v>
      </c>
      <c r="C48" t="s">
        <v>27</v>
      </c>
      <c r="D48">
        <v>-0.53538167154600003</v>
      </c>
      <c r="E48">
        <v>0.46253383393000003</v>
      </c>
      <c r="F48" t="s">
        <v>101</v>
      </c>
      <c r="G48" t="s">
        <v>109</v>
      </c>
    </row>
    <row r="49" spans="1:13" x14ac:dyDescent="0.25">
      <c r="A49">
        <v>56</v>
      </c>
      <c r="B49" t="s">
        <v>74</v>
      </c>
      <c r="C49" t="s">
        <v>27</v>
      </c>
      <c r="D49">
        <v>-0.52697142353899995</v>
      </c>
      <c r="E49">
        <v>0.21878082256199999</v>
      </c>
      <c r="F49" t="s">
        <v>101</v>
      </c>
      <c r="G49" t="s">
        <v>110</v>
      </c>
    </row>
    <row r="50" spans="1:13" x14ac:dyDescent="0.25">
      <c r="A50">
        <v>57</v>
      </c>
      <c r="B50" t="s">
        <v>75</v>
      </c>
      <c r="C50" t="s">
        <v>27</v>
      </c>
      <c r="D50">
        <v>0.21517789340999999</v>
      </c>
      <c r="E50">
        <v>0.24686726698100001</v>
      </c>
      <c r="F50" t="s">
        <v>101</v>
      </c>
      <c r="G50" t="s">
        <v>123</v>
      </c>
    </row>
    <row r="51" spans="1:13" x14ac:dyDescent="0.25">
      <c r="A51">
        <v>58</v>
      </c>
      <c r="B51" t="s">
        <v>76</v>
      </c>
      <c r="C51" t="s">
        <v>27</v>
      </c>
      <c r="D51">
        <v>-0.978212790971</v>
      </c>
      <c r="E51">
        <v>0.55972952825599998</v>
      </c>
      <c r="F51" t="s">
        <v>101</v>
      </c>
      <c r="G51" t="s">
        <v>129</v>
      </c>
    </row>
    <row r="52" spans="1:13" x14ac:dyDescent="0.25">
      <c r="A52">
        <v>59</v>
      </c>
      <c r="B52" t="s">
        <v>77</v>
      </c>
      <c r="C52" t="s">
        <v>27</v>
      </c>
      <c r="D52">
        <v>-0.42495698544999999</v>
      </c>
      <c r="E52" s="76">
        <v>9.3174665093100004E-2</v>
      </c>
      <c r="F52" t="s">
        <v>102</v>
      </c>
      <c r="G52" t="s">
        <v>109</v>
      </c>
    </row>
    <row customFormat="1" r="53" s="77" spans="1:13" x14ac:dyDescent="0.25">
      <c r="A53" s="77">
        <v>60</v>
      </c>
      <c r="B53" s="77" t="s">
        <v>78</v>
      </c>
      <c r="C53" s="77" t="s">
        <v>27</v>
      </c>
      <c r="D53" s="77">
        <v>-0.11124462416</v>
      </c>
      <c r="E53" s="79">
        <v>1.9324554676499999E-2</v>
      </c>
      <c r="F53" s="77" t="s">
        <v>114</v>
      </c>
      <c r="G53" s="77" t="s">
        <v>110</v>
      </c>
      <c r="H53" s="77" t="s">
        <v>118</v>
      </c>
      <c r="I53" s="77" t="s">
        <v>119</v>
      </c>
      <c r="J53" s="77" t="s">
        <v>123</v>
      </c>
      <c r="K53" s="77" t="s">
        <v>125</v>
      </c>
      <c r="L53" s="77" t="s">
        <v>129</v>
      </c>
      <c r="M53" s="77" t="s">
        <v>130</v>
      </c>
    </row>
    <row r="54" spans="1:13" x14ac:dyDescent="0.25">
      <c r="A54">
        <v>63</v>
      </c>
      <c r="B54" t="s">
        <v>79</v>
      </c>
      <c r="C54" t="s">
        <v>27</v>
      </c>
      <c r="D54">
        <v>-1.2627495896200001</v>
      </c>
      <c r="E54">
        <v>1.15568726918</v>
      </c>
      <c r="F54" t="s">
        <v>103</v>
      </c>
      <c r="G54" t="s">
        <v>109</v>
      </c>
    </row>
    <row r="55" spans="1:13" x14ac:dyDescent="0.25">
      <c r="A55">
        <v>69</v>
      </c>
      <c r="B55" t="s">
        <v>80</v>
      </c>
      <c r="C55" t="s">
        <v>27</v>
      </c>
      <c r="D55">
        <v>-0.182881856812</v>
      </c>
      <c r="E55" s="76">
        <v>9.1832192679999994E-2</v>
      </c>
      <c r="F55" t="s">
        <v>104</v>
      </c>
      <c r="G55" t="s">
        <v>109</v>
      </c>
    </row>
    <row customFormat="1" r="56" s="77" spans="1:13" x14ac:dyDescent="0.25">
      <c r="A56" s="77">
        <v>72</v>
      </c>
      <c r="B56" s="77" t="s">
        <v>81</v>
      </c>
      <c r="C56" s="77" t="s">
        <v>27</v>
      </c>
      <c r="D56" s="77">
        <v>0.14811075420100001</v>
      </c>
      <c r="E56" s="79">
        <v>5.9982749063499999E-2</v>
      </c>
      <c r="F56" s="77" t="s">
        <v>115</v>
      </c>
      <c r="G56" s="77" t="s">
        <v>110</v>
      </c>
      <c r="H56" s="77" t="s">
        <v>118</v>
      </c>
      <c r="I56" s="77" t="s">
        <v>120</v>
      </c>
      <c r="J56" s="77" t="s">
        <v>123</v>
      </c>
      <c r="K56" s="77" t="s">
        <v>126</v>
      </c>
      <c r="L56" s="77" t="s">
        <v>129</v>
      </c>
      <c r="M56" s="77" t="s">
        <v>131</v>
      </c>
    </row>
    <row r="57" spans="1:13" x14ac:dyDescent="0.25">
      <c r="A57">
        <v>73</v>
      </c>
      <c r="B57" t="s">
        <v>82</v>
      </c>
      <c r="C57" t="s">
        <v>27</v>
      </c>
      <c r="D57" s="76">
        <v>7.1458236224400005E-4</v>
      </c>
      <c r="E57" s="76">
        <v>1.9087285637099999E-4</v>
      </c>
      <c r="F57" t="s">
        <v>105</v>
      </c>
      <c r="G57" t="s">
        <v>109</v>
      </c>
    </row>
    <row r="58" spans="1:13" x14ac:dyDescent="0.25">
      <c r="A58">
        <v>75</v>
      </c>
      <c r="B58" t="s">
        <v>83</v>
      </c>
      <c r="C58" t="s">
        <v>27</v>
      </c>
      <c r="D58">
        <v>0.29597958689600001</v>
      </c>
      <c r="E58" s="76">
        <v>7.8942367252999995E-2</v>
      </c>
      <c r="F58" t="s">
        <v>106</v>
      </c>
      <c r="G58" t="s">
        <v>109</v>
      </c>
    </row>
    <row customFormat="1" r="59" s="77" spans="1:13" x14ac:dyDescent="0.25">
      <c r="A59" s="77">
        <v>76</v>
      </c>
      <c r="B59" s="77" t="s">
        <v>84</v>
      </c>
      <c r="C59" s="77" t="s">
        <v>27</v>
      </c>
      <c r="D59" s="77">
        <v>0.19796492273399999</v>
      </c>
      <c r="E59" s="79">
        <v>3.4156307751499998E-2</v>
      </c>
      <c r="F59" s="77" t="s">
        <v>116</v>
      </c>
      <c r="G59" s="77" t="s">
        <v>110</v>
      </c>
      <c r="H59" s="77" t="s">
        <v>118</v>
      </c>
      <c r="I59" s="77" t="s">
        <v>121</v>
      </c>
      <c r="J59" s="77" t="s">
        <v>123</v>
      </c>
      <c r="K59" s="77" t="s">
        <v>127</v>
      </c>
      <c r="L59" s="77" t="s">
        <v>129</v>
      </c>
      <c r="M59" s="77" t="s">
        <v>132</v>
      </c>
    </row>
    <row r="60" spans="1:13" x14ac:dyDescent="0.25">
      <c r="A60">
        <v>77</v>
      </c>
      <c r="B60" t="s">
        <v>85</v>
      </c>
      <c r="C60" t="s">
        <v>27</v>
      </c>
      <c r="D60">
        <v>0.27817460170199998</v>
      </c>
      <c r="E60">
        <v>0.17839332841300001</v>
      </c>
      <c r="F60" t="s">
        <v>108</v>
      </c>
      <c r="G60" t="s">
        <v>109</v>
      </c>
    </row>
    <row r="61" spans="1:13" x14ac:dyDescent="0.25">
      <c r="A61">
        <v>83</v>
      </c>
      <c r="B61" t="s">
        <v>86</v>
      </c>
      <c r="C61" t="s">
        <v>27</v>
      </c>
      <c r="D61">
        <v>-0.77256225305799997</v>
      </c>
      <c r="E61">
        <v>0.454505526996</v>
      </c>
      <c r="F61" t="s">
        <v>107</v>
      </c>
      <c r="G61" t="s">
        <v>109</v>
      </c>
    </row>
  </sheetData>
  <sortState ref="A2:O61">
    <sortCondition ref="A2:A61"/>
  </sortState>
  <pageMargins bottom="0.75" footer="0.3" header="0.3" left="0.7" right="0.7" top="0.75"/>
  <pageSetup orientation="portrait" r:id="rId1" verticalDpi="0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82" t="s">
        <v>155</v>
      </c>
    </row>
    <row r="2" spans="1:10" x14ac:dyDescent="0.25">
      <c r="A2">
        <v>1</v>
      </c>
      <c r="B2" t="s">
        <v>156</v>
      </c>
    </row>
    <row r="3" spans="1:10" x14ac:dyDescent="0.25">
      <c r="A3">
        <v>2</v>
      </c>
      <c r="B3" t="s">
        <v>157</v>
      </c>
    </row>
    <row r="4" spans="1:10" x14ac:dyDescent="0.25">
      <c r="A4">
        <v>3</v>
      </c>
      <c r="B4" t="s">
        <v>158</v>
      </c>
    </row>
    <row r="5" spans="1:10" x14ac:dyDescent="0.25">
      <c r="A5">
        <v>4</v>
      </c>
      <c r="B5" t="s">
        <v>159</v>
      </c>
    </row>
    <row r="8" spans="1:10" x14ac:dyDescent="0.25">
      <c r="A8" t="s">
        <v>144</v>
      </c>
      <c r="B8" t="s">
        <v>145</v>
      </c>
      <c r="C8" t="s">
        <v>146</v>
      </c>
    </row>
    <row r="9" spans="1:10" x14ac:dyDescent="0.25">
      <c r="A9" t="s">
        <v>147</v>
      </c>
      <c r="B9" t="s">
        <v>148</v>
      </c>
      <c r="C9" t="s">
        <v>149</v>
      </c>
      <c r="D9" t="s">
        <v>150</v>
      </c>
      <c r="E9">
        <v>4</v>
      </c>
      <c r="F9" s="85">
        <v>0.46995370370370365</v>
      </c>
      <c r="G9" t="s">
        <v>151</v>
      </c>
      <c r="H9">
        <v>3</v>
      </c>
      <c r="I9" t="s">
        <v>152</v>
      </c>
      <c r="J9">
        <v>12</v>
      </c>
    </row>
    <row r="10" spans="1:10" x14ac:dyDescent="0.25">
      <c r="A10" t="s">
        <v>153</v>
      </c>
    </row>
    <row r="11" spans="1:10" x14ac:dyDescent="0.25">
      <c r="B11">
        <v>1</v>
      </c>
      <c r="C11" t="s">
        <v>26</v>
      </c>
      <c r="D11" t="s">
        <v>27</v>
      </c>
      <c r="E11">
        <v>-3.7471395627100001</v>
      </c>
      <c r="F11">
        <v>0.48543234191599999</v>
      </c>
    </row>
    <row r="12" spans="1:10" x14ac:dyDescent="0.25">
      <c r="B12">
        <v>2</v>
      </c>
      <c r="C12" t="s">
        <v>28</v>
      </c>
      <c r="D12" t="s">
        <v>27</v>
      </c>
      <c r="E12">
        <v>-2.1297115852199999</v>
      </c>
      <c r="F12">
        <v>0.120667788954</v>
      </c>
    </row>
    <row r="13" spans="1:10" x14ac:dyDescent="0.25">
      <c r="B13">
        <v>3</v>
      </c>
      <c r="C13" t="s">
        <v>29</v>
      </c>
      <c r="D13" t="s">
        <v>27</v>
      </c>
      <c r="E13">
        <v>-3.96633437255</v>
      </c>
      <c r="F13">
        <v>0.18162390207699999</v>
      </c>
    </row>
    <row r="14" spans="1:10" x14ac:dyDescent="0.25">
      <c r="B14">
        <v>4</v>
      </c>
      <c r="C14" t="s">
        <v>30</v>
      </c>
      <c r="D14" t="s">
        <v>27</v>
      </c>
      <c r="E14">
        <v>-11.219392631330001</v>
      </c>
      <c r="F14">
        <v>0.34758296123299998</v>
      </c>
    </row>
    <row r="15" spans="1:10" x14ac:dyDescent="0.25">
      <c r="B15">
        <v>5</v>
      </c>
      <c r="C15" t="s">
        <v>31</v>
      </c>
      <c r="D15" t="s">
        <v>27</v>
      </c>
      <c r="E15">
        <v>-5.0125223934900003</v>
      </c>
      <c r="F15">
        <v>0.48593392329200003</v>
      </c>
    </row>
    <row r="16" spans="1:10" x14ac:dyDescent="0.25">
      <c r="B16">
        <v>6</v>
      </c>
      <c r="C16" t="s">
        <v>32</v>
      </c>
      <c r="D16" t="s">
        <v>27</v>
      </c>
      <c r="E16">
        <v>-1.8563745465099999</v>
      </c>
      <c r="F16">
        <v>0.17120485389099999</v>
      </c>
    </row>
    <row r="17" spans="2:6" x14ac:dyDescent="0.25">
      <c r="B17">
        <v>7</v>
      </c>
      <c r="C17" t="s">
        <v>33</v>
      </c>
      <c r="D17" t="s">
        <v>27</v>
      </c>
      <c r="E17">
        <v>-1.3964239432800001</v>
      </c>
      <c r="F17">
        <v>0.108778102305</v>
      </c>
    </row>
    <row r="18" spans="2:6" x14ac:dyDescent="0.25">
      <c r="B18">
        <v>8</v>
      </c>
      <c r="C18" t="s">
        <v>34</v>
      </c>
      <c r="D18" t="s">
        <v>27</v>
      </c>
      <c r="E18">
        <v>-2.3942936803500001</v>
      </c>
      <c r="F18">
        <v>0.162199862</v>
      </c>
    </row>
    <row r="19" spans="2:6" x14ac:dyDescent="0.25">
      <c r="B19">
        <v>9</v>
      </c>
      <c r="C19" t="s">
        <v>35</v>
      </c>
      <c r="D19" t="s">
        <v>27</v>
      </c>
      <c r="E19">
        <v>-4.9201833156500001</v>
      </c>
      <c r="F19">
        <v>0.68731231591800002</v>
      </c>
    </row>
    <row r="20" spans="2:6" x14ac:dyDescent="0.25">
      <c r="B20">
        <v>10</v>
      </c>
      <c r="C20" t="s">
        <v>36</v>
      </c>
      <c r="D20" t="s">
        <v>27</v>
      </c>
      <c r="E20">
        <v>-2.29401614977</v>
      </c>
      <c r="F20">
        <v>0.26131690816499997</v>
      </c>
    </row>
    <row r="21" spans="2:6" x14ac:dyDescent="0.25">
      <c r="B21">
        <v>11</v>
      </c>
      <c r="C21" t="s">
        <v>37</v>
      </c>
      <c r="D21" t="s">
        <v>27</v>
      </c>
      <c r="E21">
        <v>-1.4446352364099999</v>
      </c>
      <c r="F21">
        <v>0.204749856644</v>
      </c>
    </row>
    <row r="22" spans="2:6" x14ac:dyDescent="0.25">
      <c r="B22">
        <v>12</v>
      </c>
      <c r="C22" t="s">
        <v>38</v>
      </c>
      <c r="D22" t="s">
        <v>27</v>
      </c>
      <c r="E22">
        <v>-0.81535992723999995</v>
      </c>
      <c r="F22">
        <v>0.203518529877</v>
      </c>
    </row>
    <row r="23" spans="2:6" x14ac:dyDescent="0.25">
      <c r="B23">
        <v>13</v>
      </c>
      <c r="C23" t="s">
        <v>39</v>
      </c>
      <c r="D23" t="s">
        <v>27</v>
      </c>
      <c r="E23">
        <v>-5.3216543706600001</v>
      </c>
      <c r="F23">
        <v>1.2200761253100001</v>
      </c>
    </row>
    <row r="24" spans="2:6" x14ac:dyDescent="0.25">
      <c r="B24">
        <v>14</v>
      </c>
      <c r="C24" t="s">
        <v>40</v>
      </c>
      <c r="D24" t="s">
        <v>27</v>
      </c>
      <c r="E24">
        <v>-1.1261276811700001</v>
      </c>
      <c r="F24">
        <v>0.39337121020799998</v>
      </c>
    </row>
    <row r="25" spans="2:6" x14ac:dyDescent="0.25">
      <c r="B25">
        <v>15</v>
      </c>
      <c r="C25" t="s">
        <v>41</v>
      </c>
      <c r="D25" t="s">
        <v>27</v>
      </c>
      <c r="E25">
        <v>-1.6372198765899999</v>
      </c>
      <c r="F25">
        <v>0.30214458233000002</v>
      </c>
    </row>
    <row r="26" spans="2:6" x14ac:dyDescent="0.25">
      <c r="B26">
        <v>16</v>
      </c>
      <c r="C26" t="s">
        <v>42</v>
      </c>
      <c r="D26" t="s">
        <v>27</v>
      </c>
      <c r="E26">
        <v>-0.59991414110999997</v>
      </c>
      <c r="F26">
        <v>0.30270627538400002</v>
      </c>
    </row>
    <row r="27" spans="2:6" x14ac:dyDescent="0.25">
      <c r="B27">
        <v>18</v>
      </c>
      <c r="C27" t="s">
        <v>43</v>
      </c>
      <c r="D27" t="s">
        <v>27</v>
      </c>
      <c r="E27">
        <v>0.39953921787000002</v>
      </c>
      <c r="F27">
        <v>0.124608088395</v>
      </c>
    </row>
    <row r="28" spans="2:6" x14ac:dyDescent="0.25">
      <c r="B28">
        <v>19</v>
      </c>
      <c r="C28" t="s">
        <v>44</v>
      </c>
      <c r="D28" t="s">
        <v>27</v>
      </c>
      <c r="E28">
        <v>0.69903044631199995</v>
      </c>
      <c r="F28">
        <v>0.40297798012199998</v>
      </c>
    </row>
    <row r="29" spans="2:6" x14ac:dyDescent="0.25">
      <c r="B29">
        <v>20</v>
      </c>
      <c r="C29" t="s">
        <v>45</v>
      </c>
      <c r="D29" t="s">
        <v>27</v>
      </c>
      <c r="E29">
        <v>0.32485446959800002</v>
      </c>
      <c r="F29">
        <v>0.204037451392</v>
      </c>
    </row>
    <row r="30" spans="2:6" x14ac:dyDescent="0.25">
      <c r="B30">
        <v>22</v>
      </c>
      <c r="C30" t="s">
        <v>46</v>
      </c>
      <c r="D30" t="s">
        <v>27</v>
      </c>
      <c r="E30">
        <v>-0.43856128772000003</v>
      </c>
      <c r="F30">
        <v>0.318213047774</v>
      </c>
    </row>
    <row r="31" spans="2:6" x14ac:dyDescent="0.25">
      <c r="B31">
        <v>24</v>
      </c>
      <c r="C31" t="s">
        <v>47</v>
      </c>
      <c r="D31" t="s">
        <v>27</v>
      </c>
      <c r="E31">
        <v>0.239019734309</v>
      </c>
      <c r="F31">
        <v>0.118684885778</v>
      </c>
    </row>
    <row r="32" spans="2:6" x14ac:dyDescent="0.25">
      <c r="B32">
        <v>25</v>
      </c>
      <c r="C32" t="s">
        <v>48</v>
      </c>
      <c r="D32" t="s">
        <v>27</v>
      </c>
      <c r="E32">
        <v>-0.30115653367700002</v>
      </c>
      <c r="F32">
        <v>0.15726577946500001</v>
      </c>
    </row>
    <row r="33" spans="2:6" x14ac:dyDescent="0.25">
      <c r="B33">
        <v>26</v>
      </c>
      <c r="C33" t="s">
        <v>49</v>
      </c>
      <c r="D33" t="s">
        <v>27</v>
      </c>
      <c r="E33">
        <v>-0.56373515910799998</v>
      </c>
      <c r="F33">
        <v>0.25328633007399998</v>
      </c>
    </row>
    <row r="34" spans="2:6" x14ac:dyDescent="0.25">
      <c r="B34">
        <v>28</v>
      </c>
      <c r="C34" t="s">
        <v>50</v>
      </c>
      <c r="D34" t="s">
        <v>27</v>
      </c>
      <c r="E34">
        <v>0.31959884056900001</v>
      </c>
      <c r="F34">
        <v>0.22861927141800001</v>
      </c>
    </row>
    <row r="35" spans="2:6" x14ac:dyDescent="0.25">
      <c r="B35">
        <v>29</v>
      </c>
      <c r="C35" t="s">
        <v>51</v>
      </c>
      <c r="D35" t="s">
        <v>27</v>
      </c>
      <c r="E35">
        <v>0.57068696704599997</v>
      </c>
      <c r="F35">
        <v>0.28285417099100002</v>
      </c>
    </row>
    <row r="36" spans="2:6" x14ac:dyDescent="0.25">
      <c r="B36">
        <v>31</v>
      </c>
      <c r="C36" t="s">
        <v>52</v>
      </c>
      <c r="D36" t="s">
        <v>27</v>
      </c>
      <c r="E36">
        <v>2.9250059989500001</v>
      </c>
      <c r="F36">
        <v>1.2854634766599999</v>
      </c>
    </row>
    <row r="37" spans="2:6" x14ac:dyDescent="0.25">
      <c r="B37">
        <v>32</v>
      </c>
      <c r="C37" t="s">
        <v>53</v>
      </c>
      <c r="D37" t="s">
        <v>27</v>
      </c>
      <c r="E37">
        <v>1.2969669216299999</v>
      </c>
      <c r="F37">
        <v>0.553290083268</v>
      </c>
    </row>
    <row r="38" spans="2:6" x14ac:dyDescent="0.25">
      <c r="B38">
        <v>34</v>
      </c>
      <c r="C38" t="s">
        <v>54</v>
      </c>
      <c r="D38" t="s">
        <v>27</v>
      </c>
      <c r="E38">
        <v>-2.59112200624</v>
      </c>
      <c r="F38">
        <v>0.67748006502500002</v>
      </c>
    </row>
    <row r="39" spans="2:6" x14ac:dyDescent="0.25">
      <c r="B39">
        <v>35</v>
      </c>
      <c r="C39" t="s">
        <v>55</v>
      </c>
      <c r="D39" t="s">
        <v>27</v>
      </c>
      <c r="E39">
        <v>-1.0636437007299999</v>
      </c>
      <c r="F39">
        <v>0.67287579243399998</v>
      </c>
    </row>
    <row r="40" spans="2:6" x14ac:dyDescent="0.25">
      <c r="B40">
        <v>36</v>
      </c>
      <c r="C40" t="s">
        <v>56</v>
      </c>
      <c r="D40" t="s">
        <v>27</v>
      </c>
      <c r="E40">
        <v>-0.53660640919000002</v>
      </c>
      <c r="F40">
        <v>0.28655587340499999</v>
      </c>
    </row>
    <row r="41" spans="2:6" x14ac:dyDescent="0.25">
      <c r="B41">
        <v>37</v>
      </c>
      <c r="C41" t="s">
        <v>57</v>
      </c>
      <c r="D41" t="s">
        <v>27</v>
      </c>
      <c r="E41">
        <v>0.28589368992800002</v>
      </c>
      <c r="F41">
        <v>0.26930228656600003</v>
      </c>
    </row>
    <row r="42" spans="2:6" x14ac:dyDescent="0.25">
      <c r="B42">
        <v>38</v>
      </c>
      <c r="C42" t="s">
        <v>58</v>
      </c>
      <c r="D42" t="s">
        <v>27</v>
      </c>
      <c r="E42">
        <v>0.64783551265499995</v>
      </c>
      <c r="F42">
        <v>0.37530750296900001</v>
      </c>
    </row>
    <row r="43" spans="2:6" x14ac:dyDescent="0.25">
      <c r="B43">
        <v>41</v>
      </c>
      <c r="C43" t="s">
        <v>59</v>
      </c>
      <c r="D43" t="s">
        <v>27</v>
      </c>
      <c r="E43">
        <v>-0.47288768158</v>
      </c>
      <c r="F43">
        <v>0.28996962859499997</v>
      </c>
    </row>
    <row r="44" spans="2:6" x14ac:dyDescent="0.25">
      <c r="B44">
        <v>42</v>
      </c>
      <c r="C44" t="s">
        <v>60</v>
      </c>
      <c r="D44" t="s">
        <v>27</v>
      </c>
      <c r="E44">
        <v>-1.73045435445</v>
      </c>
      <c r="F44">
        <v>0.60204136834499999</v>
      </c>
    </row>
    <row r="45" spans="2:6" x14ac:dyDescent="0.25">
      <c r="B45">
        <v>43</v>
      </c>
      <c r="C45" t="s">
        <v>61</v>
      </c>
      <c r="D45" t="s">
        <v>27</v>
      </c>
      <c r="E45">
        <v>2.0718120356499998</v>
      </c>
      <c r="F45">
        <v>0.25112785750200001</v>
      </c>
    </row>
    <row r="46" spans="2:6" x14ac:dyDescent="0.25">
      <c r="B46">
        <v>44</v>
      </c>
      <c r="C46" t="s">
        <v>62</v>
      </c>
      <c r="D46" t="s">
        <v>27</v>
      </c>
      <c r="E46">
        <v>0.60728378971399999</v>
      </c>
      <c r="F46">
        <v>0.181439147627</v>
      </c>
    </row>
    <row r="47" spans="2:6" x14ac:dyDescent="0.25">
      <c r="B47">
        <v>45</v>
      </c>
      <c r="C47" t="s">
        <v>63</v>
      </c>
      <c r="D47" t="s">
        <v>27</v>
      </c>
      <c r="E47">
        <v>-0.71462161389500001</v>
      </c>
      <c r="F47">
        <v>0.32036605145399999</v>
      </c>
    </row>
    <row r="48" spans="2:6" x14ac:dyDescent="0.25">
      <c r="B48">
        <v>46</v>
      </c>
      <c r="C48" t="s">
        <v>64</v>
      </c>
      <c r="D48" t="s">
        <v>27</v>
      </c>
      <c r="E48">
        <v>-1.4356778668800001</v>
      </c>
      <c r="F48">
        <v>0.571538197034</v>
      </c>
    </row>
    <row r="49" spans="2:6" x14ac:dyDescent="0.25">
      <c r="B49">
        <v>47</v>
      </c>
      <c r="C49" t="s">
        <v>65</v>
      </c>
      <c r="D49" t="s">
        <v>27</v>
      </c>
      <c r="E49">
        <v>-1.45349726543</v>
      </c>
      <c r="F49">
        <v>0.40356684826</v>
      </c>
    </row>
    <row r="50" spans="2:6" x14ac:dyDescent="0.25">
      <c r="B50">
        <v>48</v>
      </c>
      <c r="C50" t="s">
        <v>66</v>
      </c>
      <c r="D50" t="s">
        <v>27</v>
      </c>
      <c r="E50">
        <v>-1.0930755785699999</v>
      </c>
      <c r="F50">
        <v>0.126439275741</v>
      </c>
    </row>
    <row r="51" spans="2:6" x14ac:dyDescent="0.25">
      <c r="B51">
        <v>49</v>
      </c>
      <c r="C51" t="s">
        <v>67</v>
      </c>
      <c r="D51" t="s">
        <v>27</v>
      </c>
      <c r="E51">
        <v>0.14078168516299999</v>
      </c>
      <c r="F51">
        <v>0.12041492006899999</v>
      </c>
    </row>
    <row r="52" spans="2:6" x14ac:dyDescent="0.25">
      <c r="B52">
        <v>50</v>
      </c>
      <c r="C52" t="s">
        <v>68</v>
      </c>
      <c r="D52" t="s">
        <v>27</v>
      </c>
      <c r="E52">
        <v>0.188609995585</v>
      </c>
      <c r="F52">
        <v>0.169738586315</v>
      </c>
    </row>
    <row r="53" spans="2:6" x14ac:dyDescent="0.25">
      <c r="B53">
        <v>51</v>
      </c>
      <c r="C53" t="s">
        <v>69</v>
      </c>
      <c r="D53" t="s">
        <v>27</v>
      </c>
      <c r="E53">
        <v>-0.58492078305700002</v>
      </c>
      <c r="F53">
        <v>0.39231975258899998</v>
      </c>
    </row>
    <row r="54" spans="2:6" x14ac:dyDescent="0.25">
      <c r="B54">
        <v>52</v>
      </c>
      <c r="C54" t="s">
        <v>70</v>
      </c>
      <c r="D54" t="s">
        <v>27</v>
      </c>
      <c r="E54">
        <v>-1.0058660612699999</v>
      </c>
      <c r="F54">
        <v>0.1591759079</v>
      </c>
    </row>
    <row r="55" spans="2:6" x14ac:dyDescent="0.25">
      <c r="B55">
        <v>53</v>
      </c>
      <c r="C55" t="s">
        <v>71</v>
      </c>
      <c r="D55" t="s">
        <v>27</v>
      </c>
      <c r="E55">
        <v>0.22559840834</v>
      </c>
      <c r="F55">
        <v>0.13586187288400001</v>
      </c>
    </row>
    <row r="56" spans="2:6" x14ac:dyDescent="0.25">
      <c r="B56">
        <v>54</v>
      </c>
      <c r="C56" t="s">
        <v>72</v>
      </c>
      <c r="D56" t="s">
        <v>27</v>
      </c>
      <c r="E56">
        <v>0.34302043279099997</v>
      </c>
      <c r="F56">
        <v>0.18564049817600001</v>
      </c>
    </row>
    <row r="57" spans="2:6" x14ac:dyDescent="0.25">
      <c r="B57">
        <v>55</v>
      </c>
      <c r="C57" t="s">
        <v>73</v>
      </c>
      <c r="D57" t="s">
        <v>27</v>
      </c>
      <c r="E57">
        <v>-0.53538167154600003</v>
      </c>
      <c r="F57">
        <v>0.46253383393000003</v>
      </c>
    </row>
    <row r="58" spans="2:6" x14ac:dyDescent="0.25">
      <c r="B58">
        <v>56</v>
      </c>
      <c r="C58" t="s">
        <v>74</v>
      </c>
      <c r="D58" t="s">
        <v>27</v>
      </c>
      <c r="E58">
        <v>-0.52697142353899995</v>
      </c>
      <c r="F58">
        <v>0.21878082256199999</v>
      </c>
    </row>
    <row r="59" spans="2:6" x14ac:dyDescent="0.25">
      <c r="B59">
        <v>57</v>
      </c>
      <c r="C59" t="s">
        <v>75</v>
      </c>
      <c r="D59" t="s">
        <v>27</v>
      </c>
      <c r="E59">
        <v>0.21517789340999999</v>
      </c>
      <c r="F59">
        <v>0.24686726698100001</v>
      </c>
    </row>
    <row r="60" spans="2:6" x14ac:dyDescent="0.25">
      <c r="B60">
        <v>58</v>
      </c>
      <c r="C60" t="s">
        <v>76</v>
      </c>
      <c r="D60" t="s">
        <v>27</v>
      </c>
      <c r="E60">
        <v>-0.978212790971</v>
      </c>
      <c r="F60">
        <v>0.55972952825599998</v>
      </c>
    </row>
    <row r="61" spans="2:6" x14ac:dyDescent="0.25">
      <c r="B61">
        <v>59</v>
      </c>
      <c r="C61" t="s">
        <v>77</v>
      </c>
      <c r="D61" t="s">
        <v>27</v>
      </c>
      <c r="E61">
        <v>-0.42495698544999999</v>
      </c>
      <c r="F61" s="76">
        <v>9.3174665093100004E-2</v>
      </c>
    </row>
    <row r="62" spans="2:6" x14ac:dyDescent="0.25">
      <c r="B62">
        <v>60</v>
      </c>
      <c r="C62" t="s">
        <v>78</v>
      </c>
      <c r="D62" t="s">
        <v>27</v>
      </c>
      <c r="E62">
        <v>-0.11124462416</v>
      </c>
      <c r="F62" s="76">
        <v>1.9324554676499999E-2</v>
      </c>
    </row>
    <row r="63" spans="2:6" x14ac:dyDescent="0.25">
      <c r="B63">
        <v>63</v>
      </c>
      <c r="C63" t="s">
        <v>79</v>
      </c>
      <c r="D63" t="s">
        <v>27</v>
      </c>
      <c r="E63">
        <v>-1.2627495896200001</v>
      </c>
      <c r="F63">
        <v>1.15568726918</v>
      </c>
    </row>
    <row r="64" spans="2:6" x14ac:dyDescent="0.25">
      <c r="B64">
        <v>69</v>
      </c>
      <c r="C64" t="s">
        <v>80</v>
      </c>
      <c r="D64" t="s">
        <v>27</v>
      </c>
      <c r="E64">
        <v>-0.182881856812</v>
      </c>
      <c r="F64" s="76">
        <v>9.1832192679999994E-2</v>
      </c>
    </row>
    <row r="65" spans="2:11" x14ac:dyDescent="0.25">
      <c r="B65">
        <v>72</v>
      </c>
      <c r="C65" t="s">
        <v>81</v>
      </c>
      <c r="D65" t="s">
        <v>27</v>
      </c>
      <c r="E65">
        <v>0.14811075420100001</v>
      </c>
      <c r="F65" s="76">
        <v>5.9982749063499999E-2</v>
      </c>
    </row>
    <row r="66" spans="2:11" x14ac:dyDescent="0.25">
      <c r="B66">
        <v>73</v>
      </c>
      <c r="C66" t="s">
        <v>82</v>
      </c>
      <c r="D66" t="s">
        <v>27</v>
      </c>
      <c r="E66" s="76">
        <v>7.1458236224400005E-4</v>
      </c>
      <c r="F66" s="76">
        <v>1.9087285637099999E-4</v>
      </c>
    </row>
    <row r="67" spans="2:11" x14ac:dyDescent="0.25">
      <c r="B67">
        <v>75</v>
      </c>
      <c r="C67" t="s">
        <v>83</v>
      </c>
      <c r="D67" t="s">
        <v>27</v>
      </c>
      <c r="E67">
        <v>0.29597958689600001</v>
      </c>
      <c r="F67" s="76">
        <v>7.8942367252999995E-2</v>
      </c>
    </row>
    <row r="68" spans="2:11" x14ac:dyDescent="0.25">
      <c r="B68">
        <v>76</v>
      </c>
      <c r="C68" t="s">
        <v>84</v>
      </c>
      <c r="D68" t="s">
        <v>27</v>
      </c>
      <c r="E68">
        <v>0.19796492273399999</v>
      </c>
      <c r="F68" s="76">
        <v>3.4156307751499998E-2</v>
      </c>
    </row>
    <row r="69" spans="2:11" x14ac:dyDescent="0.25">
      <c r="B69">
        <v>77</v>
      </c>
      <c r="C69" t="s">
        <v>85</v>
      </c>
      <c r="D69" t="s">
        <v>27</v>
      </c>
      <c r="E69">
        <v>0.27817460170199998</v>
      </c>
      <c r="F69">
        <v>0.17839332841300001</v>
      </c>
    </row>
    <row r="70" spans="2:11" x14ac:dyDescent="0.25">
      <c r="B70">
        <v>83</v>
      </c>
      <c r="C70" t="s">
        <v>86</v>
      </c>
      <c r="D70" t="s">
        <v>27</v>
      </c>
      <c r="E70">
        <v>-0.77256225305799997</v>
      </c>
      <c r="F70">
        <v>0.454505526996</v>
      </c>
    </row>
    <row r="71" spans="2:11" x14ac:dyDescent="0.25">
      <c r="B71">
        <v>-1</v>
      </c>
    </row>
    <row r="72" spans="2:11" x14ac:dyDescent="0.25">
      <c r="B72">
        <v>3942</v>
      </c>
      <c r="C72" s="76">
        <v>-5314.5725053400001</v>
      </c>
      <c r="D72" s="76">
        <v>-6344.40425082</v>
      </c>
      <c r="E72" s="76">
        <v>-3915.8071334400001</v>
      </c>
    </row>
    <row r="73" spans="2:11" x14ac:dyDescent="0.25">
      <c r="B73">
        <v>8</v>
      </c>
      <c r="C73" t="s">
        <v>154</v>
      </c>
      <c r="D73" t="s">
        <v>151</v>
      </c>
      <c r="E73">
        <v>3</v>
      </c>
      <c r="F73" t="s">
        <v>152</v>
      </c>
      <c r="G73">
        <v>12</v>
      </c>
    </row>
    <row r="74" spans="2:11" x14ac:dyDescent="0.25">
      <c r="B74">
        <v>10160</v>
      </c>
      <c r="C74">
        <v>5157</v>
      </c>
      <c r="D74">
        <v>28599</v>
      </c>
      <c r="E74">
        <v>2579</v>
      </c>
      <c r="F74">
        <v>15147</v>
      </c>
      <c r="G74">
        <v>11502</v>
      </c>
      <c r="H74">
        <v>87647</v>
      </c>
      <c r="I74">
        <v>-2013</v>
      </c>
      <c r="J74">
        <v>-1023</v>
      </c>
      <c r="K74">
        <v>-499</v>
      </c>
    </row>
    <row r="75" spans="2:11" x14ac:dyDescent="0.25">
      <c r="B75">
        <v>-5188</v>
      </c>
      <c r="C75">
        <v>-28621</v>
      </c>
      <c r="D75">
        <v>-14563</v>
      </c>
      <c r="E75">
        <v>-7082</v>
      </c>
      <c r="F75">
        <v>3340</v>
      </c>
      <c r="G75">
        <v>-1918</v>
      </c>
      <c r="H75">
        <v>-11880</v>
      </c>
      <c r="I75">
        <v>30792</v>
      </c>
      <c r="J75">
        <v>1679</v>
      </c>
      <c r="K75">
        <v>2178</v>
      </c>
    </row>
    <row r="76" spans="2:11" x14ac:dyDescent="0.25">
      <c r="B76">
        <v>10601</v>
      </c>
      <c r="C76">
        <v>-1317</v>
      </c>
      <c r="D76">
        <v>-7576</v>
      </c>
      <c r="E76">
        <v>2433</v>
      </c>
      <c r="F76">
        <v>25561</v>
      </c>
      <c r="G76">
        <v>1400</v>
      </c>
      <c r="H76">
        <v>7469</v>
      </c>
      <c r="I76">
        <v>17918</v>
      </c>
      <c r="J76">
        <v>61174</v>
      </c>
      <c r="K76">
        <v>-182</v>
      </c>
    </row>
    <row r="77" spans="2:11" x14ac:dyDescent="0.25">
      <c r="B77">
        <v>-5550</v>
      </c>
      <c r="C77">
        <v>-516</v>
      </c>
      <c r="D77">
        <v>60489</v>
      </c>
      <c r="E77">
        <v>265</v>
      </c>
      <c r="F77">
        <v>-9313</v>
      </c>
      <c r="G77">
        <v>-996</v>
      </c>
      <c r="H77">
        <v>-2878</v>
      </c>
      <c r="I77">
        <v>-14870</v>
      </c>
      <c r="J77">
        <v>-21975</v>
      </c>
      <c r="K77">
        <v>-4960</v>
      </c>
    </row>
    <row r="78" spans="2:11" x14ac:dyDescent="0.25">
      <c r="B78">
        <v>1517</v>
      </c>
      <c r="C78">
        <v>53828</v>
      </c>
      <c r="D78">
        <v>-21516</v>
      </c>
      <c r="E78">
        <v>-214</v>
      </c>
      <c r="F78">
        <v>14316</v>
      </c>
      <c r="G78">
        <v>573</v>
      </c>
      <c r="H78">
        <v>2783</v>
      </c>
      <c r="I78">
        <v>-18036</v>
      </c>
      <c r="J78">
        <v>-1630</v>
      </c>
      <c r="K78">
        <v>-309</v>
      </c>
    </row>
    <row r="79" spans="2:11" x14ac:dyDescent="0.25">
      <c r="B79">
        <v>50698</v>
      </c>
      <c r="C79">
        <v>-34910</v>
      </c>
      <c r="D79">
        <v>-5970</v>
      </c>
      <c r="E79">
        <v>12746</v>
      </c>
      <c r="F79">
        <v>62859</v>
      </c>
      <c r="G79">
        <v>-151</v>
      </c>
      <c r="H79">
        <v>487</v>
      </c>
      <c r="I79">
        <v>-14418</v>
      </c>
      <c r="J79">
        <v>18503</v>
      </c>
      <c r="K79">
        <v>-147</v>
      </c>
    </row>
    <row r="80" spans="2:11" x14ac:dyDescent="0.25">
      <c r="B80">
        <v>-691</v>
      </c>
      <c r="C80">
        <v>-25545</v>
      </c>
      <c r="D80">
        <v>44537</v>
      </c>
      <c r="E80">
        <v>8011</v>
      </c>
      <c r="F80">
        <v>21124</v>
      </c>
      <c r="G80">
        <v>26353</v>
      </c>
      <c r="H80">
        <v>33615</v>
      </c>
      <c r="I80">
        <v>-392</v>
      </c>
      <c r="J80">
        <v>-812</v>
      </c>
      <c r="K80">
        <v>-3476</v>
      </c>
    </row>
    <row r="81" spans="2:11" x14ac:dyDescent="0.25">
      <c r="B81">
        <v>33948</v>
      </c>
      <c r="C81">
        <v>-1657</v>
      </c>
      <c r="D81">
        <v>-918</v>
      </c>
      <c r="E81">
        <v>-8127</v>
      </c>
      <c r="F81">
        <v>26936</v>
      </c>
      <c r="G81">
        <v>1943</v>
      </c>
      <c r="H81">
        <v>422</v>
      </c>
      <c r="I81">
        <v>-7655</v>
      </c>
      <c r="J81">
        <v>-2300</v>
      </c>
      <c r="K81">
        <v>-11030</v>
      </c>
    </row>
    <row r="82" spans="2:11" x14ac:dyDescent="0.25">
      <c r="B82">
        <v>-7607</v>
      </c>
      <c r="C82">
        <v>-12966</v>
      </c>
      <c r="D82">
        <v>1473</v>
      </c>
      <c r="E82">
        <v>32025</v>
      </c>
      <c r="F82">
        <v>-938</v>
      </c>
      <c r="G82">
        <v>-23022</v>
      </c>
      <c r="H82">
        <v>3675</v>
      </c>
      <c r="I82">
        <v>30835</v>
      </c>
      <c r="J82">
        <v>22535</v>
      </c>
      <c r="K82">
        <v>-23625</v>
      </c>
    </row>
    <row r="83" spans="2:11" x14ac:dyDescent="0.25">
      <c r="B83">
        <v>16831</v>
      </c>
      <c r="C83">
        <v>-21</v>
      </c>
      <c r="D83">
        <v>1563</v>
      </c>
      <c r="E83">
        <v>-2417</v>
      </c>
      <c r="F83">
        <v>-14102</v>
      </c>
      <c r="G83">
        <v>-157</v>
      </c>
      <c r="H83">
        <v>28748</v>
      </c>
      <c r="I83">
        <v>-6363</v>
      </c>
      <c r="J83">
        <v>-35627</v>
      </c>
      <c r="K83">
        <v>2116</v>
      </c>
    </row>
    <row r="84" spans="2:11" x14ac:dyDescent="0.25">
      <c r="B84">
        <v>23839</v>
      </c>
      <c r="C84">
        <v>34166</v>
      </c>
      <c r="D84">
        <v>-32453</v>
      </c>
      <c r="E84">
        <v>14559</v>
      </c>
      <c r="F84">
        <v>52355</v>
      </c>
      <c r="G84">
        <v>-493</v>
      </c>
      <c r="H84">
        <v>-3097</v>
      </c>
      <c r="I84">
        <v>8598</v>
      </c>
      <c r="J84">
        <v>-13990</v>
      </c>
      <c r="K84">
        <v>420</v>
      </c>
    </row>
    <row r="85" spans="2:11" x14ac:dyDescent="0.25">
      <c r="B85">
        <v>31158</v>
      </c>
      <c r="C85">
        <v>17903</v>
      </c>
      <c r="D85">
        <v>-31729</v>
      </c>
      <c r="E85">
        <v>-1325</v>
      </c>
      <c r="F85">
        <v>14983</v>
      </c>
      <c r="G85">
        <v>21906</v>
      </c>
      <c r="H85">
        <v>-43227</v>
      </c>
      <c r="I85">
        <v>12491</v>
      </c>
      <c r="J85">
        <v>49209</v>
      </c>
      <c r="K85">
        <v>65468</v>
      </c>
    </row>
    <row r="86" spans="2:11" x14ac:dyDescent="0.25">
      <c r="B86">
        <v>-60</v>
      </c>
      <c r="C86">
        <v>3062</v>
      </c>
      <c r="D86">
        <v>1964</v>
      </c>
      <c r="E86">
        <v>1601</v>
      </c>
      <c r="F86">
        <v>1228</v>
      </c>
      <c r="G86">
        <v>4685</v>
      </c>
      <c r="H86">
        <v>-1368</v>
      </c>
      <c r="I86">
        <v>-19</v>
      </c>
      <c r="J86">
        <v>508</v>
      </c>
      <c r="K86">
        <v>9070</v>
      </c>
    </row>
    <row r="87" spans="2:11" x14ac:dyDescent="0.25">
      <c r="B87">
        <v>-10442</v>
      </c>
      <c r="C87">
        <v>-403</v>
      </c>
      <c r="D87">
        <v>1367</v>
      </c>
      <c r="E87">
        <v>12730</v>
      </c>
      <c r="F87">
        <v>-335</v>
      </c>
      <c r="G87">
        <v>-8855</v>
      </c>
      <c r="H87">
        <v>400</v>
      </c>
      <c r="I87">
        <v>5056</v>
      </c>
      <c r="J87">
        <v>4152</v>
      </c>
      <c r="K87">
        <v>1173</v>
      </c>
    </row>
    <row r="88" spans="2:11" x14ac:dyDescent="0.25">
      <c r="B88">
        <v>1315</v>
      </c>
      <c r="C88">
        <v>-1635</v>
      </c>
      <c r="D88">
        <v>988</v>
      </c>
      <c r="E88">
        <v>-910</v>
      </c>
      <c r="F88">
        <v>2977</v>
      </c>
      <c r="G88">
        <v>490</v>
      </c>
      <c r="H88">
        <v>-399</v>
      </c>
      <c r="I88">
        <v>-1667</v>
      </c>
      <c r="J88">
        <v>2314</v>
      </c>
      <c r="K88">
        <v>2847</v>
      </c>
    </row>
    <row r="89" spans="2:11" x14ac:dyDescent="0.25">
      <c r="B89">
        <v>2547</v>
      </c>
      <c r="C89">
        <v>1411</v>
      </c>
      <c r="D89">
        <v>20215</v>
      </c>
      <c r="E89">
        <v>4186</v>
      </c>
      <c r="F89">
        <v>22251</v>
      </c>
      <c r="G89">
        <v>15104</v>
      </c>
      <c r="H89">
        <v>5790</v>
      </c>
      <c r="I89">
        <v>-1462</v>
      </c>
      <c r="J89">
        <v>-15145</v>
      </c>
      <c r="K89">
        <v>499</v>
      </c>
    </row>
    <row r="90" spans="2:11" x14ac:dyDescent="0.25">
      <c r="B90">
        <v>-2554</v>
      </c>
      <c r="C90">
        <v>-448</v>
      </c>
      <c r="D90">
        <v>-8005</v>
      </c>
      <c r="E90">
        <v>1342</v>
      </c>
      <c r="F90">
        <v>-2515</v>
      </c>
      <c r="G90">
        <v>413</v>
      </c>
      <c r="H90">
        <v>-3148</v>
      </c>
      <c r="I90">
        <v>4242</v>
      </c>
      <c r="J90">
        <v>3204</v>
      </c>
      <c r="K90">
        <v>15438</v>
      </c>
    </row>
    <row r="91" spans="2:11" x14ac:dyDescent="0.25">
      <c r="B91">
        <v>39941</v>
      </c>
      <c r="C91">
        <v>564</v>
      </c>
      <c r="D91">
        <v>1949</v>
      </c>
      <c r="E91">
        <v>1769</v>
      </c>
      <c r="F91">
        <v>-7480</v>
      </c>
      <c r="G91">
        <v>-198</v>
      </c>
      <c r="H91">
        <v>-2437</v>
      </c>
      <c r="I91">
        <v>758</v>
      </c>
      <c r="J91">
        <v>-26825</v>
      </c>
      <c r="K91">
        <v>-705</v>
      </c>
    </row>
    <row r="92" spans="2:11" x14ac:dyDescent="0.25">
      <c r="B92">
        <v>-3239</v>
      </c>
      <c r="C92">
        <v>-2561</v>
      </c>
      <c r="D92">
        <v>-23552</v>
      </c>
      <c r="E92">
        <v>3807</v>
      </c>
      <c r="F92">
        <v>10868</v>
      </c>
      <c r="G92">
        <v>15566</v>
      </c>
      <c r="H92">
        <v>16184</v>
      </c>
      <c r="I92">
        <v>-2237</v>
      </c>
      <c r="J92">
        <v>3613</v>
      </c>
      <c r="K92">
        <v>8326</v>
      </c>
    </row>
    <row r="93" spans="2:11" x14ac:dyDescent="0.25">
      <c r="B93">
        <v>17025</v>
      </c>
      <c r="C93">
        <v>40642</v>
      </c>
      <c r="D93">
        <v>19342</v>
      </c>
      <c r="E93">
        <v>9589</v>
      </c>
      <c r="F93">
        <v>4688</v>
      </c>
      <c r="G93">
        <v>-42220</v>
      </c>
      <c r="H93">
        <v>-9453</v>
      </c>
      <c r="I93">
        <v>-6298</v>
      </c>
      <c r="J93">
        <v>3705</v>
      </c>
      <c r="K93">
        <v>-24185</v>
      </c>
    </row>
    <row r="94" spans="2:11" x14ac:dyDescent="0.25">
      <c r="B94">
        <v>-8957</v>
      </c>
      <c r="C94">
        <v>49</v>
      </c>
      <c r="D94">
        <v>1577</v>
      </c>
      <c r="E94">
        <v>-17609</v>
      </c>
      <c r="F94">
        <v>-7608</v>
      </c>
      <c r="G94">
        <v>-9527</v>
      </c>
      <c r="H94">
        <v>-8032</v>
      </c>
      <c r="I94">
        <v>-1700</v>
      </c>
      <c r="J94">
        <v>18404</v>
      </c>
      <c r="K94">
        <v>2903</v>
      </c>
    </row>
    <row r="95" spans="2:11" x14ac:dyDescent="0.25">
      <c r="B95">
        <v>3925</v>
      </c>
      <c r="C95">
        <v>7257</v>
      </c>
      <c r="D95">
        <v>-22325</v>
      </c>
      <c r="E95">
        <v>-1040</v>
      </c>
      <c r="F95">
        <v>2632</v>
      </c>
      <c r="G95">
        <v>-2896</v>
      </c>
      <c r="H95">
        <v>-45200</v>
      </c>
      <c r="I95">
        <v>-7729</v>
      </c>
      <c r="J95">
        <v>7435</v>
      </c>
      <c r="K95">
        <v>13013</v>
      </c>
    </row>
    <row r="96" spans="2:11" x14ac:dyDescent="0.25">
      <c r="B96">
        <v>18746</v>
      </c>
      <c r="C96">
        <v>13040</v>
      </c>
      <c r="D96">
        <v>1827</v>
      </c>
      <c r="E96">
        <v>1742</v>
      </c>
      <c r="F96">
        <v>3628</v>
      </c>
      <c r="G96">
        <v>-8343</v>
      </c>
      <c r="H96">
        <v>2614</v>
      </c>
      <c r="I96">
        <v>-1212</v>
      </c>
      <c r="J96">
        <v>-155</v>
      </c>
      <c r="K96">
        <v>-1021</v>
      </c>
    </row>
    <row r="97" spans="2:11" x14ac:dyDescent="0.25">
      <c r="B97">
        <v>19121</v>
      </c>
      <c r="C97">
        <v>2055</v>
      </c>
      <c r="D97">
        <v>3890</v>
      </c>
      <c r="E97">
        <v>-1577</v>
      </c>
      <c r="F97">
        <v>-17460</v>
      </c>
      <c r="G97">
        <v>1577</v>
      </c>
      <c r="H97">
        <v>223</v>
      </c>
      <c r="I97">
        <v>-7306</v>
      </c>
      <c r="J97">
        <v>-43281</v>
      </c>
      <c r="K97">
        <v>2495</v>
      </c>
    </row>
    <row r="98" spans="2:11" x14ac:dyDescent="0.25">
      <c r="B98">
        <v>3863</v>
      </c>
      <c r="C98">
        <v>6291</v>
      </c>
      <c r="D98">
        <v>-24319</v>
      </c>
      <c r="E98">
        <v>5732</v>
      </c>
      <c r="F98">
        <v>15879</v>
      </c>
      <c r="G98">
        <v>22088</v>
      </c>
      <c r="H98">
        <v>20197</v>
      </c>
      <c r="I98">
        <v>1804</v>
      </c>
      <c r="J98">
        <v>694</v>
      </c>
      <c r="K98">
        <v>2039</v>
      </c>
    </row>
    <row r="99" spans="2:11" x14ac:dyDescent="0.25">
      <c r="B99">
        <v>15384</v>
      </c>
      <c r="C99">
        <v>9542</v>
      </c>
      <c r="D99">
        <v>13998</v>
      </c>
      <c r="E99">
        <v>2906</v>
      </c>
      <c r="F99">
        <v>18796</v>
      </c>
      <c r="G99">
        <v>10893</v>
      </c>
      <c r="H99">
        <v>6389</v>
      </c>
      <c r="I99">
        <v>-3354</v>
      </c>
      <c r="J99">
        <v>-13430</v>
      </c>
      <c r="K99">
        <v>-4097</v>
      </c>
    </row>
    <row r="100" spans="2:11" x14ac:dyDescent="0.25">
      <c r="B100">
        <v>610</v>
      </c>
      <c r="C100">
        <v>-1673</v>
      </c>
      <c r="D100">
        <v>-10368</v>
      </c>
      <c r="E100">
        <v>4827</v>
      </c>
      <c r="F100">
        <v>5030</v>
      </c>
      <c r="G100">
        <v>-2389</v>
      </c>
      <c r="H100">
        <v>-14605</v>
      </c>
      <c r="I100">
        <v>-1328</v>
      </c>
      <c r="J100">
        <v>-4549</v>
      </c>
      <c r="K100">
        <v>-5761</v>
      </c>
    </row>
    <row r="101" spans="2:11" x14ac:dyDescent="0.25">
      <c r="B101">
        <v>-4829</v>
      </c>
      <c r="C101">
        <v>10370</v>
      </c>
      <c r="D101">
        <v>-614</v>
      </c>
      <c r="E101">
        <v>24228</v>
      </c>
      <c r="F101">
        <v>3241</v>
      </c>
      <c r="G101">
        <v>-704</v>
      </c>
      <c r="H101">
        <v>117</v>
      </c>
      <c r="I101">
        <v>3102</v>
      </c>
      <c r="J101">
        <v>-12655</v>
      </c>
      <c r="K101">
        <v>1596</v>
      </c>
    </row>
    <row r="102" spans="2:11" x14ac:dyDescent="0.25">
      <c r="B102">
        <v>-731</v>
      </c>
      <c r="C102">
        <v>-3319</v>
      </c>
      <c r="D102">
        <v>-22328</v>
      </c>
      <c r="E102">
        <v>1541</v>
      </c>
      <c r="F102">
        <v>4471</v>
      </c>
      <c r="G102">
        <v>10730</v>
      </c>
      <c r="H102">
        <v>14883</v>
      </c>
      <c r="I102">
        <v>20749</v>
      </c>
      <c r="J102">
        <v>-1238</v>
      </c>
      <c r="K102">
        <v>-4419</v>
      </c>
    </row>
    <row r="103" spans="2:11" x14ac:dyDescent="0.25">
      <c r="B103">
        <v>-4522</v>
      </c>
      <c r="C103">
        <v>-21034</v>
      </c>
      <c r="D103">
        <v>4122</v>
      </c>
      <c r="E103">
        <v>-2019</v>
      </c>
      <c r="F103">
        <v>-590</v>
      </c>
      <c r="G103">
        <v>-3443</v>
      </c>
      <c r="H103">
        <v>3251</v>
      </c>
      <c r="I103">
        <v>15079</v>
      </c>
      <c r="J103">
        <v>-2057</v>
      </c>
      <c r="K103">
        <v>24923</v>
      </c>
    </row>
    <row r="104" spans="2:11" x14ac:dyDescent="0.25">
      <c r="B104">
        <v>5640</v>
      </c>
      <c r="C104">
        <v>492</v>
      </c>
      <c r="D104">
        <v>914</v>
      </c>
      <c r="E104">
        <v>219</v>
      </c>
      <c r="F104">
        <v>-4853</v>
      </c>
      <c r="G104">
        <v>-1765</v>
      </c>
      <c r="H104">
        <v>944</v>
      </c>
      <c r="I104">
        <v>-100</v>
      </c>
      <c r="J104">
        <v>-6259</v>
      </c>
      <c r="K104">
        <v>-7355</v>
      </c>
    </row>
    <row r="105" spans="2:11" x14ac:dyDescent="0.25">
      <c r="B105">
        <v>-1008</v>
      </c>
      <c r="C105">
        <v>-1347</v>
      </c>
      <c r="D105">
        <v>-9949</v>
      </c>
      <c r="E105">
        <v>-5891</v>
      </c>
      <c r="F105">
        <v>715</v>
      </c>
      <c r="G105">
        <v>1084</v>
      </c>
      <c r="H105">
        <v>-624</v>
      </c>
      <c r="I105">
        <v>3605</v>
      </c>
      <c r="J105">
        <v>598</v>
      </c>
      <c r="K105">
        <v>99</v>
      </c>
    </row>
    <row r="106" spans="2:11" x14ac:dyDescent="0.25">
      <c r="B106">
        <v>326</v>
      </c>
      <c r="C106">
        <v>-1456</v>
      </c>
      <c r="D106">
        <v>-390</v>
      </c>
      <c r="E106">
        <v>1754</v>
      </c>
      <c r="F106">
        <v>-661</v>
      </c>
      <c r="G106">
        <v>1973</v>
      </c>
      <c r="H106">
        <v>5643</v>
      </c>
      <c r="I106">
        <v>4467</v>
      </c>
      <c r="J106">
        <v>1388</v>
      </c>
      <c r="K106">
        <v>-125</v>
      </c>
    </row>
    <row r="107" spans="2:11" x14ac:dyDescent="0.25">
      <c r="B107">
        <v>-10361</v>
      </c>
      <c r="C107">
        <v>1438</v>
      </c>
      <c r="D107">
        <v>-1263</v>
      </c>
      <c r="E107">
        <v>-4124</v>
      </c>
      <c r="F107">
        <v>-30272</v>
      </c>
      <c r="G107">
        <v>-1596</v>
      </c>
      <c r="H107">
        <v>-4763</v>
      </c>
      <c r="I107">
        <v>-3011</v>
      </c>
      <c r="J107">
        <v>-25440</v>
      </c>
      <c r="K107">
        <v>3036</v>
      </c>
    </row>
    <row r="108" spans="2:11" x14ac:dyDescent="0.25">
      <c r="B108">
        <v>4253</v>
      </c>
      <c r="C108">
        <v>-4914</v>
      </c>
      <c r="D108">
        <v>-702</v>
      </c>
      <c r="E108">
        <v>3250</v>
      </c>
      <c r="F108">
        <v>618</v>
      </c>
      <c r="G108">
        <v>12233</v>
      </c>
      <c r="H108">
        <v>-1781</v>
      </c>
      <c r="I108">
        <v>266</v>
      </c>
      <c r="J108">
        <v>8611</v>
      </c>
      <c r="K108">
        <v>-2584</v>
      </c>
    </row>
    <row r="109" spans="2:11" x14ac:dyDescent="0.25">
      <c r="B109">
        <v>24475</v>
      </c>
      <c r="C109">
        <v>167</v>
      </c>
      <c r="D109">
        <v>33</v>
      </c>
      <c r="E109">
        <v>1194</v>
      </c>
      <c r="F109">
        <v>-1503</v>
      </c>
      <c r="G109">
        <v>135</v>
      </c>
      <c r="H109">
        <v>3576</v>
      </c>
      <c r="I109">
        <v>1764</v>
      </c>
      <c r="J109">
        <v>-5419</v>
      </c>
      <c r="K109">
        <v>-820</v>
      </c>
    </row>
    <row r="110" spans="2:11" x14ac:dyDescent="0.25">
      <c r="B110">
        <v>-332</v>
      </c>
      <c r="C110">
        <v>1614</v>
      </c>
      <c r="D110">
        <v>-30932</v>
      </c>
      <c r="E110">
        <v>7176</v>
      </c>
      <c r="F110">
        <v>24842</v>
      </c>
      <c r="G110">
        <v>32659</v>
      </c>
      <c r="H110">
        <v>33486</v>
      </c>
      <c r="I110">
        <v>3362</v>
      </c>
      <c r="J110">
        <v>1158</v>
      </c>
      <c r="K110">
        <v>1128</v>
      </c>
    </row>
    <row r="111" spans="2:11" x14ac:dyDescent="0.25">
      <c r="B111">
        <v>5611</v>
      </c>
      <c r="C111">
        <v>-499</v>
      </c>
      <c r="D111">
        <v>-2192</v>
      </c>
      <c r="E111">
        <v>10232</v>
      </c>
      <c r="F111">
        <v>-2540</v>
      </c>
      <c r="G111">
        <v>-7319</v>
      </c>
      <c r="H111">
        <v>2664</v>
      </c>
      <c r="I111">
        <v>9256</v>
      </c>
      <c r="J111">
        <v>-4073</v>
      </c>
      <c r="K111">
        <v>2121</v>
      </c>
    </row>
    <row r="112" spans="2:11" x14ac:dyDescent="0.25">
      <c r="B112">
        <v>1324</v>
      </c>
      <c r="C112">
        <v>1416</v>
      </c>
      <c r="D112">
        <v>-6019</v>
      </c>
      <c r="E112">
        <v>427</v>
      </c>
      <c r="F112">
        <v>-1183</v>
      </c>
      <c r="G112">
        <v>-250</v>
      </c>
      <c r="H112">
        <v>-4030</v>
      </c>
      <c r="I112">
        <v>1182</v>
      </c>
      <c r="J112">
        <v>-1026</v>
      </c>
      <c r="K112">
        <v>399</v>
      </c>
    </row>
    <row r="113" spans="2:11" x14ac:dyDescent="0.25">
      <c r="B113">
        <v>-2097</v>
      </c>
      <c r="C113">
        <v>1516</v>
      </c>
      <c r="D113">
        <v>-274</v>
      </c>
      <c r="E113">
        <v>-1847</v>
      </c>
      <c r="F113">
        <v>13582</v>
      </c>
      <c r="G113">
        <v>-17666</v>
      </c>
      <c r="H113">
        <v>-4806</v>
      </c>
      <c r="I113">
        <v>-991</v>
      </c>
      <c r="J113">
        <v>-3353</v>
      </c>
      <c r="K113">
        <v>-531</v>
      </c>
    </row>
    <row r="114" spans="2:11" x14ac:dyDescent="0.25">
      <c r="B114">
        <v>-530</v>
      </c>
      <c r="C114">
        <v>357</v>
      </c>
      <c r="D114">
        <v>1373</v>
      </c>
      <c r="E114">
        <v>-118</v>
      </c>
      <c r="F114">
        <v>-1385</v>
      </c>
      <c r="G114">
        <v>284</v>
      </c>
      <c r="H114">
        <v>2638</v>
      </c>
      <c r="I114">
        <v>12128</v>
      </c>
      <c r="J114">
        <v>6309</v>
      </c>
      <c r="K114">
        <v>4739</v>
      </c>
    </row>
    <row r="115" spans="2:11" x14ac:dyDescent="0.25">
      <c r="B115">
        <v>-233</v>
      </c>
      <c r="C115">
        <v>-8672</v>
      </c>
      <c r="D115">
        <v>-4457</v>
      </c>
      <c r="E115">
        <v>-2132</v>
      </c>
      <c r="F115">
        <v>214</v>
      </c>
      <c r="G115">
        <v>-4028</v>
      </c>
      <c r="H115">
        <v>-1964</v>
      </c>
      <c r="I115">
        <v>709</v>
      </c>
      <c r="J115">
        <v>41</v>
      </c>
      <c r="K115">
        <v>-2234</v>
      </c>
    </row>
    <row r="116" spans="2:11" x14ac:dyDescent="0.25">
      <c r="B116">
        <v>-1962</v>
      </c>
      <c r="C116">
        <v>-3918</v>
      </c>
      <c r="D116">
        <v>7495</v>
      </c>
      <c r="E116">
        <v>-5946</v>
      </c>
      <c r="F116">
        <v>-15413</v>
      </c>
      <c r="G116">
        <v>-1312</v>
      </c>
      <c r="H116">
        <v>10836</v>
      </c>
      <c r="I116">
        <v>2231</v>
      </c>
      <c r="J116">
        <v>548</v>
      </c>
      <c r="K116">
        <v>273</v>
      </c>
    </row>
    <row r="117" spans="2:11" x14ac:dyDescent="0.25">
      <c r="B117">
        <v>1373</v>
      </c>
      <c r="C117">
        <v>-513</v>
      </c>
      <c r="D117">
        <v>-675</v>
      </c>
      <c r="E117">
        <v>2</v>
      </c>
      <c r="F117">
        <v>28835</v>
      </c>
      <c r="G117">
        <v>622</v>
      </c>
      <c r="H117">
        <v>4382</v>
      </c>
      <c r="I117">
        <v>-10793</v>
      </c>
      <c r="J117">
        <v>-685</v>
      </c>
      <c r="K117">
        <v>-294</v>
      </c>
    </row>
    <row r="118" spans="2:11" x14ac:dyDescent="0.25">
      <c r="B118">
        <v>-1002</v>
      </c>
      <c r="C118">
        <v>-19889</v>
      </c>
      <c r="D118">
        <v>-4281</v>
      </c>
      <c r="E118">
        <v>2704</v>
      </c>
      <c r="F118">
        <v>6758</v>
      </c>
      <c r="G118">
        <v>11333</v>
      </c>
      <c r="H118">
        <v>5830</v>
      </c>
      <c r="I118">
        <v>361</v>
      </c>
      <c r="J118">
        <v>1189</v>
      </c>
      <c r="K118">
        <v>3481</v>
      </c>
    </row>
    <row r="119" spans="2:11" x14ac:dyDescent="0.25">
      <c r="B119">
        <v>-2192</v>
      </c>
      <c r="C119">
        <v>-1435</v>
      </c>
      <c r="D119">
        <v>-422</v>
      </c>
      <c r="E119">
        <v>-14</v>
      </c>
      <c r="F119">
        <v>-561</v>
      </c>
      <c r="G119">
        <v>2660</v>
      </c>
      <c r="H119">
        <v>12573</v>
      </c>
      <c r="I119">
        <v>2654</v>
      </c>
      <c r="J119">
        <v>954</v>
      </c>
      <c r="K119">
        <v>3976</v>
      </c>
    </row>
    <row r="120" spans="2:11" x14ac:dyDescent="0.25">
      <c r="B120">
        <v>-137</v>
      </c>
      <c r="C120">
        <v>209</v>
      </c>
      <c r="D120">
        <v>1069</v>
      </c>
      <c r="E120">
        <v>10717</v>
      </c>
      <c r="F120">
        <v>26553</v>
      </c>
      <c r="G120">
        <v>185</v>
      </c>
      <c r="H120">
        <v>2210</v>
      </c>
      <c r="I120">
        <v>-1656</v>
      </c>
      <c r="J120">
        <v>-10099</v>
      </c>
      <c r="K120">
        <v>-180</v>
      </c>
    </row>
    <row r="121" spans="2:11" x14ac:dyDescent="0.25">
      <c r="B121">
        <v>323</v>
      </c>
      <c r="C121">
        <v>-4733</v>
      </c>
      <c r="D121">
        <v>-14717</v>
      </c>
      <c r="E121">
        <v>916</v>
      </c>
      <c r="F121">
        <v>2811</v>
      </c>
      <c r="G121">
        <v>5164</v>
      </c>
      <c r="H121">
        <v>-3517</v>
      </c>
      <c r="I121">
        <v>651</v>
      </c>
      <c r="J121">
        <v>2277</v>
      </c>
      <c r="K121">
        <v>4447</v>
      </c>
    </row>
    <row r="122" spans="2:11" x14ac:dyDescent="0.25">
      <c r="B122">
        <v>3645</v>
      </c>
      <c r="C122">
        <v>-1503</v>
      </c>
      <c r="D122">
        <v>-974</v>
      </c>
      <c r="E122">
        <v>-1511</v>
      </c>
      <c r="F122">
        <v>-16406</v>
      </c>
      <c r="G122">
        <v>642</v>
      </c>
      <c r="H122">
        <v>3164</v>
      </c>
      <c r="I122">
        <v>8848</v>
      </c>
      <c r="J122">
        <v>182</v>
      </c>
      <c r="K122">
        <v>723</v>
      </c>
    </row>
    <row r="123" spans="2:11" x14ac:dyDescent="0.25">
      <c r="B123">
        <v>-168</v>
      </c>
      <c r="C123">
        <v>-58</v>
      </c>
      <c r="D123">
        <v>-6321</v>
      </c>
      <c r="E123">
        <v>6760</v>
      </c>
      <c r="F123">
        <v>16919</v>
      </c>
      <c r="G123">
        <v>25933</v>
      </c>
      <c r="H123">
        <v>-75</v>
      </c>
      <c r="I123">
        <v>-101</v>
      </c>
      <c r="J123">
        <v>-7184</v>
      </c>
      <c r="K123">
        <v>-608</v>
      </c>
    </row>
    <row r="124" spans="2:11" x14ac:dyDescent="0.25">
      <c r="B124">
        <v>-13</v>
      </c>
      <c r="C124">
        <v>-772</v>
      </c>
      <c r="D124">
        <v>-24107</v>
      </c>
      <c r="E124">
        <v>-3411</v>
      </c>
      <c r="F124">
        <v>2375</v>
      </c>
      <c r="G124">
        <v>6002</v>
      </c>
      <c r="H124">
        <v>7046</v>
      </c>
      <c r="I124">
        <v>5939</v>
      </c>
      <c r="J124">
        <v>398</v>
      </c>
      <c r="K124">
        <v>1013</v>
      </c>
    </row>
    <row r="125" spans="2:11" x14ac:dyDescent="0.25">
      <c r="B125">
        <v>896</v>
      </c>
      <c r="C125">
        <v>-5631</v>
      </c>
      <c r="D125">
        <v>542</v>
      </c>
      <c r="E125">
        <v>-356</v>
      </c>
      <c r="F125">
        <v>-787</v>
      </c>
      <c r="G125">
        <v>-226</v>
      </c>
      <c r="H125">
        <v>-69</v>
      </c>
      <c r="I125">
        <v>13824</v>
      </c>
      <c r="J125">
        <v>2157</v>
      </c>
      <c r="K125">
        <v>-86</v>
      </c>
    </row>
    <row r="126" spans="2:11" x14ac:dyDescent="0.25">
      <c r="B126">
        <v>4527</v>
      </c>
      <c r="C126">
        <v>-554</v>
      </c>
      <c r="D126">
        <v>-1461</v>
      </c>
      <c r="E126">
        <v>-949</v>
      </c>
      <c r="F126">
        <v>-363</v>
      </c>
      <c r="G126">
        <v>-764</v>
      </c>
      <c r="H126">
        <v>-2916</v>
      </c>
      <c r="I126">
        <v>-954</v>
      </c>
      <c r="J126">
        <v>-36</v>
      </c>
      <c r="K126">
        <v>-160</v>
      </c>
    </row>
    <row r="127" spans="2:11" x14ac:dyDescent="0.25">
      <c r="B127">
        <v>-597</v>
      </c>
      <c r="C127">
        <v>-2946</v>
      </c>
      <c r="D127">
        <v>-3</v>
      </c>
      <c r="E127">
        <v>-330</v>
      </c>
      <c r="F127">
        <v>-2418</v>
      </c>
      <c r="G127">
        <v>-16222</v>
      </c>
      <c r="H127">
        <v>258</v>
      </c>
      <c r="I127">
        <v>518</v>
      </c>
      <c r="J127">
        <v>531</v>
      </c>
      <c r="K127">
        <v>-9726</v>
      </c>
    </row>
    <row r="128" spans="2:11" x14ac:dyDescent="0.25">
      <c r="B128">
        <v>2694</v>
      </c>
      <c r="C128">
        <v>8261</v>
      </c>
      <c r="D128">
        <v>10920</v>
      </c>
      <c r="E128">
        <v>9817</v>
      </c>
      <c r="F128">
        <v>-673</v>
      </c>
      <c r="G128">
        <v>-218</v>
      </c>
      <c r="H128">
        <v>-390</v>
      </c>
      <c r="I128">
        <v>-263</v>
      </c>
      <c r="J128">
        <v>-28</v>
      </c>
      <c r="K128">
        <v>1565</v>
      </c>
    </row>
    <row r="129" spans="2:11" x14ac:dyDescent="0.25">
      <c r="B129">
        <v>8430</v>
      </c>
      <c r="C129">
        <v>-939</v>
      </c>
      <c r="D129">
        <v>-1512</v>
      </c>
      <c r="E129">
        <v>-81</v>
      </c>
      <c r="F129">
        <v>-246</v>
      </c>
      <c r="G129">
        <v>4998</v>
      </c>
      <c r="H129">
        <v>-271</v>
      </c>
      <c r="I129">
        <v>-331</v>
      </c>
      <c r="J129">
        <v>-715</v>
      </c>
      <c r="K129">
        <v>-1733</v>
      </c>
    </row>
    <row r="130" spans="2:11" x14ac:dyDescent="0.25">
      <c r="B130">
        <v>11085</v>
      </c>
      <c r="C130">
        <v>-17367</v>
      </c>
      <c r="D130">
        <v>10230</v>
      </c>
      <c r="E130">
        <v>2162</v>
      </c>
      <c r="F130">
        <v>975</v>
      </c>
      <c r="G130">
        <v>-20096</v>
      </c>
      <c r="H130">
        <v>-6746</v>
      </c>
      <c r="I130">
        <v>-5125</v>
      </c>
      <c r="J130">
        <v>-3287</v>
      </c>
      <c r="K130">
        <v>-21395</v>
      </c>
    </row>
    <row r="131" spans="2:11" x14ac:dyDescent="0.25">
      <c r="B131">
        <v>-4980</v>
      </c>
      <c r="C131">
        <v>4958</v>
      </c>
      <c r="D131">
        <v>344</v>
      </c>
      <c r="E131">
        <v>-14460</v>
      </c>
      <c r="F131">
        <v>-5420</v>
      </c>
      <c r="G131">
        <v>3521</v>
      </c>
      <c r="H131">
        <v>415</v>
      </c>
      <c r="I131">
        <v>-7258</v>
      </c>
      <c r="J131">
        <v>-4438</v>
      </c>
      <c r="K131">
        <v>-1384</v>
      </c>
    </row>
    <row r="132" spans="2:11" x14ac:dyDescent="0.25">
      <c r="B132">
        <v>173</v>
      </c>
      <c r="C132">
        <v>521</v>
      </c>
      <c r="D132">
        <v>-762</v>
      </c>
      <c r="E132">
        <v>-576</v>
      </c>
      <c r="F132">
        <v>1139</v>
      </c>
      <c r="G132">
        <v>-207</v>
      </c>
      <c r="H132">
        <v>-5564</v>
      </c>
      <c r="I132">
        <v>-200</v>
      </c>
      <c r="J132">
        <v>-418</v>
      </c>
      <c r="K132">
        <v>1998</v>
      </c>
    </row>
    <row r="133" spans="2:11" x14ac:dyDescent="0.25">
      <c r="B133">
        <v>-685</v>
      </c>
      <c r="C133">
        <v>75</v>
      </c>
      <c r="D133">
        <v>126</v>
      </c>
      <c r="E133">
        <v>88</v>
      </c>
      <c r="F133">
        <v>100</v>
      </c>
      <c r="G133">
        <v>2143</v>
      </c>
      <c r="H133">
        <v>19865</v>
      </c>
      <c r="I133">
        <v>6574</v>
      </c>
      <c r="J133">
        <v>3167</v>
      </c>
      <c r="K133">
        <v>-5949</v>
      </c>
    </row>
    <row r="134" spans="2:11" x14ac:dyDescent="0.25">
      <c r="B134">
        <v>-11580</v>
      </c>
      <c r="C134">
        <v>-7354</v>
      </c>
      <c r="D134">
        <v>-5083</v>
      </c>
      <c r="E134">
        <v>-6934</v>
      </c>
      <c r="F134">
        <v>-8645</v>
      </c>
      <c r="G134">
        <v>5859</v>
      </c>
      <c r="H134">
        <v>-122</v>
      </c>
      <c r="I134">
        <v>-4598</v>
      </c>
      <c r="J134">
        <v>-7897</v>
      </c>
      <c r="K134">
        <v>5168</v>
      </c>
    </row>
    <row r="135" spans="2:11" x14ac:dyDescent="0.25">
      <c r="B135">
        <v>280</v>
      </c>
      <c r="C135">
        <v>-3087</v>
      </c>
      <c r="D135">
        <v>-637</v>
      </c>
      <c r="E135">
        <v>-1055</v>
      </c>
      <c r="F135">
        <v>276</v>
      </c>
      <c r="G135">
        <v>553</v>
      </c>
      <c r="H135">
        <v>-270</v>
      </c>
      <c r="I135">
        <v>-121</v>
      </c>
      <c r="J135">
        <v>-8327</v>
      </c>
      <c r="K135">
        <v>-2368</v>
      </c>
    </row>
    <row r="136" spans="2:11" x14ac:dyDescent="0.25">
      <c r="B136">
        <v>-164</v>
      </c>
      <c r="C136">
        <v>-1694</v>
      </c>
      <c r="D136">
        <v>-198</v>
      </c>
      <c r="E136">
        <v>-778</v>
      </c>
      <c r="F136">
        <v>-54</v>
      </c>
      <c r="G136">
        <v>17</v>
      </c>
      <c r="H136">
        <v>92</v>
      </c>
      <c r="I136">
        <v>129</v>
      </c>
      <c r="J136">
        <v>158</v>
      </c>
      <c r="K136">
        <v>59064</v>
      </c>
    </row>
    <row r="137" spans="2:11" x14ac:dyDescent="0.25">
      <c r="B137">
        <v>88</v>
      </c>
      <c r="C137">
        <v>4816</v>
      </c>
      <c r="D137">
        <v>-9007</v>
      </c>
      <c r="E137">
        <v>-556</v>
      </c>
      <c r="F137">
        <v>-1322</v>
      </c>
      <c r="G137">
        <v>-1411</v>
      </c>
      <c r="H137">
        <v>-16938</v>
      </c>
      <c r="I137">
        <v>-3889</v>
      </c>
      <c r="J137">
        <v>3641</v>
      </c>
      <c r="K137">
        <v>9451</v>
      </c>
    </row>
    <row r="138" spans="2:11" x14ac:dyDescent="0.25">
      <c r="B138">
        <v>13771</v>
      </c>
      <c r="C138">
        <v>6568</v>
      </c>
      <c r="D138">
        <v>3122</v>
      </c>
      <c r="E138">
        <v>4942</v>
      </c>
      <c r="F138">
        <v>6906</v>
      </c>
      <c r="G138">
        <v>-5334</v>
      </c>
      <c r="H138">
        <v>-1089</v>
      </c>
      <c r="I138">
        <v>93</v>
      </c>
      <c r="J138">
        <v>324</v>
      </c>
      <c r="K138">
        <v>197</v>
      </c>
    </row>
    <row r="139" spans="2:11" x14ac:dyDescent="0.25">
      <c r="B139">
        <v>-348</v>
      </c>
      <c r="C139">
        <v>971</v>
      </c>
      <c r="D139">
        <v>857</v>
      </c>
      <c r="E139">
        <v>-885</v>
      </c>
      <c r="F139">
        <v>-9055</v>
      </c>
      <c r="G139">
        <v>-281</v>
      </c>
      <c r="H139">
        <v>-705</v>
      </c>
      <c r="I139">
        <v>664</v>
      </c>
      <c r="J139">
        <v>-9</v>
      </c>
      <c r="K139">
        <v>-178</v>
      </c>
    </row>
    <row r="140" spans="2:11" x14ac:dyDescent="0.25">
      <c r="B140">
        <v>-342</v>
      </c>
      <c r="C140">
        <v>40</v>
      </c>
      <c r="D140">
        <v>-302</v>
      </c>
      <c r="E140">
        <v>220</v>
      </c>
      <c r="F140">
        <v>19928</v>
      </c>
      <c r="G140">
        <v>28377</v>
      </c>
      <c r="H140">
        <v>132</v>
      </c>
      <c r="I140">
        <v>2546</v>
      </c>
      <c r="J140">
        <v>-814</v>
      </c>
      <c r="K140">
        <v>-6847</v>
      </c>
    </row>
    <row r="141" spans="2:11" x14ac:dyDescent="0.25">
      <c r="B141">
        <v>-628</v>
      </c>
      <c r="C141">
        <v>936</v>
      </c>
      <c r="D141">
        <v>-3362</v>
      </c>
      <c r="E141">
        <v>-15298</v>
      </c>
      <c r="F141">
        <v>1091</v>
      </c>
      <c r="G141">
        <v>3575</v>
      </c>
      <c r="H141">
        <v>5335</v>
      </c>
      <c r="I141">
        <v>-13187</v>
      </c>
      <c r="J141">
        <v>6951</v>
      </c>
      <c r="K141">
        <v>16982</v>
      </c>
    </row>
    <row r="142" spans="2:11" x14ac:dyDescent="0.25">
      <c r="B142">
        <v>18934</v>
      </c>
      <c r="C142">
        <v>15049</v>
      </c>
      <c r="D142">
        <v>-496</v>
      </c>
      <c r="E142">
        <v>-22</v>
      </c>
      <c r="F142">
        <v>103</v>
      </c>
      <c r="G142">
        <v>1501</v>
      </c>
      <c r="H142">
        <v>-685</v>
      </c>
      <c r="I142">
        <v>422</v>
      </c>
      <c r="J142">
        <v>3496</v>
      </c>
      <c r="K142">
        <v>851</v>
      </c>
    </row>
    <row r="143" spans="2:11" x14ac:dyDescent="0.25">
      <c r="B143">
        <v>138</v>
      </c>
      <c r="C143">
        <v>-1021</v>
      </c>
      <c r="D143">
        <v>-1849</v>
      </c>
      <c r="E143">
        <v>4349</v>
      </c>
      <c r="F143">
        <v>61</v>
      </c>
      <c r="G143">
        <v>-145</v>
      </c>
      <c r="H143">
        <v>187</v>
      </c>
      <c r="I143">
        <v>-403</v>
      </c>
      <c r="J143">
        <v>67</v>
      </c>
      <c r="K143">
        <v>792</v>
      </c>
    </row>
    <row r="144" spans="2:11" x14ac:dyDescent="0.25">
      <c r="B144">
        <v>10167</v>
      </c>
      <c r="C144">
        <v>14802</v>
      </c>
      <c r="D144">
        <v>15592</v>
      </c>
      <c r="E144">
        <v>-5039</v>
      </c>
      <c r="F144">
        <v>9174</v>
      </c>
      <c r="G144">
        <v>4325</v>
      </c>
      <c r="H144">
        <v>2601</v>
      </c>
      <c r="I144">
        <v>-6408</v>
      </c>
      <c r="J144">
        <v>-2583</v>
      </c>
      <c r="K144">
        <v>-3851</v>
      </c>
    </row>
    <row r="145" spans="2:11" x14ac:dyDescent="0.25">
      <c r="B145">
        <v>-2356</v>
      </c>
      <c r="C145">
        <v>-3966</v>
      </c>
      <c r="D145">
        <v>-28</v>
      </c>
      <c r="E145">
        <v>2312</v>
      </c>
      <c r="F145">
        <v>95</v>
      </c>
      <c r="G145">
        <v>-2305</v>
      </c>
      <c r="H145">
        <v>223</v>
      </c>
      <c r="I145">
        <v>1932</v>
      </c>
      <c r="J145">
        <v>23</v>
      </c>
      <c r="K145">
        <v>5675</v>
      </c>
    </row>
    <row r="146" spans="2:11" x14ac:dyDescent="0.25">
      <c r="B146">
        <v>3813</v>
      </c>
      <c r="C146">
        <v>1027</v>
      </c>
      <c r="D146">
        <v>-151</v>
      </c>
      <c r="E146">
        <v>-1178</v>
      </c>
      <c r="F146">
        <v>238</v>
      </c>
      <c r="G146">
        <v>302</v>
      </c>
      <c r="H146">
        <v>-1306</v>
      </c>
      <c r="I146">
        <v>-174</v>
      </c>
      <c r="J146">
        <v>2310</v>
      </c>
      <c r="K146">
        <v>-126</v>
      </c>
    </row>
    <row r="147" spans="2:11" x14ac:dyDescent="0.25">
      <c r="B147">
        <v>343</v>
      </c>
      <c r="C147">
        <v>-1672</v>
      </c>
      <c r="D147">
        <v>-60</v>
      </c>
      <c r="E147">
        <v>-137</v>
      </c>
      <c r="F147">
        <v>-78</v>
      </c>
      <c r="G147">
        <v>22</v>
      </c>
      <c r="H147">
        <v>-29</v>
      </c>
      <c r="I147">
        <v>21536</v>
      </c>
      <c r="J147">
        <v>4404</v>
      </c>
      <c r="K147">
        <v>1236</v>
      </c>
    </row>
    <row r="148" spans="2:11" x14ac:dyDescent="0.25">
      <c r="B148">
        <v>656</v>
      </c>
      <c r="C148">
        <v>4560</v>
      </c>
      <c r="D148">
        <v>44135</v>
      </c>
      <c r="E148">
        <v>22347</v>
      </c>
      <c r="F148">
        <v>12554</v>
      </c>
      <c r="G148">
        <v>-3755</v>
      </c>
      <c r="H148">
        <v>-22339</v>
      </c>
      <c r="I148">
        <v>-13820</v>
      </c>
      <c r="J148">
        <v>-8595</v>
      </c>
      <c r="K148">
        <v>-817</v>
      </c>
    </row>
    <row r="149" spans="2:11" x14ac:dyDescent="0.25">
      <c r="B149">
        <v>-10097</v>
      </c>
      <c r="C149">
        <v>7685</v>
      </c>
      <c r="D149">
        <v>569</v>
      </c>
      <c r="E149">
        <v>-725</v>
      </c>
      <c r="F149">
        <v>-7518</v>
      </c>
      <c r="G149">
        <v>5351</v>
      </c>
      <c r="H149">
        <v>-244</v>
      </c>
      <c r="I149">
        <v>5082</v>
      </c>
      <c r="J149">
        <v>1219</v>
      </c>
      <c r="K149">
        <v>5115</v>
      </c>
    </row>
    <row r="150" spans="2:11" x14ac:dyDescent="0.25">
      <c r="B150">
        <v>38</v>
      </c>
      <c r="C150">
        <v>14453</v>
      </c>
      <c r="D150">
        <v>3071</v>
      </c>
      <c r="E150">
        <v>1958</v>
      </c>
      <c r="F150">
        <v>6731</v>
      </c>
      <c r="G150">
        <v>1142</v>
      </c>
      <c r="H150">
        <v>255</v>
      </c>
      <c r="I150">
        <v>3177</v>
      </c>
      <c r="J150">
        <v>432</v>
      </c>
      <c r="K150">
        <v>-71</v>
      </c>
    </row>
    <row r="151" spans="2:11" x14ac:dyDescent="0.25">
      <c r="B151">
        <v>-151</v>
      </c>
      <c r="C151">
        <v>185</v>
      </c>
      <c r="D151">
        <v>71</v>
      </c>
      <c r="E151">
        <v>59</v>
      </c>
      <c r="F151">
        <v>-63</v>
      </c>
      <c r="G151">
        <v>9929</v>
      </c>
      <c r="H151">
        <v>19148</v>
      </c>
      <c r="I151">
        <v>4027</v>
      </c>
      <c r="J151">
        <v>2148</v>
      </c>
      <c r="K151">
        <v>17911</v>
      </c>
    </row>
    <row r="152" spans="2:11" x14ac:dyDescent="0.25">
      <c r="B152">
        <v>910</v>
      </c>
      <c r="C152">
        <v>12821</v>
      </c>
      <c r="D152">
        <v>-29018</v>
      </c>
      <c r="E152">
        <v>-1957</v>
      </c>
      <c r="F152">
        <v>-2127</v>
      </c>
      <c r="G152">
        <v>-7205</v>
      </c>
      <c r="H152">
        <v>-63556</v>
      </c>
      <c r="I152">
        <v>-13915</v>
      </c>
      <c r="J152">
        <v>8008</v>
      </c>
      <c r="K152">
        <v>19871</v>
      </c>
    </row>
    <row r="153" spans="2:11" x14ac:dyDescent="0.25">
      <c r="B153">
        <v>34336</v>
      </c>
      <c r="C153">
        <v>24160</v>
      </c>
      <c r="D153">
        <v>408</v>
      </c>
      <c r="E153">
        <v>592</v>
      </c>
      <c r="F153">
        <v>7289</v>
      </c>
      <c r="G153">
        <v>-16779</v>
      </c>
      <c r="H153">
        <v>567</v>
      </c>
      <c r="I153">
        <v>-425</v>
      </c>
      <c r="J153">
        <v>-333</v>
      </c>
      <c r="K153">
        <v>-79</v>
      </c>
    </row>
    <row r="154" spans="2:11" x14ac:dyDescent="0.25">
      <c r="B154">
        <v>4186</v>
      </c>
      <c r="C154">
        <v>16346</v>
      </c>
      <c r="D154">
        <v>3096</v>
      </c>
      <c r="E154">
        <v>1120</v>
      </c>
      <c r="F154">
        <v>8233</v>
      </c>
      <c r="G154">
        <v>-434</v>
      </c>
      <c r="H154">
        <v>-527</v>
      </c>
      <c r="I154">
        <v>-601</v>
      </c>
      <c r="J154">
        <v>-299</v>
      </c>
      <c r="K154">
        <v>104</v>
      </c>
    </row>
    <row r="155" spans="2:11" x14ac:dyDescent="0.25">
      <c r="B155">
        <v>1889</v>
      </c>
      <c r="C155">
        <v>298</v>
      </c>
      <c r="D155">
        <v>5398</v>
      </c>
      <c r="E155">
        <v>208</v>
      </c>
      <c r="F155">
        <v>5416</v>
      </c>
      <c r="G155">
        <v>7763</v>
      </c>
      <c r="H155">
        <v>18369</v>
      </c>
      <c r="I155">
        <v>3288</v>
      </c>
      <c r="J155">
        <v>7111</v>
      </c>
      <c r="K155">
        <v>23654</v>
      </c>
    </row>
    <row r="156" spans="2:11" x14ac:dyDescent="0.25">
      <c r="B156">
        <v>680</v>
      </c>
      <c r="C156">
        <v>8373</v>
      </c>
      <c r="D156">
        <v>-3076</v>
      </c>
      <c r="E156">
        <v>-25543</v>
      </c>
      <c r="F156">
        <v>-1431</v>
      </c>
      <c r="G156">
        <v>-6530</v>
      </c>
      <c r="H156">
        <v>-14545</v>
      </c>
      <c r="I156">
        <v>-61654</v>
      </c>
      <c r="J156">
        <v>492</v>
      </c>
      <c r="K156">
        <v>-618</v>
      </c>
    </row>
    <row r="157" spans="2:11" x14ac:dyDescent="0.25">
      <c r="B157">
        <v>5553</v>
      </c>
      <c r="C157">
        <v>-42014</v>
      </c>
      <c r="D157">
        <v>7285</v>
      </c>
      <c r="E157">
        <v>20678</v>
      </c>
      <c r="F157">
        <v>33611</v>
      </c>
      <c r="G157">
        <v>28640</v>
      </c>
      <c r="H157">
        <v>988</v>
      </c>
      <c r="I157">
        <v>84</v>
      </c>
      <c r="J157">
        <v>264</v>
      </c>
      <c r="K157">
        <v>1739</v>
      </c>
    </row>
    <row r="158" spans="2:11" x14ac:dyDescent="0.25">
      <c r="B158">
        <v>3273</v>
      </c>
      <c r="C158">
        <v>3580</v>
      </c>
      <c r="D158">
        <v>13571</v>
      </c>
      <c r="E158">
        <v>-336</v>
      </c>
      <c r="F158">
        <v>-303</v>
      </c>
      <c r="G158">
        <v>105</v>
      </c>
      <c r="H158">
        <v>949</v>
      </c>
      <c r="I158">
        <v>1542</v>
      </c>
      <c r="J158">
        <v>-232</v>
      </c>
      <c r="K158">
        <v>49</v>
      </c>
    </row>
    <row r="159" spans="2:11" x14ac:dyDescent="0.25">
      <c r="B159">
        <v>140</v>
      </c>
      <c r="C159">
        <v>316</v>
      </c>
      <c r="D159">
        <v>638</v>
      </c>
      <c r="E159">
        <v>3898</v>
      </c>
      <c r="F159">
        <v>3571</v>
      </c>
      <c r="G159">
        <v>5406</v>
      </c>
      <c r="H159">
        <v>4039</v>
      </c>
      <c r="I159">
        <v>16365</v>
      </c>
      <c r="J159">
        <v>4528</v>
      </c>
      <c r="K159">
        <v>15390</v>
      </c>
    </row>
    <row r="160" spans="2:11" x14ac:dyDescent="0.25">
      <c r="B160">
        <v>24771</v>
      </c>
      <c r="C160">
        <v>-9001</v>
      </c>
      <c r="D160">
        <v>8619</v>
      </c>
      <c r="E160">
        <v>3592</v>
      </c>
      <c r="F160">
        <v>2124</v>
      </c>
      <c r="G160">
        <v>-13162</v>
      </c>
      <c r="H160">
        <v>-4578</v>
      </c>
      <c r="I160">
        <v>-4681</v>
      </c>
      <c r="J160">
        <v>-2851</v>
      </c>
      <c r="K160">
        <v>-7642</v>
      </c>
    </row>
    <row r="161" spans="2:11" x14ac:dyDescent="0.25">
      <c r="B161">
        <v>-1089</v>
      </c>
      <c r="C161">
        <v>2712</v>
      </c>
      <c r="D161">
        <v>255</v>
      </c>
      <c r="E161">
        <v>-4004</v>
      </c>
      <c r="F161">
        <v>-755</v>
      </c>
      <c r="G161">
        <v>1629</v>
      </c>
      <c r="H161">
        <v>-7</v>
      </c>
      <c r="I161">
        <v>622</v>
      </c>
      <c r="J161">
        <v>202</v>
      </c>
      <c r="K161">
        <v>113</v>
      </c>
    </row>
    <row r="162" spans="2:11" x14ac:dyDescent="0.25">
      <c r="B162">
        <v>163</v>
      </c>
      <c r="C162">
        <v>2469</v>
      </c>
      <c r="D162">
        <v>1649</v>
      </c>
      <c r="E162">
        <v>898</v>
      </c>
      <c r="F162">
        <v>337</v>
      </c>
      <c r="G162">
        <v>213</v>
      </c>
      <c r="H162">
        <v>-3504</v>
      </c>
      <c r="I162">
        <v>-527</v>
      </c>
      <c r="J162">
        <v>82</v>
      </c>
      <c r="K162">
        <v>-793</v>
      </c>
    </row>
    <row r="163" spans="2:11" x14ac:dyDescent="0.25">
      <c r="B163">
        <v>234</v>
      </c>
      <c r="C163">
        <v>59</v>
      </c>
      <c r="D163">
        <v>-31</v>
      </c>
      <c r="E163">
        <v>290</v>
      </c>
      <c r="F163">
        <v>126</v>
      </c>
      <c r="G163">
        <v>23438</v>
      </c>
      <c r="H163">
        <v>5270</v>
      </c>
      <c r="I163">
        <v>1348</v>
      </c>
      <c r="J163">
        <v>766</v>
      </c>
      <c r="K163">
        <v>15098</v>
      </c>
    </row>
    <row r="164" spans="2:11" x14ac:dyDescent="0.25">
      <c r="B164">
        <v>7245</v>
      </c>
      <c r="C164">
        <v>3754</v>
      </c>
      <c r="D164">
        <v>2406</v>
      </c>
      <c r="E164">
        <v>3188</v>
      </c>
      <c r="F164">
        <v>28634</v>
      </c>
      <c r="G164">
        <v>13764</v>
      </c>
      <c r="H164">
        <v>7833</v>
      </c>
      <c r="I164">
        <v>-3439</v>
      </c>
      <c r="J164">
        <v>-15984</v>
      </c>
      <c r="K164">
        <v>-12030</v>
      </c>
    </row>
    <row r="165" spans="2:11" x14ac:dyDescent="0.25">
      <c r="B165">
        <v>-7337</v>
      </c>
      <c r="C165">
        <v>-480</v>
      </c>
      <c r="D165">
        <v>-5403</v>
      </c>
      <c r="E165">
        <v>7828</v>
      </c>
      <c r="F165">
        <v>578</v>
      </c>
      <c r="G165">
        <v>-253</v>
      </c>
      <c r="H165">
        <v>-3012</v>
      </c>
      <c r="I165">
        <v>5502</v>
      </c>
      <c r="J165">
        <v>672</v>
      </c>
      <c r="K165">
        <v>10056</v>
      </c>
    </row>
    <row r="166" spans="2:11" x14ac:dyDescent="0.25">
      <c r="B166">
        <v>1482</v>
      </c>
      <c r="C166">
        <v>1943</v>
      </c>
      <c r="D166">
        <v>-42</v>
      </c>
      <c r="E166">
        <v>7386</v>
      </c>
      <c r="F166">
        <v>4308</v>
      </c>
      <c r="G166">
        <v>2519</v>
      </c>
      <c r="H166">
        <v>5342</v>
      </c>
      <c r="I166">
        <v>1645</v>
      </c>
      <c r="J166">
        <v>-352</v>
      </c>
      <c r="K166">
        <v>-86</v>
      </c>
    </row>
    <row r="167" spans="2:11" x14ac:dyDescent="0.25">
      <c r="B167">
        <v>575</v>
      </c>
      <c r="C167">
        <v>890</v>
      </c>
      <c r="D167">
        <v>854</v>
      </c>
      <c r="E167">
        <v>240</v>
      </c>
      <c r="F167">
        <v>96</v>
      </c>
      <c r="G167">
        <v>669</v>
      </c>
      <c r="H167">
        <v>127</v>
      </c>
      <c r="I167">
        <v>7477</v>
      </c>
      <c r="J167">
        <v>15007</v>
      </c>
      <c r="K167">
        <v>3220</v>
      </c>
    </row>
    <row r="168" spans="2:11" x14ac:dyDescent="0.25">
      <c r="B168">
        <v>1884</v>
      </c>
      <c r="C168">
        <v>5972</v>
      </c>
      <c r="D168">
        <v>25180</v>
      </c>
      <c r="E168">
        <v>9432</v>
      </c>
      <c r="F168">
        <v>6154</v>
      </c>
      <c r="G168">
        <v>21028</v>
      </c>
      <c r="H168">
        <v>1004</v>
      </c>
      <c r="I168">
        <v>10149</v>
      </c>
      <c r="J168">
        <v>-23285</v>
      </c>
      <c r="K168">
        <v>-1520</v>
      </c>
    </row>
    <row r="169" spans="2:11" x14ac:dyDescent="0.25">
      <c r="B169">
        <v>-1854</v>
      </c>
      <c r="C169">
        <v>-7699</v>
      </c>
      <c r="D169">
        <v>-60305</v>
      </c>
      <c r="E169">
        <v>-13591</v>
      </c>
      <c r="F169">
        <v>7625</v>
      </c>
      <c r="G169">
        <v>17930</v>
      </c>
      <c r="H169">
        <v>31009</v>
      </c>
      <c r="I169">
        <v>23130</v>
      </c>
      <c r="J169">
        <v>349</v>
      </c>
      <c r="K169">
        <v>-191</v>
      </c>
    </row>
    <row r="170" spans="2:11" x14ac:dyDescent="0.25">
      <c r="B170">
        <v>5096</v>
      </c>
      <c r="C170">
        <v>-15869</v>
      </c>
      <c r="D170">
        <v>451</v>
      </c>
      <c r="E170">
        <v>-557</v>
      </c>
      <c r="F170">
        <v>-394</v>
      </c>
      <c r="G170">
        <v>78</v>
      </c>
      <c r="H170">
        <v>4963</v>
      </c>
      <c r="I170">
        <v>19370</v>
      </c>
      <c r="J170">
        <v>3755</v>
      </c>
      <c r="K170">
        <v>1708</v>
      </c>
    </row>
    <row r="171" spans="2:11" x14ac:dyDescent="0.25">
      <c r="B171">
        <v>10537</v>
      </c>
      <c r="C171">
        <v>-425</v>
      </c>
      <c r="D171">
        <v>-607</v>
      </c>
      <c r="E171">
        <v>-905</v>
      </c>
      <c r="F171">
        <v>-356</v>
      </c>
      <c r="G171">
        <v>62</v>
      </c>
      <c r="H171">
        <v>1158</v>
      </c>
      <c r="I171">
        <v>292</v>
      </c>
      <c r="J171">
        <v>7395</v>
      </c>
      <c r="K171">
        <v>512</v>
      </c>
    </row>
    <row r="172" spans="2:11" x14ac:dyDescent="0.25">
      <c r="B172">
        <v>4642</v>
      </c>
      <c r="C172">
        <v>6650</v>
      </c>
      <c r="D172">
        <v>15786</v>
      </c>
      <c r="E172">
        <v>2744</v>
      </c>
      <c r="F172">
        <v>3025</v>
      </c>
      <c r="G172">
        <v>10451</v>
      </c>
      <c r="H172">
        <v>48047</v>
      </c>
      <c r="I172">
        <v>10805</v>
      </c>
      <c r="J172">
        <v>8717</v>
      </c>
      <c r="K172">
        <v>22104</v>
      </c>
    </row>
    <row r="173" spans="2:11" x14ac:dyDescent="0.25">
      <c r="B173">
        <v>803</v>
      </c>
      <c r="C173">
        <v>6830</v>
      </c>
      <c r="D173">
        <v>-2549</v>
      </c>
      <c r="E173">
        <v>-20395</v>
      </c>
      <c r="F173">
        <v>-1260</v>
      </c>
      <c r="G173">
        <v>-5777</v>
      </c>
      <c r="H173">
        <v>-14457</v>
      </c>
      <c r="I173">
        <v>-60934</v>
      </c>
      <c r="J173">
        <v>548</v>
      </c>
      <c r="K173">
        <v>-542</v>
      </c>
    </row>
    <row r="174" spans="2:11" x14ac:dyDescent="0.25">
      <c r="B174">
        <v>5415</v>
      </c>
      <c r="C174">
        <v>-40348</v>
      </c>
      <c r="D174">
        <v>6672</v>
      </c>
      <c r="E174">
        <v>18761</v>
      </c>
      <c r="F174">
        <v>30251</v>
      </c>
      <c r="G174">
        <v>26420</v>
      </c>
      <c r="H174">
        <v>-590</v>
      </c>
      <c r="I174">
        <v>-259</v>
      </c>
      <c r="J174">
        <v>38</v>
      </c>
      <c r="K174">
        <v>4578</v>
      </c>
    </row>
    <row r="175" spans="2:11" x14ac:dyDescent="0.25">
      <c r="B175">
        <v>3865</v>
      </c>
      <c r="C175">
        <v>4348</v>
      </c>
      <c r="D175">
        <v>18938</v>
      </c>
      <c r="E175">
        <v>-67</v>
      </c>
      <c r="F175">
        <v>127</v>
      </c>
      <c r="G175">
        <v>-3</v>
      </c>
      <c r="H175">
        <v>712</v>
      </c>
      <c r="I175">
        <v>995</v>
      </c>
      <c r="J175">
        <v>-484</v>
      </c>
      <c r="K175">
        <v>-125</v>
      </c>
    </row>
    <row r="176" spans="2:11" x14ac:dyDescent="0.25">
      <c r="B176">
        <v>198</v>
      </c>
      <c r="C176">
        <v>-1044</v>
      </c>
      <c r="D176">
        <v>1152</v>
      </c>
      <c r="E176">
        <v>5943</v>
      </c>
      <c r="F176">
        <v>3256</v>
      </c>
      <c r="G176">
        <v>4853</v>
      </c>
      <c r="H176">
        <v>3517</v>
      </c>
      <c r="I176">
        <v>14835</v>
      </c>
      <c r="J176">
        <v>1963</v>
      </c>
      <c r="K176">
        <v>7028</v>
      </c>
    </row>
    <row r="177" spans="2:11" x14ac:dyDescent="0.25">
      <c r="B177">
        <v>11186</v>
      </c>
      <c r="C177">
        <v>52033</v>
      </c>
      <c r="D177">
        <v>5712</v>
      </c>
      <c r="E177">
        <v>14747</v>
      </c>
      <c r="F177">
        <v>27099</v>
      </c>
      <c r="G177">
        <v>-9489</v>
      </c>
      <c r="H177">
        <v>7756</v>
      </c>
      <c r="I177">
        <v>3373</v>
      </c>
      <c r="J177">
        <v>1107</v>
      </c>
      <c r="K177">
        <v>-9272</v>
      </c>
    </row>
    <row r="178" spans="2:11" x14ac:dyDescent="0.25">
      <c r="B178">
        <v>-2857</v>
      </c>
      <c r="C178">
        <v>-3023</v>
      </c>
      <c r="D178">
        <v>-1638</v>
      </c>
      <c r="E178">
        <v>-6668</v>
      </c>
      <c r="F178">
        <v>-915</v>
      </c>
      <c r="G178">
        <v>2240</v>
      </c>
      <c r="H178">
        <v>303</v>
      </c>
      <c r="I178">
        <v>-3666</v>
      </c>
      <c r="J178">
        <v>-775</v>
      </c>
      <c r="K178">
        <v>1090</v>
      </c>
    </row>
    <row r="179" spans="2:11" x14ac:dyDescent="0.25">
      <c r="B179">
        <v>130</v>
      </c>
      <c r="C179">
        <v>-971</v>
      </c>
      <c r="D179">
        <v>1870</v>
      </c>
      <c r="E179">
        <v>570</v>
      </c>
      <c r="F179">
        <v>90</v>
      </c>
      <c r="G179">
        <v>-1936</v>
      </c>
      <c r="H179">
        <v>-619</v>
      </c>
      <c r="I179">
        <v>-446</v>
      </c>
      <c r="J179">
        <v>628</v>
      </c>
      <c r="K179">
        <v>315</v>
      </c>
    </row>
    <row r="180" spans="2:11" x14ac:dyDescent="0.25">
      <c r="B180">
        <v>501</v>
      </c>
      <c r="C180">
        <v>283</v>
      </c>
      <c r="D180">
        <v>3</v>
      </c>
      <c r="E180">
        <v>2928</v>
      </c>
      <c r="F180">
        <v>534</v>
      </c>
      <c r="G180">
        <v>97</v>
      </c>
      <c r="H180">
        <v>149</v>
      </c>
      <c r="I180">
        <v>266</v>
      </c>
      <c r="J180">
        <v>66</v>
      </c>
      <c r="K180">
        <v>20062</v>
      </c>
    </row>
    <row r="181" spans="2:11" x14ac:dyDescent="0.25">
      <c r="B181">
        <v>3416</v>
      </c>
      <c r="C181">
        <v>1107</v>
      </c>
      <c r="D181">
        <v>609</v>
      </c>
      <c r="E181">
        <v>12309</v>
      </c>
      <c r="F181">
        <v>5864</v>
      </c>
      <c r="G181">
        <v>2805</v>
      </c>
      <c r="H181">
        <v>1747</v>
      </c>
      <c r="I181">
        <v>12183</v>
      </c>
      <c r="J181">
        <v>4316</v>
      </c>
      <c r="K181">
        <v>2472</v>
      </c>
    </row>
    <row r="182" spans="2:11" x14ac:dyDescent="0.25">
      <c r="B182">
        <v>1547</v>
      </c>
      <c r="C182">
        <v>1142</v>
      </c>
      <c r="D182">
        <v>21944</v>
      </c>
      <c r="E182">
        <v>10437</v>
      </c>
      <c r="F182">
        <v>4245</v>
      </c>
      <c r="G182">
        <v>-3029</v>
      </c>
      <c r="H182">
        <v>-9576</v>
      </c>
      <c r="I182">
        <v>-6632</v>
      </c>
      <c r="J182">
        <v>-3803</v>
      </c>
      <c r="K182">
        <v>-1205</v>
      </c>
    </row>
    <row r="183" spans="2:11" x14ac:dyDescent="0.25">
      <c r="B183">
        <v>-4107</v>
      </c>
      <c r="C183">
        <v>4037</v>
      </c>
      <c r="D183">
        <v>406</v>
      </c>
      <c r="E183">
        <v>-715</v>
      </c>
      <c r="F183">
        <v>-2556</v>
      </c>
      <c r="G183">
        <v>2260</v>
      </c>
      <c r="H183">
        <v>-151</v>
      </c>
      <c r="I183">
        <v>2358</v>
      </c>
      <c r="J183">
        <v>1593</v>
      </c>
      <c r="K183">
        <v>3260</v>
      </c>
    </row>
    <row r="184" spans="2:11" x14ac:dyDescent="0.25">
      <c r="B184">
        <v>185</v>
      </c>
      <c r="C184">
        <v>-2680</v>
      </c>
      <c r="D184">
        <v>-636</v>
      </c>
      <c r="E184">
        <v>-525</v>
      </c>
      <c r="F184">
        <v>683</v>
      </c>
      <c r="G184">
        <v>373</v>
      </c>
      <c r="H184">
        <v>383</v>
      </c>
      <c r="I184">
        <v>938</v>
      </c>
      <c r="J184">
        <v>185</v>
      </c>
      <c r="K184">
        <v>1109</v>
      </c>
    </row>
    <row r="185" spans="2:11" x14ac:dyDescent="0.25">
      <c r="B185">
        <v>2179</v>
      </c>
      <c r="C185">
        <v>267</v>
      </c>
      <c r="D185">
        <v>294</v>
      </c>
      <c r="E185">
        <v>325</v>
      </c>
      <c r="F185">
        <v>64</v>
      </c>
      <c r="G185">
        <v>5690</v>
      </c>
      <c r="H185">
        <v>11043</v>
      </c>
      <c r="I185">
        <v>2378</v>
      </c>
      <c r="J185">
        <v>1319</v>
      </c>
      <c r="K185">
        <v>4225</v>
      </c>
    </row>
    <row r="186" spans="2:11" x14ac:dyDescent="0.25">
      <c r="B186">
        <v>17036</v>
      </c>
      <c r="C186">
        <v>6100</v>
      </c>
      <c r="D186">
        <v>3969</v>
      </c>
      <c r="E186">
        <v>3889</v>
      </c>
      <c r="F186">
        <v>13082</v>
      </c>
      <c r="G186">
        <v>5376</v>
      </c>
      <c r="H186">
        <v>3478</v>
      </c>
      <c r="I186">
        <v>33183</v>
      </c>
      <c r="J186">
        <v>-240</v>
      </c>
      <c r="K186">
        <v>6190</v>
      </c>
    </row>
    <row r="187" spans="2:11" x14ac:dyDescent="0.25">
      <c r="B187">
        <v>-14992</v>
      </c>
      <c r="C187">
        <v>-771</v>
      </c>
      <c r="D187">
        <v>-1430</v>
      </c>
      <c r="E187">
        <v>-2751</v>
      </c>
      <c r="F187">
        <v>-26259</v>
      </c>
      <c r="G187">
        <v>-5124</v>
      </c>
      <c r="H187">
        <v>3279</v>
      </c>
      <c r="I187">
        <v>9217</v>
      </c>
      <c r="J187">
        <v>15551</v>
      </c>
      <c r="K187">
        <v>9717</v>
      </c>
    </row>
    <row r="188" spans="2:11" x14ac:dyDescent="0.25">
      <c r="B188">
        <v>121</v>
      </c>
      <c r="C188">
        <v>755</v>
      </c>
      <c r="D188">
        <v>3221</v>
      </c>
      <c r="E188">
        <v>-5455</v>
      </c>
      <c r="F188">
        <v>-820</v>
      </c>
      <c r="G188">
        <v>-140</v>
      </c>
      <c r="H188">
        <v>-227</v>
      </c>
      <c r="I188">
        <v>-171</v>
      </c>
      <c r="J188">
        <v>-1261</v>
      </c>
      <c r="K188">
        <v>-3710</v>
      </c>
    </row>
    <row r="189" spans="2:11" x14ac:dyDescent="0.25">
      <c r="B189">
        <v>-234</v>
      </c>
      <c r="C189">
        <v>212</v>
      </c>
      <c r="D189">
        <v>2671</v>
      </c>
      <c r="E189">
        <v>-88</v>
      </c>
      <c r="F189">
        <v>-363</v>
      </c>
      <c r="G189">
        <v>-285</v>
      </c>
      <c r="H189">
        <v>-7</v>
      </c>
      <c r="I189">
        <v>-51</v>
      </c>
      <c r="J189">
        <v>1623</v>
      </c>
      <c r="K189">
        <v>378</v>
      </c>
    </row>
    <row r="190" spans="2:11" x14ac:dyDescent="0.25">
      <c r="B190">
        <v>3849</v>
      </c>
      <c r="C190">
        <v>368</v>
      </c>
      <c r="D190">
        <v>2783</v>
      </c>
      <c r="E190">
        <v>3773</v>
      </c>
      <c r="F190">
        <v>8699</v>
      </c>
      <c r="G190">
        <v>1677</v>
      </c>
      <c r="H190">
        <v>1554</v>
      </c>
      <c r="I190">
        <v>5013</v>
      </c>
      <c r="J190">
        <v>23903</v>
      </c>
      <c r="K190">
        <v>5330</v>
      </c>
    </row>
    <row r="191" spans="2:11" x14ac:dyDescent="0.25">
      <c r="B191">
        <v>1576</v>
      </c>
      <c r="C191">
        <v>3941</v>
      </c>
      <c r="D191">
        <v>20930</v>
      </c>
      <c r="E191">
        <v>4823</v>
      </c>
      <c r="F191">
        <v>13403</v>
      </c>
      <c r="G191">
        <v>28368</v>
      </c>
      <c r="H191">
        <v>-16</v>
      </c>
      <c r="I191">
        <v>2615</v>
      </c>
      <c r="J191">
        <v>-775</v>
      </c>
      <c r="K191">
        <v>-8184</v>
      </c>
    </row>
    <row r="192" spans="2:11" x14ac:dyDescent="0.25">
      <c r="B192">
        <v>-626</v>
      </c>
      <c r="C192">
        <v>-3818</v>
      </c>
      <c r="D192">
        <v>-3219</v>
      </c>
      <c r="E192">
        <v>-16704</v>
      </c>
      <c r="F192">
        <v>-158</v>
      </c>
      <c r="G192">
        <v>-1903</v>
      </c>
      <c r="H192">
        <v>-500</v>
      </c>
      <c r="I192">
        <v>-13711</v>
      </c>
      <c r="J192">
        <v>2180</v>
      </c>
      <c r="K192">
        <v>5769</v>
      </c>
    </row>
    <row r="193" spans="2:11" x14ac:dyDescent="0.25">
      <c r="B193">
        <v>9072</v>
      </c>
      <c r="C193">
        <v>8311</v>
      </c>
      <c r="D193">
        <v>-1568</v>
      </c>
      <c r="E193">
        <v>-358</v>
      </c>
      <c r="F193">
        <v>-383</v>
      </c>
      <c r="G193">
        <v>1694</v>
      </c>
      <c r="H193">
        <v>476</v>
      </c>
      <c r="I193">
        <v>-1037</v>
      </c>
      <c r="J193">
        <v>-1317</v>
      </c>
      <c r="K193">
        <v>-516</v>
      </c>
    </row>
    <row r="194" spans="2:11" x14ac:dyDescent="0.25">
      <c r="B194">
        <v>-1223</v>
      </c>
      <c r="C194">
        <v>56</v>
      </c>
      <c r="D194">
        <v>311</v>
      </c>
      <c r="E194">
        <v>3040</v>
      </c>
      <c r="F194">
        <v>-180</v>
      </c>
      <c r="G194">
        <v>106</v>
      </c>
      <c r="H194">
        <v>13</v>
      </c>
      <c r="I194">
        <v>460</v>
      </c>
      <c r="J194">
        <v>286</v>
      </c>
      <c r="K194">
        <v>2759</v>
      </c>
    </row>
    <row r="195" spans="2:11" x14ac:dyDescent="0.25">
      <c r="B195">
        <v>1222</v>
      </c>
      <c r="C195">
        <v>1706</v>
      </c>
      <c r="D195">
        <v>1260</v>
      </c>
      <c r="E195">
        <v>4900</v>
      </c>
      <c r="F195">
        <v>530</v>
      </c>
      <c r="G195">
        <v>1958</v>
      </c>
      <c r="H195">
        <v>3129</v>
      </c>
      <c r="I195">
        <v>16293</v>
      </c>
      <c r="J195">
        <v>630</v>
      </c>
      <c r="K195">
        <v>1350</v>
      </c>
    </row>
    <row r="196" spans="2:11" x14ac:dyDescent="0.25">
      <c r="B196">
        <v>2699</v>
      </c>
      <c r="C196">
        <v>14772</v>
      </c>
      <c r="D196">
        <v>5083</v>
      </c>
      <c r="E196">
        <v>11101</v>
      </c>
      <c r="F196">
        <v>15981</v>
      </c>
      <c r="G196">
        <v>-5670</v>
      </c>
      <c r="H196">
        <v>-3550</v>
      </c>
      <c r="I196">
        <v>-816</v>
      </c>
      <c r="J196">
        <v>-125</v>
      </c>
      <c r="K196">
        <v>-9234</v>
      </c>
    </row>
    <row r="197" spans="2:11" x14ac:dyDescent="0.25">
      <c r="B197">
        <v>5613</v>
      </c>
      <c r="C197">
        <v>1484</v>
      </c>
      <c r="D197">
        <v>1409</v>
      </c>
      <c r="E197">
        <v>-11614</v>
      </c>
      <c r="F197">
        <v>3564</v>
      </c>
      <c r="G197">
        <v>-3655</v>
      </c>
      <c r="H197">
        <v>202</v>
      </c>
      <c r="I197">
        <v>-6747</v>
      </c>
      <c r="J197">
        <v>3943</v>
      </c>
      <c r="K197">
        <v>-764</v>
      </c>
    </row>
    <row r="198" spans="2:11" x14ac:dyDescent="0.25">
      <c r="B198">
        <v>-3038</v>
      </c>
      <c r="C198">
        <v>30074</v>
      </c>
      <c r="D198">
        <v>-22771</v>
      </c>
      <c r="E198">
        <v>1500</v>
      </c>
      <c r="F198">
        <v>-1070</v>
      </c>
      <c r="G198">
        <v>-14576</v>
      </c>
      <c r="H198">
        <v>-3606</v>
      </c>
      <c r="I198">
        <v>-2121</v>
      </c>
      <c r="J198">
        <v>1552</v>
      </c>
      <c r="K198">
        <v>2576</v>
      </c>
    </row>
    <row r="199" spans="2:11" x14ac:dyDescent="0.25">
      <c r="B199">
        <v>-3884</v>
      </c>
      <c r="C199">
        <v>-2666</v>
      </c>
      <c r="D199">
        <v>774</v>
      </c>
      <c r="E199">
        <v>15503</v>
      </c>
      <c r="F199">
        <v>1175</v>
      </c>
      <c r="G199">
        <v>-1211</v>
      </c>
      <c r="H199">
        <v>-884</v>
      </c>
      <c r="I199">
        <v>303</v>
      </c>
      <c r="J199">
        <v>-175</v>
      </c>
      <c r="K199">
        <v>5396</v>
      </c>
    </row>
    <row r="200" spans="2:11" x14ac:dyDescent="0.25">
      <c r="B200">
        <v>-1318</v>
      </c>
      <c r="C200">
        <v>-366</v>
      </c>
      <c r="D200">
        <v>-100</v>
      </c>
      <c r="E200">
        <v>-4613</v>
      </c>
      <c r="F200">
        <v>-40</v>
      </c>
      <c r="G200">
        <v>-679</v>
      </c>
      <c r="H200">
        <v>-319</v>
      </c>
      <c r="I200">
        <v>-2993</v>
      </c>
      <c r="J200">
        <v>1452</v>
      </c>
      <c r="K200">
        <v>-764</v>
      </c>
    </row>
    <row r="201" spans="2:11" x14ac:dyDescent="0.25">
      <c r="B201">
        <v>-823</v>
      </c>
      <c r="C201">
        <v>3252</v>
      </c>
      <c r="D201">
        <v>1213</v>
      </c>
      <c r="E201">
        <v>-53</v>
      </c>
      <c r="F201">
        <v>-418</v>
      </c>
      <c r="G201">
        <v>3730</v>
      </c>
      <c r="H201">
        <v>6858</v>
      </c>
      <c r="I201">
        <v>5210</v>
      </c>
      <c r="J201">
        <v>2325</v>
      </c>
      <c r="K201">
        <v>-98</v>
      </c>
    </row>
    <row r="202" spans="2:11" x14ac:dyDescent="0.25">
      <c r="B202">
        <v>-22493</v>
      </c>
      <c r="C202">
        <v>1512</v>
      </c>
      <c r="D202">
        <v>-244</v>
      </c>
      <c r="E202">
        <v>-6595</v>
      </c>
      <c r="F202">
        <v>-29774</v>
      </c>
      <c r="G202">
        <v>-45221</v>
      </c>
      <c r="H202">
        <v>-1249</v>
      </c>
      <c r="I202">
        <v>-4771</v>
      </c>
      <c r="J202">
        <v>-20943</v>
      </c>
      <c r="K202">
        <v>-32641</v>
      </c>
    </row>
    <row r="203" spans="2:11" x14ac:dyDescent="0.25">
      <c r="B203">
        <v>-35580</v>
      </c>
      <c r="C203">
        <v>33998</v>
      </c>
      <c r="D203">
        <v>1737</v>
      </c>
      <c r="E203">
        <v>-2544</v>
      </c>
      <c r="F203">
        <v>3435</v>
      </c>
      <c r="G203">
        <v>20038</v>
      </c>
      <c r="H203">
        <v>-3972</v>
      </c>
      <c r="I203">
        <v>-5650</v>
      </c>
      <c r="J203">
        <v>778</v>
      </c>
      <c r="K203">
        <v>1280</v>
      </c>
    </row>
    <row r="204" spans="2:11" x14ac:dyDescent="0.25">
      <c r="B204">
        <v>-559</v>
      </c>
      <c r="C204">
        <v>-1155</v>
      </c>
      <c r="D204">
        <v>-793</v>
      </c>
      <c r="E204">
        <v>5937</v>
      </c>
      <c r="F204">
        <v>9969</v>
      </c>
      <c r="G204">
        <v>-4327</v>
      </c>
      <c r="H204">
        <v>-5468</v>
      </c>
      <c r="I204">
        <v>112</v>
      </c>
      <c r="J204">
        <v>118</v>
      </c>
      <c r="K204">
        <v>-2050</v>
      </c>
    </row>
    <row r="205" spans="2:11" x14ac:dyDescent="0.25">
      <c r="B205">
        <v>386</v>
      </c>
      <c r="C205">
        <v>-2562</v>
      </c>
      <c r="D205">
        <v>-2930</v>
      </c>
      <c r="E205">
        <v>1016</v>
      </c>
      <c r="F205">
        <v>553</v>
      </c>
      <c r="G205">
        <v>468</v>
      </c>
      <c r="H205">
        <v>2478</v>
      </c>
      <c r="I205">
        <v>105</v>
      </c>
      <c r="J205">
        <v>-1145</v>
      </c>
      <c r="K205">
        <v>1353</v>
      </c>
    </row>
    <row r="206" spans="2:11" x14ac:dyDescent="0.25">
      <c r="B206">
        <v>2899</v>
      </c>
      <c r="C206">
        <v>-418</v>
      </c>
      <c r="D206">
        <v>1076</v>
      </c>
      <c r="E206">
        <v>-1715</v>
      </c>
      <c r="F206">
        <v>1992</v>
      </c>
      <c r="G206">
        <v>11292</v>
      </c>
      <c r="H206">
        <v>-4139</v>
      </c>
      <c r="I206">
        <v>-601</v>
      </c>
      <c r="J206">
        <v>-341</v>
      </c>
      <c r="K206">
        <v>-229</v>
      </c>
    </row>
    <row r="207" spans="2:11" x14ac:dyDescent="0.25">
      <c r="B207">
        <v>-1150</v>
      </c>
      <c r="C207">
        <v>1548</v>
      </c>
      <c r="D207">
        <v>104</v>
      </c>
      <c r="E207">
        <v>-60</v>
      </c>
      <c r="F207">
        <v>-14390</v>
      </c>
      <c r="G207">
        <v>1651</v>
      </c>
      <c r="H207">
        <v>156</v>
      </c>
      <c r="I207">
        <v>-376</v>
      </c>
      <c r="J207">
        <v>-3171</v>
      </c>
      <c r="K207">
        <v>1304</v>
      </c>
    </row>
    <row r="208" spans="2:11" x14ac:dyDescent="0.25">
      <c r="B208">
        <v>290</v>
      </c>
      <c r="C208">
        <v>324</v>
      </c>
      <c r="D208">
        <v>1596</v>
      </c>
      <c r="E208">
        <v>-1049</v>
      </c>
      <c r="F208">
        <v>-247</v>
      </c>
      <c r="G208">
        <v>16</v>
      </c>
      <c r="H208">
        <v>-1048</v>
      </c>
      <c r="I208">
        <v>-214</v>
      </c>
      <c r="J208">
        <v>-17</v>
      </c>
      <c r="K208">
        <v>-2405</v>
      </c>
    </row>
    <row r="209" spans="2:11" x14ac:dyDescent="0.25">
      <c r="B209">
        <v>-988</v>
      </c>
      <c r="C209">
        <v>-34791</v>
      </c>
      <c r="D209">
        <v>-3053</v>
      </c>
      <c r="E209">
        <v>434</v>
      </c>
      <c r="F209">
        <v>179</v>
      </c>
      <c r="G209">
        <v>67</v>
      </c>
      <c r="H209">
        <v>-10</v>
      </c>
      <c r="I209">
        <v>29</v>
      </c>
      <c r="J209">
        <v>56</v>
      </c>
      <c r="K209">
        <v>18</v>
      </c>
    </row>
    <row r="210" spans="2:11" x14ac:dyDescent="0.25">
      <c r="B210">
        <v>3043</v>
      </c>
      <c r="C210">
        <v>457</v>
      </c>
      <c r="D210">
        <v>297</v>
      </c>
      <c r="E210">
        <v>91</v>
      </c>
      <c r="F210">
        <v>-456</v>
      </c>
      <c r="G210">
        <v>-175</v>
      </c>
      <c r="H210">
        <v>28</v>
      </c>
      <c r="I210">
        <v>95</v>
      </c>
      <c r="J210">
        <v>2777</v>
      </c>
      <c r="K210">
        <v>78</v>
      </c>
    </row>
    <row r="211" spans="2:11" x14ac:dyDescent="0.25">
      <c r="B211">
        <v>-28</v>
      </c>
      <c r="C211">
        <v>51</v>
      </c>
      <c r="D211">
        <v>-419</v>
      </c>
      <c r="E211">
        <v>-39</v>
      </c>
      <c r="F211">
        <v>-8</v>
      </c>
      <c r="G211">
        <v>28</v>
      </c>
      <c r="H211">
        <v>1137</v>
      </c>
      <c r="I211">
        <v>952</v>
      </c>
      <c r="J211">
        <v>21203</v>
      </c>
      <c r="K211">
        <v>324</v>
      </c>
    </row>
    <row r="212" spans="2:11" x14ac:dyDescent="0.25">
      <c r="B212">
        <v>105</v>
      </c>
      <c r="C212">
        <v>78</v>
      </c>
      <c r="D212">
        <v>19437</v>
      </c>
      <c r="E212">
        <v>-472</v>
      </c>
      <c r="F212">
        <v>-248</v>
      </c>
      <c r="G212">
        <v>19</v>
      </c>
      <c r="H212">
        <v>14798</v>
      </c>
      <c r="I212">
        <v>-578</v>
      </c>
      <c r="J212">
        <v>349</v>
      </c>
      <c r="K212">
        <v>249</v>
      </c>
    </row>
    <row r="213" spans="2:11" x14ac:dyDescent="0.25">
      <c r="B213">
        <v>8071</v>
      </c>
      <c r="C213">
        <v>-776</v>
      </c>
      <c r="D213">
        <v>13</v>
      </c>
      <c r="E213">
        <v>-129</v>
      </c>
      <c r="F213">
        <v>-1593</v>
      </c>
      <c r="G213">
        <v>2135</v>
      </c>
      <c r="H213">
        <v>-58</v>
      </c>
      <c r="I213">
        <v>-11</v>
      </c>
      <c r="J213">
        <v>1</v>
      </c>
      <c r="K213">
        <v>-62</v>
      </c>
    </row>
    <row r="214" spans="2:11" x14ac:dyDescent="0.25">
      <c r="B214">
        <v>-234</v>
      </c>
      <c r="C214">
        <v>4521</v>
      </c>
      <c r="D214">
        <v>1724</v>
      </c>
      <c r="E214">
        <v>7124</v>
      </c>
      <c r="F214">
        <v>536</v>
      </c>
      <c r="G214">
        <v>-5</v>
      </c>
      <c r="H214">
        <v>-121</v>
      </c>
      <c r="I214">
        <v>-56</v>
      </c>
      <c r="J214">
        <v>160</v>
      </c>
      <c r="K214">
        <v>155</v>
      </c>
    </row>
    <row r="215" spans="2:11" x14ac:dyDescent="0.25">
      <c r="B215">
        <v>-40</v>
      </c>
      <c r="C215">
        <v>-83</v>
      </c>
      <c r="D215">
        <v>2150</v>
      </c>
      <c r="E215">
        <v>51</v>
      </c>
      <c r="F215">
        <v>298</v>
      </c>
      <c r="G215">
        <v>217</v>
      </c>
      <c r="H215">
        <v>2534</v>
      </c>
      <c r="I215">
        <v>121</v>
      </c>
      <c r="J215">
        <v>114</v>
      </c>
      <c r="K215">
        <v>69</v>
      </c>
    </row>
    <row r="216" spans="2:11" x14ac:dyDescent="0.25">
      <c r="B216">
        <v>3048</v>
      </c>
      <c r="C216">
        <v>53</v>
      </c>
      <c r="D216">
        <v>128</v>
      </c>
      <c r="E216">
        <v>19</v>
      </c>
      <c r="F216">
        <v>1861</v>
      </c>
      <c r="G216">
        <v>187</v>
      </c>
      <c r="H216">
        <v>55</v>
      </c>
      <c r="I216">
        <v>71</v>
      </c>
      <c r="J216">
        <v>4167</v>
      </c>
      <c r="K216">
        <v>-664</v>
      </c>
    </row>
    <row r="217" spans="2:11" x14ac:dyDescent="0.25">
      <c r="B217">
        <v>-5705</v>
      </c>
      <c r="C217">
        <v>455</v>
      </c>
      <c r="D217">
        <v>150</v>
      </c>
      <c r="E217">
        <v>711</v>
      </c>
      <c r="F217">
        <v>897</v>
      </c>
      <c r="G217">
        <v>1583</v>
      </c>
      <c r="H217">
        <v>603</v>
      </c>
      <c r="I217">
        <v>1110</v>
      </c>
      <c r="J217">
        <v>1736</v>
      </c>
      <c r="K217">
        <v>2571</v>
      </c>
    </row>
    <row r="218" spans="2:11" x14ac:dyDescent="0.25">
      <c r="B218">
        <v>1584</v>
      </c>
      <c r="C218">
        <v>954</v>
      </c>
      <c r="D218">
        <v>1920</v>
      </c>
      <c r="E218">
        <v>1623</v>
      </c>
      <c r="F218">
        <v>-495</v>
      </c>
      <c r="G218">
        <v>-1726</v>
      </c>
      <c r="H218">
        <v>-1398</v>
      </c>
      <c r="I218">
        <v>3101</v>
      </c>
      <c r="J218">
        <v>1181</v>
      </c>
      <c r="K218">
        <v>1238</v>
      </c>
    </row>
    <row r="219" spans="2:11" x14ac:dyDescent="0.25">
      <c r="B219">
        <v>-34</v>
      </c>
      <c r="C219">
        <v>2901</v>
      </c>
      <c r="D219">
        <v>13</v>
      </c>
      <c r="E219">
        <v>-48</v>
      </c>
      <c r="F219">
        <v>3593</v>
      </c>
      <c r="G219">
        <v>342</v>
      </c>
      <c r="H219">
        <v>2935</v>
      </c>
      <c r="I219">
        <v>-2100</v>
      </c>
      <c r="J219">
        <v>-3542</v>
      </c>
      <c r="K219">
        <v>-101</v>
      </c>
    </row>
    <row r="220" spans="2:11" x14ac:dyDescent="0.25">
      <c r="B220">
        <v>-905</v>
      </c>
      <c r="C220">
        <v>-1359</v>
      </c>
      <c r="D220">
        <v>-2596</v>
      </c>
      <c r="E220">
        <v>67</v>
      </c>
      <c r="F220">
        <v>224</v>
      </c>
      <c r="G220">
        <v>-686</v>
      </c>
      <c r="H220">
        <v>-1370</v>
      </c>
      <c r="I220">
        <v>-1626</v>
      </c>
      <c r="J220">
        <v>-1661</v>
      </c>
      <c r="K220">
        <v>-528</v>
      </c>
    </row>
    <row r="221" spans="2:11" x14ac:dyDescent="0.25">
      <c r="B221">
        <v>-779</v>
      </c>
      <c r="C221">
        <v>-1452</v>
      </c>
      <c r="D221">
        <v>-2342</v>
      </c>
      <c r="E221">
        <v>-968</v>
      </c>
      <c r="F221">
        <v>-3412</v>
      </c>
      <c r="G221">
        <v>-905</v>
      </c>
      <c r="H221">
        <v>-740</v>
      </c>
      <c r="I221">
        <v>-646</v>
      </c>
      <c r="J221">
        <v>-1150</v>
      </c>
      <c r="K221">
        <v>-140</v>
      </c>
    </row>
    <row r="222" spans="2:11" x14ac:dyDescent="0.25">
      <c r="B222">
        <v>-1502</v>
      </c>
      <c r="C222">
        <v>-298</v>
      </c>
      <c r="D222">
        <v>5790</v>
      </c>
      <c r="E222">
        <v>-3403</v>
      </c>
      <c r="F222">
        <v>-5294</v>
      </c>
      <c r="G222">
        <v>18579</v>
      </c>
      <c r="H222">
        <v>-1945</v>
      </c>
      <c r="I222">
        <v>-951</v>
      </c>
      <c r="J222">
        <v>-475</v>
      </c>
      <c r="K222">
        <v>20637</v>
      </c>
    </row>
    <row r="223" spans="2:11" x14ac:dyDescent="0.25">
      <c r="B223">
        <v>2295</v>
      </c>
      <c r="C223">
        <v>489</v>
      </c>
      <c r="D223">
        <v>319</v>
      </c>
      <c r="E223">
        <v>14961</v>
      </c>
      <c r="F223">
        <v>1777</v>
      </c>
      <c r="G223">
        <v>-184</v>
      </c>
      <c r="H223">
        <v>-105</v>
      </c>
      <c r="I223">
        <v>4621</v>
      </c>
      <c r="J223">
        <v>1714</v>
      </c>
      <c r="K223">
        <v>382</v>
      </c>
    </row>
    <row r="224" spans="2:11" x14ac:dyDescent="0.25">
      <c r="B224">
        <v>46</v>
      </c>
      <c r="C224">
        <v>6108</v>
      </c>
      <c r="D224">
        <v>4125</v>
      </c>
      <c r="E224">
        <v>54</v>
      </c>
      <c r="F224">
        <v>-226</v>
      </c>
      <c r="G224">
        <v>-4737</v>
      </c>
      <c r="H224">
        <v>-834</v>
      </c>
      <c r="I224">
        <v>-325</v>
      </c>
      <c r="J224">
        <v>-2924</v>
      </c>
      <c r="K224">
        <v>-340</v>
      </c>
    </row>
    <row r="225" spans="2:11" x14ac:dyDescent="0.25">
      <c r="B225">
        <v>-3193</v>
      </c>
      <c r="C225">
        <v>-833</v>
      </c>
      <c r="D225">
        <v>206</v>
      </c>
      <c r="E225">
        <v>2602</v>
      </c>
      <c r="F225">
        <v>-343</v>
      </c>
      <c r="G225">
        <v>-209</v>
      </c>
      <c r="H225">
        <v>-143</v>
      </c>
      <c r="I225">
        <v>-21</v>
      </c>
      <c r="J225">
        <v>-58</v>
      </c>
      <c r="K225">
        <v>1023</v>
      </c>
    </row>
    <row r="226" spans="2:11" x14ac:dyDescent="0.25">
      <c r="B226">
        <v>217</v>
      </c>
      <c r="C226">
        <v>15</v>
      </c>
      <c r="D226">
        <v>130</v>
      </c>
      <c r="E226">
        <v>59</v>
      </c>
      <c r="F226">
        <v>-529</v>
      </c>
      <c r="G226">
        <v>-217</v>
      </c>
      <c r="H226">
        <v>-129</v>
      </c>
      <c r="I226">
        <v>3182</v>
      </c>
      <c r="J226">
        <v>-660</v>
      </c>
      <c r="K226">
        <v>-279</v>
      </c>
    </row>
    <row r="227" spans="2:11" x14ac:dyDescent="0.25">
      <c r="B227">
        <v>-225</v>
      </c>
      <c r="C227">
        <v>-1989</v>
      </c>
      <c r="D227">
        <v>242</v>
      </c>
      <c r="E227">
        <v>46</v>
      </c>
      <c r="F227">
        <v>-125</v>
      </c>
      <c r="G227">
        <v>-2315</v>
      </c>
      <c r="H227">
        <v>1000</v>
      </c>
      <c r="I227">
        <v>5601</v>
      </c>
      <c r="J227">
        <v>33474</v>
      </c>
      <c r="K227">
        <v>2061</v>
      </c>
    </row>
    <row r="228" spans="2:11" x14ac:dyDescent="0.25">
      <c r="B228">
        <v>-87758</v>
      </c>
      <c r="C228">
        <v>-331</v>
      </c>
      <c r="D228">
        <v>26</v>
      </c>
      <c r="E228">
        <v>87</v>
      </c>
      <c r="F228">
        <v>-82972</v>
      </c>
      <c r="G228">
        <v>-2125</v>
      </c>
      <c r="H228">
        <v>161</v>
      </c>
      <c r="I228">
        <v>336</v>
      </c>
      <c r="J228">
        <v>-55721</v>
      </c>
      <c r="K228">
        <v>-1324</v>
      </c>
    </row>
    <row r="229" spans="2:11" x14ac:dyDescent="0.25">
      <c r="B229">
        <v>-1803</v>
      </c>
      <c r="C229">
        <v>373</v>
      </c>
      <c r="D229">
        <v>-29610</v>
      </c>
      <c r="E229">
        <v>-816</v>
      </c>
      <c r="F229">
        <v>-917</v>
      </c>
      <c r="G229">
        <v>-1239</v>
      </c>
      <c r="H229">
        <v>1920</v>
      </c>
      <c r="I229">
        <v>-1974</v>
      </c>
      <c r="J229">
        <v>238</v>
      </c>
      <c r="K229">
        <v>-256</v>
      </c>
    </row>
    <row r="230" spans="2:11" x14ac:dyDescent="0.25">
      <c r="B230">
        <v>-2460</v>
      </c>
      <c r="C230">
        <v>-736</v>
      </c>
      <c r="D230">
        <v>-552</v>
      </c>
      <c r="E230">
        <v>4814</v>
      </c>
      <c r="F230">
        <v>1868</v>
      </c>
      <c r="G230">
        <v>-1492</v>
      </c>
      <c r="H230">
        <v>-25</v>
      </c>
      <c r="I230">
        <v>-190</v>
      </c>
      <c r="J230">
        <v>633</v>
      </c>
      <c r="K230">
        <v>-486</v>
      </c>
    </row>
    <row r="231" spans="2:11" x14ac:dyDescent="0.25">
      <c r="B231">
        <v>-146</v>
      </c>
      <c r="C231">
        <v>-26</v>
      </c>
      <c r="D231">
        <v>70</v>
      </c>
      <c r="E231">
        <v>-52</v>
      </c>
      <c r="F231">
        <v>863</v>
      </c>
      <c r="G231">
        <v>-22</v>
      </c>
      <c r="H231">
        <v>-16</v>
      </c>
      <c r="I231">
        <v>-93</v>
      </c>
      <c r="J231">
        <v>-3631</v>
      </c>
      <c r="K231">
        <v>-27</v>
      </c>
    </row>
    <row r="232" spans="2:11" x14ac:dyDescent="0.25">
      <c r="B232">
        <v>-141</v>
      </c>
      <c r="C232">
        <v>-84</v>
      </c>
      <c r="D232">
        <v>727</v>
      </c>
      <c r="E232">
        <v>227</v>
      </c>
      <c r="F232">
        <v>-105</v>
      </c>
      <c r="G232">
        <v>-213</v>
      </c>
      <c r="H232">
        <v>206</v>
      </c>
      <c r="I232">
        <v>-31</v>
      </c>
      <c r="J232">
        <v>68</v>
      </c>
      <c r="K232">
        <v>46</v>
      </c>
    </row>
    <row r="233" spans="2:11" x14ac:dyDescent="0.25">
      <c r="B233">
        <v>-2032</v>
      </c>
      <c r="C233">
        <v>-402</v>
      </c>
      <c r="D233">
        <v>690</v>
      </c>
      <c r="E233">
        <v>5063</v>
      </c>
      <c r="F233">
        <v>-2020</v>
      </c>
      <c r="G233">
        <v>-26424</v>
      </c>
      <c r="H233">
        <v>-2781</v>
      </c>
      <c r="I233">
        <v>322</v>
      </c>
      <c r="J233">
        <v>150</v>
      </c>
      <c r="K233">
        <v>-260</v>
      </c>
    </row>
    <row r="234" spans="2:11" x14ac:dyDescent="0.25">
      <c r="B234">
        <v>-1309</v>
      </c>
      <c r="C234">
        <v>-66278</v>
      </c>
      <c r="D234">
        <v>72</v>
      </c>
      <c r="E234">
        <v>-454</v>
      </c>
      <c r="F234">
        <v>117</v>
      </c>
      <c r="G234">
        <v>-37774</v>
      </c>
      <c r="H234">
        <v>-48322</v>
      </c>
      <c r="I234">
        <v>74</v>
      </c>
      <c r="J234">
        <v>2681</v>
      </c>
      <c r="K234">
        <v>-17433</v>
      </c>
    </row>
    <row r="235" spans="2:11" x14ac:dyDescent="0.25">
      <c r="B235">
        <v>-23563</v>
      </c>
      <c r="C235">
        <v>-23894</v>
      </c>
      <c r="D235">
        <v>1963</v>
      </c>
      <c r="E235">
        <v>123</v>
      </c>
      <c r="F235">
        <v>241</v>
      </c>
      <c r="G235">
        <v>-507</v>
      </c>
      <c r="H235">
        <v>2562</v>
      </c>
      <c r="I235">
        <v>-80</v>
      </c>
      <c r="J235">
        <v>-813</v>
      </c>
      <c r="K235">
        <v>-4759</v>
      </c>
    </row>
    <row r="236" spans="2:11" x14ac:dyDescent="0.25">
      <c r="B236">
        <v>1807</v>
      </c>
      <c r="C236">
        <v>-305</v>
      </c>
      <c r="D236">
        <v>1956</v>
      </c>
      <c r="E236">
        <v>-1657</v>
      </c>
      <c r="F236">
        <v>-220</v>
      </c>
      <c r="G236">
        <v>174</v>
      </c>
      <c r="H236">
        <v>-440</v>
      </c>
      <c r="I236">
        <v>639</v>
      </c>
      <c r="J236">
        <v>1089</v>
      </c>
      <c r="K236">
        <v>242</v>
      </c>
    </row>
    <row r="237" spans="2:11" x14ac:dyDescent="0.25">
      <c r="B237">
        <v>-814</v>
      </c>
      <c r="C237">
        <v>-917</v>
      </c>
      <c r="D237">
        <v>-348</v>
      </c>
      <c r="E237">
        <v>-1176</v>
      </c>
      <c r="F237">
        <v>-236</v>
      </c>
      <c r="G237">
        <v>-127</v>
      </c>
      <c r="H237">
        <v>-643</v>
      </c>
      <c r="I237">
        <v>1543</v>
      </c>
      <c r="J237">
        <v>-2</v>
      </c>
      <c r="K237">
        <v>889</v>
      </c>
    </row>
    <row r="238" spans="2:11" x14ac:dyDescent="0.25">
      <c r="B238">
        <v>-3</v>
      </c>
      <c r="C238">
        <v>-194</v>
      </c>
      <c r="D238">
        <v>-297</v>
      </c>
      <c r="E238">
        <v>-464</v>
      </c>
      <c r="F238">
        <v>-284</v>
      </c>
      <c r="G238">
        <v>2488</v>
      </c>
      <c r="H238">
        <v>61</v>
      </c>
      <c r="I238">
        <v>-3076</v>
      </c>
      <c r="J238">
        <v>479</v>
      </c>
      <c r="K238">
        <v>2521</v>
      </c>
    </row>
    <row r="239" spans="2:11" x14ac:dyDescent="0.25">
      <c r="B239">
        <v>-52013</v>
      </c>
      <c r="C239">
        <v>-1016</v>
      </c>
      <c r="D239">
        <v>4412</v>
      </c>
      <c r="E239">
        <v>3612</v>
      </c>
      <c r="F239">
        <v>470</v>
      </c>
      <c r="G239">
        <v>36</v>
      </c>
      <c r="H239">
        <v>-58</v>
      </c>
      <c r="I239">
        <v>3607</v>
      </c>
      <c r="J239">
        <v>-947</v>
      </c>
      <c r="K239">
        <v>-116</v>
      </c>
    </row>
    <row r="240" spans="2:11" x14ac:dyDescent="0.25">
      <c r="B240">
        <v>-227</v>
      </c>
      <c r="C240">
        <v>39</v>
      </c>
      <c r="D240">
        <v>-1079</v>
      </c>
      <c r="E240">
        <v>145</v>
      </c>
      <c r="F240">
        <v>-146</v>
      </c>
      <c r="G240">
        <v>1433</v>
      </c>
      <c r="H240">
        <v>-1020</v>
      </c>
      <c r="I240">
        <v>-270</v>
      </c>
      <c r="J240">
        <v>282</v>
      </c>
      <c r="K240">
        <v>-6274</v>
      </c>
    </row>
    <row r="241" spans="2:11" x14ac:dyDescent="0.25">
      <c r="B241">
        <v>4820</v>
      </c>
      <c r="C241">
        <v>-1663</v>
      </c>
      <c r="D241">
        <v>339</v>
      </c>
      <c r="E241">
        <v>3515</v>
      </c>
      <c r="F241">
        <v>427</v>
      </c>
      <c r="G241">
        <v>203</v>
      </c>
      <c r="H241">
        <v>-1296</v>
      </c>
      <c r="I241">
        <v>-913</v>
      </c>
      <c r="J241">
        <v>406</v>
      </c>
      <c r="K241">
        <v>548</v>
      </c>
    </row>
    <row r="242" spans="2:11" x14ac:dyDescent="0.25">
      <c r="B242">
        <v>-158</v>
      </c>
      <c r="C242">
        <v>-3569</v>
      </c>
      <c r="D242">
        <v>272</v>
      </c>
      <c r="E242">
        <v>199</v>
      </c>
      <c r="F242">
        <v>92</v>
      </c>
      <c r="G242">
        <v>-112</v>
      </c>
      <c r="H242">
        <v>44</v>
      </c>
      <c r="I242">
        <v>-1051</v>
      </c>
      <c r="J242">
        <v>606</v>
      </c>
      <c r="K242">
        <v>301</v>
      </c>
    </row>
    <row r="243" spans="2:11" x14ac:dyDescent="0.25">
      <c r="B243">
        <v>94</v>
      </c>
      <c r="C243">
        <v>-1734</v>
      </c>
      <c r="D243">
        <v>-178</v>
      </c>
      <c r="E243">
        <v>55</v>
      </c>
      <c r="F243">
        <v>33</v>
      </c>
      <c r="G243">
        <v>-2982</v>
      </c>
      <c r="H243">
        <v>-901</v>
      </c>
      <c r="I243">
        <v>115</v>
      </c>
      <c r="J243">
        <v>213</v>
      </c>
      <c r="K243">
        <v>-1883</v>
      </c>
    </row>
    <row r="244" spans="2:11" x14ac:dyDescent="0.25">
      <c r="B244">
        <v>-269</v>
      </c>
      <c r="C244">
        <v>-7</v>
      </c>
      <c r="D244">
        <v>113</v>
      </c>
      <c r="E244">
        <v>-43481</v>
      </c>
      <c r="F244">
        <v>-868</v>
      </c>
      <c r="G244">
        <v>-9233</v>
      </c>
      <c r="H244">
        <v>-3095</v>
      </c>
      <c r="I244">
        <v>245</v>
      </c>
      <c r="J244">
        <v>639</v>
      </c>
      <c r="K244">
        <v>850</v>
      </c>
    </row>
    <row r="245" spans="2:11" x14ac:dyDescent="0.25">
      <c r="B245">
        <v>-691</v>
      </c>
      <c r="C245">
        <v>-47999</v>
      </c>
      <c r="D245">
        <v>401</v>
      </c>
      <c r="E245">
        <v>206</v>
      </c>
      <c r="F245">
        <v>110</v>
      </c>
      <c r="G245">
        <v>-47017</v>
      </c>
      <c r="H245">
        <v>-356</v>
      </c>
      <c r="I245">
        <v>-97</v>
      </c>
      <c r="J245">
        <v>-57</v>
      </c>
      <c r="K245">
        <v>-32040</v>
      </c>
    </row>
    <row r="246" spans="2:11" x14ac:dyDescent="0.25">
      <c r="B246">
        <v>-105</v>
      </c>
      <c r="C246">
        <v>-154</v>
      </c>
      <c r="D246">
        <v>2</v>
      </c>
      <c r="E246">
        <v>-16042</v>
      </c>
      <c r="F246">
        <v>-9</v>
      </c>
      <c r="G246">
        <v>-2</v>
      </c>
      <c r="H246">
        <v>-162</v>
      </c>
      <c r="I246">
        <v>1275</v>
      </c>
      <c r="J246">
        <v>-250</v>
      </c>
      <c r="K246">
        <v>476</v>
      </c>
    </row>
    <row r="247" spans="2:11" x14ac:dyDescent="0.25">
      <c r="B247">
        <v>-24</v>
      </c>
      <c r="C247">
        <v>395</v>
      </c>
      <c r="D247">
        <v>150</v>
      </c>
      <c r="E247">
        <v>102</v>
      </c>
      <c r="F247">
        <v>954</v>
      </c>
      <c r="G247">
        <v>138</v>
      </c>
      <c r="H247">
        <v>-948</v>
      </c>
      <c r="I247">
        <v>3</v>
      </c>
      <c r="J247">
        <v>38</v>
      </c>
      <c r="K247">
        <v>-142</v>
      </c>
    </row>
    <row r="248" spans="2:11" x14ac:dyDescent="0.25">
      <c r="B248">
        <v>-178</v>
      </c>
      <c r="C248">
        <v>-28</v>
      </c>
      <c r="D248">
        <v>-18</v>
      </c>
      <c r="E248">
        <v>-10</v>
      </c>
      <c r="F248">
        <v>-16</v>
      </c>
      <c r="G248">
        <v>797</v>
      </c>
      <c r="H248">
        <v>180</v>
      </c>
      <c r="I248">
        <v>121</v>
      </c>
      <c r="J248">
        <v>34</v>
      </c>
      <c r="K248">
        <v>-2018</v>
      </c>
    </row>
    <row r="249" spans="2:11" x14ac:dyDescent="0.25">
      <c r="B249">
        <v>330</v>
      </c>
      <c r="C249">
        <v>61</v>
      </c>
      <c r="D249">
        <v>58</v>
      </c>
      <c r="E249">
        <v>-723</v>
      </c>
      <c r="F249">
        <v>525</v>
      </c>
      <c r="G249">
        <v>49</v>
      </c>
      <c r="H249">
        <v>19</v>
      </c>
      <c r="I249">
        <v>1119</v>
      </c>
      <c r="J249">
        <v>-216</v>
      </c>
      <c r="K249">
        <v>0</v>
      </c>
    </row>
    <row r="250" spans="2:11" x14ac:dyDescent="0.25">
      <c r="B250">
        <v>1</v>
      </c>
      <c r="C250">
        <v>6971</v>
      </c>
      <c r="D250">
        <v>547</v>
      </c>
      <c r="E250">
        <v>1444</v>
      </c>
      <c r="F250">
        <v>-17503</v>
      </c>
      <c r="G250">
        <v>-84</v>
      </c>
      <c r="H250">
        <v>-6393</v>
      </c>
      <c r="I250">
        <v>41350</v>
      </c>
      <c r="J250">
        <v>122</v>
      </c>
      <c r="K250">
        <v>-37947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A62"/>
  <sheetViews>
    <sheetView workbookViewId="0">
      <selection activeCell="O11" sqref="O11"/>
    </sheetView>
  </sheetViews>
  <sheetFormatPr defaultRowHeight="15" x14ac:dyDescent="0.25"/>
  <cols>
    <col min="19" max="19" bestFit="true" customWidth="true" width="15.42578125" collapsed="true"/>
    <col min="20" max="20" bestFit="true" customWidth="true" width="9.42578125" collapsed="true"/>
    <col min="21" max="22" bestFit="true" customWidth="true" width="14.42578125" collapsed="true"/>
    <col min="26" max="27" bestFit="true" customWidth="true" width="14.42578125" collapsed="true"/>
  </cols>
  <sheetData>
    <row r="1" spans="1:27" x14ac:dyDescent="0.25">
      <c r="X1" s="82" t="s">
        <v>162</v>
      </c>
    </row>
    <row r="2" spans="1:27" x14ac:dyDescent="0.25">
      <c r="C2" t="s">
        <v>133</v>
      </c>
      <c r="K2" t="s">
        <v>164</v>
      </c>
      <c r="Z2" t="s">
        <v>160</v>
      </c>
      <c r="AA2" t="s">
        <v>161</v>
      </c>
    </row>
    <row r="3" spans="1:27" x14ac:dyDescent="0.25">
      <c r="A3" s="82" t="s">
        <v>137</v>
      </c>
      <c r="X3" s="86">
        <v>1</v>
      </c>
      <c r="Y3" s="86" t="s">
        <v>26</v>
      </c>
      <c r="Z3" s="90">
        <f>VehAvailCoefficient!E11</f>
        <v>-3.7471395627100001</v>
      </c>
      <c r="AA3" s="89">
        <f>V6</f>
        <v>-3.5592513886750705</v>
      </c>
    </row>
    <row ht="15.75" r="4" spans="1:27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X4" s="86">
        <v>2</v>
      </c>
      <c r="Y4" s="86" t="s">
        <v>28</v>
      </c>
      <c r="Z4" s="90">
        <f>VehAvailCoefficient!E12</f>
        <v>-2.1297115852199999</v>
      </c>
      <c r="AA4" s="89">
        <f ref="AA4:AA19" si="0" t="shared">V7</f>
        <v>-2.0471135795960582</v>
      </c>
    </row>
    <row r="5" spans="1:27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83" t="s">
        <v>139</v>
      </c>
      <c r="R5" s="83" t="s">
        <v>89</v>
      </c>
      <c r="S5" s="83" t="s">
        <v>140</v>
      </c>
      <c r="T5" s="83" t="s">
        <v>141</v>
      </c>
      <c r="U5" s="83" t="s">
        <v>142</v>
      </c>
      <c r="V5" s="83" t="s">
        <v>143</v>
      </c>
      <c r="X5" s="86">
        <v>3</v>
      </c>
      <c r="Y5" s="86" t="s">
        <v>29</v>
      </c>
      <c r="Z5" s="90">
        <f>VehAvailCoefficient!E13</f>
        <v>-3.96633437255</v>
      </c>
      <c r="AA5" s="89">
        <f si="0" t="shared"/>
        <v>-4.1202914310938317</v>
      </c>
    </row>
    <row r="6" spans="1:27" x14ac:dyDescent="0.25">
      <c r="A6" s="3">
        <v>1</v>
      </c>
      <c r="B6" s="4">
        <f>Vehicles_by_HHDrivers!B16</f>
        <v>96803.997752528187</v>
      </c>
      <c r="C6" s="4">
        <f>Vehicles_by_HHDrivers!C16</f>
        <v>315417.81460040621</v>
      </c>
      <c r="D6" s="4">
        <f>Vehicles_by_HHDrivers!D16</f>
        <v>42807.841235995307</v>
      </c>
      <c r="E6" s="4">
        <f>Vehicles_by_HHDrivers!E16</f>
        <v>7419.0248147773173</v>
      </c>
      <c r="F6" s="4">
        <f>Vehicles_by_HHDrivers!F16</f>
        <v>4026.1532269374966</v>
      </c>
      <c r="G6" s="4">
        <f>SUM(B6:F6)</f>
        <v>466474.8316306445</v>
      </c>
      <c r="I6" s="3">
        <v>1</v>
      </c>
      <c r="J6" s="4">
        <f>Vehicles_by_HHDrivers!R16</f>
        <v>83832.479119927157</v>
      </c>
      <c r="K6" s="4">
        <f>Vehicles_by_HHDrivers!S16</f>
        <v>328240.61339026323</v>
      </c>
      <c r="L6" s="4">
        <f>Vehicles_by_HHDrivers!T16</f>
        <v>41187.865222449858</v>
      </c>
      <c r="M6" s="4">
        <f>Vehicles_by_HHDrivers!U16</f>
        <v>9043.3083322367856</v>
      </c>
      <c r="N6" s="4">
        <f>Vehicles_by_HHDrivers!V16</f>
        <v>4170.5655657675243</v>
      </c>
      <c r="O6" s="4">
        <f>SUM(J6:N6)</f>
        <v>466474.83163064456</v>
      </c>
      <c r="Q6">
        <v>1</v>
      </c>
      <c r="R6" t="s">
        <v>90</v>
      </c>
      <c r="S6" s="87">
        <f>Z3</f>
        <v>-3.7471395627100001</v>
      </c>
      <c r="T6" s="84">
        <f>B15/J15</f>
        <v>1.154731421148175</v>
      </c>
      <c r="U6" s="87">
        <f>LN(T6)-LN($T$22)</f>
        <v>0.18788817403492961</v>
      </c>
      <c r="V6" s="87">
        <f>S6+U6</f>
        <v>-3.5592513886750705</v>
      </c>
      <c r="X6" s="86">
        <v>4</v>
      </c>
      <c r="Y6" s="86" t="s">
        <v>30</v>
      </c>
      <c r="Z6" s="90">
        <f>VehAvailCoefficient!E14</f>
        <v>-11.219392631330001</v>
      </c>
      <c r="AA6" s="89">
        <f si="0" t="shared"/>
        <v>-11.984585925994047</v>
      </c>
    </row>
    <row r="7" spans="1:27" x14ac:dyDescent="0.25">
      <c r="A7" s="3">
        <v>2</v>
      </c>
      <c r="B7" s="4">
        <f>Vehicles_by_HHDrivers!B17</f>
        <v>23537.892855867311</v>
      </c>
      <c r="C7" s="4">
        <f>Vehicles_by_HHDrivers!C17</f>
        <v>146123.96083626265</v>
      </c>
      <c r="D7" s="4">
        <f>Vehicles_by_HHDrivers!D17</f>
        <v>408242.98374642298</v>
      </c>
      <c r="E7" s="4">
        <f>Vehicles_by_HHDrivers!E17</f>
        <v>116432.00735669595</v>
      </c>
      <c r="F7" s="4">
        <f>Vehicles_by_HHDrivers!F17</f>
        <v>40923.123394950395</v>
      </c>
      <c r="G7" s="4">
        <f ref="G7:G10" si="1" t="shared">SUM(B7:F7)</f>
        <v>735259.96819019923</v>
      </c>
      <c r="I7" s="3">
        <v>2</v>
      </c>
      <c r="J7" s="4">
        <f>Vehicles_by_HHDrivers!R17</f>
        <v>21757.181460563137</v>
      </c>
      <c r="K7" s="4">
        <f>Vehicles_by_HHDrivers!S17</f>
        <v>129691.33477319771</v>
      </c>
      <c r="L7" s="4">
        <f>Vehicles_by_HHDrivers!T17</f>
        <v>423090.1318068101</v>
      </c>
      <c r="M7" s="4">
        <f>Vehicles_by_HHDrivers!U17</f>
        <v>119935.23956586247</v>
      </c>
      <c r="N7" s="4">
        <f>Vehicles_by_HHDrivers!V17</f>
        <v>40786.080583765921</v>
      </c>
      <c r="O7" s="4">
        <f ref="O7:O10" si="2" t="shared">SUM(J7:N7)</f>
        <v>735259.96819019935</v>
      </c>
      <c r="Q7">
        <v>2</v>
      </c>
      <c r="R7" t="s">
        <v>90</v>
      </c>
      <c r="S7" s="87">
        <f ref="S7:S22" si="3" t="shared">Z4</f>
        <v>-2.1297115852199999</v>
      </c>
      <c r="T7" s="84">
        <f>D15/L15</f>
        <v>1.0393313905636086</v>
      </c>
      <c r="U7" s="87">
        <f ref="U7:U22" si="4" t="shared">LN(T7)-LN($T$22)</f>
        <v>8.2598005623941539E-2</v>
      </c>
      <c r="V7" s="87">
        <f ref="V7:V22" si="5" t="shared">S7+U7</f>
        <v>-2.0471135795960582</v>
      </c>
      <c r="X7" s="86">
        <v>5</v>
      </c>
      <c r="Y7" s="86" t="s">
        <v>31</v>
      </c>
      <c r="Z7" s="90">
        <f>VehAvailCoefficient!E15</f>
        <v>-5.0125223934900003</v>
      </c>
      <c r="AA7" s="89">
        <f si="0" t="shared"/>
        <v>-4.88983430123624</v>
      </c>
    </row>
    <row r="8" spans="1:27" x14ac:dyDescent="0.25">
      <c r="A8" s="3">
        <v>3</v>
      </c>
      <c r="B8" s="4">
        <f>Vehicles_by_HHDrivers!B18</f>
        <v>4145.8483147774432</v>
      </c>
      <c r="C8" s="4">
        <f>Vehicles_by_HHDrivers!C18</f>
        <v>18405.47250806155</v>
      </c>
      <c r="D8" s="4">
        <f>Vehicles_by_HHDrivers!D18</f>
        <v>71215.707253434535</v>
      </c>
      <c r="E8" s="4">
        <f>Vehicles_by_HHDrivers!E18</f>
        <v>64675.148334916907</v>
      </c>
      <c r="F8" s="4">
        <f>Vehicles_by_HHDrivers!F18</f>
        <v>41469.922858009937</v>
      </c>
      <c r="G8" s="4">
        <f si="1" t="shared"/>
        <v>199912.09926920038</v>
      </c>
      <c r="I8" s="3">
        <v>3</v>
      </c>
      <c r="J8" s="4">
        <f>Vehicles_by_HHDrivers!R18</f>
        <v>4557.5521875669256</v>
      </c>
      <c r="K8" s="4">
        <f>Vehicles_by_HHDrivers!S18</f>
        <v>17185.417612707217</v>
      </c>
      <c r="L8" s="4">
        <f>Vehicles_by_HHDrivers!T18</f>
        <v>76969.638068567016</v>
      </c>
      <c r="M8" s="4">
        <f>Vehicles_by_HHDrivers!U18</f>
        <v>74446.601067000636</v>
      </c>
      <c r="N8" s="4">
        <f>Vehicles_by_HHDrivers!V18</f>
        <v>26752.89033335858</v>
      </c>
      <c r="O8" s="4">
        <f si="2" t="shared"/>
        <v>199912.09926920038</v>
      </c>
      <c r="Q8">
        <v>3</v>
      </c>
      <c r="R8" t="s">
        <v>90</v>
      </c>
      <c r="S8" s="87">
        <f si="3" t="shared"/>
        <v>-3.96633437255</v>
      </c>
      <c r="T8" s="84">
        <f>E15/M15</f>
        <v>0.82038835149860301</v>
      </c>
      <c r="U8" s="87">
        <f si="4" t="shared"/>
        <v>-0.15395705854383171</v>
      </c>
      <c r="V8" s="87">
        <f si="5" t="shared"/>
        <v>-4.1202914310938317</v>
      </c>
      <c r="X8" s="86">
        <v>6</v>
      </c>
      <c r="Y8" s="86" t="s">
        <v>32</v>
      </c>
      <c r="Z8" s="90">
        <f>VehAvailCoefficient!E16</f>
        <v>-1.8563745465099999</v>
      </c>
      <c r="AA8" s="89">
        <f si="0" t="shared"/>
        <v>-1.6930561246334039</v>
      </c>
    </row>
    <row r="9" spans="1:27" x14ac:dyDescent="0.25">
      <c r="A9" s="5" t="s">
        <v>3</v>
      </c>
      <c r="B9" s="4">
        <f>Vehicles_by_HHDrivers!B19</f>
        <v>888.66854932999047</v>
      </c>
      <c r="C9" s="4">
        <f>Vehicles_by_HHDrivers!C19</f>
        <v>3491.1825176006314</v>
      </c>
      <c r="D9" s="4">
        <f>Vehicles_by_HHDrivers!D19</f>
        <v>23898.82862523081</v>
      </c>
      <c r="E9" s="4">
        <f>Vehicles_by_HHDrivers!E19</f>
        <v>40087.795236155405</v>
      </c>
      <c r="F9" s="4">
        <f>Vehicles_by_HHDrivers!F19</f>
        <v>36595.733362446706</v>
      </c>
      <c r="G9" s="6">
        <f si="1" t="shared"/>
        <v>104962.20829076355</v>
      </c>
      <c r="I9" s="5" t="s">
        <v>3</v>
      </c>
      <c r="J9" s="4">
        <f>Vehicles_by_HHDrivers!R19</f>
        <v>528.37832220711118</v>
      </c>
      <c r="K9" s="4">
        <f>Vehicles_by_HHDrivers!S19</f>
        <v>2792.5057626081175</v>
      </c>
      <c r="L9" s="4">
        <f>Vehicles_by_HHDrivers!T19</f>
        <v>26851.622979474294</v>
      </c>
      <c r="M9" s="4">
        <f>Vehicles_by_HHDrivers!U19</f>
        <v>38510.418196829785</v>
      </c>
      <c r="N9" s="4">
        <f>Vehicles_by_HHDrivers!V19</f>
        <v>36279.283029644248</v>
      </c>
      <c r="O9" s="6">
        <f si="2" t="shared"/>
        <v>104962.20829076355</v>
      </c>
      <c r="Q9">
        <v>4</v>
      </c>
      <c r="R9" t="s">
        <v>90</v>
      </c>
      <c r="S9" s="87">
        <f si="3" t="shared"/>
        <v>-11.219392631330001</v>
      </c>
      <c r="T9" s="84">
        <f>F15/M15</f>
        <v>0.44520800121183773</v>
      </c>
      <c r="U9" s="87">
        <f si="4" t="shared"/>
        <v>-0.76519329466404529</v>
      </c>
      <c r="V9" s="87">
        <f si="5" t="shared"/>
        <v>-11.984585925994047</v>
      </c>
      <c r="X9" s="86">
        <v>7</v>
      </c>
      <c r="Y9" s="86" t="s">
        <v>33</v>
      </c>
      <c r="Z9" s="90">
        <f>VehAvailCoefficient!E17</f>
        <v>-1.3964239432800001</v>
      </c>
      <c r="AA9" s="89">
        <f si="0" t="shared"/>
        <v>-1.3820480024096717</v>
      </c>
    </row>
    <row ht="15.75" r="10" spans="1:27" thickBot="1" x14ac:dyDescent="0.3">
      <c r="A10" s="7" t="s">
        <v>4</v>
      </c>
      <c r="B10" s="8">
        <f>SUM(B6:B9)</f>
        <v>125376.40747250292</v>
      </c>
      <c r="C10" s="8">
        <f ref="C10:F10" si="6" t="shared">SUM(C6:C9)</f>
        <v>483438.4304623311</v>
      </c>
      <c r="D10" s="8">
        <f si="6" t="shared"/>
        <v>546165.36086108361</v>
      </c>
      <c r="E10" s="8">
        <f si="6" t="shared"/>
        <v>228613.97574254556</v>
      </c>
      <c r="F10" s="8">
        <f si="6" t="shared"/>
        <v>123014.93284234454</v>
      </c>
      <c r="G10" s="8">
        <f si="1" t="shared"/>
        <v>1506609.1073808079</v>
      </c>
      <c r="I10" s="7" t="s">
        <v>4</v>
      </c>
      <c r="J10" s="8">
        <f>SUM(J6:J9)</f>
        <v>110675.59109026432</v>
      </c>
      <c r="K10" s="8">
        <f ref="K10:N10" si="7" t="shared">SUM(K6:K9)</f>
        <v>477909.87153877632</v>
      </c>
      <c r="L10" s="8">
        <f si="7" t="shared"/>
        <v>568099.2580773012</v>
      </c>
      <c r="M10" s="8">
        <f si="7" t="shared"/>
        <v>241935.56716192968</v>
      </c>
      <c r="N10" s="8">
        <f si="7" t="shared"/>
        <v>107988.81951253628</v>
      </c>
      <c r="O10" s="8">
        <f si="2" t="shared"/>
        <v>1506609.1073808079</v>
      </c>
      <c r="Q10">
        <v>5</v>
      </c>
      <c r="R10" t="s">
        <v>91</v>
      </c>
      <c r="S10" s="87">
        <f si="3" t="shared"/>
        <v>-5.0125223934900003</v>
      </c>
      <c r="T10" s="84">
        <f>B16/J16</f>
        <v>1.0818447646140137</v>
      </c>
      <c r="U10" s="87">
        <f si="4" t="shared"/>
        <v>0.12268809225376032</v>
      </c>
      <c r="V10" s="87">
        <f si="5" t="shared"/>
        <v>-4.88983430123624</v>
      </c>
      <c r="X10" s="86">
        <v>8</v>
      </c>
      <c r="Y10" s="86" t="s">
        <v>34</v>
      </c>
      <c r="Z10" s="90">
        <f>VehAvailCoefficient!E18</f>
        <v>-2.3942936803500001</v>
      </c>
      <c r="AA10" s="89">
        <f si="0" t="shared"/>
        <v>-2.3469188810138499</v>
      </c>
    </row>
    <row r="11" spans="1:27" x14ac:dyDescent="0.25">
      <c r="G11" s="4"/>
      <c r="O11" s="4"/>
      <c r="Q11">
        <v>6</v>
      </c>
      <c r="R11" t="s">
        <v>91</v>
      </c>
      <c r="S11" s="87">
        <f si="3" t="shared"/>
        <v>-1.8563745465099999</v>
      </c>
      <c r="T11" s="84">
        <f>C16/K16</f>
        <v>1.1267056591853424</v>
      </c>
      <c r="U11" s="87">
        <f si="4" t="shared"/>
        <v>0.16331842187659606</v>
      </c>
      <c r="V11" s="87">
        <f si="5" t="shared"/>
        <v>-1.6930561246334039</v>
      </c>
      <c r="X11" s="86">
        <v>9</v>
      </c>
      <c r="Y11" s="86" t="s">
        <v>35</v>
      </c>
      <c r="Z11" s="90">
        <f>VehAvailCoefficient!E19</f>
        <v>-4.9201833156500001</v>
      </c>
      <c r="AA11" s="89">
        <f si="0" t="shared"/>
        <v>-4.9708411737459137</v>
      </c>
    </row>
    <row r="12" spans="1:27" x14ac:dyDescent="0.25">
      <c r="A12" s="82" t="s">
        <v>138</v>
      </c>
      <c r="Q12">
        <v>7</v>
      </c>
      <c r="R12" t="s">
        <v>91</v>
      </c>
      <c r="S12" s="87">
        <f si="3" t="shared"/>
        <v>-1.3964239432800001</v>
      </c>
      <c r="T12" s="84">
        <f>E16/M16</f>
        <v>0.97079063483053507</v>
      </c>
      <c r="U12" s="87">
        <f si="4" t="shared"/>
        <v>1.4375940870328379E-2</v>
      </c>
      <c r="V12" s="87">
        <f si="5" t="shared"/>
        <v>-1.3820480024096717</v>
      </c>
      <c r="X12" s="86">
        <v>10</v>
      </c>
      <c r="Y12" s="86" t="s">
        <v>36</v>
      </c>
      <c r="Z12" s="90">
        <f>VehAvailCoefficient!E20</f>
        <v>-2.29401614977</v>
      </c>
      <c r="AA12" s="89">
        <f si="0" t="shared"/>
        <v>-2.1814089285624747</v>
      </c>
    </row>
    <row ht="15.75" r="13" spans="1:27" thickBot="1" x14ac:dyDescent="0.3">
      <c r="A13" s="12"/>
      <c r="B13" s="10" t="s">
        <v>2</v>
      </c>
      <c r="C13" s="9"/>
      <c r="D13" s="9"/>
      <c r="E13" s="9"/>
      <c r="F13" s="9"/>
      <c r="G13" s="9"/>
      <c r="I13" s="12"/>
      <c r="J13" s="10" t="s">
        <v>2</v>
      </c>
      <c r="K13" s="9"/>
      <c r="L13" s="9"/>
      <c r="M13" s="9"/>
      <c r="N13" s="9"/>
      <c r="O13" s="9"/>
      <c r="Q13">
        <v>8</v>
      </c>
      <c r="R13" t="s">
        <v>91</v>
      </c>
      <c r="S13" s="87">
        <f si="3" t="shared"/>
        <v>-2.3942936803500001</v>
      </c>
      <c r="T13" s="84">
        <f>F16/N16</f>
        <v>1.003360038749078</v>
      </c>
      <c r="U13" s="87">
        <f si="4" t="shared"/>
        <v>4.7374799336150374E-2</v>
      </c>
      <c r="V13" s="87">
        <f si="5" t="shared"/>
        <v>-2.3469188810138499</v>
      </c>
      <c r="X13" s="86">
        <v>11</v>
      </c>
      <c r="Y13" s="86" t="s">
        <v>37</v>
      </c>
      <c r="Z13" s="90">
        <f>VehAvailCoefficient!E21</f>
        <v>-1.4446352364099999</v>
      </c>
      <c r="AA13" s="89">
        <f si="0" t="shared"/>
        <v>-1.4783124752209142</v>
      </c>
    </row>
    <row r="14" spans="1:27" x14ac:dyDescent="0.25">
      <c r="A14" s="11" t="s">
        <v>1</v>
      </c>
      <c r="B14" s="2">
        <v>0</v>
      </c>
      <c r="C14" s="2">
        <v>1</v>
      </c>
      <c r="D14" s="2">
        <v>2</v>
      </c>
      <c r="E14" s="2">
        <v>3</v>
      </c>
      <c r="F14" s="2" t="s">
        <v>3</v>
      </c>
      <c r="G14" s="2" t="s">
        <v>4</v>
      </c>
      <c r="I14" s="11" t="s">
        <v>1</v>
      </c>
      <c r="J14" s="2">
        <v>0</v>
      </c>
      <c r="K14" s="2">
        <v>1</v>
      </c>
      <c r="L14" s="2">
        <v>2</v>
      </c>
      <c r="M14" s="2">
        <v>3</v>
      </c>
      <c r="N14" s="2" t="s">
        <v>3</v>
      </c>
      <c r="O14" s="2" t="s">
        <v>4</v>
      </c>
      <c r="Q14">
        <v>9</v>
      </c>
      <c r="R14" t="s">
        <v>92</v>
      </c>
      <c r="S14" s="87">
        <f si="3" t="shared"/>
        <v>-4.9201833156500001</v>
      </c>
      <c r="T14" s="84">
        <f>B17/J17</f>
        <v>0.90966557137565707</v>
      </c>
      <c r="U14" s="87">
        <f si="4" t="shared"/>
        <v>-5.0657858095913527E-2</v>
      </c>
      <c r="V14" s="87">
        <f si="5" t="shared"/>
        <v>-4.9708411737459137</v>
      </c>
      <c r="X14" s="86">
        <v>12</v>
      </c>
      <c r="Y14" s="86" t="s">
        <v>38</v>
      </c>
      <c r="Z14" s="90">
        <f>VehAvailCoefficient!E22</f>
        <v>-0.81535992723999995</v>
      </c>
      <c r="AA14" s="89">
        <f si="0" t="shared"/>
        <v>-0.33301363761725994</v>
      </c>
    </row>
    <row r="15" spans="1:27" x14ac:dyDescent="0.25">
      <c r="A15" s="3">
        <v>1</v>
      </c>
      <c r="B15" s="17">
        <f>B6/$G$10</f>
        <v>6.4252895643793675E-2</v>
      </c>
      <c r="C15" s="17">
        <f ref="C15:G15" si="8" t="shared">C6/$G$10</f>
        <v>0.2093561050807333</v>
      </c>
      <c r="D15" s="17">
        <f si="8" t="shared"/>
        <v>2.8413369484016581E-2</v>
      </c>
      <c r="E15" s="17">
        <f si="8" t="shared"/>
        <v>4.9243196383400708E-3</v>
      </c>
      <c r="F15" s="17">
        <f si="8" t="shared"/>
        <v>2.6723276842105623E-3</v>
      </c>
      <c r="G15" s="17">
        <f si="8" t="shared"/>
        <v>0.30961901753109417</v>
      </c>
      <c r="I15" s="3">
        <v>1</v>
      </c>
      <c r="J15" s="17">
        <f>J6/$O$10</f>
        <v>5.5643151703541248E-2</v>
      </c>
      <c r="K15" s="17">
        <f ref="K15:O15" si="9" t="shared">K6/$O$10</f>
        <v>0.21786713738967045</v>
      </c>
      <c r="L15" s="17">
        <f si="9" t="shared"/>
        <v>2.7338123087582853E-2</v>
      </c>
      <c r="M15" s="17">
        <f si="9" t="shared"/>
        <v>6.0024251067739062E-3</v>
      </c>
      <c r="N15" s="17">
        <f si="9" t="shared"/>
        <v>2.7681802435257545E-3</v>
      </c>
      <c r="O15" s="17">
        <f si="9" t="shared"/>
        <v>0.30961901753109422</v>
      </c>
      <c r="Q15">
        <v>10</v>
      </c>
      <c r="R15" t="s">
        <v>92</v>
      </c>
      <c r="S15" s="87">
        <f si="3" t="shared"/>
        <v>-2.29401614977</v>
      </c>
      <c r="T15" s="84">
        <f>C17/K17</f>
        <v>1.0709936134721685</v>
      </c>
      <c r="U15" s="87">
        <f si="4" t="shared"/>
        <v>0.11260722120752527</v>
      </c>
      <c r="V15" s="87">
        <f si="5" t="shared"/>
        <v>-2.1814089285624747</v>
      </c>
      <c r="X15" s="86">
        <v>13</v>
      </c>
      <c r="Y15" s="86" t="s">
        <v>39</v>
      </c>
      <c r="Z15" s="90">
        <f>VehAvailCoefficient!E23</f>
        <v>-5.3216543706600001</v>
      </c>
      <c r="AA15" s="89">
        <f si="0" t="shared"/>
        <v>-4.7577221936220582</v>
      </c>
    </row>
    <row r="16" spans="1:27" x14ac:dyDescent="0.25">
      <c r="A16" s="3">
        <v>2</v>
      </c>
      <c r="B16" s="17">
        <f ref="B16:G16" si="10" t="shared">B7/$G$10</f>
        <v>1.562309210833538E-2</v>
      </c>
      <c r="C16" s="17">
        <f si="10" t="shared"/>
        <v>9.6988635021790434E-2</v>
      </c>
      <c r="D16" s="17">
        <f si="10" t="shared"/>
        <v>0.27096808438662662</v>
      </c>
      <c r="E16" s="17">
        <f si="10" t="shared"/>
        <v>7.728083335372192E-2</v>
      </c>
      <c r="F16" s="17">
        <f si="10" t="shared"/>
        <v>2.7162402772205423E-2</v>
      </c>
      <c r="G16" s="17">
        <f si="10" t="shared"/>
        <v>0.48802304764267979</v>
      </c>
      <c r="I16" s="3">
        <v>2</v>
      </c>
      <c r="J16" s="17">
        <f ref="J16:O16" si="11" t="shared">J7/$O$10</f>
        <v>1.4441158860633272E-2</v>
      </c>
      <c r="K16" s="17">
        <f si="11" t="shared"/>
        <v>8.6081608121075265E-2</v>
      </c>
      <c r="L16" s="17">
        <f si="11" t="shared"/>
        <v>0.28082276267554157</v>
      </c>
      <c r="M16" s="17">
        <f si="11" t="shared"/>
        <v>7.9606076306259752E-2</v>
      </c>
      <c r="N16" s="17">
        <f si="11" t="shared"/>
        <v>2.7071441679170007E-2</v>
      </c>
      <c r="O16" s="17">
        <f si="11" t="shared"/>
        <v>0.48802304764267984</v>
      </c>
      <c r="Q16">
        <v>11</v>
      </c>
      <c r="R16" t="s">
        <v>92</v>
      </c>
      <c r="S16" s="87">
        <f si="3" t="shared"/>
        <v>-1.4446352364099999</v>
      </c>
      <c r="T16" s="84">
        <f>D17/L17</f>
        <v>0.92524414873814664</v>
      </c>
      <c r="U16" s="87">
        <f si="4" t="shared"/>
        <v>-3.3677238810914251E-2</v>
      </c>
      <c r="V16" s="87">
        <f si="5" t="shared"/>
        <v>-1.4783124752209142</v>
      </c>
      <c r="X16" s="86">
        <v>14</v>
      </c>
      <c r="Y16" s="86" t="s">
        <v>40</v>
      </c>
      <c r="Z16" s="90">
        <f>VehAvailCoefficient!E24</f>
        <v>-1.1261276811700001</v>
      </c>
      <c r="AA16" s="89">
        <f si="0" t="shared"/>
        <v>-0.85880609474427405</v>
      </c>
    </row>
    <row r="17" spans="1:27" x14ac:dyDescent="0.25">
      <c r="A17" s="3">
        <v>3</v>
      </c>
      <c r="B17" s="17">
        <f ref="B17:G17" si="12" t="shared">B8/$G$10</f>
        <v>2.7517743616888584E-3</v>
      </c>
      <c r="C17" s="17">
        <f si="12" t="shared"/>
        <v>1.2216488283453217E-2</v>
      </c>
      <c r="D17" s="17">
        <f si="12" t="shared"/>
        <v>4.7268868152032337E-2</v>
      </c>
      <c r="E17" s="17">
        <f si="12" t="shared"/>
        <v>4.2927623374952643E-2</v>
      </c>
      <c r="F17" s="17">
        <f si="12" t="shared"/>
        <v>2.7525336634997569E-2</v>
      </c>
      <c r="G17" s="17">
        <f si="12" t="shared"/>
        <v>0.13269009080712463</v>
      </c>
      <c r="I17" s="3">
        <v>3</v>
      </c>
      <c r="J17" s="17">
        <f ref="J17:O17" si="13" t="shared">J8/$O$10</f>
        <v>3.0250395840830178E-3</v>
      </c>
      <c r="K17" s="17">
        <f si="13" t="shared"/>
        <v>1.1406686398294459E-2</v>
      </c>
      <c r="L17" s="17">
        <f si="13" t="shared"/>
        <v>5.1087994683887375E-2</v>
      </c>
      <c r="M17" s="17">
        <f si="13" t="shared"/>
        <v>4.9413348626588145E-2</v>
      </c>
      <c r="N17" s="17">
        <f si="13" t="shared"/>
        <v>1.775702151427163E-2</v>
      </c>
      <c r="O17" s="17">
        <f si="13" t="shared"/>
        <v>0.13269009080712463</v>
      </c>
      <c r="Q17">
        <v>12</v>
      </c>
      <c r="R17" t="s">
        <v>92</v>
      </c>
      <c r="S17" s="87">
        <f si="3" t="shared"/>
        <v>-0.81535992723999995</v>
      </c>
      <c r="T17" s="84">
        <f>F17/N17</f>
        <v>1.5501100008734559</v>
      </c>
      <c r="U17" s="87">
        <f si="4" t="shared"/>
        <v>0.48234628962274001</v>
      </c>
      <c r="V17" s="87">
        <f si="5" t="shared"/>
        <v>-0.33301363761725994</v>
      </c>
      <c r="X17" s="86">
        <v>15</v>
      </c>
      <c r="Y17" s="86" t="s">
        <v>41</v>
      </c>
      <c r="Z17" s="90">
        <f>VehAvailCoefficient!E25</f>
        <v>-1.6372198765899999</v>
      </c>
      <c r="AA17" s="89">
        <f si="0" t="shared"/>
        <v>-1.70969630273699</v>
      </c>
    </row>
    <row r="18" spans="1:27" x14ac:dyDescent="0.25">
      <c r="A18" s="5" t="s">
        <v>3</v>
      </c>
      <c r="B18" s="18">
        <f ref="B18:G18" si="14" t="shared">B9/$G$10</f>
        <v>5.8984679236070232E-4</v>
      </c>
      <c r="C18" s="18">
        <f si="14" t="shared"/>
        <v>2.3172450640962482E-3</v>
      </c>
      <c r="D18" s="18">
        <f si="14" t="shared"/>
        <v>1.5862660399536654E-2</v>
      </c>
      <c r="E18" s="18">
        <f si="14" t="shared"/>
        <v>2.6607960246468155E-2</v>
      </c>
      <c r="F18" s="18">
        <f si="14" t="shared"/>
        <v>2.4290131516639526E-2</v>
      </c>
      <c r="G18" s="17">
        <f si="14" t="shared"/>
        <v>6.9667844019101297E-2</v>
      </c>
      <c r="I18" s="5" t="s">
        <v>3</v>
      </c>
      <c r="J18" s="17">
        <f ref="J18:O18" si="15" t="shared">J9/$O$10</f>
        <v>3.5070697476778174E-4</v>
      </c>
      <c r="K18" s="17">
        <f si="15" t="shared"/>
        <v>1.8535038378088662E-3</v>
      </c>
      <c r="L18" s="17">
        <f si="15" t="shared"/>
        <v>1.782255453516738E-2</v>
      </c>
      <c r="M18" s="17">
        <f si="15" t="shared"/>
        <v>2.556098858567165E-2</v>
      </c>
      <c r="N18" s="17">
        <f si="15" t="shared"/>
        <v>2.4080090085685617E-2</v>
      </c>
      <c r="O18" s="17">
        <f si="15" t="shared"/>
        <v>6.9667844019101297E-2</v>
      </c>
      <c r="Q18">
        <v>13</v>
      </c>
      <c r="R18" t="s">
        <v>93</v>
      </c>
      <c r="S18" s="87">
        <f si="3" t="shared"/>
        <v>-5.3216543706600001</v>
      </c>
      <c r="T18" s="84">
        <f>B18/J18</f>
        <v>1.6818792747172062</v>
      </c>
      <c r="U18" s="87">
        <f si="4" t="shared"/>
        <v>0.56393217703794174</v>
      </c>
      <c r="V18" s="87">
        <f si="5" t="shared"/>
        <v>-4.7577221936220582</v>
      </c>
      <c r="X18" s="86">
        <v>16</v>
      </c>
      <c r="Y18" s="86" t="s">
        <v>42</v>
      </c>
      <c r="Z18" s="90">
        <f>VehAvailCoefficient!E26</f>
        <v>-0.59991414110999997</v>
      </c>
      <c r="AA18" s="89">
        <f si="0" t="shared"/>
        <v>-0.51575062562272755</v>
      </c>
    </row>
    <row ht="15.75" r="19" spans="1:27" thickBot="1" x14ac:dyDescent="0.3">
      <c r="A19" s="7" t="s">
        <v>4</v>
      </c>
      <c r="B19" s="19">
        <f>B10/$G$10</f>
        <v>8.3217608906178603E-2</v>
      </c>
      <c r="C19" s="19">
        <f ref="C19:G19" si="16" t="shared">C10/$G$10</f>
        <v>0.32087847345007325</v>
      </c>
      <c r="D19" s="19">
        <f si="16" t="shared"/>
        <v>0.36251298242221219</v>
      </c>
      <c r="E19" s="19">
        <f si="16" t="shared"/>
        <v>0.15174073661348278</v>
      </c>
      <c r="F19" s="19">
        <f si="16" t="shared"/>
        <v>8.1650198608053087E-2</v>
      </c>
      <c r="G19" s="19">
        <f si="16" t="shared"/>
        <v>1</v>
      </c>
      <c r="I19" s="7" t="s">
        <v>4</v>
      </c>
      <c r="J19" s="19">
        <f>J10/$O$10</f>
        <v>7.3460057123025307E-2</v>
      </c>
      <c r="K19" s="19">
        <f ref="K19:N19" si="17" t="shared">K10/$O$10</f>
        <v>0.31720893574684905</v>
      </c>
      <c r="L19" s="19">
        <f si="17" t="shared"/>
        <v>0.3770714349821791</v>
      </c>
      <c r="M19" s="19">
        <f si="17" t="shared"/>
        <v>0.16058283862529346</v>
      </c>
      <c r="N19" s="19">
        <f si="17" t="shared"/>
        <v>7.1676733522653011E-2</v>
      </c>
      <c r="O19" s="19">
        <f ref="O19" si="18" t="shared">SUM(J19:N19)</f>
        <v>0.99999999999999989</v>
      </c>
      <c r="Q19">
        <v>14</v>
      </c>
      <c r="R19" t="s">
        <v>93</v>
      </c>
      <c r="S19" s="87">
        <f si="3" t="shared"/>
        <v>-1.1261276811700001</v>
      </c>
      <c r="T19" s="84">
        <f>C18/K18</f>
        <v>1.250197068291802</v>
      </c>
      <c r="U19" s="87">
        <f si="4" t="shared"/>
        <v>0.26732158642572601</v>
      </c>
      <c r="V19" s="87">
        <f si="5" t="shared"/>
        <v>-0.85880609474427405</v>
      </c>
      <c r="X19" s="86">
        <v>18</v>
      </c>
      <c r="Y19" s="86" t="s">
        <v>43</v>
      </c>
      <c r="Z19" s="90">
        <f>VehAvailCoefficient!E27</f>
        <v>0.39953921787000002</v>
      </c>
      <c r="AA19" s="89">
        <f si="0" t="shared"/>
        <v>0.39953921787000002</v>
      </c>
    </row>
    <row r="20" spans="1:27" x14ac:dyDescent="0.25">
      <c r="Q20">
        <v>15</v>
      </c>
      <c r="R20" t="s">
        <v>93</v>
      </c>
      <c r="S20" s="87">
        <f si="3" t="shared"/>
        <v>-1.6372198765899999</v>
      </c>
      <c r="T20" s="84">
        <f>D18/L18</f>
        <v>0.8900329281213043</v>
      </c>
      <c r="U20" s="87">
        <f si="4" t="shared"/>
        <v>-7.247642614699018E-2</v>
      </c>
      <c r="V20" s="87">
        <f si="5" t="shared"/>
        <v>-1.70969630273699</v>
      </c>
      <c r="X20">
        <v>19</v>
      </c>
      <c r="Y20" t="s">
        <v>44</v>
      </c>
      <c r="Z20" s="88">
        <f>VehAvailCoefficient!E28</f>
        <v>0.69903044631199995</v>
      </c>
      <c r="AA20" s="89">
        <v>0.69903044631199995</v>
      </c>
    </row>
    <row r="21" spans="1:27" x14ac:dyDescent="0.25">
      <c r="Q21">
        <v>16</v>
      </c>
      <c r="R21" t="s">
        <v>93</v>
      </c>
      <c r="S21" s="87">
        <f si="3" t="shared"/>
        <v>-0.59991414110999997</v>
      </c>
      <c r="T21" s="84">
        <f>E18/M18</f>
        <v>1.0409597483793482</v>
      </c>
      <c r="U21" s="87">
        <f si="4" t="shared"/>
        <v>8.416351548727237E-2</v>
      </c>
      <c r="V21" s="87">
        <f si="5" t="shared"/>
        <v>-0.51575062562272755</v>
      </c>
      <c r="X21">
        <v>20</v>
      </c>
      <c r="Y21" t="s">
        <v>45</v>
      </c>
      <c r="Z21" s="88">
        <f>VehAvailCoefficient!E29</f>
        <v>0.32485446959800002</v>
      </c>
      <c r="AA21" s="89">
        <v>0.32485446959800002</v>
      </c>
    </row>
    <row ht="15.75" r="22" spans="1:27" thickBot="1" x14ac:dyDescent="0.3">
      <c r="Q22" s="91">
        <v>18</v>
      </c>
      <c r="R22" s="94" t="s">
        <v>163</v>
      </c>
      <c r="S22" s="92">
        <f si="3" t="shared"/>
        <v>0.39953921787000002</v>
      </c>
      <c r="T22" s="93">
        <f>(C15+D16+E17+F18)/(K15+L16+M17+N18)</f>
        <v>0.95693444260159344</v>
      </c>
      <c r="U22" s="92">
        <f si="4" t="shared"/>
        <v>0</v>
      </c>
      <c r="V22" s="92">
        <f si="5" t="shared"/>
        <v>0.39953921787000002</v>
      </c>
      <c r="X22">
        <v>22</v>
      </c>
      <c r="Y22" t="s">
        <v>46</v>
      </c>
      <c r="Z22" s="88">
        <f>VehAvailCoefficient!E30</f>
        <v>-0.43856128772000003</v>
      </c>
      <c r="AA22" s="89">
        <v>-0.43856128772000003</v>
      </c>
    </row>
    <row r="23" spans="1:27" x14ac:dyDescent="0.25">
      <c r="X23">
        <v>24</v>
      </c>
      <c r="Y23" t="s">
        <v>47</v>
      </c>
      <c r="Z23" s="88">
        <f>VehAvailCoefficient!E31</f>
        <v>0.239019734309</v>
      </c>
      <c r="AA23" s="89">
        <v>0.239019734309</v>
      </c>
    </row>
    <row r="24" spans="1:27" x14ac:dyDescent="0.25">
      <c r="X24">
        <v>25</v>
      </c>
      <c r="Y24" t="s">
        <v>48</v>
      </c>
      <c r="Z24" s="88">
        <f>VehAvailCoefficient!E32</f>
        <v>-0.30115653367700002</v>
      </c>
      <c r="AA24" s="89">
        <v>-0.30115653367700002</v>
      </c>
    </row>
    <row r="25" spans="1:27" x14ac:dyDescent="0.25">
      <c r="X25">
        <v>26</v>
      </c>
      <c r="Y25" t="s">
        <v>49</v>
      </c>
      <c r="Z25" s="88">
        <f>VehAvailCoefficient!E33</f>
        <v>-0.56373515910799998</v>
      </c>
      <c r="AA25" s="89">
        <v>-0.56373515910799998</v>
      </c>
    </row>
    <row r="26" spans="1:27" x14ac:dyDescent="0.25">
      <c r="X26">
        <v>28</v>
      </c>
      <c r="Y26" t="s">
        <v>50</v>
      </c>
      <c r="Z26" s="88">
        <f>VehAvailCoefficient!E34</f>
        <v>0.31959884056900001</v>
      </c>
      <c r="AA26" s="89">
        <v>0.31959884056900001</v>
      </c>
    </row>
    <row r="27" spans="1:27" x14ac:dyDescent="0.25">
      <c r="X27">
        <v>29</v>
      </c>
      <c r="Y27" t="s">
        <v>51</v>
      </c>
      <c r="Z27" s="88">
        <f>VehAvailCoefficient!E35</f>
        <v>0.57068696704599997</v>
      </c>
      <c r="AA27" s="89">
        <v>0.57068696704599997</v>
      </c>
    </row>
    <row r="28" spans="1:27" x14ac:dyDescent="0.25">
      <c r="X28">
        <v>31</v>
      </c>
      <c r="Y28" t="s">
        <v>52</v>
      </c>
      <c r="Z28" s="88">
        <f>VehAvailCoefficient!E36</f>
        <v>2.9250059989500001</v>
      </c>
      <c r="AA28" s="89">
        <v>2.9250059989500001</v>
      </c>
    </row>
    <row r="29" spans="1:27" x14ac:dyDescent="0.25">
      <c r="X29">
        <v>32</v>
      </c>
      <c r="Y29" t="s">
        <v>53</v>
      </c>
      <c r="Z29" s="88">
        <f>VehAvailCoefficient!E37</f>
        <v>1.2969669216299999</v>
      </c>
      <c r="AA29" s="89">
        <v>1.2969669216299999</v>
      </c>
    </row>
    <row r="30" spans="1:27" x14ac:dyDescent="0.25">
      <c r="X30">
        <v>34</v>
      </c>
      <c r="Y30" t="s">
        <v>54</v>
      </c>
      <c r="Z30" s="88">
        <f>VehAvailCoefficient!E38</f>
        <v>-2.59112200624</v>
      </c>
      <c r="AA30" s="89">
        <v>-2.59112200624</v>
      </c>
    </row>
    <row r="31" spans="1:27" x14ac:dyDescent="0.25">
      <c r="X31">
        <v>35</v>
      </c>
      <c r="Y31" t="s">
        <v>55</v>
      </c>
      <c r="Z31" s="88">
        <f>VehAvailCoefficient!E39</f>
        <v>-1.0636437007299999</v>
      </c>
      <c r="AA31" s="89">
        <v>-1.0636437007299999</v>
      </c>
    </row>
    <row r="32" spans="1:27" x14ac:dyDescent="0.25">
      <c r="X32">
        <v>36</v>
      </c>
      <c r="Y32" t="s">
        <v>56</v>
      </c>
      <c r="Z32" s="88">
        <f>VehAvailCoefficient!E40</f>
        <v>-0.53660640919000002</v>
      </c>
      <c r="AA32" s="89">
        <v>-0.53660640919000002</v>
      </c>
    </row>
    <row r="33" spans="24:27" x14ac:dyDescent="0.25">
      <c r="X33">
        <v>37</v>
      </c>
      <c r="Y33" t="s">
        <v>57</v>
      </c>
      <c r="Z33" s="88">
        <f>VehAvailCoefficient!E41</f>
        <v>0.28589368992800002</v>
      </c>
      <c r="AA33" s="89">
        <v>0.28589368992800002</v>
      </c>
    </row>
    <row r="34" spans="24:27" x14ac:dyDescent="0.25">
      <c r="X34">
        <v>38</v>
      </c>
      <c r="Y34" t="s">
        <v>58</v>
      </c>
      <c r="Z34" s="88">
        <f>VehAvailCoefficient!E42</f>
        <v>0.64783551265499995</v>
      </c>
      <c r="AA34" s="89">
        <v>0.64783551265499995</v>
      </c>
    </row>
    <row r="35" spans="24:27" x14ac:dyDescent="0.25">
      <c r="X35">
        <v>41</v>
      </c>
      <c r="Y35" t="s">
        <v>59</v>
      </c>
      <c r="Z35" s="88">
        <f>VehAvailCoefficient!E43</f>
        <v>-0.47288768158</v>
      </c>
      <c r="AA35" s="89">
        <v>-0.47288768158</v>
      </c>
    </row>
    <row r="36" spans="24:27" x14ac:dyDescent="0.25">
      <c r="X36">
        <v>42</v>
      </c>
      <c r="Y36" t="s">
        <v>60</v>
      </c>
      <c r="Z36" s="88">
        <f>VehAvailCoefficient!E44</f>
        <v>-1.73045435445</v>
      </c>
      <c r="AA36" s="89">
        <v>-1.73045435445</v>
      </c>
    </row>
    <row r="37" spans="24:27" x14ac:dyDescent="0.25">
      <c r="X37">
        <v>43</v>
      </c>
      <c r="Y37" t="s">
        <v>61</v>
      </c>
      <c r="Z37" s="88">
        <f>VehAvailCoefficient!E45</f>
        <v>2.0718120356499998</v>
      </c>
      <c r="AA37" s="89">
        <v>2.0718120356499998</v>
      </c>
    </row>
    <row r="38" spans="24:27" x14ac:dyDescent="0.25">
      <c r="X38">
        <v>44</v>
      </c>
      <c r="Y38" t="s">
        <v>62</v>
      </c>
      <c r="Z38" s="88">
        <f>VehAvailCoefficient!E46</f>
        <v>0.60728378971399999</v>
      </c>
      <c r="AA38" s="89">
        <v>0.60728378971399999</v>
      </c>
    </row>
    <row r="39" spans="24:27" x14ac:dyDescent="0.25">
      <c r="X39">
        <v>45</v>
      </c>
      <c r="Y39" t="s">
        <v>63</v>
      </c>
      <c r="Z39" s="88">
        <f>VehAvailCoefficient!E47</f>
        <v>-0.71462161389500001</v>
      </c>
      <c r="AA39" s="89">
        <v>-0.71462161389500001</v>
      </c>
    </row>
    <row r="40" spans="24:27" x14ac:dyDescent="0.25">
      <c r="X40">
        <v>46</v>
      </c>
      <c r="Y40" t="s">
        <v>64</v>
      </c>
      <c r="Z40" s="88">
        <f>VehAvailCoefficient!E48</f>
        <v>-1.4356778668800001</v>
      </c>
      <c r="AA40" s="89">
        <v>-1.4356778668800001</v>
      </c>
    </row>
    <row r="41" spans="24:27" x14ac:dyDescent="0.25">
      <c r="X41">
        <v>47</v>
      </c>
      <c r="Y41" t="s">
        <v>65</v>
      </c>
      <c r="Z41" s="88">
        <f>VehAvailCoefficient!E49</f>
        <v>-1.45349726543</v>
      </c>
      <c r="AA41" s="89">
        <v>-1.45349726543</v>
      </c>
    </row>
    <row r="42" spans="24:27" x14ac:dyDescent="0.25">
      <c r="X42">
        <v>48</v>
      </c>
      <c r="Y42" t="s">
        <v>66</v>
      </c>
      <c r="Z42" s="88">
        <f>VehAvailCoefficient!E50</f>
        <v>-1.0930755785699999</v>
      </c>
      <c r="AA42" s="89">
        <v>-1.0930755785699999</v>
      </c>
    </row>
    <row r="43" spans="24:27" x14ac:dyDescent="0.25">
      <c r="X43">
        <v>49</v>
      </c>
      <c r="Y43" t="s">
        <v>67</v>
      </c>
      <c r="Z43" s="88">
        <f>VehAvailCoefficient!E51</f>
        <v>0.14078168516299999</v>
      </c>
      <c r="AA43" s="89">
        <v>0.14078168516299999</v>
      </c>
    </row>
    <row r="44" spans="24:27" x14ac:dyDescent="0.25">
      <c r="X44">
        <v>50</v>
      </c>
      <c r="Y44" t="s">
        <v>68</v>
      </c>
      <c r="Z44" s="88">
        <f>VehAvailCoefficient!E52</f>
        <v>0.188609995585</v>
      </c>
      <c r="AA44" s="89">
        <v>0.188609995585</v>
      </c>
    </row>
    <row r="45" spans="24:27" x14ac:dyDescent="0.25">
      <c r="X45">
        <v>51</v>
      </c>
      <c r="Y45" t="s">
        <v>69</v>
      </c>
      <c r="Z45" s="88">
        <f>VehAvailCoefficient!E53</f>
        <v>-0.58492078305700002</v>
      </c>
      <c r="AA45" s="89">
        <v>-0.58492078305700002</v>
      </c>
    </row>
    <row r="46" spans="24:27" x14ac:dyDescent="0.25">
      <c r="X46">
        <v>52</v>
      </c>
      <c r="Y46" t="s">
        <v>70</v>
      </c>
      <c r="Z46" s="88">
        <f>VehAvailCoefficient!E54</f>
        <v>-1.0058660612699999</v>
      </c>
      <c r="AA46" s="89">
        <v>-1.0058660612699999</v>
      </c>
    </row>
    <row r="47" spans="24:27" x14ac:dyDescent="0.25">
      <c r="X47">
        <v>53</v>
      </c>
      <c r="Y47" t="s">
        <v>71</v>
      </c>
      <c r="Z47" s="88">
        <f>VehAvailCoefficient!E55</f>
        <v>0.22559840834</v>
      </c>
      <c r="AA47" s="89">
        <v>0.22559840834</v>
      </c>
    </row>
    <row r="48" spans="24:27" x14ac:dyDescent="0.25">
      <c r="X48">
        <v>54</v>
      </c>
      <c r="Y48" t="s">
        <v>72</v>
      </c>
      <c r="Z48" s="88">
        <f>VehAvailCoefficient!E56</f>
        <v>0.34302043279099997</v>
      </c>
      <c r="AA48" s="89">
        <v>0.34302043279099997</v>
      </c>
    </row>
    <row r="49" spans="24:27" x14ac:dyDescent="0.25">
      <c r="X49">
        <v>55</v>
      </c>
      <c r="Y49" t="s">
        <v>73</v>
      </c>
      <c r="Z49" s="88">
        <f>VehAvailCoefficient!E57</f>
        <v>-0.53538167154600003</v>
      </c>
      <c r="AA49" s="89">
        <v>-0.53538167154600003</v>
      </c>
    </row>
    <row r="50" spans="24:27" x14ac:dyDescent="0.25">
      <c r="X50">
        <v>56</v>
      </c>
      <c r="Y50" t="s">
        <v>74</v>
      </c>
      <c r="Z50" s="88">
        <f>VehAvailCoefficient!E58</f>
        <v>-0.52697142353899995</v>
      </c>
      <c r="AA50" s="89">
        <v>-0.52697142353899995</v>
      </c>
    </row>
    <row r="51" spans="24:27" x14ac:dyDescent="0.25">
      <c r="X51">
        <v>57</v>
      </c>
      <c r="Y51" t="s">
        <v>75</v>
      </c>
      <c r="Z51" s="88">
        <f>VehAvailCoefficient!E59</f>
        <v>0.21517789340999999</v>
      </c>
      <c r="AA51" s="89">
        <v>0.21517789340999999</v>
      </c>
    </row>
    <row r="52" spans="24:27" x14ac:dyDescent="0.25">
      <c r="X52">
        <v>58</v>
      </c>
      <c r="Y52" t="s">
        <v>76</v>
      </c>
      <c r="Z52" s="88">
        <f>VehAvailCoefficient!E60</f>
        <v>-0.978212790971</v>
      </c>
      <c r="AA52" s="89">
        <v>-0.978212790971</v>
      </c>
    </row>
    <row r="53" spans="24:27" x14ac:dyDescent="0.25">
      <c r="X53">
        <v>59</v>
      </c>
      <c r="Y53" t="s">
        <v>77</v>
      </c>
      <c r="Z53" s="88">
        <f>VehAvailCoefficient!E61</f>
        <v>-0.42495698544999999</v>
      </c>
      <c r="AA53" s="89">
        <v>-0.42495698544999999</v>
      </c>
    </row>
    <row r="54" spans="24:27" x14ac:dyDescent="0.25">
      <c r="X54">
        <v>60</v>
      </c>
      <c r="Y54" t="s">
        <v>78</v>
      </c>
      <c r="Z54" s="88">
        <f>VehAvailCoefficient!E62</f>
        <v>-0.11124462416</v>
      </c>
      <c r="AA54" s="89">
        <v>-0.11124462416</v>
      </c>
    </row>
    <row r="55" spans="24:27" x14ac:dyDescent="0.25">
      <c r="X55">
        <v>63</v>
      </c>
      <c r="Y55" t="s">
        <v>79</v>
      </c>
      <c r="Z55" s="88">
        <f>VehAvailCoefficient!E63</f>
        <v>-1.2627495896200001</v>
      </c>
      <c r="AA55" s="89">
        <v>-1.2627495896200001</v>
      </c>
    </row>
    <row r="56" spans="24:27" x14ac:dyDescent="0.25">
      <c r="X56">
        <v>69</v>
      </c>
      <c r="Y56" t="s">
        <v>80</v>
      </c>
      <c r="Z56" s="88">
        <f>VehAvailCoefficient!E64</f>
        <v>-0.182881856812</v>
      </c>
      <c r="AA56" s="89">
        <v>-0.182881856812</v>
      </c>
    </row>
    <row r="57" spans="24:27" x14ac:dyDescent="0.25">
      <c r="X57">
        <v>72</v>
      </c>
      <c r="Y57" t="s">
        <v>81</v>
      </c>
      <c r="Z57" s="88">
        <f>VehAvailCoefficient!E65</f>
        <v>0.14811075420100001</v>
      </c>
      <c r="AA57" s="89">
        <v>0.14811075420100001</v>
      </c>
    </row>
    <row r="58" spans="24:27" x14ac:dyDescent="0.25">
      <c r="X58">
        <v>73</v>
      </c>
      <c r="Y58" t="s">
        <v>82</v>
      </c>
      <c r="Z58" s="88">
        <f>VehAvailCoefficient!E66</f>
        <v>7.1458236224400005E-4</v>
      </c>
      <c r="AA58" s="89">
        <v>7.1458236224400005E-4</v>
      </c>
    </row>
    <row r="59" spans="24:27" x14ac:dyDescent="0.25">
      <c r="X59">
        <v>75</v>
      </c>
      <c r="Y59" t="s">
        <v>83</v>
      </c>
      <c r="Z59" s="88">
        <f>VehAvailCoefficient!E67</f>
        <v>0.29597958689600001</v>
      </c>
      <c r="AA59" s="89">
        <v>0.29597958689600001</v>
      </c>
    </row>
    <row r="60" spans="24:27" x14ac:dyDescent="0.25">
      <c r="X60">
        <v>76</v>
      </c>
      <c r="Y60" t="s">
        <v>84</v>
      </c>
      <c r="Z60" s="88">
        <f>VehAvailCoefficient!E68</f>
        <v>0.19796492273399999</v>
      </c>
      <c r="AA60" s="89">
        <v>0.19796492273399999</v>
      </c>
    </row>
    <row r="61" spans="24:27" x14ac:dyDescent="0.25">
      <c r="X61">
        <v>77</v>
      </c>
      <c r="Y61" t="s">
        <v>85</v>
      </c>
      <c r="Z61" s="88">
        <f>VehAvailCoefficient!E69</f>
        <v>0.27817460170199998</v>
      </c>
      <c r="AA61" s="89">
        <v>0.27817460170199998</v>
      </c>
    </row>
    <row r="62" spans="24:27" x14ac:dyDescent="0.25">
      <c r="X62">
        <v>83</v>
      </c>
      <c r="Y62" t="s">
        <v>86</v>
      </c>
      <c r="Z62" s="88">
        <f>VehAvailCoefficient!E70</f>
        <v>-0.77256225305799997</v>
      </c>
      <c r="AA62" s="89">
        <v>-0.77256225305799997</v>
      </c>
    </row>
  </sheetData>
  <pageMargins bottom="0.75" footer="0.3" header="0.3" left="0.7" right="0.7" top="0.75"/>
  <pageSetup orientation="portrait" r:id="rId1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baseType="lpstr" size="15">
      <vt:lpstr>Vehicles_by_County</vt:lpstr>
      <vt:lpstr>Vehicles_by_Income</vt:lpstr>
      <vt:lpstr>Vehicles_by_HHDrivers</vt:lpstr>
      <vt:lpstr>Coeff</vt:lpstr>
      <vt:lpstr>VehAvailCoefficient</vt:lpstr>
      <vt:lpstr>calibration</vt:lpstr>
      <vt:lpstr>county</vt:lpstr>
      <vt:lpstr>drivers</vt:lpstr>
      <vt:lpstr>income</vt:lpstr>
      <vt:lpstr>out1</vt:lpstr>
      <vt:lpstr>out2</vt:lpstr>
      <vt:lpstr>out3</vt:lpstr>
      <vt:lpstr>out4</vt:lpstr>
      <vt:lpstr>out5</vt:lpstr>
      <vt:lpstr>out6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2011-02-15T20:20:51Z</dcterms:created>
  <dc:creator>Bhargava Sana</dc:creator>
  <cp:lastModifiedBy>Nagendra Dhakar</cp:lastModifiedBy>
  <dcterms:modified xsi:type="dcterms:W3CDTF">2017-05-16T23:54:56Z</dcterms:modified>
</cp:coreProperties>
</file>