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0C047C03-16E3-49A0-AF2A-6A3FF655B3BE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R32" s="1"/>
  <c i="6" r="P31"/>
  <c i="6" r="O31"/>
  <c i="6" r="N31"/>
  <c i="6" r="M31" s="1"/>
  <c i="6" r="P30"/>
  <c i="6" r="O30"/>
  <c i="6" r="N30"/>
  <c i="6" r="R30" s="1"/>
  <c i="6" r="P29"/>
  <c i="6" r="O29"/>
  <c i="6" r="N29"/>
  <c i="6" r="R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R31"/>
  <c i="6" r="D23"/>
  <c i="6" r="D24"/>
  <c i="6" r="D25"/>
  <c i="6" r="Q53"/>
  <c i="6" r="M29"/>
  <c i="6" r="M42"/>
  <c i="6" r="M39"/>
  <c i="6" r="Q95"/>
  <c i="6" r="Q99"/>
  <c i="6" r="Q22"/>
  <c i="6" r="Q93"/>
  <c i="6" r="Q16"/>
  <c i="6" r="Q63"/>
  <c i="6" r="Q9"/>
  <c i="6" r="Q54"/>
  <c i="6" r="Q66"/>
  <c i="6" r="Q55"/>
  <c i="6" r="Q74"/>
  <c i="6" r="Q19"/>
  <c i="6" r="Q75"/>
  <c i="6" r="Q60"/>
  <c i="6" r="Q77"/>
  <c i="6" r="Q17"/>
  <c i="6" r="Q78"/>
  <c i="6" r="Q23"/>
  <c i="6" r="Q79"/>
  <c i="6" r="Q28"/>
  <c i="6" r="Q12"/>
  <c i="6" r="Q21"/>
  <c i="6" r="Q26"/>
  <c i="6" r="Q80"/>
  <c i="6" r="Q46"/>
  <c i="6" r="Q56"/>
  <c i="6" r="Q20"/>
  <c i="6" r="Q27"/>
  <c i="6" r="Q84"/>
  <c i="6" r="Q18"/>
  <c i="6" r="Q85"/>
  <c i="6" r="Q61"/>
  <c i="6" r="Q15"/>
  <c i="6" r="Q86"/>
  <c i="6" r="Q44"/>
  <c i="6" r="Q87"/>
  <c i="6" r="Q59"/>
  <c i="6" r="Q45"/>
  <c i="6" r="Q88"/>
  <c i="6" r="Q11"/>
  <c i="6" r="Q13"/>
  <c i="6" r="Q14"/>
  <c i="6" r="Q47"/>
  <c i="6" r="Q89"/>
  <c i="6" r="Q48"/>
  <c i="6" r="Q91"/>
  <c i="6" r="Q50"/>
  <c i="6" r="Q8"/>
  <c i="6" r="Q62"/>
  <c i="6" r="Q104"/>
  <c i="6" r="Q49"/>
  <c i="6" r="Q81"/>
  <c i="6" r="Q90"/>
  <c i="6" r="Q25"/>
  <c i="6" r="Q64"/>
  <c i="6" r="Q92"/>
  <c i="6" r="Q82"/>
  <c i="6" r="Q65"/>
  <c i="6" r="Q94"/>
  <c i="6" r="Q33"/>
  <c i="6" r="Q67"/>
  <c i="6" r="Q96"/>
  <c i="6" r="Q34"/>
  <c i="6" r="Q68"/>
  <c i="6" r="Q97"/>
  <c i="6" r="Q57"/>
  <c i="6" r="Q83"/>
  <c i="6" r="Q3"/>
  <c i="6" r="Q35"/>
  <c i="6" r="Q69"/>
  <c i="6" r="Q98"/>
  <c i="6" r="Q51"/>
  <c i="6" r="Q4"/>
  <c i="6" r="Q36"/>
  <c i="6" r="Q70"/>
  <c i="6" r="Q101"/>
  <c i="6" r="Q5"/>
  <c i="6" r="Q37"/>
  <c i="6" r="Q71"/>
  <c i="6" r="Q102"/>
  <c i="6" r="Q6"/>
  <c i="6" r="Q38"/>
  <c i="6" r="Q72"/>
  <c i="6" r="Q103"/>
  <c i="6" r="Q58"/>
  <c i="6" r="Q7"/>
  <c i="6" r="Q43"/>
  <c i="6" r="Q73"/>
  <c i="6" r="M40"/>
  <c i="6" r="M82"/>
  <c i="6" r="M25"/>
  <c i="6" r="M54"/>
  <c i="6" r="Q24"/>
  <c i="6" r="Q52"/>
  <c i="6" r="Q76"/>
  <c i="6" r="Q100"/>
  <c i="6" r="Q10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D16"/>
  <c i="6" r="D12"/>
  <c i="6" r="D15"/>
  <c i="6" r="D14"/>
  <c i="1" r="S15"/>
  <c i="1" r="U13"/>
  <c i="6" l="1" r="I15"/>
  <c i="6" r="J15" s="1"/>
  <c i="6" r="I13"/>
  <c i="6" r="J13" s="1"/>
  <c i="6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Q29"/>
  <c i="6" r="K13"/>
  <c i="6" r="D34" s="1"/>
  <c i="6" r="D44" s="1"/>
  <c i="6" r="K15"/>
  <c i="6" r="D36" s="1"/>
  <c i="6" r="D46" s="1"/>
  <c i="6" r="Q32" s="1"/>
  <c i="6" r="Q42"/>
  <c i="6" r="K14"/>
  <c i="6" r="D35" s="1"/>
  <c i="6" r="D45" s="1"/>
  <c i="6" r="Q40"/>
  <c i="6" r="Q30"/>
  <c i="6" r="Q41"/>
  <c i="6" r="Q3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H20" s="1"/>
  <c i="1" r="M15"/>
  <c i="1" r="C15"/>
  <c i="1" r="D15"/>
  <c i="1" r="E15"/>
  <c i="1" r="I15"/>
  <c i="1" r="B15"/>
  <c i="1" r="J8"/>
  <c i="1" r="J9"/>
  <c i="1" r="J14"/>
  <c i="1" r="J7"/>
  <c i="1" l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<sst xmlns="http://schemas.openxmlformats.org/spreadsheetml/2006/main" count="716" uniqueCount="284">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</sst>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1.5743867254577746E-2</c:v>
                </c:pt>
                <c:pt idx="1">
                  <c:v>2.628891273546323E-2</c:v>
                </c:pt>
                <c:pt idx="2">
                  <c:v>6.4482591842063577E-2</c:v>
                </c:pt>
                <c:pt idx="3">
                  <c:v>9.4961932739585239E-2</c:v>
                </c:pt>
                <c:pt idx="4">
                  <c:v>0.17194008781012191</c:v>
                </c:pt>
                <c:pt idx="5">
                  <c:v>0.11551751501430732</c:v>
                </c:pt>
                <c:pt idx="6">
                  <c:v>0.11739642847421469</c:v>
                </c:pt>
                <c:pt idx="7">
                  <c:v>7.6313625983678954E-2</c:v>
                </c:pt>
                <c:pt idx="8">
                  <c:v>4.9890486631045589E-2</c:v>
                </c:pt>
                <c:pt idx="9">
                  <c:v>3.6391843347395203E-2</c:v>
                </c:pt>
                <c:pt idx="10">
                  <c:v>5.7770487779162785E-2</c:v>
                </c:pt>
                <c:pt idx="11">
                  <c:v>2.631944850567431E-2</c:v>
                </c:pt>
                <c:pt idx="12">
                  <c:v>1.8200785337901065E-2</c:v>
                </c:pt>
                <c:pt idx="13">
                  <c:v>1.0963526003815793E-2</c:v>
                </c:pt>
                <c:pt idx="14">
                  <c:v>3.5902950951784696E-3</c:v>
                </c:pt>
                <c:pt idx="15">
                  <c:v>5.4461572893835068E-3</c:v>
                </c:pt>
                <c:pt idx="16">
                  <c:v>1.8850874242926162E-2</c:v>
                </c:pt>
                <c:pt idx="17">
                  <c:v>6.5402059729058803E-3</c:v>
                </c:pt>
                <c:pt idx="18">
                  <c:v>5.8110090816323127E-3</c:v>
                </c:pt>
                <c:pt idx="19">
                  <c:v>1.1280321782208448E-2</c:v>
                </c:pt>
                <c:pt idx="20">
                  <c:v>8.0619961502381883E-3</c:v>
                </c:pt>
                <c:pt idx="21">
                  <c:v>9.0434185983171295E-3</c:v>
                </c:pt>
                <c:pt idx="22">
                  <c:v>8.7300721408975733E-3</c:v>
                </c:pt>
                <c:pt idx="23">
                  <c:v>7.7204114700666626E-3</c:v>
                </c:pt>
                <c:pt idx="24">
                  <c:v>1.0921044552150896E-3</c:v>
                </c:pt>
                <c:pt idx="25">
                  <c:v>1.4203812406766341E-3</c:v>
                </c:pt>
                <c:pt idx="26">
                  <c:v>1.5691832713554657E-3</c:v>
                </c:pt>
                <c:pt idx="27">
                  <c:v>3.263208436246186E-3</c:v>
                </c:pt>
                <c:pt idx="28">
                  <c:v>4.5885413498850743E-4</c:v>
                </c:pt>
                <c:pt idx="29">
                  <c:v>1.1230111595955123E-3</c:v>
                </c:pt>
                <c:pt idx="30">
                  <c:v>2.2139861767938823E-3</c:v>
                </c:pt>
                <c:pt idx="31">
                  <c:v>2.4320021890064485E-3</c:v>
                </c:pt>
                <c:pt idx="32">
                  <c:v>0</c:v>
                </c:pt>
                <c:pt idx="33">
                  <c:v>6.3632127897531314E-4</c:v>
                </c:pt>
                <c:pt idx="34">
                  <c:v>1.1602944886654829E-3</c:v>
                </c:pt>
                <c:pt idx="35">
                  <c:v>1.3877052011006343E-3</c:v>
                </c:pt>
                <c:pt idx="36">
                  <c:v>2.4047233788988665E-4</c:v>
                </c:pt>
                <c:pt idx="37">
                  <c:v>0</c:v>
                </c:pt>
                <c:pt idx="38">
                  <c:v>7.2517906183192046E-6</c:v>
                </c:pt>
                <c:pt idx="39">
                  <c:v>1.2708358441728445E-4</c:v>
                </c:pt>
                <c:pt idx="40">
                  <c:v>1.0074440942893736E-2</c:v>
                </c:pt>
                <c:pt idx="41">
                  <c:v>1.9244629151135737E-3</c:v>
                </c:pt>
                <c:pt idx="42">
                  <c:v>0</c:v>
                </c:pt>
                <c:pt idx="43">
                  <c:v>0</c:v>
                </c:pt>
                <c:pt idx="44">
                  <c:v>1.2226184812523397E-4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3.3764575590920792E-4</c:v>
                </c:pt>
                <c:pt idx="49">
                  <c:v>0</c:v>
                </c:pt>
                <c:pt idx="50">
                  <c:v>7.172736962431425E-4</c:v>
                </c:pt>
                <c:pt idx="51">
                  <c:v>1.4953407173942584E-4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1.2119102166859835E-3</c:v>
                </c:pt>
                <c:pt idx="57">
                  <c:v>4.7980473381377381E-4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0.13778990712217007</c:v>
                </c:pt>
                <c:pt idx="1">
                  <c:v>9.8779682110454708E-2</c:v>
                </c:pt>
                <c:pt idx="2">
                  <c:v>6.1234837252537047E-2</c:v>
                </c:pt>
                <c:pt idx="3">
                  <c:v>3.4934816510589918E-2</c:v>
                </c:pt>
                <c:pt idx="4">
                  <c:v>0.17104040070368975</c:v>
                </c:pt>
                <c:pt idx="5">
                  <c:v>9.3229290702230141E-2</c:v>
                </c:pt>
                <c:pt idx="6">
                  <c:v>8.7559825153067886E-2</c:v>
                </c:pt>
                <c:pt idx="7">
                  <c:v>3.9551820297915818E-2</c:v>
                </c:pt>
                <c:pt idx="8">
                  <c:v>6.6698803881048777E-2</c:v>
                </c:pt>
                <c:pt idx="9">
                  <c:v>3.1283849705387529E-2</c:v>
                </c:pt>
                <c:pt idx="10">
                  <c:v>1.3157692573614706E-2</c:v>
                </c:pt>
                <c:pt idx="11">
                  <c:v>1.6885481405228508E-2</c:v>
                </c:pt>
                <c:pt idx="12">
                  <c:v>1.7455884951333246E-2</c:v>
                </c:pt>
                <c:pt idx="13">
                  <c:v>2.4782785720321731E-2</c:v>
                </c:pt>
                <c:pt idx="14">
                  <c:v>9.7909672661345461E-3</c:v>
                </c:pt>
                <c:pt idx="15">
                  <c:v>1.8448809642700754E-2</c:v>
                </c:pt>
                <c:pt idx="16">
                  <c:v>1.0831905724009189E-2</c:v>
                </c:pt>
                <c:pt idx="17">
                  <c:v>9.1687088522021034E-3</c:v>
                </c:pt>
                <c:pt idx="18">
                  <c:v>6.5932504167594934E-3</c:v>
                </c:pt>
                <c:pt idx="19">
                  <c:v>4.8225027079764312E-3</c:v>
                </c:pt>
                <c:pt idx="20">
                  <c:v>4.4191870693165141E-3</c:v>
                </c:pt>
                <c:pt idx="21">
                  <c:v>6.6873573991134737E-3</c:v>
                </c:pt>
                <c:pt idx="22">
                  <c:v>3.040231695231657E-3</c:v>
                </c:pt>
                <c:pt idx="23">
                  <c:v>3.3283142942744544E-3</c:v>
                </c:pt>
                <c:pt idx="24">
                  <c:v>2.9999001313656651E-3</c:v>
                </c:pt>
                <c:pt idx="25">
                  <c:v>2.7291024882654356E-3</c:v>
                </c:pt>
                <c:pt idx="26">
                  <c:v>2.1721427967826934E-3</c:v>
                </c:pt>
                <c:pt idx="27">
                  <c:v>6.2398690952669951E-3</c:v>
                </c:pt>
                <c:pt idx="28">
                  <c:v>1.8379669818930483E-3</c:v>
                </c:pt>
                <c:pt idx="29">
                  <c:v>1.8226025766107659E-3</c:v>
                </c:pt>
                <c:pt idx="30">
                  <c:v>1.7112106383142174E-3</c:v>
                </c:pt>
                <c:pt idx="31">
                  <c:v>1.163853700132902E-3</c:v>
                </c:pt>
                <c:pt idx="32">
                  <c:v>9.2186431693695216E-4</c:v>
                </c:pt>
                <c:pt idx="33">
                  <c:v>1.0390179072143565E-3</c:v>
                </c:pt>
                <c:pt idx="34">
                  <c:v>7.0100099100414075E-4</c:v>
                </c:pt>
                <c:pt idx="35">
                  <c:v>5.8960905270759236E-4</c:v>
                </c:pt>
                <c:pt idx="36">
                  <c:v>8.3736008788439821E-4</c:v>
                </c:pt>
                <c:pt idx="37">
                  <c:v>6.068940086501602E-4</c:v>
                </c:pt>
                <c:pt idx="38">
                  <c:v>5.8960905270759236E-4</c:v>
                </c:pt>
                <c:pt idx="39">
                  <c:v>4.167594932819138E-4</c:v>
                </c:pt>
                <c:pt idx="40">
                  <c:v>3.2649361224850387E-4</c:v>
                </c:pt>
                <c:pt idx="41">
                  <c:v>2.4006883253566461E-4</c:v>
                </c:pt>
                <c:pt idx="42">
                  <c:v>2.1510167395195551E-4</c:v>
                </c:pt>
                <c:pt idx="43">
                  <c:v>1.6516735678453727E-4</c:v>
                </c:pt>
                <c:pt idx="44">
                  <c:v>2.0549892065052891E-4</c:v>
                </c:pt>
                <c:pt idx="45">
                  <c:v>1.8437286338739042E-4</c:v>
                </c:pt>
                <c:pt idx="46">
                  <c:v>1.6516735678453727E-4</c:v>
                </c:pt>
                <c:pt idx="47">
                  <c:v>1.4596185018168409E-4</c:v>
                </c:pt>
                <c:pt idx="48">
                  <c:v>6.5298722449700782E-5</c:v>
                </c:pt>
                <c:pt idx="49">
                  <c:v>7.2980925090842047E-5</c:v>
                </c:pt>
                <c:pt idx="50">
                  <c:v>4.9934317167418244E-5</c:v>
                </c:pt>
                <c:pt idx="51">
                  <c:v>4.0331563865991656E-5</c:v>
                </c:pt>
                <c:pt idx="52">
                  <c:v>4.8013766507132928E-5</c:v>
                </c:pt>
                <c:pt idx="53">
                  <c:v>1.7284955942567854E-5</c:v>
                </c:pt>
                <c:pt idx="54">
                  <c:v>3.6490462545421023E-5</c:v>
                </c:pt>
                <c:pt idx="55">
                  <c:v>3.6490462545421023E-5</c:v>
                </c:pt>
                <c:pt idx="56">
                  <c:v>1.3443854621997219E-5</c:v>
                </c:pt>
                <c:pt idx="57">
                  <c:v>9.602753301426585E-6</c:v>
                </c:pt>
                <c:pt idx="58">
                  <c:v>2.6887709243994439E-5</c:v>
                </c:pt>
                <c:pt idx="59">
                  <c:v>7.6822026411412686E-6</c:v>
                </c:pt>
                <c:pt idx="60">
                  <c:v>1.920550660285317E-5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37880"/>
        <c:axId val="343636704"/>
      </c:lineChart>
      <c:catAx>
        <c:axId val="343637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3636704"/>
        <c:crosses val="autoZero"/>
        <c:auto val="1"/>
        <c:lblAlgn val="ctr"/>
        <c:lblOffset val="100"/>
        <c:tickLblSkip val="10"/>
        <c:noMultiLvlLbl val="0"/>
      </c:catAx>
      <c:valAx>
        <c:axId val="3436367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363788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8.3233246069193542E-4</c:v>
                </c:pt>
                <c:pt idx="4">
                  <c:v>1.3996526412851488E-3</c:v>
                </c:pt>
                <c:pt idx="5">
                  <c:v>1.3511882152600666E-2</c:v>
                </c:pt>
                <c:pt idx="6">
                  <c:v>6.2716581451719372E-3</c:v>
                </c:pt>
                <c:pt idx="7">
                  <c:v>6.5708884551980758E-3</c:v>
                </c:pt>
                <c:pt idx="8">
                  <c:v>6.587292784897586E-3</c:v>
                </c:pt>
                <c:pt idx="9">
                  <c:v>6.8590733501956349E-3</c:v>
                </c:pt>
                <c:pt idx="10">
                  <c:v>0</c:v>
                </c:pt>
                <c:pt idx="11">
                  <c:v>1.021101979781908E-2</c:v>
                </c:pt>
                <c:pt idx="12">
                  <c:v>1.998781091357648E-2</c:v>
                </c:pt>
                <c:pt idx="13">
                  <c:v>4.1606708923963051E-2</c:v>
                </c:pt>
                <c:pt idx="14">
                  <c:v>2.199889844019659E-2</c:v>
                </c:pt>
                <c:pt idx="15">
                  <c:v>9.1701118881915723E-3</c:v>
                </c:pt>
                <c:pt idx="16">
                  <c:v>3.7326683517737567E-2</c:v>
                </c:pt>
                <c:pt idx="17">
                  <c:v>2.1263980458690407E-2</c:v>
                </c:pt>
                <c:pt idx="18">
                  <c:v>7.1942219770740543E-2</c:v>
                </c:pt>
                <c:pt idx="19">
                  <c:v>4.5108628604058142E-2</c:v>
                </c:pt>
                <c:pt idx="20">
                  <c:v>6.2408261890903406E-2</c:v>
                </c:pt>
                <c:pt idx="21">
                  <c:v>5.9529528147071485E-2</c:v>
                </c:pt>
                <c:pt idx="22">
                  <c:v>5.601939498671394E-2</c:v>
                </c:pt>
                <c:pt idx="23">
                  <c:v>4.4219584199365218E-2</c:v>
                </c:pt>
                <c:pt idx="24">
                  <c:v>5.9295003554007721E-2</c:v>
                </c:pt>
                <c:pt idx="25">
                  <c:v>1.5504976124218259E-2</c:v>
                </c:pt>
                <c:pt idx="26">
                  <c:v>7.2243896159591453E-2</c:v>
                </c:pt>
                <c:pt idx="27">
                  <c:v>1.2589693298978412E-2</c:v>
                </c:pt>
                <c:pt idx="28">
                  <c:v>1.9270318164443492E-2</c:v>
                </c:pt>
                <c:pt idx="29">
                  <c:v>2.4506529068825996E-2</c:v>
                </c:pt>
                <c:pt idx="30">
                  <c:v>9.2933772736574806E-3</c:v>
                </c:pt>
                <c:pt idx="31">
                  <c:v>1.7715922749936778E-2</c:v>
                </c:pt>
                <c:pt idx="32">
                  <c:v>7.5155322744353903E-3</c:v>
                </c:pt>
                <c:pt idx="33">
                  <c:v>1.8406628737974644E-2</c:v>
                </c:pt>
                <c:pt idx="34">
                  <c:v>1.3095230417903043E-2</c:v>
                </c:pt>
                <c:pt idx="35">
                  <c:v>1.329440813519343E-2</c:v>
                </c:pt>
                <c:pt idx="36">
                  <c:v>2.0305087406644945E-3</c:v>
                </c:pt>
                <c:pt idx="37">
                  <c:v>1.8451178967698139E-2</c:v>
                </c:pt>
                <c:pt idx="38">
                  <c:v>1.4349468789904642E-2</c:v>
                </c:pt>
                <c:pt idx="39">
                  <c:v>7.8584260499886815E-3</c:v>
                </c:pt>
                <c:pt idx="40">
                  <c:v>1.3402899552058893E-2</c:v>
                </c:pt>
                <c:pt idx="41">
                  <c:v>1.7469829575609108E-2</c:v>
                </c:pt>
                <c:pt idx="42">
                  <c:v>8.3158166336739711E-4</c:v>
                </c:pt>
                <c:pt idx="43">
                  <c:v>8.6442057906633966E-4</c:v>
                </c:pt>
                <c:pt idx="44">
                  <c:v>1.9226436444753504E-3</c:v>
                </c:pt>
                <c:pt idx="45">
                  <c:v>5.019860685533075E-2</c:v>
                </c:pt>
                <c:pt idx="46">
                  <c:v>4.5020742691109904E-3</c:v>
                </c:pt>
                <c:pt idx="47">
                  <c:v>0</c:v>
                </c:pt>
                <c:pt idx="48">
                  <c:v>8.263740000622625E-5</c:v>
                </c:pt>
                <c:pt idx="49">
                  <c:v>3.3798771829928815E-4</c:v>
                </c:pt>
                <c:pt idx="50">
                  <c:v>2.7900285494385328E-3</c:v>
                </c:pt>
                <c:pt idx="51">
                  <c:v>4.4213644852317372E-4</c:v>
                </c:pt>
                <c:pt idx="52">
                  <c:v>0</c:v>
                </c:pt>
                <c:pt idx="53">
                  <c:v>0</c:v>
                </c:pt>
                <c:pt idx="54">
                  <c:v>5.1582827564354301E-4</c:v>
                </c:pt>
                <c:pt idx="55">
                  <c:v>0</c:v>
                </c:pt>
                <c:pt idx="56">
                  <c:v>3.6755592230717116E-4</c:v>
                </c:pt>
                <c:pt idx="57">
                  <c:v>3.0847574037790575E-3</c:v>
                </c:pt>
                <c:pt idx="58">
                  <c:v>3.4739024801424536E-3</c:v>
                </c:pt>
                <c:pt idx="59">
                  <c:v>1.5353476317944305E-4</c:v>
                </c:pt>
                <c:pt idx="60">
                  <c:v>3.1347740047083352E-3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1.6426469797420316E-2</c:v>
                </c:pt>
                <c:pt idx="1">
                  <c:v>2.9530386952547033E-2</c:v>
                </c:pt>
                <c:pt idx="2">
                  <c:v>3.3932289065920981E-2</c:v>
                </c:pt>
                <c:pt idx="3">
                  <c:v>3.2624394066266681E-2</c:v>
                </c:pt>
                <c:pt idx="4">
                  <c:v>2.9334490785197932E-2</c:v>
                </c:pt>
                <c:pt idx="5">
                  <c:v>2.6131012283842025E-2</c:v>
                </c:pt>
                <c:pt idx="6">
                  <c:v>2.4079864178657304E-2</c:v>
                </c:pt>
                <c:pt idx="7">
                  <c:v>2.2009510566869731E-2</c:v>
                </c:pt>
                <c:pt idx="8">
                  <c:v>1.9637630501417366E-2</c:v>
                </c:pt>
                <c:pt idx="9">
                  <c:v>1.748661376189781E-2</c:v>
                </c:pt>
                <c:pt idx="10">
                  <c:v>1.5197317374837713E-2</c:v>
                </c:pt>
                <c:pt idx="11">
                  <c:v>1.3645512441327178E-2</c:v>
                </c:pt>
                <c:pt idx="12">
                  <c:v>1.1890129137826397E-2</c:v>
                </c:pt>
                <c:pt idx="13">
                  <c:v>1.0607201296755806E-2</c:v>
                </c:pt>
                <c:pt idx="14">
                  <c:v>9.2263253720106624E-3</c:v>
                </c:pt>
                <c:pt idx="15">
                  <c:v>8.1546581035714556E-3</c:v>
                </c:pt>
                <c:pt idx="16">
                  <c:v>7.3979611434190412E-3</c:v>
                </c:pt>
                <c:pt idx="17">
                  <c:v>6.7123245576971831E-3</c:v>
                </c:pt>
                <c:pt idx="18">
                  <c:v>0.12503168908589471</c:v>
                </c:pt>
                <c:pt idx="19">
                  <c:v>3.3726790145270455E-2</c:v>
                </c:pt>
                <c:pt idx="20">
                  <c:v>4.1305283050756314E-2</c:v>
                </c:pt>
                <c:pt idx="21">
                  <c:v>5.1102011968871715E-2</c:v>
                </c:pt>
                <c:pt idx="22">
                  <c:v>4.6181561177220734E-2</c:v>
                </c:pt>
                <c:pt idx="23">
                  <c:v>3.2935523273232903E-2</c:v>
                </c:pt>
                <c:pt idx="24">
                  <c:v>2.9607208978958448E-2</c:v>
                </c:pt>
                <c:pt idx="25">
                  <c:v>3.39822233830884E-2</c:v>
                </c:pt>
                <c:pt idx="26">
                  <c:v>2.2910248826543547E-2</c:v>
                </c:pt>
                <c:pt idx="27">
                  <c:v>1.8310529995160214E-2</c:v>
                </c:pt>
                <c:pt idx="28">
                  <c:v>1.7311843651811848E-2</c:v>
                </c:pt>
                <c:pt idx="29">
                  <c:v>1.7473169907275814E-2</c:v>
                </c:pt>
                <c:pt idx="30">
                  <c:v>3.0192976930345467E-2</c:v>
                </c:pt>
                <c:pt idx="31">
                  <c:v>1.4961089643622619E-2</c:v>
                </c:pt>
                <c:pt idx="32">
                  <c:v>1.907875025927434E-2</c:v>
                </c:pt>
                <c:pt idx="33">
                  <c:v>1.1367739358228792E-2</c:v>
                </c:pt>
                <c:pt idx="34">
                  <c:v>1.771707984113205E-2</c:v>
                </c:pt>
                <c:pt idx="35">
                  <c:v>9.0131442487189923E-3</c:v>
                </c:pt>
                <c:pt idx="36">
                  <c:v>7.8224028393420967E-3</c:v>
                </c:pt>
                <c:pt idx="37">
                  <c:v>9.5547395349194521E-3</c:v>
                </c:pt>
                <c:pt idx="38">
                  <c:v>1.1751849490285855E-2</c:v>
                </c:pt>
                <c:pt idx="39">
                  <c:v>6.8275575973143019E-3</c:v>
                </c:pt>
                <c:pt idx="40">
                  <c:v>5.8941699764156379E-3</c:v>
                </c:pt>
                <c:pt idx="41">
                  <c:v>5.2757526638037662E-3</c:v>
                </c:pt>
                <c:pt idx="42">
                  <c:v>3.3475198008773074E-3</c:v>
                </c:pt>
                <c:pt idx="43">
                  <c:v>5.0107166726843918E-3</c:v>
                </c:pt>
                <c:pt idx="44">
                  <c:v>4.6208448886464731E-3</c:v>
                </c:pt>
                <c:pt idx="45">
                  <c:v>3.9083205936806201E-3</c:v>
                </c:pt>
                <c:pt idx="46">
                  <c:v>3.4569911885135706E-3</c:v>
                </c:pt>
                <c:pt idx="47">
                  <c:v>2.5908228407248925E-3</c:v>
                </c:pt>
                <c:pt idx="48">
                  <c:v>2.4967158583709122E-3</c:v>
                </c:pt>
                <c:pt idx="49">
                  <c:v>3.8161341619869248E-3</c:v>
                </c:pt>
                <c:pt idx="50">
                  <c:v>1.6055803519985251E-3</c:v>
                </c:pt>
                <c:pt idx="51">
                  <c:v>2.1356523342372724E-3</c:v>
                </c:pt>
                <c:pt idx="52">
                  <c:v>1.4096841846494227E-3</c:v>
                </c:pt>
                <c:pt idx="53">
                  <c:v>1.2118674666400349E-3</c:v>
                </c:pt>
                <c:pt idx="54">
                  <c:v>1.3501471141805779E-3</c:v>
                </c:pt>
                <c:pt idx="55">
                  <c:v>1.0063685459895061E-3</c:v>
                </c:pt>
                <c:pt idx="56">
                  <c:v>1.3904786780465695E-3</c:v>
                </c:pt>
                <c:pt idx="57">
                  <c:v>1.1984236120180377E-3</c:v>
                </c:pt>
                <c:pt idx="58">
                  <c:v>7.5477640949212963E-4</c:v>
                </c:pt>
                <c:pt idx="59">
                  <c:v>6.1073510997073082E-4</c:v>
                </c:pt>
                <c:pt idx="60">
                  <c:v>4.6861436110961737E-4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38664"/>
        <c:axId val="343638272"/>
      </c:lineChart>
      <c:catAx>
        <c:axId val="343638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3638272"/>
        <c:crosses val="autoZero"/>
        <c:auto val="1"/>
        <c:lblAlgn val="ctr"/>
        <c:lblOffset val="100"/>
        <c:tickLblSkip val="10"/>
        <c:noMultiLvlLbl val="0"/>
      </c:catAx>
      <c:valAx>
        <c:axId val="34363827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36386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opLeftCell="E1" workbookViewId="0">
      <selection activeCell="T10" sqref="T1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9973.1768341485</v>
      </c>
      <c r="C11" s="11">
        <f>B11/B$102</f>
        <v>1.5743867254577746E-2</v>
      </c>
      <c r="E11" s="20">
        <v>0</v>
      </c>
      <c r="F11" s="110" t="n">
        <v>72461.0</v>
      </c>
      <c r="G11" s="11">
        <f>F11/F$102</f>
        <v>0.13778990712217007</v>
      </c>
      <c r="K11" s="8" t="n">
        <v>7.667280534292302</v>
      </c>
      <c r="L11" s="8" t="n">
        <v>6.51174433118121</v>
      </c>
    </row>
    <row r="12" spans="1:12" x14ac:dyDescent="0.25">
      <c r="A12">
        <v>1</v>
      </c>
      <c r="B12" s="8" t="n">
        <v>16653.0860079527</v>
      </c>
      <c r="C12" s="11">
        <f>B12/B$102</f>
        <v>2.628891273546323E-2</v>
      </c>
      <c r="E12" s="21">
        <v>1</v>
      </c>
      <c r="F12" s="111" t="n">
        <v>51041.0</v>
      </c>
      <c r="G12" s="11">
        <f>F12/F$102</f>
        <v>9.8779682110454708E-2</v>
      </c>
      <c r="K12" s="8"/>
      <c r="L12" s="380"/>
    </row>
    <row r="13" spans="1:12" x14ac:dyDescent="0.25">
      <c r="A13">
        <v>2</v>
      </c>
      <c r="B13" s="8" t="n">
        <v>40847.4157439388</v>
      </c>
      <c r="C13" s="11">
        <f ref="C13:C76" si="0" t="shared">B13/B$102</f>
        <v>6.4482591842063577E-2</v>
      </c>
      <c r="E13" s="22">
        <v>2</v>
      </c>
      <c r="F13" s="112" t="n">
        <v>31764.0</v>
      </c>
      <c r="G13" s="11">
        <f ref="G13:G76" si="1" t="shared">F13/F$102</f>
        <v>6.1234837252537047E-2</v>
      </c>
    </row>
    <row r="14" spans="1:12" x14ac:dyDescent="0.25">
      <c r="A14">
        <v>3</v>
      </c>
      <c r="B14" s="8" t="n">
        <v>60154.9881239646</v>
      </c>
      <c r="C14" s="11">
        <f si="0" t="shared"/>
        <v>9.4961932739585239E-2</v>
      </c>
      <c r="E14" s="23">
        <v>3</v>
      </c>
      <c r="F14" s="113" t="n">
        <v>18555.0</v>
      </c>
      <c r="G14" s="11">
        <f si="1" t="shared"/>
        <v>3.4934816510589918E-2</v>
      </c>
    </row>
    <row r="15" spans="1:12" x14ac:dyDescent="0.25">
      <c r="A15">
        <v>4</v>
      </c>
      <c r="B15" s="8" t="n">
        <v>108917.8962755017</v>
      </c>
      <c r="C15" s="11">
        <f si="0" t="shared"/>
        <v>0.17194008781012191</v>
      </c>
      <c r="E15" s="24">
        <v>4</v>
      </c>
      <c r="F15" s="114" t="n">
        <v>89561.0</v>
      </c>
      <c r="G15" s="11">
        <f si="1" t="shared"/>
        <v>0.17104040070368975</v>
      </c>
    </row>
    <row r="16" spans="1:12" x14ac:dyDescent="0.25">
      <c r="A16">
        <v>5</v>
      </c>
      <c r="B16" s="8" t="n">
        <v>73176.2143347664</v>
      </c>
      <c r="C16" s="11">
        <f si="0" t="shared"/>
        <v>0.11551751501430732</v>
      </c>
      <c r="E16" s="25">
        <v>5</v>
      </c>
      <c r="F16" s="115" t="n">
        <v>48944.0</v>
      </c>
      <c r="G16" s="11">
        <f si="1" t="shared"/>
        <v>9.3229290702230141E-2</v>
      </c>
    </row>
    <row r="17" spans="1:7" x14ac:dyDescent="0.25">
      <c r="A17">
        <v>6</v>
      </c>
      <c r="B17" s="8" t="n">
        <v>74366.438813207</v>
      </c>
      <c r="C17" s="11">
        <f si="0" t="shared"/>
        <v>0.11739642847421469</v>
      </c>
      <c r="E17" s="26">
        <v>6</v>
      </c>
      <c r="F17" s="116" t="n">
        <v>46736.0</v>
      </c>
      <c r="G17" s="11">
        <f si="1" t="shared"/>
        <v>8.7559825153067886E-2</v>
      </c>
    </row>
    <row r="18" spans="1:7" x14ac:dyDescent="0.25">
      <c r="A18">
        <v>7</v>
      </c>
      <c r="B18" s="8" t="n">
        <v>48341.9527415669</v>
      </c>
      <c r="C18" s="11">
        <f si="0" t="shared"/>
        <v>7.6313625983678954E-2</v>
      </c>
      <c r="E18" s="27">
        <v>7</v>
      </c>
      <c r="F18" s="117" t="n">
        <v>34528.0</v>
      </c>
      <c r="G18" s="11">
        <f si="1" t="shared"/>
        <v>3.9551820297915818E-2</v>
      </c>
    </row>
    <row r="19" spans="1:7" x14ac:dyDescent="0.25">
      <c r="A19">
        <v>8</v>
      </c>
      <c r="B19" s="8" t="n">
        <v>31603.8389721855</v>
      </c>
      <c r="C19" s="11">
        <f si="0" t="shared"/>
        <v>4.9890486631045589E-2</v>
      </c>
      <c r="E19" s="28">
        <v>8</v>
      </c>
      <c r="F19" s="118" t="n">
        <v>23516.0</v>
      </c>
      <c r="G19" s="11">
        <f si="1" t="shared"/>
        <v>6.6698803881048777E-2</v>
      </c>
    </row>
    <row r="20" spans="1:7" x14ac:dyDescent="0.25">
      <c r="A20">
        <v>9</v>
      </c>
      <c r="B20" s="8" t="n">
        <v>23052.931224294498</v>
      </c>
      <c r="C20" s="11">
        <f si="0" t="shared"/>
        <v>3.6391843347395203E-2</v>
      </c>
      <c r="E20" s="29">
        <v>9</v>
      </c>
      <c r="F20" s="119" t="n">
        <v>13867.0</v>
      </c>
      <c r="G20" s="11">
        <f si="1" t="shared"/>
        <v>3.1283849705387529E-2</v>
      </c>
    </row>
    <row r="21" spans="1:7" x14ac:dyDescent="0.25">
      <c r="A21">
        <v>10</v>
      </c>
      <c r="B21" s="8" t="n">
        <v>36595.5378751736</v>
      </c>
      <c r="C21" s="11">
        <f si="0" t="shared"/>
        <v>5.7770487779162785E-2</v>
      </c>
      <c r="E21" s="30">
        <v>10</v>
      </c>
      <c r="F21" s="120" t="n">
        <v>7526.0</v>
      </c>
      <c r="G21" s="11">
        <f si="1" t="shared"/>
        <v>1.3157692573614706E-2</v>
      </c>
    </row>
    <row r="22" spans="1:7" x14ac:dyDescent="0.25">
      <c r="A22">
        <v>11</v>
      </c>
      <c r="B22" s="8" t="n">
        <v>16672.4293262847</v>
      </c>
      <c r="C22" s="11">
        <f si="0" t="shared"/>
        <v>2.631944850567431E-2</v>
      </c>
      <c r="E22" s="31">
        <v>11</v>
      </c>
      <c r="F22" s="121" t="n">
        <v>10430.0</v>
      </c>
      <c r="G22" s="11">
        <f si="1" t="shared"/>
        <v>1.6885481405228508E-2</v>
      </c>
    </row>
    <row r="23" spans="1:7" x14ac:dyDescent="0.25">
      <c r="A23">
        <v>12</v>
      </c>
      <c r="B23" s="8" t="n">
        <v>11529.5465694736</v>
      </c>
      <c r="C23" s="11">
        <f si="0" t="shared"/>
        <v>1.8200785337901065E-2</v>
      </c>
      <c r="E23" s="32">
        <v>12</v>
      </c>
      <c r="F23" s="122" t="n">
        <v>8000.0</v>
      </c>
      <c r="G23" s="11">
        <f si="1" t="shared"/>
        <v>1.7455884951333246E-2</v>
      </c>
    </row>
    <row r="24" spans="1:7" x14ac:dyDescent="0.25">
      <c r="A24">
        <v>13</v>
      </c>
      <c r="B24" s="8" t="n">
        <v>6945.0016183316</v>
      </c>
      <c r="C24" s="11">
        <f si="0" t="shared"/>
        <v>1.0963526003815793E-2</v>
      </c>
      <c r="E24" s="33">
        <v>13</v>
      </c>
      <c r="F24" s="123" t="n">
        <v>11829.0</v>
      </c>
      <c r="G24" s="11">
        <f si="1" t="shared"/>
        <v>2.4782785720321731E-2</v>
      </c>
    </row>
    <row r="25" spans="1:7" x14ac:dyDescent="0.25">
      <c r="A25">
        <v>14</v>
      </c>
      <c r="B25" s="8" t="n">
        <v>2274.323537667</v>
      </c>
      <c r="C25" s="11">
        <f si="0" t="shared"/>
        <v>3.5902950951784696E-3</v>
      </c>
      <c r="E25" s="34">
        <v>14</v>
      </c>
      <c r="F25" s="124" t="n">
        <v>5019.0</v>
      </c>
      <c r="G25" s="11">
        <f si="1" t="shared"/>
        <v>9.7909672661345461E-3</v>
      </c>
    </row>
    <row r="26" spans="1:7" x14ac:dyDescent="0.25">
      <c r="A26">
        <v>15</v>
      </c>
      <c r="B26" s="8" t="n">
        <v>3449.9458637023</v>
      </c>
      <c r="C26" s="11">
        <f si="0" t="shared"/>
        <v>5.4461572893835068E-3</v>
      </c>
      <c r="E26" s="35">
        <v>15</v>
      </c>
      <c r="F26" s="125" t="n">
        <v>9907.0</v>
      </c>
      <c r="G26" s="11">
        <f si="1" t="shared"/>
        <v>1.8448809642700754E-2</v>
      </c>
    </row>
    <row r="27" spans="1:7" x14ac:dyDescent="0.25">
      <c r="A27">
        <v>16</v>
      </c>
      <c r="B27" s="8" t="n">
        <v>11941.3546406988</v>
      </c>
      <c r="C27" s="11">
        <f si="0" t="shared"/>
        <v>1.8850874242926162E-2</v>
      </c>
      <c r="E27" s="36">
        <v>16</v>
      </c>
      <c r="F27" s="126" t="n">
        <v>4988.0</v>
      </c>
      <c r="G27" s="11">
        <f si="1" t="shared"/>
        <v>1.0831905724009189E-2</v>
      </c>
    </row>
    <row r="28" spans="1:7" x14ac:dyDescent="0.25">
      <c r="A28">
        <v>17</v>
      </c>
      <c r="B28" s="8" t="n">
        <v>4142.9865766036</v>
      </c>
      <c r="C28" s="11">
        <f si="0" t="shared"/>
        <v>6.5402059729058803E-3</v>
      </c>
      <c r="E28" s="37">
        <v>17</v>
      </c>
      <c r="F28" s="127" t="n">
        <v>4592.0</v>
      </c>
      <c r="G28" s="11">
        <f si="1" t="shared"/>
        <v>9.1687088522021034E-3</v>
      </c>
    </row>
    <row r="29" spans="1:7" x14ac:dyDescent="0.25">
      <c r="A29">
        <v>18</v>
      </c>
      <c r="B29" s="8" t="n">
        <v>3681.066425348</v>
      </c>
      <c r="C29" s="11">
        <f si="0" t="shared"/>
        <v>5.8110090816323127E-3</v>
      </c>
      <c r="E29" s="38">
        <v>18</v>
      </c>
      <c r="F29" s="128" t="n">
        <v>4283.0</v>
      </c>
      <c r="G29" s="11">
        <f si="1" t="shared"/>
        <v>6.5932504167594934E-3</v>
      </c>
    </row>
    <row r="30" spans="1:7" x14ac:dyDescent="0.25">
      <c r="A30">
        <v>19</v>
      </c>
      <c r="B30" s="8" t="n">
        <v>7145.680413899</v>
      </c>
      <c r="C30" s="11">
        <f si="0" t="shared"/>
        <v>1.1280321782208448E-2</v>
      </c>
      <c r="E30" s="39">
        <v>19</v>
      </c>
      <c r="F30" s="129" t="n">
        <v>2397.0</v>
      </c>
      <c r="G30" s="11">
        <f si="1" t="shared"/>
        <v>4.8225027079764312E-3</v>
      </c>
    </row>
    <row r="31" spans="1:7" x14ac:dyDescent="0.25">
      <c r="A31">
        <v>20</v>
      </c>
      <c r="B31" s="8" t="n">
        <v>5106.9862278705</v>
      </c>
      <c r="C31" s="11">
        <f si="0" t="shared"/>
        <v>8.0619961502381883E-3</v>
      </c>
      <c r="E31" s="40">
        <v>20</v>
      </c>
      <c r="F31" s="130" t="n">
        <v>2634.0</v>
      </c>
      <c r="G31" s="11">
        <f si="1" t="shared"/>
        <v>4.4191870693165141E-3</v>
      </c>
    </row>
    <row r="32" spans="1:7" x14ac:dyDescent="0.25">
      <c r="A32">
        <v>21</v>
      </c>
      <c r="B32" s="8" t="n">
        <v>5728.68224864</v>
      </c>
      <c r="C32" s="11">
        <f si="0" t="shared"/>
        <v>9.0434185983171295E-3</v>
      </c>
      <c r="E32" s="41">
        <v>21</v>
      </c>
      <c r="F32" s="131" t="n">
        <v>2956.0</v>
      </c>
      <c r="G32" s="11">
        <f si="1" t="shared"/>
        <v>6.6873573991134737E-3</v>
      </c>
    </row>
    <row r="33" spans="1:7" x14ac:dyDescent="0.25">
      <c r="A33">
        <v>22</v>
      </c>
      <c r="B33" s="8" t="n">
        <v>5530.1884745458</v>
      </c>
      <c r="C33" s="11">
        <f si="0" t="shared"/>
        <v>8.7300721408975733E-3</v>
      </c>
      <c r="E33" s="42">
        <v>22</v>
      </c>
      <c r="F33" s="132" t="n">
        <v>1403.0</v>
      </c>
      <c r="G33" s="11">
        <f si="1" t="shared"/>
        <v>3.040231695231657E-3</v>
      </c>
    </row>
    <row r="34" spans="1:7" x14ac:dyDescent="0.25">
      <c r="A34">
        <v>23</v>
      </c>
      <c r="B34" s="8" t="n">
        <v>4890.604549589</v>
      </c>
      <c r="C34" s="11">
        <f si="0" t="shared"/>
        <v>7.7204114700666626E-3</v>
      </c>
      <c r="E34" s="43">
        <v>23</v>
      </c>
      <c r="F34" s="133" t="n">
        <v>1944.0</v>
      </c>
      <c r="G34" s="11">
        <f si="1" t="shared"/>
        <v>3.3283142942744544E-3</v>
      </c>
    </row>
    <row r="35" spans="1:7" x14ac:dyDescent="0.25">
      <c r="A35">
        <v>24</v>
      </c>
      <c r="B35" s="8" t="n">
        <v>691.809113803</v>
      </c>
      <c r="C35" s="11">
        <f si="0" t="shared"/>
        <v>1.0921044552150896E-3</v>
      </c>
      <c r="E35" s="44">
        <v>24</v>
      </c>
      <c r="F35" s="134" t="n">
        <v>1387.0</v>
      </c>
      <c r="G35" s="11">
        <f si="1" t="shared"/>
        <v>2.9999001313656651E-3</v>
      </c>
    </row>
    <row r="36" spans="1:7" x14ac:dyDescent="0.25">
      <c r="A36">
        <v>25</v>
      </c>
      <c r="B36" s="8" t="n">
        <v>899.760716736</v>
      </c>
      <c r="C36" s="11">
        <f si="0" t="shared"/>
        <v>1.4203812406766341E-3</v>
      </c>
      <c r="E36" s="45">
        <v>25</v>
      </c>
      <c r="F36" s="135" t="n">
        <v>1337.0</v>
      </c>
      <c r="G36" s="11">
        <f si="1" t="shared"/>
        <v>2.7291024882654356E-3</v>
      </c>
    </row>
    <row r="37" spans="1:7" x14ac:dyDescent="0.25">
      <c r="A37">
        <v>26</v>
      </c>
      <c r="B37" s="8" t="n">
        <v>994.02148134</v>
      </c>
      <c r="C37" s="11">
        <f si="0" t="shared"/>
        <v>1.5691832713554657E-3</v>
      </c>
      <c r="E37" s="46">
        <v>26</v>
      </c>
      <c r="F37" s="136" t="n">
        <v>1427.0</v>
      </c>
      <c r="G37" s="11">
        <f si="1" t="shared"/>
        <v>2.1721427967826934E-3</v>
      </c>
    </row>
    <row r="38" spans="1:7" x14ac:dyDescent="0.25">
      <c r="A38">
        <v>27</v>
      </c>
      <c r="B38" s="8" t="n">
        <v>2067.125837326</v>
      </c>
      <c r="C38" s="11">
        <f si="0" t="shared"/>
        <v>3.263208436246186E-3</v>
      </c>
      <c r="E38" s="47">
        <v>27</v>
      </c>
      <c r="F38" s="137" t="n">
        <v>3293.0</v>
      </c>
      <c r="G38" s="11">
        <f si="1" t="shared"/>
        <v>6.2398690952669951E-3</v>
      </c>
    </row>
    <row r="39" spans="1:7" x14ac:dyDescent="0.25">
      <c r="A39">
        <v>28</v>
      </c>
      <c r="B39" s="8" t="n">
        <v>290.667683824</v>
      </c>
      <c r="C39" s="11">
        <f si="0" t="shared"/>
        <v>4.5885413498850743E-4</v>
      </c>
      <c r="E39" s="48">
        <v>28</v>
      </c>
      <c r="F39" s="138" t="n">
        <v>983.0</v>
      </c>
      <c r="G39" s="11">
        <f si="1" t="shared"/>
        <v>1.8379669818930483E-3</v>
      </c>
    </row>
    <row r="40" spans="1:7" x14ac:dyDescent="0.25">
      <c r="A40">
        <v>29</v>
      </c>
      <c r="B40" s="8" t="n">
        <v>711.387405665</v>
      </c>
      <c r="C40" s="11">
        <f si="0" t="shared"/>
        <v>1.1230111595955123E-3</v>
      </c>
      <c r="E40" s="49">
        <v>29</v>
      </c>
      <c r="F40" s="139" t="n">
        <v>812.0</v>
      </c>
      <c r="G40" s="11">
        <f si="1" t="shared"/>
        <v>1.8226025766107659E-3</v>
      </c>
    </row>
    <row r="41" spans="1:7" x14ac:dyDescent="0.25">
      <c r="A41">
        <v>30</v>
      </c>
      <c r="B41" s="8" t="n">
        <v>1402.4810608782</v>
      </c>
      <c r="C41" s="11">
        <f si="0" t="shared"/>
        <v>2.2139861767938823E-3</v>
      </c>
      <c r="E41" s="50">
        <v>30</v>
      </c>
      <c r="F41" s="140" t="n">
        <v>885.0</v>
      </c>
      <c r="G41" s="11">
        <f si="1" t="shared"/>
        <v>1.7112106383142174E-3</v>
      </c>
    </row>
    <row r="42" spans="1:7" x14ac:dyDescent="0.25">
      <c r="A42">
        <v>31</v>
      </c>
      <c r="B42" s="8" t="n">
        <v>1540.58640738</v>
      </c>
      <c r="C42" s="11">
        <f si="0" t="shared"/>
        <v>2.4320021890064485E-3</v>
      </c>
      <c r="E42" s="51">
        <v>31</v>
      </c>
      <c r="F42" s="141" t="n">
        <v>601.0</v>
      </c>
      <c r="G42" s="11">
        <f si="1" t="shared"/>
        <v>1.163853700132902E-3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492.0</v>
      </c>
      <c r="G43" s="11">
        <f si="1" t="shared"/>
        <v>9.2186431693695216E-4</v>
      </c>
    </row>
    <row r="44" spans="1:7" x14ac:dyDescent="0.25">
      <c r="A44">
        <v>33</v>
      </c>
      <c r="B44" s="8" t="n">
        <v>403.086772515</v>
      </c>
      <c r="C44" s="11">
        <f si="0" t="shared"/>
        <v>6.3632127897531314E-4</v>
      </c>
      <c r="E44" s="53">
        <v>33</v>
      </c>
      <c r="F44" s="143" t="n">
        <v>492.0</v>
      </c>
      <c r="G44" s="11">
        <f si="1" t="shared"/>
        <v>1.0390179072143565E-3</v>
      </c>
    </row>
    <row r="45" spans="1:7" x14ac:dyDescent="0.25">
      <c r="A45">
        <v>34</v>
      </c>
      <c r="B45" s="8" t="n">
        <v>735.005061211</v>
      </c>
      <c r="C45" s="11">
        <f si="0" t="shared"/>
        <v>1.1602944886654829E-3</v>
      </c>
      <c r="E45" s="54">
        <v>34</v>
      </c>
      <c r="F45" s="144" t="n">
        <v>375.0</v>
      </c>
      <c r="G45" s="11">
        <f si="1" t="shared"/>
        <v>7.0100099100414075E-4</v>
      </c>
    </row>
    <row r="46" spans="1:7" x14ac:dyDescent="0.25">
      <c r="A46">
        <v>35</v>
      </c>
      <c r="B46" s="8" t="n">
        <v>879.0616143070001</v>
      </c>
      <c r="C46" s="11">
        <f si="0" t="shared"/>
        <v>1.3877052011006343E-3</v>
      </c>
      <c r="E46" s="55">
        <v>35</v>
      </c>
      <c r="F46" s="145" t="n">
        <v>338.0</v>
      </c>
      <c r="G46" s="11">
        <f si="1" t="shared"/>
        <v>5.8960905270759236E-4</v>
      </c>
    </row>
    <row r="47" spans="1:7" x14ac:dyDescent="0.25">
      <c r="A47">
        <v>36</v>
      </c>
      <c r="B47" s="8" t="n">
        <v>152.330625679</v>
      </c>
      <c r="C47" s="11">
        <f si="0" t="shared"/>
        <v>2.4047233788988665E-4</v>
      </c>
      <c r="E47" s="56">
        <v>36</v>
      </c>
      <c r="F47" s="146" t="n">
        <v>458.0</v>
      </c>
      <c r="G47" s="11">
        <f si="1" t="shared"/>
        <v>8.3736008788439821E-4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7">
        <v>37</v>
      </c>
      <c r="F48" s="147" t="n">
        <v>246.0</v>
      </c>
      <c r="G48" s="11">
        <f si="1" t="shared"/>
        <v>6.068940086501602E-4</v>
      </c>
    </row>
    <row r="49" spans="1:7" x14ac:dyDescent="0.25">
      <c r="A49">
        <v>38</v>
      </c>
      <c r="B49" s="8" t="n">
        <v>4.59375</v>
      </c>
      <c r="C49" s="11">
        <f si="0" t="shared"/>
        <v>7.2517906183192046E-6</v>
      </c>
      <c r="E49" s="58">
        <v>38</v>
      </c>
      <c r="F49" s="148" t="n">
        <v>317.0</v>
      </c>
      <c r="G49" s="11">
        <f si="1" t="shared"/>
        <v>5.8960905270759236E-4</v>
      </c>
    </row>
    <row r="50" spans="1:7" x14ac:dyDescent="0.25">
      <c r="A50">
        <v>39</v>
      </c>
      <c r="B50" s="8" t="n">
        <v>80.5029056468</v>
      </c>
      <c r="C50" s="11">
        <f si="0" t="shared"/>
        <v>1.2708358441728445E-4</v>
      </c>
      <c r="E50" s="59">
        <v>39</v>
      </c>
      <c r="F50" s="149" t="n">
        <v>235.0</v>
      </c>
      <c r="G50" s="11">
        <f si="1" t="shared"/>
        <v>4.167594932819138E-4</v>
      </c>
    </row>
    <row r="51" spans="1:7" x14ac:dyDescent="0.25">
      <c r="A51">
        <v>40</v>
      </c>
      <c r="B51" s="8" t="n">
        <v>6381.798029925</v>
      </c>
      <c r="C51" s="11">
        <f si="0" t="shared"/>
        <v>1.0074440942893736E-2</v>
      </c>
      <c r="E51" s="60">
        <v>40</v>
      </c>
      <c r="F51" s="150" t="n">
        <v>134.0</v>
      </c>
      <c r="G51" s="11">
        <f si="1" t="shared"/>
        <v>3.2649361224850387E-4</v>
      </c>
    </row>
    <row r="52" spans="1:7" x14ac:dyDescent="0.25">
      <c r="A52">
        <v>41</v>
      </c>
      <c r="B52" s="8" t="n">
        <v>1219.07842926</v>
      </c>
      <c r="C52" s="11">
        <f si="0" t="shared"/>
        <v>1.9244629151135737E-3</v>
      </c>
      <c r="E52" s="61">
        <v>41</v>
      </c>
      <c r="F52" s="151" t="n">
        <v>149.0</v>
      </c>
      <c r="G52" s="11">
        <f si="1" t="shared"/>
        <v>2.4006883253566461E-4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2">
        <v>42</v>
      </c>
      <c r="F53" s="152" t="n">
        <v>109.0</v>
      </c>
      <c r="G53" s="11">
        <f si="1" t="shared"/>
        <v>2.1510167395195551E-4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3">
        <v>43</v>
      </c>
      <c r="F54" s="153" t="n">
        <v>85.0</v>
      </c>
      <c r="G54" s="11">
        <f si="1" t="shared"/>
        <v>1.6516735678453727E-4</v>
      </c>
    </row>
    <row r="55" spans="1:7" x14ac:dyDescent="0.25">
      <c r="A55">
        <v>44</v>
      </c>
      <c r="B55" s="8" t="n">
        <v>77.4485081528</v>
      </c>
      <c r="C55" s="11">
        <f si="0" t="shared"/>
        <v>1.2226184812523397E-4</v>
      </c>
      <c r="E55" s="64">
        <v>44</v>
      </c>
      <c r="F55" s="154" t="n">
        <v>109.0</v>
      </c>
      <c r="G55" s="11">
        <f si="1" t="shared"/>
        <v>2.0549892065052891E-4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5">
        <v>45</v>
      </c>
      <c r="F56" s="155" t="n">
        <v>63.0</v>
      </c>
      <c r="G56" s="11">
        <f si="1" t="shared"/>
        <v>1.8437286338739042E-4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91.0</v>
      </c>
      <c r="G57" s="11">
        <f si="1" t="shared"/>
        <v>1.6516735678453727E-4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43.0</v>
      </c>
      <c r="G58" s="11">
        <f si="1" t="shared"/>
        <v>1.4596185018168409E-4</v>
      </c>
    </row>
    <row r="59" spans="1:7" x14ac:dyDescent="0.25">
      <c r="A59">
        <v>48</v>
      </c>
      <c r="B59" s="8" t="n">
        <v>213.886510635</v>
      </c>
      <c r="C59" s="11">
        <f si="0" t="shared"/>
        <v>3.3764575590920792E-4</v>
      </c>
      <c r="E59" s="68">
        <v>48</v>
      </c>
      <c r="F59" s="158" t="n">
        <v>39.0</v>
      </c>
      <c r="G59" s="11">
        <f si="1" t="shared"/>
        <v>6.5298722449700782E-5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54.0</v>
      </c>
      <c r="G60" s="11">
        <f si="1" t="shared"/>
        <v>7.2980925090842047E-5</v>
      </c>
    </row>
    <row r="61" spans="1:7" x14ac:dyDescent="0.25">
      <c r="A61">
        <v>50</v>
      </c>
      <c r="B61" s="8" t="n">
        <v>454.367233631</v>
      </c>
      <c r="C61" s="11">
        <f si="0" t="shared"/>
        <v>7.172736962431425E-4</v>
      </c>
      <c r="E61" s="70">
        <v>50</v>
      </c>
      <c r="F61" s="160" t="n">
        <v>24.0</v>
      </c>
      <c r="G61" s="11">
        <f si="1" t="shared"/>
        <v>4.9934317167418244E-5</v>
      </c>
    </row>
    <row r="62" spans="1:7" x14ac:dyDescent="0.25">
      <c r="A62">
        <v>51</v>
      </c>
      <c r="B62" s="8" t="n">
        <v>94.7244864348</v>
      </c>
      <c r="C62" s="11">
        <f si="0" t="shared"/>
        <v>1.4953407173942584E-4</v>
      </c>
      <c r="E62" s="71">
        <v>51</v>
      </c>
      <c r="F62" s="161" t="n">
        <v>29.0</v>
      </c>
      <c r="G62" s="11">
        <f si="1" t="shared"/>
        <v>4.0331563865991656E-5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23.0</v>
      </c>
      <c r="G63" s="11">
        <f si="1" t="shared"/>
        <v>4.8013766507132928E-5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16.0</v>
      </c>
      <c r="G64" s="11">
        <f si="1" t="shared"/>
        <v>1.7284955942567854E-5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18.0</v>
      </c>
      <c r="G65" s="11">
        <f si="1" t="shared"/>
        <v>3.6490462545421023E-5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19.0</v>
      </c>
      <c r="G66" s="11">
        <f si="1" t="shared"/>
        <v>3.6490462545421023E-5</v>
      </c>
    </row>
    <row r="67" spans="1:7" x14ac:dyDescent="0.25">
      <c r="A67">
        <v>56</v>
      </c>
      <c r="B67" s="8" t="n">
        <v>767.701778901</v>
      </c>
      <c r="C67" s="11">
        <f si="0" t="shared"/>
        <v>1.2119102166859835E-3</v>
      </c>
      <c r="E67" s="76">
        <v>56</v>
      </c>
      <c r="F67" s="166" t="n">
        <v>8.0</v>
      </c>
      <c r="G67" s="11">
        <f si="1" t="shared"/>
        <v>1.3443854621997219E-5</v>
      </c>
    </row>
    <row r="68" spans="1:7" x14ac:dyDescent="0.25">
      <c r="A68">
        <v>57</v>
      </c>
      <c r="B68" s="8" t="n">
        <v>303.939138892</v>
      </c>
      <c r="C68" s="11">
        <f si="0" t="shared"/>
        <v>4.7980473381377381E-4</v>
      </c>
      <c r="E68" s="77">
        <v>57</v>
      </c>
      <c r="F68" s="167" t="n">
        <v>6.0</v>
      </c>
      <c r="G68" s="11">
        <f si="1" t="shared"/>
        <v>9.602753301426585E-6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13.0</v>
      </c>
      <c r="G69" s="11">
        <f si="1" t="shared"/>
        <v>2.6887709243994439E-5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5.0</v>
      </c>
      <c r="G70" s="11">
        <f si="1" t="shared"/>
        <v>7.6822026411412686E-6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12.0</v>
      </c>
      <c r="G71" s="11">
        <f si="1" t="shared"/>
        <v>1.920550660285317E-5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1.0</v>
      </c>
      <c r="G72" s="11">
        <f si="1" t="shared"/>
        <v>1.9205506602853172E-6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4.0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1.0</v>
      </c>
      <c r="G74" s="11">
        <f si="1" t="shared"/>
        <v>1.9205506602853172E-6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4.0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1.0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0.0</v>
      </c>
      <c r="G77" s="11">
        <f ref="G77:G102" si="3" t="shared">F77/F$102</f>
        <v>1.9205506602853172E-6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0.0</v>
      </c>
      <c r="G79" s="11">
        <f si="3" t="shared"/>
        <v>0</v>
      </c>
    </row>
    <row r="80" spans="1:7" x14ac:dyDescent="0.25">
      <c r="A80">
        <v>69</v>
      </c>
      <c r="B80" s="8" t="n">
        <v>376.597523036</v>
      </c>
      <c r="C80" s="11">
        <f si="2" t="shared"/>
        <v>5.945047911694618E-4</v>
      </c>
      <c r="E80" s="89">
        <v>69</v>
      </c>
      <c r="F80" s="179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0.0</v>
      </c>
      <c r="G81" s="11">
        <f si="3" t="shared"/>
        <v>1.9205506602853172E-6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6.0</v>
      </c>
      <c r="G82" s="11">
        <f si="3" t="shared"/>
        <v>1.9205506602853172E-6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1.9205506602853172E-6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1.0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1.9205506602853172E-6</v>
      </c>
    </row>
    <row r="102" spans="1:7" x14ac:dyDescent="0.25">
      <c r="B102" s="8">
        <f>SUM(B11:B101)</f>
        <v>633464.23549453274</v>
      </c>
      <c r="C102" s="11">
        <f si="2" t="shared"/>
        <v>1</v>
      </c>
      <c r="F102" s="8">
        <f>SUM(F11:F101)</f>
        <v>520684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M30" sqref="M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8372.0</v>
      </c>
      <c r="G11" s="11">
        <f>F11/F$102</f>
        <v>1.6426469797420316E-2</v>
      </c>
      <c r="K11" s="8" t="n">
        <v>25.779057995554705</v>
      </c>
      <c r="L11" s="8" t="n">
        <v>20.17093189295302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1">
        <v>1</v>
      </c>
      <c r="F12" s="291" t="n">
        <v>15640.0</v>
      </c>
      <c r="G12" s="11">
        <f>F12/F$102</f>
        <v>2.9530386952547033E-2</v>
      </c>
      <c r="K12" s="8"/>
      <c r="L12" s="381"/>
    </row>
    <row r="13" spans="1:12" x14ac:dyDescent="0.25">
      <c r="A13">
        <v>2</v>
      </c>
      <c r="B13" s="8" t="n">
        <v>0.0</v>
      </c>
      <c r="C13" s="11">
        <f ref="C13:C76" si="0" t="shared">B13/B$102</f>
        <v>0</v>
      </c>
      <c r="E13" s="202">
        <v>2</v>
      </c>
      <c r="F13" s="292" t="n">
        <v>17954.0</v>
      </c>
      <c r="G13" s="11">
        <f ref="G13:G76" si="1" t="shared">F13/F$102</f>
        <v>3.3932289065920981E-2</v>
      </c>
    </row>
    <row r="14" spans="1:12" x14ac:dyDescent="0.25">
      <c r="A14">
        <v>3</v>
      </c>
      <c r="B14" s="8" t="n">
        <v>527.2528458895</v>
      </c>
      <c r="C14" s="11">
        <f si="0" t="shared"/>
        <v>8.3233246069193542E-4</v>
      </c>
      <c r="E14" s="203">
        <v>3</v>
      </c>
      <c r="F14" s="293" t="n">
        <v>17104.0</v>
      </c>
      <c r="G14" s="11">
        <f si="1" t="shared"/>
        <v>3.2624394066266681E-2</v>
      </c>
    </row>
    <row r="15" spans="1:12" x14ac:dyDescent="0.25">
      <c r="A15">
        <v>4</v>
      </c>
      <c r="B15" s="8" t="n">
        <v>886.6298903696</v>
      </c>
      <c r="C15" s="11">
        <f si="0" t="shared"/>
        <v>1.3996526412851488E-3</v>
      </c>
      <c r="E15" s="204">
        <v>4</v>
      </c>
      <c r="F15" s="294" t="n">
        <v>15326.0</v>
      </c>
      <c r="G15" s="11">
        <f si="1" t="shared"/>
        <v>2.9334490785197932E-2</v>
      </c>
    </row>
    <row r="16" spans="1:12" x14ac:dyDescent="0.25">
      <c r="A16">
        <v>5</v>
      </c>
      <c r="B16" s="8" t="n">
        <v>8559.2940978894</v>
      </c>
      <c r="C16" s="11">
        <f si="0" t="shared"/>
        <v>1.3511882152600666E-2</v>
      </c>
      <c r="E16" s="205">
        <v>5</v>
      </c>
      <c r="F16" s="295" t="n">
        <v>13762.0</v>
      </c>
      <c r="G16" s="11">
        <f si="1" t="shared"/>
        <v>2.6131012283842025E-2</v>
      </c>
    </row>
    <row r="17" spans="1:7" x14ac:dyDescent="0.25">
      <c r="A17">
        <v>6</v>
      </c>
      <c r="B17" s="8" t="n">
        <v>3972.8711322144</v>
      </c>
      <c r="C17" s="11">
        <f si="0" t="shared"/>
        <v>6.2716581451719372E-3</v>
      </c>
      <c r="E17" s="206">
        <v>6</v>
      </c>
      <c r="F17" s="296" t="n">
        <v>12442.0</v>
      </c>
      <c r="G17" s="11">
        <f si="1" t="shared"/>
        <v>2.4079864178657304E-2</v>
      </c>
    </row>
    <row r="18" spans="1:7" x14ac:dyDescent="0.25">
      <c r="A18">
        <v>7</v>
      </c>
      <c r="B18" s="8" t="n">
        <v>4162.4228317919</v>
      </c>
      <c r="C18" s="11">
        <f si="0" t="shared"/>
        <v>6.5708884551980758E-3</v>
      </c>
      <c r="E18" s="207">
        <v>7</v>
      </c>
      <c r="F18" s="297" t="n">
        <v>11280.0</v>
      </c>
      <c r="G18" s="11">
        <f si="1" t="shared"/>
        <v>2.2009510566869731E-2</v>
      </c>
    </row>
    <row r="19" spans="1:7" x14ac:dyDescent="0.25">
      <c r="A19">
        <v>8</v>
      </c>
      <c r="B19" s="8" t="n">
        <v>4172.8143879638</v>
      </c>
      <c r="C19" s="11">
        <f si="0" t="shared"/>
        <v>6.587292784897586E-3</v>
      </c>
      <c r="E19" s="208">
        <v>8</v>
      </c>
      <c r="F19" s="298" t="n">
        <v>10056.0</v>
      </c>
      <c r="G19" s="11">
        <f si="1" t="shared"/>
        <v>1.9637630501417366E-2</v>
      </c>
    </row>
    <row r="20" spans="1:7" x14ac:dyDescent="0.25">
      <c r="A20">
        <v>9</v>
      </c>
      <c r="B20" s="8" t="n">
        <v>4344.9776559826005</v>
      </c>
      <c r="C20" s="11">
        <f si="0" t="shared"/>
        <v>6.8590733501956349E-3</v>
      </c>
      <c r="E20" s="209">
        <v>9</v>
      </c>
      <c r="F20" s="299" t="n">
        <v>9095.0</v>
      </c>
      <c r="G20" s="11">
        <f si="1" t="shared"/>
        <v>1.748661376189781E-2</v>
      </c>
    </row>
    <row r="21" spans="1:7" x14ac:dyDescent="0.25">
      <c r="A21">
        <v>10</v>
      </c>
      <c r="B21" s="8" t="n">
        <v>0.0</v>
      </c>
      <c r="C21" s="11">
        <f si="0" t="shared"/>
        <v>0</v>
      </c>
      <c r="E21" s="210">
        <v>10</v>
      </c>
      <c r="F21" s="300" t="n">
        <v>7922.0</v>
      </c>
      <c r="G21" s="11">
        <f si="1" t="shared"/>
        <v>1.5197317374837713E-2</v>
      </c>
    </row>
    <row r="22" spans="1:7" x14ac:dyDescent="0.25">
      <c r="A22">
        <v>11</v>
      </c>
      <c r="B22" s="8" t="n">
        <v>6468.315849845</v>
      </c>
      <c r="C22" s="11">
        <f si="0" t="shared"/>
        <v>1.021101979781908E-2</v>
      </c>
      <c r="E22" s="211">
        <v>11</v>
      </c>
      <c r="F22" s="301" t="n">
        <v>7005.0</v>
      </c>
      <c r="G22" s="11">
        <f si="1" t="shared"/>
        <v>1.3645512441327178E-2</v>
      </c>
    </row>
    <row r="23" spans="1:7" x14ac:dyDescent="0.25">
      <c r="A23">
        <v>12</v>
      </c>
      <c r="B23" s="8" t="n">
        <v>12661.563359578</v>
      </c>
      <c r="C23" s="11">
        <f si="0" t="shared"/>
        <v>1.998781091357648E-2</v>
      </c>
      <c r="E23" s="212">
        <v>12</v>
      </c>
      <c r="F23" s="302" t="n">
        <v>6289.0</v>
      </c>
      <c r="G23" s="11">
        <f si="1" t="shared"/>
        <v>1.1890129137826397E-2</v>
      </c>
    </row>
    <row r="24" spans="1:7" x14ac:dyDescent="0.25">
      <c r="A24">
        <v>13</v>
      </c>
      <c r="B24" s="8" t="n">
        <v>26356.3620599618</v>
      </c>
      <c r="C24" s="11">
        <f si="0" t="shared"/>
        <v>4.1606708923963051E-2</v>
      </c>
      <c r="E24" s="213">
        <v>13</v>
      </c>
      <c r="F24" s="303" t="n">
        <v>5493.0</v>
      </c>
      <c r="G24" s="11">
        <f si="1" t="shared"/>
        <v>1.0607201296755806E-2</v>
      </c>
    </row>
    <row r="25" spans="1:7" x14ac:dyDescent="0.25">
      <c r="A25">
        <v>14</v>
      </c>
      <c r="B25" s="8" t="n">
        <v>13935.515382141</v>
      </c>
      <c r="C25" s="11">
        <f si="0" t="shared"/>
        <v>2.199889844019659E-2</v>
      </c>
      <c r="E25" s="214">
        <v>14</v>
      </c>
      <c r="F25" s="304" t="n">
        <v>4908.0</v>
      </c>
      <c r="G25" s="11">
        <f si="1" t="shared"/>
        <v>9.2263253720106624E-3</v>
      </c>
    </row>
    <row r="26" spans="1:7" x14ac:dyDescent="0.25">
      <c r="A26">
        <v>15</v>
      </c>
      <c r="B26" s="8" t="n">
        <v>5808.9379166526</v>
      </c>
      <c r="C26" s="11">
        <f si="0" t="shared"/>
        <v>9.1701118881915723E-3</v>
      </c>
      <c r="E26" s="215">
        <v>15</v>
      </c>
      <c r="F26" s="305" t="n">
        <v>4451.0</v>
      </c>
      <c r="G26" s="11">
        <f si="1" t="shared"/>
        <v>8.1546581035714556E-3</v>
      </c>
    </row>
    <row r="27" spans="1:7" x14ac:dyDescent="0.25">
      <c r="A27">
        <v>16</v>
      </c>
      <c r="B27" s="8" t="n">
        <v>23645.11903811</v>
      </c>
      <c r="C27" s="11">
        <f si="0" t="shared"/>
        <v>3.7326683517737567E-2</v>
      </c>
      <c r="E27" s="216">
        <v>16</v>
      </c>
      <c r="F27" s="306" t="n">
        <v>3857.0</v>
      </c>
      <c r="G27" s="11">
        <f si="1" t="shared"/>
        <v>7.3979611434190412E-3</v>
      </c>
    </row>
    <row r="28" spans="1:7" x14ac:dyDescent="0.25">
      <c r="A28">
        <v>17</v>
      </c>
      <c r="B28" s="8" t="n">
        <v>13469.971124835</v>
      </c>
      <c r="C28" s="11">
        <f si="0" t="shared"/>
        <v>2.1263980458690407E-2</v>
      </c>
      <c r="E28" s="217">
        <v>17</v>
      </c>
      <c r="F28" s="307" t="n">
        <v>3489.0</v>
      </c>
      <c r="G28" s="11">
        <f si="1" t="shared"/>
        <v>6.7123245576971831E-3</v>
      </c>
    </row>
    <row r="29" spans="1:7" x14ac:dyDescent="0.25">
      <c r="A29">
        <v>18</v>
      </c>
      <c r="B29" s="8" t="n">
        <v>45572.8232468518</v>
      </c>
      <c r="C29" s="11">
        <f si="0" t="shared"/>
        <v>7.1942219770740543E-2</v>
      </c>
      <c r="E29" s="218">
        <v>18</v>
      </c>
      <c r="F29" s="308" t="n">
        <v>65002.0</v>
      </c>
      <c r="G29" s="11">
        <f si="1" t="shared"/>
        <v>0.12503168908589471</v>
      </c>
    </row>
    <row r="30" spans="1:7" x14ac:dyDescent="0.25">
      <c r="A30">
        <v>19</v>
      </c>
      <c r="B30" s="8" t="n">
        <v>28574.7029328765</v>
      </c>
      <c r="C30" s="11">
        <f si="0" t="shared"/>
        <v>4.5108628604058142E-2</v>
      </c>
      <c r="E30" s="219">
        <v>19</v>
      </c>
      <c r="F30" s="309" t="n">
        <v>17926.0</v>
      </c>
      <c r="G30" s="11">
        <f si="1" t="shared"/>
        <v>3.3726790145270455E-2</v>
      </c>
    </row>
    <row r="31" spans="1:7" x14ac:dyDescent="0.25">
      <c r="A31">
        <v>20</v>
      </c>
      <c r="B31" s="8" t="n">
        <v>39533.4019072637</v>
      </c>
      <c r="C31" s="11">
        <f si="0" t="shared"/>
        <v>6.2408261890903406E-2</v>
      </c>
      <c r="E31" s="220">
        <v>20</v>
      </c>
      <c r="F31" s="310" t="n">
        <v>23191.0</v>
      </c>
      <c r="G31" s="11">
        <f si="1" t="shared"/>
        <v>4.1305283050756314E-2</v>
      </c>
    </row>
    <row r="32" spans="1:7" x14ac:dyDescent="0.25">
      <c r="A32">
        <v>21</v>
      </c>
      <c r="B32" s="8" t="n">
        <v>37709.8270370349</v>
      </c>
      <c r="C32" s="11">
        <f si="0" t="shared"/>
        <v>5.9529528147071485E-2</v>
      </c>
      <c r="E32" s="221">
        <v>21</v>
      </c>
      <c r="F32" s="311" t="n">
        <v>26338.0</v>
      </c>
      <c r="G32" s="11">
        <f si="1" t="shared"/>
        <v>5.1102011968871715E-2</v>
      </c>
    </row>
    <row r="33" spans="1:7" x14ac:dyDescent="0.25">
      <c r="A33">
        <v>22</v>
      </c>
      <c r="B33" s="8" t="n">
        <v>35486.283218125</v>
      </c>
      <c r="C33" s="11">
        <f si="0" t="shared"/>
        <v>5.601939498671394E-2</v>
      </c>
      <c r="E33" s="222">
        <v>22</v>
      </c>
      <c r="F33" s="312" t="n">
        <v>23258.0</v>
      </c>
      <c r="G33" s="11">
        <f si="1" t="shared"/>
        <v>4.6181561177220734E-2</v>
      </c>
    </row>
    <row r="34" spans="1:7" x14ac:dyDescent="0.25">
      <c r="A34">
        <v>23</v>
      </c>
      <c r="B34" s="8" t="n">
        <v>28011.525098737002</v>
      </c>
      <c r="C34" s="11">
        <f si="0" t="shared"/>
        <v>4.4219584199365218E-2</v>
      </c>
      <c r="E34" s="223">
        <v>23</v>
      </c>
      <c r="F34" s="313" t="n">
        <v>17768.0</v>
      </c>
      <c r="G34" s="11">
        <f si="1" t="shared"/>
        <v>3.2935523273232903E-2</v>
      </c>
    </row>
    <row r="35" spans="1:7" x14ac:dyDescent="0.25">
      <c r="A35">
        <v>24</v>
      </c>
      <c r="B35" s="8" t="n">
        <v>37561.2640949851</v>
      </c>
      <c r="C35" s="11">
        <f si="0" t="shared"/>
        <v>5.9295003554007721E-2</v>
      </c>
      <c r="E35" s="224">
        <v>24</v>
      </c>
      <c r="F35" s="314" t="n">
        <v>15259.0</v>
      </c>
      <c r="G35" s="11">
        <f si="1" t="shared"/>
        <v>2.9607208978958448E-2</v>
      </c>
    </row>
    <row r="36" spans="1:7" x14ac:dyDescent="0.25">
      <c r="A36">
        <v>25</v>
      </c>
      <c r="B36" s="8" t="n">
        <v>9821.8478468889</v>
      </c>
      <c r="C36" s="11">
        <f si="0" t="shared"/>
        <v>1.5504976124218259E-2</v>
      </c>
      <c r="E36" s="225">
        <v>25</v>
      </c>
      <c r="F36" s="315" t="n">
        <v>18704.0</v>
      </c>
      <c r="G36" s="11">
        <f si="1" t="shared"/>
        <v>3.39822233830884E-2</v>
      </c>
    </row>
    <row r="37" spans="1:7" x14ac:dyDescent="0.25">
      <c r="A37">
        <v>26</v>
      </c>
      <c r="B37" s="8" t="n">
        <v>45763.924449882</v>
      </c>
      <c r="C37" s="11">
        <f si="0" t="shared"/>
        <v>7.2243896159591453E-2</v>
      </c>
      <c r="E37" s="226">
        <v>26</v>
      </c>
      <c r="F37" s="316" t="n">
        <v>11950.0</v>
      </c>
      <c r="G37" s="11">
        <f si="1" t="shared"/>
        <v>2.2910248826543547E-2</v>
      </c>
    </row>
    <row r="38" spans="1:7" x14ac:dyDescent="0.25">
      <c r="A38">
        <v>27</v>
      </c>
      <c r="B38" s="8" t="n">
        <v>7975.120440748</v>
      </c>
      <c r="C38" s="11">
        <f si="0" t="shared"/>
        <v>1.2589693298978412E-2</v>
      </c>
      <c r="E38" s="227">
        <v>27</v>
      </c>
      <c r="F38" s="317" t="n">
        <v>9067.0</v>
      </c>
      <c r="G38" s="11">
        <f si="1" t="shared"/>
        <v>1.8310529995160214E-2</v>
      </c>
    </row>
    <row r="39" spans="1:7" x14ac:dyDescent="0.25">
      <c r="A39">
        <v>28</v>
      </c>
      <c r="B39" s="8" t="n">
        <v>12207.0573637756</v>
      </c>
      <c r="C39" s="11">
        <f si="0" t="shared"/>
        <v>1.9270318164443492E-2</v>
      </c>
      <c r="E39" s="228">
        <v>28</v>
      </c>
      <c r="F39" s="318" t="n">
        <v>10390.0</v>
      </c>
      <c r="G39" s="11">
        <f si="1" t="shared"/>
        <v>1.7311843651811848E-2</v>
      </c>
    </row>
    <row r="40" spans="1:7" x14ac:dyDescent="0.25">
      <c r="A40">
        <v>29</v>
      </c>
      <c r="B40" s="8" t="n">
        <v>15524.0097012084</v>
      </c>
      <c r="C40" s="11">
        <f si="0" t="shared"/>
        <v>2.4506529068825996E-2</v>
      </c>
      <c r="E40" s="229">
        <v>29</v>
      </c>
      <c r="F40" s="319" t="n">
        <v>7314.0</v>
      </c>
      <c r="G40" s="11">
        <f si="1" t="shared"/>
        <v>1.7473169907275814E-2</v>
      </c>
    </row>
    <row r="41" spans="1:7" x14ac:dyDescent="0.25">
      <c r="A41">
        <v>30</v>
      </c>
      <c r="B41" s="8" t="n">
        <v>5887.0221298197</v>
      </c>
      <c r="C41" s="11">
        <f si="0" t="shared"/>
        <v>9.2933772736574806E-3</v>
      </c>
      <c r="E41" s="230">
        <v>30</v>
      </c>
      <c r="F41" s="320" t="n">
        <v>17133.0</v>
      </c>
      <c r="G41" s="11">
        <f si="1" t="shared"/>
        <v>3.0192976930345467E-2</v>
      </c>
    </row>
    <row r="42" spans="1:7" x14ac:dyDescent="0.25">
      <c r="A42">
        <v>31</v>
      </c>
      <c r="B42" s="8" t="n">
        <v>11222.4034608689</v>
      </c>
      <c r="C42" s="11">
        <f si="0" t="shared"/>
        <v>1.7715922749936778E-2</v>
      </c>
      <c r="E42" s="231">
        <v>31</v>
      </c>
      <c r="F42" s="321" t="n">
        <v>7840.0</v>
      </c>
      <c r="G42" s="11">
        <f si="1" t="shared"/>
        <v>1.4961089643622619E-2</v>
      </c>
    </row>
    <row r="43" spans="1:7" x14ac:dyDescent="0.25">
      <c r="A43">
        <v>32</v>
      </c>
      <c r="B43" s="8" t="n">
        <v>4760.8209065597</v>
      </c>
      <c r="C43" s="11">
        <f si="0" t="shared"/>
        <v>7.5155322744353903E-3</v>
      </c>
      <c r="E43" s="232">
        <v>32</v>
      </c>
      <c r="F43" s="322" t="n">
        <v>10206.0</v>
      </c>
      <c r="G43" s="11">
        <f si="1" t="shared"/>
        <v>1.907875025927434E-2</v>
      </c>
    </row>
    <row r="44" spans="1:7" x14ac:dyDescent="0.25">
      <c r="A44">
        <v>33</v>
      </c>
      <c r="B44" s="8" t="n">
        <v>11659.941001532801</v>
      </c>
      <c r="C44" s="11">
        <f si="0" t="shared"/>
        <v>1.8406628737974644E-2</v>
      </c>
      <c r="E44" s="233">
        <v>33</v>
      </c>
      <c r="F44" s="323" t="n">
        <v>5652.0</v>
      </c>
      <c r="G44" s="11">
        <f si="1" t="shared"/>
        <v>1.1367739358228792E-2</v>
      </c>
    </row>
    <row r="45" spans="1:7" x14ac:dyDescent="0.25">
      <c r="A45">
        <v>34</v>
      </c>
      <c r="B45" s="8" t="n">
        <v>8295.3601253017</v>
      </c>
      <c r="C45" s="11">
        <f si="0" t="shared"/>
        <v>1.3095230417903043E-2</v>
      </c>
      <c r="E45" s="234">
        <v>34</v>
      </c>
      <c r="F45" s="324" t="n">
        <v>8245.0</v>
      </c>
      <c r="G45" s="11">
        <f si="1" t="shared"/>
        <v>1.771707984113205E-2</v>
      </c>
    </row>
    <row r="46" spans="1:7" x14ac:dyDescent="0.25">
      <c r="A46">
        <v>35</v>
      </c>
      <c r="B46" s="8" t="n">
        <v>8421.5320857126</v>
      </c>
      <c r="C46" s="11">
        <f si="0" t="shared"/>
        <v>1.329440813519343E-2</v>
      </c>
      <c r="E46" s="235">
        <v>35</v>
      </c>
      <c r="F46" s="325" t="n">
        <v>4641.0</v>
      </c>
      <c r="G46" s="11">
        <f si="1" t="shared"/>
        <v>9.0131442487189923E-3</v>
      </c>
    </row>
    <row r="47" spans="1:7" x14ac:dyDescent="0.25">
      <c r="A47">
        <v>36</v>
      </c>
      <c r="B47" s="8" t="n">
        <v>1286.25466707</v>
      </c>
      <c r="C47" s="11">
        <f si="0" t="shared"/>
        <v>2.0305087406644945E-3</v>
      </c>
      <c r="E47" s="236">
        <v>36</v>
      </c>
      <c r="F47" s="326" t="n">
        <v>3818.0</v>
      </c>
      <c r="G47" s="11">
        <f si="1" t="shared"/>
        <v>7.8224028393420967E-3</v>
      </c>
    </row>
    <row r="48" spans="1:7" x14ac:dyDescent="0.25">
      <c r="A48">
        <v>37</v>
      </c>
      <c r="B48" s="8" t="n">
        <v>11688.1619787457</v>
      </c>
      <c r="C48" s="11">
        <f si="0" t="shared"/>
        <v>1.8451178967698139E-2</v>
      </c>
      <c r="E48" s="237">
        <v>37</v>
      </c>
      <c r="F48" s="327" t="n">
        <v>4921.0</v>
      </c>
      <c r="G48" s="11">
        <f si="1" t="shared"/>
        <v>9.5547395349194521E-3</v>
      </c>
    </row>
    <row r="49" spans="1:7" x14ac:dyDescent="0.25">
      <c r="A49">
        <v>38</v>
      </c>
      <c r="B49" s="8" t="n">
        <v>9089.8752767496</v>
      </c>
      <c r="C49" s="11">
        <f si="0" t="shared"/>
        <v>1.4349468789904642E-2</v>
      </c>
      <c r="E49" s="238">
        <v>38</v>
      </c>
      <c r="F49" s="328" t="n">
        <v>6667.0</v>
      </c>
      <c r="G49" s="11">
        <f si="1" t="shared"/>
        <v>1.1751849490285855E-2</v>
      </c>
    </row>
    <row r="50" spans="1:7" x14ac:dyDescent="0.25">
      <c r="A50">
        <v>39</v>
      </c>
      <c r="B50" s="8" t="n">
        <v>4978.0318499464</v>
      </c>
      <c r="C50" s="11">
        <f si="0" t="shared"/>
        <v>7.8584260499886815E-3</v>
      </c>
      <c r="E50" s="239">
        <v>39</v>
      </c>
      <c r="F50" s="329" t="n">
        <v>3867.0</v>
      </c>
      <c r="G50" s="11">
        <f si="1" t="shared"/>
        <v>6.8275575973143019E-3</v>
      </c>
    </row>
    <row r="51" spans="1:7" x14ac:dyDescent="0.25">
      <c r="A51">
        <v>40</v>
      </c>
      <c r="B51" s="8" t="n">
        <v>8490.257518155</v>
      </c>
      <c r="C51" s="11">
        <f si="0" t="shared"/>
        <v>1.3402899552058893E-2</v>
      </c>
      <c r="E51" s="240">
        <v>40</v>
      </c>
      <c r="F51" s="330" t="n">
        <v>3410.0</v>
      </c>
      <c r="G51" s="11">
        <f si="1" t="shared"/>
        <v>5.8941699764156379E-3</v>
      </c>
    </row>
    <row r="52" spans="1:7" x14ac:dyDescent="0.25">
      <c r="A52">
        <v>41</v>
      </c>
      <c r="B52" s="8" t="n">
        <v>11066.512236333</v>
      </c>
      <c r="C52" s="11">
        <f si="0" t="shared"/>
        <v>1.7469829575609108E-2</v>
      </c>
      <c r="E52" s="241">
        <v>41</v>
      </c>
      <c r="F52" s="331" t="n">
        <v>2275.0</v>
      </c>
      <c r="G52" s="11">
        <f si="1" t="shared"/>
        <v>5.2757526638037662E-3</v>
      </c>
    </row>
    <row r="53" spans="1:7" x14ac:dyDescent="0.25">
      <c r="A53">
        <v>42</v>
      </c>
      <c r="B53" s="8" t="n">
        <v>526.7772426363</v>
      </c>
      <c r="C53" s="11">
        <f si="0" t="shared"/>
        <v>8.3158166336739711E-4</v>
      </c>
      <c r="E53" s="242">
        <v>42</v>
      </c>
      <c r="F53" s="332" t="n">
        <v>2304.0</v>
      </c>
      <c r="G53" s="11">
        <f si="1" t="shared"/>
        <v>3.3475198008773074E-3</v>
      </c>
    </row>
    <row r="54" spans="1:7" x14ac:dyDescent="0.25">
      <c r="A54">
        <v>43</v>
      </c>
      <c r="B54" s="8" t="n">
        <v>547.579521264</v>
      </c>
      <c r="C54" s="11">
        <f si="0" t="shared"/>
        <v>8.6442057906633966E-4</v>
      </c>
      <c r="E54" s="243">
        <v>43</v>
      </c>
      <c r="F54" s="333" t="n">
        <v>2461.0</v>
      </c>
      <c r="G54" s="11">
        <f si="1" t="shared"/>
        <v>5.0107166726843918E-3</v>
      </c>
    </row>
    <row r="55" spans="1:7" x14ac:dyDescent="0.25">
      <c r="A55">
        <v>44</v>
      </c>
      <c r="B55" s="8" t="n">
        <v>1217.9259863759999</v>
      </c>
      <c r="C55" s="11">
        <f si="0" t="shared"/>
        <v>1.9226436444753504E-3</v>
      </c>
      <c r="E55" s="244">
        <v>44</v>
      </c>
      <c r="F55" s="334" t="n">
        <v>2048.0</v>
      </c>
      <c r="G55" s="11">
        <f si="1" t="shared"/>
        <v>4.6208448886464731E-3</v>
      </c>
    </row>
    <row r="56" spans="1:7" x14ac:dyDescent="0.25">
      <c r="A56">
        <v>45</v>
      </c>
      <c r="B56" s="8" t="n">
        <v>31799.0221145027</v>
      </c>
      <c r="C56" s="11">
        <f si="0" t="shared"/>
        <v>5.019860685533075E-2</v>
      </c>
      <c r="E56" s="245">
        <v>45</v>
      </c>
      <c r="F56" s="335" t="n">
        <v>1516.0</v>
      </c>
      <c r="G56" s="11">
        <f si="1" t="shared"/>
        <v>3.9083205936806201E-3</v>
      </c>
    </row>
    <row r="57" spans="1:7" x14ac:dyDescent="0.25">
      <c r="A57">
        <v>46</v>
      </c>
      <c r="B57" s="8" t="n">
        <v>2851.903035022</v>
      </c>
      <c r="C57" s="11">
        <f si="0" t="shared"/>
        <v>4.5020742691109904E-3</v>
      </c>
      <c r="E57" s="246">
        <v>46</v>
      </c>
      <c r="F57" s="336" t="n">
        <v>1793.0</v>
      </c>
      <c r="G57" s="11">
        <f si="1" t="shared"/>
        <v>3.4569911885135706E-3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1511.0</v>
      </c>
      <c r="G58" s="11">
        <f si="1" t="shared"/>
        <v>2.5908228407248925E-3</v>
      </c>
    </row>
    <row r="59" spans="1:7" x14ac:dyDescent="0.25">
      <c r="A59">
        <v>48</v>
      </c>
      <c r="B59" s="8" t="n">
        <v>52.3478374182</v>
      </c>
      <c r="C59" s="11">
        <f si="0" t="shared"/>
        <v>8.263740000622625E-5</v>
      </c>
      <c r="E59" s="248">
        <v>48</v>
      </c>
      <c r="F59" s="338" t="n">
        <v>1343.0</v>
      </c>
      <c r="G59" s="11">
        <f si="1" t="shared"/>
        <v>2.4967158583709122E-3</v>
      </c>
    </row>
    <row r="60" spans="1:7" x14ac:dyDescent="0.25">
      <c r="A60">
        <v>49</v>
      </c>
      <c r="B60" s="8" t="n">
        <v>214.103131579</v>
      </c>
      <c r="C60" s="11">
        <f si="0" t="shared"/>
        <v>3.3798771829928815E-4</v>
      </c>
      <c r="E60" s="249">
        <v>49</v>
      </c>
      <c r="F60" s="339" t="n">
        <v>2289.0</v>
      </c>
      <c r="G60" s="11">
        <f si="1" t="shared"/>
        <v>3.8161341619869248E-3</v>
      </c>
    </row>
    <row r="61" spans="1:7" x14ac:dyDescent="0.25">
      <c r="A61">
        <v>50</v>
      </c>
      <c r="B61" s="8" t="n">
        <v>1767.383302078</v>
      </c>
      <c r="C61" s="11">
        <f si="0" t="shared"/>
        <v>2.7900285494385328E-3</v>
      </c>
      <c r="E61" s="250">
        <v>50</v>
      </c>
      <c r="F61" s="340" t="n">
        <v>901.0</v>
      </c>
      <c r="G61" s="11">
        <f si="1" t="shared"/>
        <v>1.6055803519985251E-3</v>
      </c>
    </row>
    <row r="62" spans="1:7" x14ac:dyDescent="0.25">
      <c r="A62">
        <v>51</v>
      </c>
      <c r="B62" s="8" t="n">
        <v>280.077627348</v>
      </c>
      <c r="C62" s="11">
        <f si="0" t="shared"/>
        <v>4.4213644852317372E-4</v>
      </c>
      <c r="E62" s="251">
        <v>51</v>
      </c>
      <c r="F62" s="341" t="n">
        <v>1078.0</v>
      </c>
      <c r="G62" s="11">
        <f si="1" t="shared"/>
        <v>2.1356523342372724E-3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2">
        <v>52</v>
      </c>
      <c r="F63" s="342" t="n">
        <v>716.0</v>
      </c>
      <c r="G63" s="11">
        <f si="1" t="shared"/>
        <v>1.4096841846494227E-3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3">
        <v>53</v>
      </c>
      <c r="F64" s="343" t="n">
        <v>577.0</v>
      </c>
      <c r="G64" s="11">
        <f si="1" t="shared"/>
        <v>1.2118674666400349E-3</v>
      </c>
    </row>
    <row r="65" spans="1:7" x14ac:dyDescent="0.25">
      <c r="A65">
        <v>54</v>
      </c>
      <c r="B65" s="8" t="n">
        <v>326.758764277</v>
      </c>
      <c r="C65" s="11">
        <f si="0" t="shared"/>
        <v>5.1582827564354301E-4</v>
      </c>
      <c r="E65" s="254">
        <v>54</v>
      </c>
      <c r="F65" s="344" t="n">
        <v>792.0</v>
      </c>
      <c r="G65" s="11">
        <f si="1" t="shared"/>
        <v>1.3501471141805779E-3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5">
        <v>55</v>
      </c>
      <c r="F66" s="345" t="n">
        <v>567.0</v>
      </c>
      <c r="G66" s="11">
        <f si="1" t="shared"/>
        <v>1.0063685459895061E-3</v>
      </c>
    </row>
    <row r="67" spans="1:7" x14ac:dyDescent="0.25">
      <c r="A67">
        <v>56</v>
      </c>
      <c r="B67" s="8" t="n">
        <v>232.8335313258</v>
      </c>
      <c r="C67" s="11">
        <f si="0" t="shared"/>
        <v>3.6755592230717116E-4</v>
      </c>
      <c r="E67" s="256">
        <v>56</v>
      </c>
      <c r="F67" s="346" t="n">
        <v>771.0</v>
      </c>
      <c r="G67" s="11">
        <f si="1" t="shared"/>
        <v>1.3904786780465695E-3</v>
      </c>
    </row>
    <row r="68" spans="1:7" x14ac:dyDescent="0.25">
      <c r="A68">
        <v>57</v>
      </c>
      <c r="B68" s="8" t="n">
        <v>1954.083490471</v>
      </c>
      <c r="C68" s="11">
        <f si="0" t="shared"/>
        <v>3.0847574037790575E-3</v>
      </c>
      <c r="E68" s="257">
        <v>57</v>
      </c>
      <c r="F68" s="347" t="n">
        <v>455.0</v>
      </c>
      <c r="G68" s="11">
        <f si="1" t="shared"/>
        <v>1.1984236120180377E-3</v>
      </c>
    </row>
    <row r="69" spans="1:7" x14ac:dyDescent="0.25">
      <c r="A69">
        <v>58</v>
      </c>
      <c r="B69" s="8" t="n">
        <v>2200.592978766</v>
      </c>
      <c r="C69" s="11">
        <f si="0" t="shared"/>
        <v>3.4739024801424536E-3</v>
      </c>
      <c r="E69" s="258">
        <v>58</v>
      </c>
      <c r="F69" s="348" t="n">
        <v>320.0</v>
      </c>
      <c r="G69" s="11">
        <f si="1" t="shared"/>
        <v>7.5477640949212963E-4</v>
      </c>
    </row>
    <row r="70" spans="1:7" x14ac:dyDescent="0.25">
      <c r="A70">
        <v>59</v>
      </c>
      <c r="B70" s="8" t="n">
        <v>97.2587813793</v>
      </c>
      <c r="C70" s="11">
        <f si="0" t="shared"/>
        <v>1.5353476317944305E-4</v>
      </c>
      <c r="E70" s="259">
        <v>59</v>
      </c>
      <c r="F70" s="349" t="n">
        <v>299.0</v>
      </c>
      <c r="G70" s="11">
        <f si="1" t="shared"/>
        <v>6.1073510997073082E-4</v>
      </c>
    </row>
    <row r="71" spans="1:7" x14ac:dyDescent="0.25">
      <c r="A71">
        <v>60</v>
      </c>
      <c r="B71" s="8" t="n">
        <v>1985.7672183407</v>
      </c>
      <c r="C71" s="11">
        <f si="0" t="shared"/>
        <v>3.1347740047083352E-3</v>
      </c>
      <c r="E71" s="260">
        <v>60</v>
      </c>
      <c r="F71" s="350" t="n">
        <v>392.0</v>
      </c>
      <c r="G71" s="11">
        <f si="1" t="shared"/>
        <v>4.6861436110961737E-4</v>
      </c>
    </row>
    <row r="72" spans="1:7" x14ac:dyDescent="0.25">
      <c r="A72">
        <v>61</v>
      </c>
      <c r="B72" s="8" t="n">
        <v>711.387405665</v>
      </c>
      <c r="C72" s="11">
        <f si="0" t="shared"/>
        <v>1.1230111595955125E-3</v>
      </c>
      <c r="E72" s="261">
        <v>61</v>
      </c>
      <c r="F72" s="351" t="n">
        <v>246.0</v>
      </c>
      <c r="G72" s="11">
        <f si="1" t="shared"/>
        <v>6.0113235666930422E-4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2">
        <v>62</v>
      </c>
      <c r="F73" s="352" t="n">
        <v>238.0</v>
      </c>
      <c r="G73" s="11">
        <f si="1" t="shared"/>
        <v>4.5324995582733484E-4</v>
      </c>
    </row>
    <row r="74" spans="1:7" x14ac:dyDescent="0.25">
      <c r="A74">
        <v>63</v>
      </c>
      <c r="B74" s="8" t="n">
        <v>110.470897351</v>
      </c>
      <c r="C74" s="11">
        <f si="0" t="shared"/>
        <v>1.7439168805600782E-4</v>
      </c>
      <c r="E74" s="263">
        <v>63</v>
      </c>
      <c r="F74" s="353" t="n">
        <v>194.0</v>
      </c>
      <c r="G74" s="11">
        <f si="1" t="shared"/>
        <v>3.7834848007620744E-4</v>
      </c>
    </row>
    <row r="75" spans="1:7" x14ac:dyDescent="0.25">
      <c r="A75">
        <v>64</v>
      </c>
      <c r="B75" s="8" t="n">
        <v>111.109208251</v>
      </c>
      <c r="C75" s="11">
        <f si="0" t="shared"/>
        <v>1.7539933910279765E-4</v>
      </c>
      <c r="E75" s="264">
        <v>64</v>
      </c>
      <c r="F75" s="354" t="n">
        <v>192.0</v>
      </c>
      <c r="G75" s="11">
        <f si="1" t="shared"/>
        <v>3.7642792941592213E-4</v>
      </c>
    </row>
    <row r="76" spans="1:7" x14ac:dyDescent="0.25">
      <c r="A76">
        <v>65</v>
      </c>
      <c r="B76" s="8" t="n">
        <v>77.4485081528</v>
      </c>
      <c r="C76" s="11">
        <f si="0" t="shared"/>
        <v>1.22261848125234E-4</v>
      </c>
      <c r="E76" s="265">
        <v>65</v>
      </c>
      <c r="F76" s="355" t="n">
        <v>177.0</v>
      </c>
      <c r="G76" s="11">
        <f si="1" t="shared"/>
        <v>2.9576480168393881E-4</v>
      </c>
    </row>
    <row r="77" spans="1:7" x14ac:dyDescent="0.25">
      <c r="A77">
        <v>66</v>
      </c>
      <c r="B77" s="8" t="n">
        <v>4.59375</v>
      </c>
      <c r="C77" s="11">
        <f ref="C77:C102" si="2" t="shared">B77/B$102</f>
        <v>7.2517906183192063E-6</v>
      </c>
      <c r="E77" s="266">
        <v>66</v>
      </c>
      <c r="F77" s="356" t="n">
        <v>138.0</v>
      </c>
      <c r="G77" s="11">
        <f ref="G77:G102" si="3" t="shared">F77/F$102</f>
        <v>2.3238662989452335E-4</v>
      </c>
    </row>
    <row r="78" spans="1:7" x14ac:dyDescent="0.25">
      <c r="A78">
        <v>67</v>
      </c>
      <c r="B78" s="8" t="n">
        <v>5478.798556153</v>
      </c>
      <c r="C78" s="11">
        <f si="2" t="shared"/>
        <v>8.6489469320644666E-3</v>
      </c>
      <c r="E78" s="267">
        <v>67</v>
      </c>
      <c r="F78" s="357" t="n">
        <v>94.0</v>
      </c>
      <c r="G78" s="11">
        <f si="3" t="shared"/>
        <v>2.381482818753793E-4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126.0</v>
      </c>
      <c r="G79" s="11">
        <f si="3" t="shared"/>
        <v>1.8629341404767576E-4</v>
      </c>
    </row>
    <row r="80" spans="1:7" x14ac:dyDescent="0.25">
      <c r="A80">
        <v>69</v>
      </c>
      <c r="B80" s="8" t="n">
        <v>1506.324996334</v>
      </c>
      <c r="C80" s="11">
        <f si="2" t="shared"/>
        <v>2.3779164030595075E-3</v>
      </c>
      <c r="E80" s="269">
        <v>69</v>
      </c>
      <c r="F80" s="359" t="n">
        <v>97.0</v>
      </c>
      <c r="G80" s="11">
        <f si="3" t="shared"/>
        <v>1.478824008419694E-4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64.0</v>
      </c>
      <c r="G81" s="11">
        <f si="3" t="shared"/>
        <v>3.3417581488964516E-4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153.0</v>
      </c>
      <c r="G82" s="11">
        <f si="3" t="shared"/>
        <v>1.2483579291854561E-4</v>
      </c>
    </row>
    <row r="83" spans="1:7" x14ac:dyDescent="0.25">
      <c r="A83">
        <v>72</v>
      </c>
      <c r="B83" s="8" t="n">
        <v>618.016967959</v>
      </c>
      <c r="C83" s="11">
        <f si="2" t="shared"/>
        <v>9.756146177321704E-4</v>
      </c>
      <c r="E83" s="272">
        <v>72</v>
      </c>
      <c r="F83" s="362" t="n">
        <v>61.0</v>
      </c>
      <c r="G83" s="11">
        <f si="3" t="shared"/>
        <v>1.1715359027740434E-4</v>
      </c>
    </row>
    <row r="84" spans="1:7" x14ac:dyDescent="0.25">
      <c r="A84">
        <v>73</v>
      </c>
      <c r="B84" s="8" t="n">
        <v>767.701778901</v>
      </c>
      <c r="C84" s="11">
        <f si="2" t="shared"/>
        <v>1.2119102166859837E-3</v>
      </c>
      <c r="E84" s="273">
        <v>73</v>
      </c>
      <c r="F84" s="363" t="n">
        <v>45.0</v>
      </c>
      <c r="G84" s="11">
        <f si="3" t="shared"/>
        <v>1.0755083697597775E-4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55.0</v>
      </c>
      <c r="G85" s="11">
        <f si="3" t="shared"/>
        <v>1.0370973565540712E-4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46.0</v>
      </c>
      <c r="G86" s="11">
        <f si="3" t="shared"/>
        <v>9.6027533014265856E-5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44.0</v>
      </c>
      <c r="G87" s="11">
        <f si="3" t="shared"/>
        <v>5.3775418487988877E-5</v>
      </c>
    </row>
    <row r="88" spans="1:7" x14ac:dyDescent="0.25">
      <c r="A88">
        <v>77</v>
      </c>
      <c r="B88" s="8" t="n">
        <v>103.884081167</v>
      </c>
      <c r="C88" s="11">
        <f si="2" t="shared"/>
        <v>1.6399360113187735E-4</v>
      </c>
      <c r="E88" s="277">
        <v>77</v>
      </c>
      <c r="F88" s="367" t="n">
        <v>32.0</v>
      </c>
      <c r="G88" s="11">
        <f si="3" t="shared"/>
        <v>5.5695969148274193E-5</v>
      </c>
    </row>
    <row r="89" spans="1:7" x14ac:dyDescent="0.25">
      <c r="A89">
        <v>78</v>
      </c>
      <c r="B89" s="8" t="n">
        <v>552.1879851022</v>
      </c>
      <c r="C89" s="11">
        <f si="2" t="shared"/>
        <v>8.7169559725991169E-4</v>
      </c>
      <c r="E89" s="278">
        <v>78</v>
      </c>
      <c r="F89" s="368" t="n">
        <v>22.0</v>
      </c>
      <c r="G89" s="11">
        <f si="3" t="shared"/>
        <v>3.2649361224850391E-5</v>
      </c>
    </row>
    <row r="90" spans="1:7" x14ac:dyDescent="0.25">
      <c r="A90">
        <v>79</v>
      </c>
      <c r="B90" s="8" t="n">
        <v>3617.977487135</v>
      </c>
      <c r="C90" s="11">
        <f si="2" t="shared"/>
        <v>5.7114155534140273E-3</v>
      </c>
      <c r="E90" s="279">
        <v>79</v>
      </c>
      <c r="F90" s="369" t="n">
        <v>23.0</v>
      </c>
      <c r="G90" s="11">
        <f si="3" t="shared"/>
        <v>3.841101320570634E-5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23.0</v>
      </c>
      <c r="G91" s="11">
        <f si="3" t="shared"/>
        <v>4.4172665186562289E-5</v>
      </c>
    </row>
    <row r="92" spans="1:7" x14ac:dyDescent="0.25">
      <c r="A92">
        <v>81</v>
      </c>
      <c r="B92" s="8" t="n">
        <v>761.4660318990001</v>
      </c>
      <c r="C92" s="11">
        <f si="2" t="shared"/>
        <v>1.2020663349755476E-3</v>
      </c>
      <c r="E92" s="281">
        <v>81</v>
      </c>
      <c r="F92" s="371" t="n">
        <v>20.0</v>
      </c>
      <c r="G92" s="11">
        <f si="3" t="shared"/>
        <v>2.3046607923423803E-5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6.0</v>
      </c>
      <c r="G93" s="11">
        <f si="3" t="shared"/>
        <v>2.6887709243994439E-5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19.0</v>
      </c>
      <c r="G94" s="11">
        <f si="3" t="shared"/>
        <v>1.1523303961711901E-5</v>
      </c>
    </row>
    <row r="95" spans="1:7" x14ac:dyDescent="0.25">
      <c r="A95">
        <v>84</v>
      </c>
      <c r="B95" s="8" t="n">
        <v>470.638625</v>
      </c>
      <c r="C95" s="11">
        <f si="2" t="shared"/>
        <v>7.4296005777276756E-4</v>
      </c>
      <c r="E95" s="284">
        <v>84</v>
      </c>
      <c r="F95" s="374" t="n">
        <v>15.0</v>
      </c>
      <c r="G95" s="11">
        <f si="3" t="shared"/>
        <v>2.6887709243994439E-5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12.0</v>
      </c>
      <c r="G96" s="11">
        <f si="3" t="shared"/>
        <v>1.920550660285317E-5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7.0</v>
      </c>
      <c r="G97" s="11">
        <f si="3" t="shared"/>
        <v>1.920550660285317E-5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7.0</v>
      </c>
      <c r="G98" s="11">
        <f si="3" t="shared"/>
        <v>1.3443854621997219E-5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9.0</v>
      </c>
      <c r="G99" s="11">
        <f si="3" t="shared"/>
        <v>1.1523303961711901E-5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8.0</v>
      </c>
      <c r="G100" s="11">
        <f si="3" t="shared"/>
        <v>1.920550660285317E-5</v>
      </c>
    </row>
    <row ht="15.75" r="101" spans="1:7" thickBot="1" x14ac:dyDescent="0.3">
      <c r="A101" s="1">
        <v>90</v>
      </c>
      <c r="B101" s="9" t="n">
        <v>2957.8065042821</v>
      </c>
      <c r="C101" s="11">
        <f si="2" t="shared"/>
        <v>4.6692557188694334E-3</v>
      </c>
      <c r="E101" s="382">
        <v>90</v>
      </c>
      <c r="F101" s="382" t="n">
        <v>33.0</v>
      </c>
      <c r="G101" s="11">
        <f si="3" t="shared"/>
        <v>6.1457621129130149E-5</v>
      </c>
    </row>
    <row r="102" spans="1:7" x14ac:dyDescent="0.25">
      <c r="B102" s="8">
        <f>SUM(B11:B101)</f>
        <v>633464.23549453262</v>
      </c>
      <c r="C102" s="11">
        <f si="2" t="shared"/>
        <v>1</v>
      </c>
      <c r="F102" s="8">
        <f>SUM(F11:F101)</f>
        <v>520684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430" t="n">
        <v>0.0</v>
      </c>
      <c r="N7" s="430" t="n">
        <v>0.0</v>
      </c>
      <c r="O7" s="430" t="n">
        <v>0.0</v>
      </c>
      <c r="P7" s="430" t="n">
        <v>0.0</v>
      </c>
      <c r="Q7" s="430" t="n">
        <v>0.0</v>
      </c>
      <c r="R7" s="430" t="n">
        <v>0.0</v>
      </c>
      <c r="S7" s="430" t="n">
        <v>0.0</v>
      </c>
      <c r="T7" s="430"/>
      <c r="U7" s="431">
        <f>SUM(M7:T7)</f>
        <v>0</v>
      </c>
    </row>
    <row r="8" spans="1:21" x14ac:dyDescent="0.2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430" t="n">
        <v>0.0</v>
      </c>
      <c r="N8" s="430" t="n">
        <v>0.0</v>
      </c>
      <c r="O8" s="430" t="n">
        <v>0.0</v>
      </c>
      <c r="P8" s="430" t="n">
        <v>0.0</v>
      </c>
      <c r="Q8" s="430" t="n">
        <v>0.0</v>
      </c>
      <c r="R8" s="430" t="n">
        <v>0.0</v>
      </c>
      <c r="S8" s="430" t="n">
        <v>0.0</v>
      </c>
      <c r="T8" s="430"/>
      <c r="U8" s="431">
        <f ref="U8:U14" si="1" t="shared">SUM(M8:T8)</f>
        <v>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430" t="n">
        <v>0.0</v>
      </c>
      <c r="N9" s="430" t="n">
        <v>0.0</v>
      </c>
      <c r="O9" s="430" t="n">
        <v>0.0</v>
      </c>
      <c r="P9" s="430" t="n">
        <v>0.0</v>
      </c>
      <c r="Q9" s="430" t="n">
        <v>0.0</v>
      </c>
      <c r="R9" s="430" t="n">
        <v>0.0</v>
      </c>
      <c r="S9" s="430" t="n">
        <v>0.0</v>
      </c>
      <c r="T9" s="430"/>
      <c r="U9" s="431">
        <f si="1" t="shared"/>
        <v>0</v>
      </c>
    </row>
    <row r="10" spans="1:21" x14ac:dyDescent="0.2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430" t="n">
        <v>0.0</v>
      </c>
      <c r="N10" s="430" t="n">
        <v>0.0</v>
      </c>
      <c r="O10" s="430" t="n">
        <v>0.0</v>
      </c>
      <c r="P10" s="430" t="n">
        <v>0.0</v>
      </c>
      <c r="Q10" s="430" t="n">
        <v>0.0</v>
      </c>
      <c r="R10" s="430" t="n">
        <v>0.0</v>
      </c>
      <c r="S10" s="430" t="n">
        <v>0.0</v>
      </c>
      <c r="T10" s="430"/>
      <c r="U10" s="431">
        <f si="1" t="shared"/>
        <v>0</v>
      </c>
    </row>
    <row r="11" spans="1:21" x14ac:dyDescent="0.25">
      <c r="A11" t="s">
        <v>247</v>
      </c>
      <c r="B11" s="12" t="n">
        <v>1692.676880788</v>
      </c>
      <c r="C11" s="12" t="n">
        <v>63.528726944</v>
      </c>
      <c r="D11" s="12" t="n">
        <v>160.016879313</v>
      </c>
      <c r="E11" s="12" t="n">
        <v>9.4775</v>
      </c>
      <c r="F11" s="12" t="n">
        <v>88217.5662422081</v>
      </c>
      <c r="G11" s="12" t="n">
        <v>13915.1218176164</v>
      </c>
      <c r="H11" s="12" t="n">
        <v>6127.6922476265</v>
      </c>
      <c r="I11" s="12"/>
      <c r="J11" s="12">
        <f si="0" t="shared"/>
        <v>110186.08029449599</v>
      </c>
      <c r="K11" s="13"/>
      <c r="L11" t="str">
        <f>$A$11</f>
        <v>Seattle</v>
      </c>
      <c r="M11" s="430" t="n">
        <v>0.0</v>
      </c>
      <c r="N11" s="430" t="n">
        <v>0.0</v>
      </c>
      <c r="O11" s="430" t="n">
        <v>0.0</v>
      </c>
      <c r="P11" s="430" t="n">
        <v>0.0</v>
      </c>
      <c r="Q11" s="430" t="n">
        <v>77472.0</v>
      </c>
      <c r="R11" s="430" t="n">
        <v>8964.0</v>
      </c>
      <c r="S11" s="430" t="n">
        <v>8866.0</v>
      </c>
      <c r="T11" s="430"/>
      <c r="U11" s="431">
        <f si="1" t="shared"/>
        <v>93622</v>
      </c>
    </row>
    <row r="12" spans="1:21" x14ac:dyDescent="0.25">
      <c r="A12" t="s">
        <v>252</v>
      </c>
      <c r="B12" s="12" t="n">
        <v>57.5148662035</v>
      </c>
      <c r="C12" s="12" t="n">
        <v>0.0</v>
      </c>
      <c r="D12" s="12" t="n">
        <v>0.0</v>
      </c>
      <c r="E12" s="12" t="n">
        <v>0.0</v>
      </c>
      <c r="F12" s="12" t="n">
        <v>4316.5827853598</v>
      </c>
      <c r="G12" s="12" t="n">
        <v>5541.7068748445</v>
      </c>
      <c r="H12" s="12" t="n">
        <v>771.7855595547001</v>
      </c>
      <c r="I12" s="12"/>
      <c r="J12" s="12">
        <f si="0" t="shared"/>
        <v>10687.5900859625</v>
      </c>
      <c r="K12" s="13"/>
      <c r="L12" t="str">
        <f>$A$12</f>
        <v>Seattle Downtown</v>
      </c>
      <c r="M12" s="430" t="n">
        <v>0.0</v>
      </c>
      <c r="N12" s="430" t="n">
        <v>0.0</v>
      </c>
      <c r="O12" s="430" t="n">
        <v>0.0</v>
      </c>
      <c r="P12" s="430" t="n">
        <v>0.0</v>
      </c>
      <c r="Q12" s="430" t="n">
        <v>3210.0</v>
      </c>
      <c r="R12" s="430" t="n">
        <v>9690.0</v>
      </c>
      <c r="S12" s="430" t="n">
        <v>375.0</v>
      </c>
      <c r="T12" s="430"/>
      <c r="U12" s="431">
        <f si="1" t="shared"/>
        <v>13387</v>
      </c>
    </row>
    <row r="13" spans="1:21" x14ac:dyDescent="0.25">
      <c r="A13" t="s">
        <v>253</v>
      </c>
      <c r="B13" s="12" t="n">
        <v>8122.870363239</v>
      </c>
      <c r="C13" s="12" t="n">
        <v>3138.15946386</v>
      </c>
      <c r="D13" s="12" t="n">
        <v>10022.891088588</v>
      </c>
      <c r="E13" s="12" t="n">
        <v>2645.91822705</v>
      </c>
      <c r="F13" s="12" t="n">
        <v>15413.2145940696</v>
      </c>
      <c r="G13" s="12" t="n">
        <v>10252.1123914386</v>
      </c>
      <c r="H13" s="12" t="n">
        <v>467326.12922187</v>
      </c>
      <c r="I13" s="12"/>
      <c r="J13" s="12">
        <f si="0" t="shared"/>
        <v>516921.29535011516</v>
      </c>
      <c r="K13" s="13"/>
      <c r="L13" t="str">
        <f>$A$13</f>
        <v>Rest</v>
      </c>
      <c r="M13" s="430" t="n">
        <v>0.0</v>
      </c>
      <c r="N13" s="430" t="n">
        <v>0.0</v>
      </c>
      <c r="O13" s="430" t="n">
        <v>0.0</v>
      </c>
      <c r="P13" s="430" t="n">
        <v>0.0</v>
      </c>
      <c r="Q13" s="430" t="n">
        <v>19470.0</v>
      </c>
      <c r="R13" s="430" t="n">
        <v>3496.0</v>
      </c>
      <c r="S13" s="430" t="n">
        <v>391914.0</v>
      </c>
      <c r="T13" s="430"/>
      <c r="U13" s="431">
        <f si="1" t="shared"/>
        <v>413502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9873.0621102304995</v>
      </c>
      <c r="C15" s="16">
        <f si="2" t="shared"/>
        <v>3201.688190804</v>
      </c>
      <c r="D15" s="16">
        <f si="2" t="shared"/>
        <v>10182.907967900999</v>
      </c>
      <c r="E15" s="16">
        <f si="2" t="shared"/>
        <v>2655.39572705</v>
      </c>
      <c r="F15" s="16">
        <f si="2" t="shared"/>
        <v>107947.36362163749</v>
      </c>
      <c r="G15" s="16">
        <f si="2" t="shared"/>
        <v>29708.941083899499</v>
      </c>
      <c r="H15" s="16">
        <f si="2" t="shared"/>
        <v>474225.60702905117</v>
      </c>
      <c r="I15" s="16">
        <f si="2" t="shared"/>
        <v>0</v>
      </c>
      <c r="J15" s="16">
        <f si="2" t="shared"/>
        <v>637794.96573057363</v>
      </c>
      <c r="K15" s="12"/>
      <c r="L15" s="16" t="s">
        <v>4</v>
      </c>
      <c r="M15" s="433">
        <f ref="M15:U15" si="3" t="shared">SUM(M7:M14)</f>
        <v>0</v>
      </c>
      <c r="N15" s="433">
        <f si="3" t="shared"/>
        <v>0</v>
      </c>
      <c r="O15" s="433">
        <f si="3" t="shared"/>
        <v>0</v>
      </c>
      <c r="P15" s="433">
        <f si="3" t="shared"/>
        <v>0</v>
      </c>
      <c r="Q15" s="433">
        <f si="3" t="shared"/>
        <v>100460</v>
      </c>
      <c r="R15" s="433">
        <f si="3" t="shared"/>
        <v>21253</v>
      </c>
      <c r="S15" s="433">
        <f si="3" t="shared"/>
        <v>398798</v>
      </c>
      <c r="T15" s="433">
        <f si="3" t="shared"/>
        <v>0</v>
      </c>
      <c r="U15" s="433">
        <f si="3" t="shared"/>
        <v>520511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>M7</f>
        <v>0</v>
      </c>
      <c r="N20" s="12">
        <f ref="N20:U20" si="6" t="shared">N7</f>
        <v>0</v>
      </c>
      <c r="O20" s="12">
        <f si="6" t="shared"/>
        <v>0</v>
      </c>
      <c r="P20" s="12">
        <f si="6" t="shared"/>
        <v>0</v>
      </c>
      <c r="Q20" s="12">
        <f si="6" t="shared"/>
        <v>0</v>
      </c>
      <c r="R20" s="12">
        <f si="6" t="shared"/>
        <v>0</v>
      </c>
      <c r="S20" s="12">
        <f si="6" t="shared"/>
        <v>0</v>
      </c>
      <c r="T20" s="12"/>
      <c r="U20" s="12">
        <f si="6" t="shared"/>
        <v>0</v>
      </c>
    </row>
    <row r="21" spans="1:32" x14ac:dyDescent="0.25">
      <c r="A21" t="str">
        <f>$A$8</f>
        <v>Bellevue Downtown</v>
      </c>
      <c r="B21" s="12" t="e">
        <f ref="B21:G26" si="7" t="shared">($U8/$J8)*B8</f>
        <v>#DIV/0!</v>
      </c>
      <c r="C21" s="12" t="e">
        <f si="7" t="shared"/>
        <v>#DIV/0!</v>
      </c>
      <c r="D21" s="12" t="e">
        <f si="7" t="shared"/>
        <v>#DIV/0!</v>
      </c>
      <c r="E21" s="12" t="e">
        <f si="7" t="shared"/>
        <v>#DIV/0!</v>
      </c>
      <c r="F21" s="12" t="e">
        <f si="7" t="shared"/>
        <v>#DIV/0!</v>
      </c>
      <c r="G21" s="12" t="e">
        <f si="7" t="shared"/>
        <v>#DIV/0!</v>
      </c>
      <c r="H21" s="12" t="e">
        <f ref="H21" si="8" t="shared">($U8/$J8)*H8</f>
        <v>#DIV/0!</v>
      </c>
      <c r="I21" s="12"/>
      <c r="J21" s="12" t="e">
        <f ref="J21:J27" si="9" t="shared">SUM(B21:I21)</f>
        <v>#DIV/0!</v>
      </c>
      <c r="K21" s="12"/>
      <c r="L21" t="str">
        <f>$A$8</f>
        <v>Bellevue Downtown</v>
      </c>
      <c r="M21" s="12">
        <f ref="M21:U21" si="10" t="shared">M8</f>
        <v>0</v>
      </c>
      <c r="N21" s="12">
        <f si="10" t="shared"/>
        <v>0</v>
      </c>
      <c r="O21" s="12">
        <f si="10" t="shared"/>
        <v>0</v>
      </c>
      <c r="P21" s="12">
        <f si="10" t="shared"/>
        <v>0</v>
      </c>
      <c r="Q21" s="12">
        <f si="10" t="shared"/>
        <v>0</v>
      </c>
      <c r="R21" s="12">
        <f si="10" t="shared"/>
        <v>0</v>
      </c>
      <c r="S21" s="12">
        <f si="10" t="shared"/>
        <v>0</v>
      </c>
      <c r="T21" s="12"/>
      <c r="U21" s="12">
        <f si="10" t="shared"/>
        <v>0</v>
      </c>
    </row>
    <row r="22" spans="1:32" x14ac:dyDescent="0.25">
      <c r="A22" t="str">
        <f>$A$9</f>
        <v>Kirkland</v>
      </c>
      <c r="B22" s="12" t="e">
        <f si="7" t="shared"/>
        <v>#DIV/0!</v>
      </c>
      <c r="C22" s="12" t="e">
        <f si="7" t="shared"/>
        <v>#DIV/0!</v>
      </c>
      <c r="D22" s="12" t="e">
        <f si="7" t="shared"/>
        <v>#DIV/0!</v>
      </c>
      <c r="E22" s="12" t="e">
        <f si="7" t="shared"/>
        <v>#DIV/0!</v>
      </c>
      <c r="F22" s="12" t="e">
        <f si="7" t="shared"/>
        <v>#DIV/0!</v>
      </c>
      <c r="G22" s="12" t="e">
        <f si="7" t="shared"/>
        <v>#DIV/0!</v>
      </c>
      <c r="H22" s="12" t="e">
        <f ref="H22" si="11" t="shared">($U9/$J9)*H9</f>
        <v>#DIV/0!</v>
      </c>
      <c r="I22" s="12"/>
      <c r="J22" s="12" t="e">
        <f si="9" t="shared"/>
        <v>#DIV/0!</v>
      </c>
      <c r="K22" s="13"/>
      <c r="L22" t="str">
        <f>$A$9</f>
        <v>Kirkland</v>
      </c>
      <c r="M22" s="12">
        <f ref="M22:U22" si="12" t="shared">M9</f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si="12" t="shared"/>
        <v>0</v>
      </c>
      <c r="T22" s="12"/>
      <c r="U22" s="12">
        <f si="12" t="shared"/>
        <v>0</v>
      </c>
    </row>
    <row r="23" spans="1:32" x14ac:dyDescent="0.25">
      <c r="A23" t="str">
        <f>$A$10</f>
        <v>Redmond</v>
      </c>
      <c r="B23" s="12" t="e">
        <f si="7" t="shared"/>
        <v>#DIV/0!</v>
      </c>
      <c r="C23" s="12" t="e">
        <f si="7" t="shared"/>
        <v>#DIV/0!</v>
      </c>
      <c r="D23" s="12" t="e">
        <f si="7" t="shared"/>
        <v>#DIV/0!</v>
      </c>
      <c r="E23" s="12" t="e">
        <f si="7" t="shared"/>
        <v>#DIV/0!</v>
      </c>
      <c r="F23" s="12" t="e">
        <f si="7" t="shared"/>
        <v>#DIV/0!</v>
      </c>
      <c r="G23" s="12" t="e">
        <f si="7" t="shared"/>
        <v>#DIV/0!</v>
      </c>
      <c r="H23" s="12" t="e">
        <f ref="H23" si="13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ref="M23:S23" si="14" t="shared">M10</f>
        <v>0</v>
      </c>
      <c r="N23" s="12">
        <f si="14" t="shared"/>
        <v>0</v>
      </c>
      <c r="O23" s="12">
        <f si="14" t="shared"/>
        <v>0</v>
      </c>
      <c r="P23" s="12">
        <f si="14" t="shared"/>
        <v>0</v>
      </c>
      <c r="Q23" s="12">
        <f si="14" t="shared"/>
        <v>0</v>
      </c>
      <c r="R23" s="12">
        <f si="14" t="shared"/>
        <v>0</v>
      </c>
      <c r="S23" s="12">
        <f si="14" t="shared"/>
        <v>0</v>
      </c>
      <c r="T23" s="12"/>
      <c r="U23" s="12">
        <f ref="U23" si="15" t="shared">U10</f>
        <v>0</v>
      </c>
    </row>
    <row r="24" spans="1:32" x14ac:dyDescent="0.25">
      <c r="A24" t="str">
        <f>$A$11</f>
        <v>Seattle</v>
      </c>
      <c r="B24" s="12">
        <f si="7" t="shared"/>
        <v>1438.2197325613563</v>
      </c>
      <c r="C24" s="12">
        <f si="7" t="shared"/>
        <v>53.978564788353459</v>
      </c>
      <c r="D24" s="12">
        <f si="7" t="shared"/>
        <v>135.9618223554325</v>
      </c>
      <c r="E24" s="12">
        <f si="7" t="shared"/>
        <v>8.0527640390555071</v>
      </c>
      <c r="F24" s="12">
        <f si="7" t="shared"/>
        <v>74955.974154392025</v>
      </c>
      <c r="G24" s="12">
        <f si="7" t="shared"/>
        <v>11823.285947979748</v>
      </c>
      <c r="H24" s="12">
        <f ref="H24" si="16" t="shared">($U11/$J11)*H11</f>
        <v>5206.5270138840306</v>
      </c>
      <c r="I24" s="12"/>
      <c r="J24" s="12">
        <f si="9" t="shared"/>
        <v>93622</v>
      </c>
      <c r="K24" s="13"/>
      <c r="L24" t="str">
        <f>$A$11</f>
        <v>Seattle</v>
      </c>
      <c r="M24" s="12">
        <f ref="M24:S24" si="17" t="shared">M11</f>
        <v>0</v>
      </c>
      <c r="N24" s="12">
        <f si="17" t="shared"/>
        <v>0</v>
      </c>
      <c r="O24" s="12">
        <f si="17" t="shared"/>
        <v>0</v>
      </c>
      <c r="P24" s="12">
        <f si="17" t="shared"/>
        <v>0</v>
      </c>
      <c r="Q24" s="12">
        <f si="17" t="shared"/>
        <v>77087</v>
      </c>
      <c r="R24" s="12">
        <f si="17" t="shared"/>
        <v>8344</v>
      </c>
      <c r="S24" s="12">
        <f si="17" t="shared"/>
        <v>8191</v>
      </c>
      <c r="T24" s="12"/>
      <c r="U24" s="12">
        <f ref="U24" si="18" t="shared">U11</f>
        <v>93622</v>
      </c>
    </row>
    <row r="25" spans="1:32" x14ac:dyDescent="0.25">
      <c r="A25" t="str">
        <f>$A$12</f>
        <v>Seattle Downtown</v>
      </c>
      <c r="B25" s="12">
        <f si="7" t="shared"/>
        <v>72.041639665572418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5406.8403899126124</v>
      </c>
      <c r="G25" s="12">
        <f si="7" t="shared"/>
        <v>6941.3992618395068</v>
      </c>
      <c r="H25" s="12">
        <f ref="H25" si="19" t="shared">($U12/$J12)*H12</f>
        <v>966.71870858231023</v>
      </c>
      <c r="I25" s="12"/>
      <c r="J25" s="12">
        <f si="9" t="shared"/>
        <v>13387.000000000002</v>
      </c>
      <c r="K25" s="13"/>
      <c r="L25" t="str">
        <f>$A$12</f>
        <v>Seattle Downtown</v>
      </c>
      <c r="M25" s="12">
        <f ref="M25:S26" si="20" t="shared">M12</f>
        <v>0</v>
      </c>
      <c r="N25" s="12">
        <f si="20" t="shared"/>
        <v>0</v>
      </c>
      <c r="O25" s="12">
        <f si="20" t="shared"/>
        <v>0</v>
      </c>
      <c r="P25" s="12">
        <f si="20" t="shared"/>
        <v>0</v>
      </c>
      <c r="Q25" s="12">
        <f si="20" t="shared"/>
        <v>3443</v>
      </c>
      <c r="R25" s="12">
        <f si="20" t="shared"/>
        <v>9589</v>
      </c>
      <c r="S25" s="12">
        <f si="20" t="shared"/>
        <v>355</v>
      </c>
      <c r="T25" s="12"/>
      <c r="U25" s="12">
        <f ref="U25:U26" si="21" t="shared">U12</f>
        <v>13387</v>
      </c>
    </row>
    <row r="26" spans="1:32" x14ac:dyDescent="0.25">
      <c r="A26" t="str">
        <f>$A$13</f>
        <v>Rest</v>
      </c>
      <c r="B26" s="12">
        <f si="7" t="shared"/>
        <v>6497.7457325782907</v>
      </c>
      <c r="C26" s="12">
        <f si="7" t="shared"/>
        <v>2510.3148705571093</v>
      </c>
      <c r="D26" s="12">
        <f si="7" t="shared"/>
        <v>8017.6335318246465</v>
      </c>
      <c r="E26" s="12">
        <f si="7" t="shared"/>
        <v>2116.5552446056436</v>
      </c>
      <c r="F26" s="12">
        <f si="7" t="shared"/>
        <v>12329.526986811819</v>
      </c>
      <c r="G26" s="12">
        <f si="7" t="shared"/>
        <v>8200.9950377713722</v>
      </c>
      <c r="H26" s="12">
        <f ref="H26" si="22" t="shared">($U13/$J13)*H13</f>
        <v>373829.22859585116</v>
      </c>
      <c r="I26" s="12"/>
      <c r="J26" s="12">
        <f si="9" t="shared"/>
        <v>413502.00000000006</v>
      </c>
      <c r="K26" s="13"/>
      <c r="L26" t="str">
        <f>$A$13</f>
        <v>Rest</v>
      </c>
      <c r="M26" s="12">
        <f si="20" t="shared"/>
        <v>0</v>
      </c>
      <c r="N26" s="12">
        <f si="20" t="shared"/>
        <v>0</v>
      </c>
      <c r="O26" s="12">
        <f si="20" t="shared"/>
        <v>0</v>
      </c>
      <c r="P26" s="12">
        <f si="20" t="shared"/>
        <v>0</v>
      </c>
      <c r="Q26" s="12">
        <f si="20" t="shared"/>
        <v>19930</v>
      </c>
      <c r="R26" s="12">
        <f si="20" t="shared"/>
        <v>3320</v>
      </c>
      <c r="S26" s="12">
        <f si="20" t="shared"/>
        <v>390252</v>
      </c>
      <c r="T26" s="12"/>
      <c r="U26" s="12">
        <f si="21" t="shared"/>
        <v>413502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 t="e">
        <f ref="B28:J28" si="23" t="shared">SUM(B20:B27)</f>
        <v>#DIV/0!</v>
      </c>
      <c r="C28" s="16" t="e">
        <f si="23" t="shared"/>
        <v>#DIV/0!</v>
      </c>
      <c r="D28" s="16" t="e">
        <f si="23" t="shared"/>
        <v>#DIV/0!</v>
      </c>
      <c r="E28" s="16" t="e">
        <f si="23" t="shared"/>
        <v>#DIV/0!</v>
      </c>
      <c r="F28" s="16" t="e">
        <f si="23" t="shared"/>
        <v>#DIV/0!</v>
      </c>
      <c r="G28" s="16" t="e">
        <f si="23" t="shared"/>
        <v>#DIV/0!</v>
      </c>
      <c r="H28" s="16" t="e">
        <f si="23" t="shared"/>
        <v>#DIV/0!</v>
      </c>
      <c r="I28" s="16">
        <f si="23" t="shared"/>
        <v>0</v>
      </c>
      <c r="J28" s="16" t="e">
        <f si="23" t="shared"/>
        <v>#DIV/0!</v>
      </c>
      <c r="K28" s="12"/>
      <c r="L28" s="16" t="s">
        <v>4</v>
      </c>
      <c r="M28" s="16">
        <f ref="M28:U28" si="24" t="shared">M15</f>
        <v>0</v>
      </c>
      <c r="N28" s="16">
        <f si="24" t="shared"/>
        <v>0</v>
      </c>
      <c r="O28" s="16">
        <f si="24" t="shared"/>
        <v>0</v>
      </c>
      <c r="P28" s="16">
        <f si="24" t="shared"/>
        <v>0</v>
      </c>
      <c r="Q28" s="16">
        <f si="24" t="shared"/>
        <v>100460</v>
      </c>
      <c r="R28" s="16">
        <f si="24" t="shared"/>
        <v>21253</v>
      </c>
      <c r="S28" s="16">
        <f si="24" t="shared"/>
        <v>398798</v>
      </c>
      <c r="T28" s="16"/>
      <c r="U28" s="16">
        <f si="24" t="shared"/>
        <v>520511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 t="e">
        <f ref="B33:G33" si="25" t="shared">B20/$J$28</f>
        <v>#DIV/0!</v>
      </c>
      <c r="C33" s="17" t="e">
        <f si="25" t="shared"/>
        <v>#DIV/0!</v>
      </c>
      <c r="D33" s="17" t="e">
        <f si="25" t="shared"/>
        <v>#DIV/0!</v>
      </c>
      <c r="E33" s="17" t="e">
        <f si="25" t="shared"/>
        <v>#DIV/0!</v>
      </c>
      <c r="F33" s="17" t="e">
        <f si="25" t="shared"/>
        <v>#DIV/0!</v>
      </c>
      <c r="G33" s="17" t="e">
        <f si="25" t="shared"/>
        <v>#DIV/0!</v>
      </c>
      <c r="H33" s="17" t="e">
        <f ref="H33" si="26" t="shared">H20/$J$28</f>
        <v>#DIV/0!</v>
      </c>
      <c r="I33" s="12"/>
      <c r="J33" s="17" t="e">
        <f ref="J33:J39" si="27" t="shared">J20/$J$28</f>
        <v>#DIV/0!</v>
      </c>
      <c r="K33" s="12"/>
      <c r="L33" t="str">
        <f>$A$7</f>
        <v>Bellevue</v>
      </c>
      <c r="M33" s="17">
        <f ref="M33:R33" si="28" t="shared">M20/$U$28</f>
        <v>0</v>
      </c>
      <c r="N33" s="17">
        <f si="28" t="shared"/>
        <v>0</v>
      </c>
      <c r="O33" s="17">
        <f si="28" t="shared"/>
        <v>0</v>
      </c>
      <c r="P33" s="17">
        <f si="28" t="shared"/>
        <v>0</v>
      </c>
      <c r="Q33" s="17">
        <f si="28" t="shared"/>
        <v>0</v>
      </c>
      <c r="R33" s="17">
        <f si="28" t="shared"/>
        <v>0</v>
      </c>
      <c r="S33" s="17">
        <f ref="S33" si="29" t="shared">S20/$U$28</f>
        <v>0</v>
      </c>
      <c r="T33" s="17"/>
      <c r="U33" s="17">
        <f>U20/$U$28</f>
        <v>0</v>
      </c>
      <c r="W33" t="str">
        <f>$A$7</f>
        <v>Bellevue</v>
      </c>
      <c r="X33" s="17" t="e">
        <f>M33-B33</f>
        <v>#DIV/0!</v>
      </c>
      <c r="Y33" s="17" t="e">
        <f ref="Y33:Y35" si="30" t="shared">N33-C33</f>
        <v>#DIV/0!</v>
      </c>
      <c r="Z33" s="17" t="e">
        <f ref="Z33:Z35" si="31" t="shared">O33-D33</f>
        <v>#DIV/0!</v>
      </c>
      <c r="AA33" s="17" t="e">
        <f ref="AA33" si="32" t="shared">P33-E33</f>
        <v>#DIV/0!</v>
      </c>
      <c r="AB33" s="17" t="e">
        <f ref="AB33" si="33" t="shared">Q33-F33</f>
        <v>#DIV/0!</v>
      </c>
      <c r="AC33" s="17" t="e">
        <f ref="AC33:AD33" si="34" t="shared">R33-G33</f>
        <v>#DIV/0!</v>
      </c>
      <c r="AD33" s="17" t="e">
        <f si="34" t="shared"/>
        <v>#DIV/0!</v>
      </c>
      <c r="AE33" s="17"/>
      <c r="AF33" s="17" t="e">
        <f ref="AF33:AF39" si="35" t="shared">U33-J33</f>
        <v>#DIV/0!</v>
      </c>
    </row>
    <row r="34" spans="1:32" x14ac:dyDescent="0.25">
      <c r="A34" t="str">
        <f>$A$8</f>
        <v>Bellevue Downtown</v>
      </c>
      <c r="B34" s="17" t="e">
        <f ref="B34:G39" si="36" t="shared">B21/$J$28</f>
        <v>#DIV/0!</v>
      </c>
      <c r="C34" s="17" t="e">
        <f si="36" t="shared"/>
        <v>#DIV/0!</v>
      </c>
      <c r="D34" s="17" t="e">
        <f si="36" t="shared"/>
        <v>#DIV/0!</v>
      </c>
      <c r="E34" s="17" t="e">
        <f si="36" t="shared"/>
        <v>#DIV/0!</v>
      </c>
      <c r="F34" s="17" t="e">
        <f si="36" t="shared"/>
        <v>#DIV/0!</v>
      </c>
      <c r="G34" s="17" t="e">
        <f si="36" t="shared"/>
        <v>#DIV/0!</v>
      </c>
      <c r="H34" s="17" t="e">
        <f ref="H34" si="37" t="shared">H21/$J$28</f>
        <v>#DIV/0!</v>
      </c>
      <c r="I34" s="12"/>
      <c r="J34" s="17" t="e">
        <f si="27" t="shared"/>
        <v>#DIV/0!</v>
      </c>
      <c r="K34" s="12"/>
      <c r="L34" t="str">
        <f>$A$8</f>
        <v>Bellevue Downtown</v>
      </c>
      <c r="M34" s="17">
        <f ref="M34:R36" si="38" t="shared">M21/$U$28</f>
        <v>0</v>
      </c>
      <c r="N34" s="17">
        <f si="38" t="shared"/>
        <v>0</v>
      </c>
      <c r="O34" s="17">
        <f si="38" t="shared"/>
        <v>0</v>
      </c>
      <c r="P34" s="17">
        <f si="38" t="shared"/>
        <v>0</v>
      </c>
      <c r="Q34" s="17">
        <f si="38" t="shared"/>
        <v>0</v>
      </c>
      <c r="R34" s="17">
        <f si="38" t="shared"/>
        <v>0</v>
      </c>
      <c r="S34" s="17">
        <f ref="S34" si="39" t="shared">S21/$U$28</f>
        <v>0</v>
      </c>
      <c r="T34" s="17"/>
      <c r="U34" s="17">
        <f>U21/$U$28</f>
        <v>0</v>
      </c>
      <c r="W34" t="str">
        <f>$A$8</f>
        <v>Bellevue Downtown</v>
      </c>
      <c r="X34" s="17" t="e">
        <f ref="X34:X35" si="40" t="shared">M34-B34</f>
        <v>#DIV/0!</v>
      </c>
      <c r="Y34" s="17" t="e">
        <f si="30" t="shared"/>
        <v>#DIV/0!</v>
      </c>
      <c r="Z34" s="17" t="e">
        <f si="31" t="shared"/>
        <v>#DIV/0!</v>
      </c>
      <c r="AA34" s="17" t="e">
        <f ref="AA34:AA38" si="41" t="shared">P34-E34</f>
        <v>#DIV/0!</v>
      </c>
      <c r="AB34" s="17" t="e">
        <f ref="AB34:AB38" si="42" t="shared">Q34-F34</f>
        <v>#DIV/0!</v>
      </c>
      <c r="AC34" s="17" t="e">
        <f ref="AC34:AD38" si="43" t="shared">R34-G34</f>
        <v>#DIV/0!</v>
      </c>
      <c r="AD34" s="17" t="e">
        <f si="43" t="shared"/>
        <v>#DIV/0!</v>
      </c>
      <c r="AE34" s="17"/>
      <c r="AF34" s="17" t="e">
        <f si="35" t="shared"/>
        <v>#DIV/0!</v>
      </c>
    </row>
    <row r="35" spans="1:32" x14ac:dyDescent="0.25">
      <c r="A35" t="str">
        <f>$A$9</f>
        <v>Kirkland</v>
      </c>
      <c r="B35" s="17" t="e">
        <f si="36" t="shared"/>
        <v>#DIV/0!</v>
      </c>
      <c r="C35" s="17" t="e">
        <f si="36" t="shared"/>
        <v>#DIV/0!</v>
      </c>
      <c r="D35" s="17" t="e">
        <f si="36" t="shared"/>
        <v>#DIV/0!</v>
      </c>
      <c r="E35" s="17" t="e">
        <f si="36" t="shared"/>
        <v>#DIV/0!</v>
      </c>
      <c r="F35" s="17" t="e">
        <f si="36" t="shared"/>
        <v>#DIV/0!</v>
      </c>
      <c r="G35" s="17" t="e">
        <f si="36" t="shared"/>
        <v>#DIV/0!</v>
      </c>
      <c r="H35" s="17" t="e">
        <f ref="H35" si="44" t="shared">H22/$J$28</f>
        <v>#DIV/0!</v>
      </c>
      <c r="I35" s="12"/>
      <c r="J35" s="17" t="e">
        <f si="27" t="shared"/>
        <v>#DIV/0!</v>
      </c>
      <c r="K35" s="13"/>
      <c r="L35" t="str">
        <f>$A$9</f>
        <v>Kirkland</v>
      </c>
      <c r="M35" s="17">
        <f si="38" t="shared"/>
        <v>0</v>
      </c>
      <c r="N35" s="17">
        <f si="38" t="shared"/>
        <v>0</v>
      </c>
      <c r="O35" s="17">
        <f si="38" t="shared"/>
        <v>0</v>
      </c>
      <c r="P35" s="17">
        <f si="38" t="shared"/>
        <v>0</v>
      </c>
      <c r="Q35" s="17">
        <f si="38" t="shared"/>
        <v>0</v>
      </c>
      <c r="R35" s="17">
        <f si="38" t="shared"/>
        <v>0</v>
      </c>
      <c r="S35" s="17">
        <f ref="S35" si="45" t="shared">S22/$U$28</f>
        <v>0</v>
      </c>
      <c r="T35" s="17"/>
      <c r="U35" s="17">
        <f>U22/$U$28</f>
        <v>0</v>
      </c>
      <c r="W35" t="str">
        <f>$A$9</f>
        <v>Kirkland</v>
      </c>
      <c r="X35" s="17" t="e">
        <f si="40" t="shared"/>
        <v>#DIV/0!</v>
      </c>
      <c r="Y35" s="17" t="e">
        <f si="30" t="shared"/>
        <v>#DIV/0!</v>
      </c>
      <c r="Z35" s="17" t="e">
        <f si="31" t="shared"/>
        <v>#DIV/0!</v>
      </c>
      <c r="AA35" s="17" t="e">
        <f si="41" t="shared"/>
        <v>#DIV/0!</v>
      </c>
      <c r="AB35" s="17" t="e">
        <f si="42" t="shared"/>
        <v>#DIV/0!</v>
      </c>
      <c r="AC35" s="17" t="e">
        <f si="43" t="shared"/>
        <v>#DIV/0!</v>
      </c>
      <c r="AD35" s="17" t="e">
        <f si="43" t="shared"/>
        <v>#DIV/0!</v>
      </c>
      <c r="AE35" s="17"/>
      <c r="AF35" s="17" t="e">
        <f si="35" t="shared"/>
        <v>#DIV/0!</v>
      </c>
    </row>
    <row r="36" spans="1:32" x14ac:dyDescent="0.25">
      <c r="A36" t="str">
        <f>$A$10</f>
        <v>Redmond</v>
      </c>
      <c r="B36" s="17" t="e">
        <f si="36" t="shared"/>
        <v>#DIV/0!</v>
      </c>
      <c r="C36" s="17" t="e">
        <f si="36" t="shared"/>
        <v>#DIV/0!</v>
      </c>
      <c r="D36" s="17" t="e">
        <f si="36" t="shared"/>
        <v>#DIV/0!</v>
      </c>
      <c r="E36" s="17" t="e">
        <f si="36" t="shared"/>
        <v>#DIV/0!</v>
      </c>
      <c r="F36" s="17" t="e">
        <f si="36" t="shared"/>
        <v>#DIV/0!</v>
      </c>
      <c r="G36" s="17" t="e">
        <f si="36" t="shared"/>
        <v>#DIV/0!</v>
      </c>
      <c r="H36" s="17" t="e">
        <f ref="H36" si="46" t="shared">H23/$J$28</f>
        <v>#DIV/0!</v>
      </c>
      <c r="I36" s="12"/>
      <c r="J36" s="17" t="e">
        <f si="27" t="shared"/>
        <v>#DIV/0!</v>
      </c>
      <c r="K36" s="13"/>
      <c r="L36" t="str">
        <f>$A$10</f>
        <v>Redmond</v>
      </c>
      <c r="M36" s="17">
        <f si="38" t="shared"/>
        <v>0</v>
      </c>
      <c r="N36" s="17">
        <f si="38" t="shared"/>
        <v>0</v>
      </c>
      <c r="O36" s="17">
        <f si="38" t="shared"/>
        <v>0</v>
      </c>
      <c r="P36" s="17">
        <f si="38" t="shared"/>
        <v>0</v>
      </c>
      <c r="Q36" s="17">
        <f si="38" t="shared"/>
        <v>0</v>
      </c>
      <c r="R36" s="17">
        <f si="38" t="shared"/>
        <v>0</v>
      </c>
      <c r="S36" s="17">
        <f ref="S36" si="47" t="shared">S23/$U$28</f>
        <v>0</v>
      </c>
      <c r="T36" s="17"/>
      <c r="U36" s="17">
        <f ref="U36" si="48" t="shared">U23/$U$28</f>
        <v>0</v>
      </c>
      <c r="W36" t="str">
        <f>$A$10</f>
        <v>Redmond</v>
      </c>
      <c r="X36" s="17" t="e">
        <f ref="X36:X38" si="49" t="shared">M36-B36</f>
        <v>#DIV/0!</v>
      </c>
      <c r="Y36" s="17" t="e">
        <f ref="Y36:Y38" si="50" t="shared">N36-C36</f>
        <v>#DIV/0!</v>
      </c>
      <c r="Z36" s="17" t="e">
        <f ref="Z36:Z38" si="51" t="shared">O36-D36</f>
        <v>#DIV/0!</v>
      </c>
      <c r="AA36" s="17" t="e">
        <f si="41" t="shared"/>
        <v>#DIV/0!</v>
      </c>
      <c r="AB36" s="17" t="e">
        <f si="42" t="shared"/>
        <v>#DIV/0!</v>
      </c>
      <c r="AC36" s="17" t="e">
        <f si="43" t="shared"/>
        <v>#DIV/0!</v>
      </c>
      <c r="AD36" s="17" t="e">
        <f si="43" t="shared"/>
        <v>#DIV/0!</v>
      </c>
      <c r="AE36" s="17"/>
      <c r="AF36" s="17" t="e">
        <f si="35" t="shared"/>
        <v>#DIV/0!</v>
      </c>
    </row>
    <row r="37" spans="1:32" x14ac:dyDescent="0.25">
      <c r="A37" t="str">
        <f>$A$11</f>
        <v>Seattle</v>
      </c>
      <c r="B37" s="17" t="e">
        <f si="36" t="shared"/>
        <v>#DIV/0!</v>
      </c>
      <c r="C37" s="17" t="e">
        <f si="36" t="shared"/>
        <v>#DIV/0!</v>
      </c>
      <c r="D37" s="17" t="e">
        <f si="36" t="shared"/>
        <v>#DIV/0!</v>
      </c>
      <c r="E37" s="17" t="e">
        <f si="36" t="shared"/>
        <v>#DIV/0!</v>
      </c>
      <c r="F37" s="17" t="e">
        <f si="36" t="shared"/>
        <v>#DIV/0!</v>
      </c>
      <c r="G37" s="17" t="e">
        <f si="36" t="shared"/>
        <v>#DIV/0!</v>
      </c>
      <c r="H37" s="17" t="e">
        <f ref="H37" si="52" t="shared">H24/$J$28</f>
        <v>#DIV/0!</v>
      </c>
      <c r="I37" s="12"/>
      <c r="J37" s="17" t="e">
        <f si="27" t="shared"/>
        <v>#DIV/0!</v>
      </c>
      <c r="K37" s="13"/>
      <c r="L37" t="str">
        <f>$A$11</f>
        <v>Seattle</v>
      </c>
      <c r="M37" s="17">
        <f ref="M37:N39" si="53" t="shared">M24/$U$28</f>
        <v>0</v>
      </c>
      <c r="N37" s="17">
        <f si="53" t="shared"/>
        <v>0</v>
      </c>
      <c r="O37" s="17">
        <f ref="O37:R37" si="54" t="shared">O24/$U$28</f>
        <v>0</v>
      </c>
      <c r="P37" s="17">
        <f si="54" t="shared"/>
        <v>0</v>
      </c>
      <c r="Q37" s="17">
        <f si="54" t="shared"/>
        <v>0.14809869532056</v>
      </c>
      <c r="R37" s="17">
        <f si="54" t="shared"/>
        <v>1.6030400894505591E-2</v>
      </c>
      <c r="S37" s="17">
        <f ref="S37" si="55" t="shared">S24/$U$28</f>
        <v>1.5736458979733376E-2</v>
      </c>
      <c r="T37" s="17"/>
      <c r="U37" s="17">
        <f ref="U37" si="56" t="shared">U24/$U$28</f>
        <v>0.17986555519479897</v>
      </c>
      <c r="W37" t="str">
        <f>$A$11</f>
        <v>Seattle</v>
      </c>
      <c r="X37" s="17" t="e">
        <f si="49" t="shared"/>
        <v>#DIV/0!</v>
      </c>
      <c r="Y37" s="17" t="e">
        <f si="50" t="shared"/>
        <v>#DIV/0!</v>
      </c>
      <c r="Z37" s="17" t="e">
        <f si="51" t="shared"/>
        <v>#DIV/0!</v>
      </c>
      <c r="AA37" s="17" t="e">
        <f si="41" t="shared"/>
        <v>#DIV/0!</v>
      </c>
      <c r="AB37" s="17" t="e">
        <f si="42" t="shared"/>
        <v>#DIV/0!</v>
      </c>
      <c r="AC37" s="17" t="e">
        <f si="43" t="shared"/>
        <v>#DIV/0!</v>
      </c>
      <c r="AD37" s="17" t="e">
        <f si="43" t="shared"/>
        <v>#DIV/0!</v>
      </c>
      <c r="AE37" s="17"/>
      <c r="AF37" s="17" t="e">
        <f si="35" t="shared"/>
        <v>#DIV/0!</v>
      </c>
    </row>
    <row r="38" spans="1:32" x14ac:dyDescent="0.25">
      <c r="A38" t="str">
        <f>$A$12</f>
        <v>Seattle Downtown</v>
      </c>
      <c r="B38" s="17" t="e">
        <f si="36" t="shared"/>
        <v>#DIV/0!</v>
      </c>
      <c r="C38" s="17" t="e">
        <f si="36" t="shared"/>
        <v>#DIV/0!</v>
      </c>
      <c r="D38" s="17" t="e">
        <f si="36" t="shared"/>
        <v>#DIV/0!</v>
      </c>
      <c r="E38" s="17" t="e">
        <f si="36" t="shared"/>
        <v>#DIV/0!</v>
      </c>
      <c r="F38" s="17" t="e">
        <f si="36" t="shared"/>
        <v>#DIV/0!</v>
      </c>
      <c r="G38" s="17" t="e">
        <f si="36" t="shared"/>
        <v>#DIV/0!</v>
      </c>
      <c r="H38" s="17" t="e">
        <f ref="H38" si="57" t="shared">H25/$J$28</f>
        <v>#DIV/0!</v>
      </c>
      <c r="I38" s="12"/>
      <c r="J38" s="17" t="e">
        <f si="27" t="shared"/>
        <v>#DIV/0!</v>
      </c>
      <c r="K38" s="13"/>
      <c r="L38" t="str">
        <f>$A$12</f>
        <v>Seattle Downtown</v>
      </c>
      <c r="M38" s="17">
        <f si="53" t="shared"/>
        <v>0</v>
      </c>
      <c r="N38" s="17">
        <f si="53" t="shared"/>
        <v>0</v>
      </c>
      <c r="O38" s="17">
        <f ref="O38:R39" si="58" t="shared">O25/$U$28</f>
        <v>0</v>
      </c>
      <c r="P38" s="17">
        <f si="58" t="shared"/>
        <v>0</v>
      </c>
      <c r="Q38" s="17">
        <f si="58" t="shared"/>
        <v>6.6146536768675402E-3</v>
      </c>
      <c r="R38" s="17">
        <f si="58" t="shared"/>
        <v>1.842228118137753E-2</v>
      </c>
      <c r="S38" s="17">
        <f ref="S38" si="59" t="shared">S25/$U$28</f>
        <v>6.8202208983095453E-4</v>
      </c>
      <c r="T38" s="17"/>
      <c r="U38" s="17">
        <f ref="U38:U39" si="60" t="shared">U25/$U$28</f>
        <v>2.5718956948076025E-2</v>
      </c>
      <c r="W38" t="str">
        <f>$A$12</f>
        <v>Seattle Downtown</v>
      </c>
      <c r="X38" s="17" t="e">
        <f si="49" t="shared"/>
        <v>#DIV/0!</v>
      </c>
      <c r="Y38" s="17" t="e">
        <f si="50" t="shared"/>
        <v>#DIV/0!</v>
      </c>
      <c r="Z38" s="17" t="e">
        <f si="51" t="shared"/>
        <v>#DIV/0!</v>
      </c>
      <c r="AA38" s="17" t="e">
        <f si="41" t="shared"/>
        <v>#DIV/0!</v>
      </c>
      <c r="AB38" s="17" t="e">
        <f si="42" t="shared"/>
        <v>#DIV/0!</v>
      </c>
      <c r="AC38" s="17" t="e">
        <f si="43" t="shared"/>
        <v>#DIV/0!</v>
      </c>
      <c r="AD38" s="17" t="e">
        <f si="43" t="shared"/>
        <v>#DIV/0!</v>
      </c>
      <c r="AE38" s="17"/>
      <c r="AF38" s="17" t="e">
        <f si="35" t="shared"/>
        <v>#DIV/0!</v>
      </c>
    </row>
    <row r="39" spans="1:32" x14ac:dyDescent="0.25">
      <c r="A39" t="str">
        <f>$A$13</f>
        <v>Rest</v>
      </c>
      <c r="B39" s="17" t="e">
        <f si="36" t="shared"/>
        <v>#DIV/0!</v>
      </c>
      <c r="C39" s="17" t="e">
        <f si="36" t="shared"/>
        <v>#DIV/0!</v>
      </c>
      <c r="D39" s="17" t="e">
        <f si="36" t="shared"/>
        <v>#DIV/0!</v>
      </c>
      <c r="E39" s="17" t="e">
        <f si="36" t="shared"/>
        <v>#DIV/0!</v>
      </c>
      <c r="F39" s="17" t="e">
        <f si="36" t="shared"/>
        <v>#DIV/0!</v>
      </c>
      <c r="G39" s="17" t="e">
        <f si="36" t="shared"/>
        <v>#DIV/0!</v>
      </c>
      <c r="H39" s="17" t="e">
        <f ref="H39" si="61" t="shared">H26/$J$28</f>
        <v>#DIV/0!</v>
      </c>
      <c r="I39" s="12"/>
      <c r="J39" s="17" t="e">
        <f si="27" t="shared"/>
        <v>#DIV/0!</v>
      </c>
      <c r="K39" s="13"/>
      <c r="L39" t="str">
        <f>$A$13</f>
        <v>Rest</v>
      </c>
      <c r="M39" s="17">
        <f si="53" t="shared"/>
        <v>0</v>
      </c>
      <c r="N39" s="17">
        <f si="53" t="shared"/>
        <v>0</v>
      </c>
      <c r="O39" s="17">
        <f si="58" t="shared"/>
        <v>0</v>
      </c>
      <c r="P39" s="17">
        <f si="58" t="shared"/>
        <v>0</v>
      </c>
      <c r="Q39" s="17">
        <f si="58" t="shared"/>
        <v>3.8289296479805425E-2</v>
      </c>
      <c r="R39" s="17">
        <f si="58" t="shared"/>
        <v>6.3783474316585044E-3</v>
      </c>
      <c r="S39" s="17">
        <f ref="S39" si="62" t="shared">S26/$U$28</f>
        <v>0.74974784394566107</v>
      </c>
      <c r="T39" s="17"/>
      <c r="U39" s="17">
        <f si="60" t="shared"/>
        <v>0.79441548785712501</v>
      </c>
      <c r="W39" t="str">
        <f>$A$13</f>
        <v>Rest</v>
      </c>
      <c r="X39" s="17" t="e">
        <f ref="X39" si="63" t="shared">M39-B39</f>
        <v>#DIV/0!</v>
      </c>
      <c r="Y39" s="17" t="e">
        <f ref="Y39" si="64" t="shared">N39-C39</f>
        <v>#DIV/0!</v>
      </c>
      <c r="Z39" s="17" t="e">
        <f ref="Z39" si="65" t="shared">O39-D39</f>
        <v>#DIV/0!</v>
      </c>
      <c r="AA39" s="17" t="e">
        <f ref="AA39" si="66" t="shared">P39-E39</f>
        <v>#DIV/0!</v>
      </c>
      <c r="AB39" s="17" t="e">
        <f ref="AB39" si="67" t="shared">Q39-F39</f>
        <v>#DIV/0!</v>
      </c>
      <c r="AC39" s="17" t="e">
        <f ref="AC39:AD39" si="68" t="shared">R39-G39</f>
        <v>#DIV/0!</v>
      </c>
      <c r="AD39" s="17" t="e">
        <f si="68" t="shared"/>
        <v>#DIV/0!</v>
      </c>
      <c r="AE39" s="17"/>
      <c r="AF39" s="17" t="e">
        <f si="35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 t="e">
        <f ref="B41:H41" si="69" t="shared">B28/$J$28</f>
        <v>#DIV/0!</v>
      </c>
      <c r="C41" s="19" t="e">
        <f si="69" t="shared"/>
        <v>#DIV/0!</v>
      </c>
      <c r="D41" s="19" t="e">
        <f si="69" t="shared"/>
        <v>#DIV/0!</v>
      </c>
      <c r="E41" s="19" t="e">
        <f si="69" t="shared"/>
        <v>#DIV/0!</v>
      </c>
      <c r="F41" s="19" t="e">
        <f si="69" t="shared"/>
        <v>#DIV/0!</v>
      </c>
      <c r="G41" s="19" t="e">
        <f si="69" t="shared"/>
        <v>#DIV/0!</v>
      </c>
      <c r="H41" s="19" t="e">
        <f si="69" t="shared"/>
        <v>#DIV/0!</v>
      </c>
      <c r="I41" s="19" t="e">
        <f>I28/$J$28</f>
        <v>#DIV/0!</v>
      </c>
      <c r="J41" s="19" t="e">
        <f>J28/$J$28</f>
        <v>#DIV/0!</v>
      </c>
      <c r="K41" s="12"/>
      <c r="L41" s="16" t="s">
        <v>4</v>
      </c>
      <c r="M41" s="19">
        <f>M28/$U$28</f>
        <v>0</v>
      </c>
      <c r="N41" s="19">
        <f>N28/$U$28</f>
        <v>0</v>
      </c>
      <c r="O41" s="19">
        <f>O28/$U$28</f>
        <v>0</v>
      </c>
      <c r="P41" s="19">
        <f>P28/$U$28</f>
        <v>0</v>
      </c>
      <c r="Q41" s="19">
        <f ref="Q41:S41" si="70" t="shared">Q28/$U$28</f>
        <v>0.19300264547723295</v>
      </c>
      <c r="R41" s="19">
        <f si="70" t="shared"/>
        <v>4.0831029507541625E-2</v>
      </c>
      <c r="S41" s="19">
        <f si="70" t="shared"/>
        <v>0.76616632501522541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F41" si="71" t="shared">M41-B41</f>
        <v>#DIV/0!</v>
      </c>
      <c r="Y41" s="19" t="e">
        <f si="71" t="shared"/>
        <v>#DIV/0!</v>
      </c>
      <c r="Z41" s="19" t="e">
        <f si="71" t="shared"/>
        <v>#DIV/0!</v>
      </c>
      <c r="AA41" s="19" t="e">
        <f si="71" t="shared"/>
        <v>#DIV/0!</v>
      </c>
      <c r="AB41" s="19" t="e">
        <f si="71" t="shared"/>
        <v>#DIV/0!</v>
      </c>
      <c r="AC41" s="19" t="e">
        <f si="71" t="shared"/>
        <v>#DIV/0!</v>
      </c>
      <c r="AD41" s="19" t="e">
        <f si="71" t="shared"/>
        <v>#DIV/0!</v>
      </c>
      <c r="AE41" s="19" t="e">
        <f si="71" t="shared"/>
        <v>#DIV/0!</v>
      </c>
      <c r="AF41" s="19" t="e">
        <f si="71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workbookViewId="0">
      <selection activeCell="Q28" sqref="Q28"/>
    </sheetView>
  </sheetViews>
  <sheetFormatPr defaultColWidth="9.140625"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9973.1768341485003</v>
      </c>
      <c r="F4" s="391" t="s">
        <v>47</v>
      </c>
      <c r="G4" s="392">
        <f>TLFD!F11</f>
        <v>71745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87577.9958138738</v>
      </c>
      <c r="F5" s="394" t="s">
        <v>50</v>
      </c>
      <c r="G5" s="395">
        <f>TLFD!F12+TLFD!F13+(TLFD!F14/2)</f>
        <v>92412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ref="Q5:Q68" si="0" t="shared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389536.76642350428</v>
      </c>
      <c r="F6" s="394" t="s">
        <v>53</v>
      </c>
      <c r="G6" s="395">
        <f>(TLFD!F14/2)+SUM(TLFD!F15:F20)</f>
        <v>263899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si="0" t="shared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146376.2964230061</v>
      </c>
      <c r="F7" s="397" t="s">
        <v>56</v>
      </c>
      <c r="G7" s="398">
        <f>SUM(TLFD!F21:F101)</f>
        <v>92628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si="0" t="shared"/>
        <v>-0.34490013167299999</v>
      </c>
      <c r="T7" s="410">
        <v>5</v>
      </c>
      <c r="U7" s="410" t="s">
        <v>276</v>
      </c>
      <c r="V7" s="410"/>
      <c r="W7" s="410"/>
    </row>
    <row ht="15.75" r="8" spans="3:23" thickBot="1" x14ac:dyDescent="0.3">
      <c r="C8" s="400" t="s">
        <v>4</v>
      </c>
      <c r="D8" s="401">
        <f>SUM(D4:D7)</f>
        <v>633464.23549453262</v>
      </c>
      <c r="E8" s="402"/>
      <c r="F8" s="400" t="s">
        <v>4</v>
      </c>
      <c r="G8" s="401">
        <f>SUM(G4:G7)</f>
        <v>520684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si="0" t="shared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si="0" t="shared"/>
        <v>-3.9895313632499998</v>
      </c>
      <c r="T9" s="410"/>
      <c r="U9" s="463" t="s">
        <v>277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si="0" t="shared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si="0" t="shared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1.5743867254577749E-2</v>
      </c>
      <c r="F12" s="391" t="s">
        <v>47</v>
      </c>
      <c r="G12" s="405">
        <f>G4/G$8</f>
        <v>0.13778990712217007</v>
      </c>
      <c r="H12" s="405"/>
      <c r="I12" s="441">
        <f>D12/G12</f>
        <v>0.11425994532835125</v>
      </c>
      <c r="J12" s="442">
        <f>LN(I12)</f>
        <v>-2.1692792041705204</v>
      </c>
      <c r="K12" s="442">
        <f>K8*J12</f>
        <v>-2.1692792041705204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si="0" t="shared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ref="D13:D16" si="1" t="shared">D5/D$8</f>
        <v>0.13825247094731946</v>
      </c>
      <c r="F13" s="394" t="s">
        <v>50</v>
      </c>
      <c r="G13" s="406">
        <f ref="G13:G16" si="2" t="shared">G5/G$8</f>
        <v>0.17748192761828671</v>
      </c>
      <c r="H13" s="406"/>
      <c r="I13" s="441">
        <f ref="I13:I15" si="3" t="shared">D13/G13</f>
        <v>0.77896647169993172</v>
      </c>
      <c r="J13" s="442">
        <f ref="J13:J15" si="4" t="shared">LN(I13)</f>
        <v>-0.24978727421744915</v>
      </c>
      <c r="K13" s="442">
        <f>K8*(J13-J12)</f>
        <v>1.9194919299530713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si="0" t="shared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si="1" t="shared"/>
        <v>0.61493095363055639</v>
      </c>
      <c r="F14" s="394" t="s">
        <v>53</v>
      </c>
      <c r="G14" s="406">
        <f si="2" t="shared"/>
        <v>0.50683139869863492</v>
      </c>
      <c r="H14" s="406"/>
      <c r="I14" s="441">
        <f si="3" t="shared"/>
        <v>1.2132850395801902</v>
      </c>
      <c r="J14" s="442">
        <f si="4" t="shared"/>
        <v>0.19333158964459804</v>
      </c>
      <c r="K14" s="442">
        <f>K8*(J14-J13-J12)</f>
        <v>2.6123980680325678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si="0" t="shared"/>
        <v>-0.80534348065299999</v>
      </c>
      <c r="T14" s="410">
        <v>5</v>
      </c>
      <c r="U14" s="383" t="s">
        <v>281</v>
      </c>
      <c r="V14" s="410"/>
      <c r="W14" s="410"/>
    </row>
    <row ht="15.75" r="15" spans="3:23" thickBot="1" x14ac:dyDescent="0.3">
      <c r="C15" s="397" t="s">
        <v>56</v>
      </c>
      <c r="D15" s="406">
        <f si="1" t="shared"/>
        <v>0.23107270816754652</v>
      </c>
      <c r="F15" s="397" t="s">
        <v>56</v>
      </c>
      <c r="G15" s="406">
        <f si="2" t="shared"/>
        <v>0.17789676656090833</v>
      </c>
      <c r="H15" s="406"/>
      <c r="I15" s="443">
        <f si="3" t="shared"/>
        <v>1.298914604433981</v>
      </c>
      <c r="J15" s="444">
        <f si="4" t="shared"/>
        <v>0.2615289960617716</v>
      </c>
      <c r="K15" s="444">
        <f>K8*(J15-J14-J13-J12)</f>
        <v>2.4872638848051434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si="0" t="shared"/>
        <v>-0.51977799879300002</v>
      </c>
      <c r="T15" s="410">
        <v>6</v>
      </c>
      <c r="U15" s="410" t="s">
        <v>282</v>
      </c>
      <c r="V15" s="410"/>
      <c r="W15" s="410"/>
    </row>
    <row ht="15.75" r="16" spans="3:23" thickBot="1" x14ac:dyDescent="0.3">
      <c r="C16" s="400" t="s">
        <v>4</v>
      </c>
      <c r="D16" s="408">
        <f si="1" t="shared"/>
        <v>1</v>
      </c>
      <c r="E16" s="402"/>
      <c r="F16" s="400" t="s">
        <v>4</v>
      </c>
      <c r="G16" s="408">
        <f si="2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si="0" t="shared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si="0" t="shared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si="0" t="shared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si="0" t="shared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si="0" t="shared"/>
        <v>-12.0946718381</v>
      </c>
    </row>
    <row r="24" spans="2:23" x14ac:dyDescent="0.25">
      <c r="B24" s="448">
        <v>28</v>
      </c>
      <c r="C24" s="394" t="s">
        <v>50</v>
      </c>
      <c r="D24" s="465">
        <f ref="D24:D26" si="5" t="shared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si="0" t="shared"/>
        <v>-4.03623745316</v>
      </c>
    </row>
    <row r="25" spans="2:23" x14ac:dyDescent="0.25">
      <c r="B25" s="448">
        <v>29</v>
      </c>
      <c r="C25" s="394" t="s">
        <v>53</v>
      </c>
      <c r="D25" s="465">
        <f si="5" t="shared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si="0" t="shared"/>
        <v>-2.16371815818</v>
      </c>
    </row>
    <row ht="15.75" r="26" spans="2:23" thickBot="1" x14ac:dyDescent="0.3">
      <c r="B26" s="449">
        <v>30</v>
      </c>
      <c r="C26" s="414" t="s">
        <v>56</v>
      </c>
      <c r="D26" s="466">
        <f si="5" t="shared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si="0" t="shared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si="0" t="shared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si="0" t="shared"/>
        <v>-17.007770254270522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si="0" t="shared"/>
        <v>-3.268551304846929</v>
      </c>
      <c r="R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si="0" t="shared"/>
        <v>-3.2328026674321997E-3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si="0" t="shared"/>
        <v>1.5768021929051432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-2.1692792041705204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si="0" t="shared"/>
        <v>5.7553461640599997E-2</v>
      </c>
    </row>
    <row r="34" spans="2:17" x14ac:dyDescent="0.25">
      <c r="B34" s="448">
        <f ref="B34:B36" si="6" t="shared">B24</f>
        <v>28</v>
      </c>
      <c r="C34" s="394" t="s">
        <v>50</v>
      </c>
      <c r="D34" s="468">
        <f ref="D34:D36" si="7" t="shared">K13</f>
        <v>1.9194919299530713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si="0" t="shared"/>
        <v>0.237798002151</v>
      </c>
    </row>
    <row r="35" spans="2:17" x14ac:dyDescent="0.25">
      <c r="B35" s="448">
        <f si="6" t="shared"/>
        <v>29</v>
      </c>
      <c r="C35" s="394" t="s">
        <v>53</v>
      </c>
      <c r="D35" s="468">
        <f si="7" t="shared"/>
        <v>2.6123980680325678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si="0" t="shared"/>
        <v>0</v>
      </c>
    </row>
    <row ht="15.75" r="36" spans="2:17" thickBot="1" x14ac:dyDescent="0.3">
      <c r="B36" s="450">
        <f si="6" t="shared"/>
        <v>30</v>
      </c>
      <c r="C36" s="414" t="s">
        <v>56</v>
      </c>
      <c r="D36" s="415">
        <f si="7" t="shared"/>
        <v>2.4872638848051434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si="0" t="shared"/>
        <v>0</v>
      </c>
    </row>
    <row ht="15.75" r="37" spans="2:17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si="0" t="shared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si="0" t="shared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si="0" t="shared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si="0" t="shared"/>
        <v>-7.1836373472300004</v>
      </c>
    </row>
    <row ht="15.75" r="41" spans="2:17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si="0" t="shared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si="0" t="shared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-17.007770254270522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si="0" t="shared"/>
        <v>-0.22141031751900001</v>
      </c>
    </row>
    <row r="44" spans="2:17" x14ac:dyDescent="0.25">
      <c r="B44" s="448">
        <f ref="B44:B46" si="8" t="shared">B34</f>
        <v>28</v>
      </c>
      <c r="C44" s="394" t="s">
        <v>50</v>
      </c>
      <c r="D44" s="469">
        <f ref="D44:D46" si="9" t="shared">D24+D34</f>
        <v>-3.268551304846929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si="0" t="shared"/>
        <v>0.64228876129599999</v>
      </c>
    </row>
    <row r="45" spans="2:17" x14ac:dyDescent="0.25">
      <c r="B45" s="448">
        <f si="8" t="shared"/>
        <v>29</v>
      </c>
      <c r="C45" s="394" t="s">
        <v>53</v>
      </c>
      <c r="D45" s="469">
        <f si="9" t="shared"/>
        <v>-3.2328026674321997E-3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si="0" t="shared"/>
        <v>0.74588429254199995</v>
      </c>
    </row>
    <row ht="15.75" r="46" spans="2:17" thickBot="1" x14ac:dyDescent="0.3">
      <c r="B46" s="450">
        <f si="8" t="shared"/>
        <v>30</v>
      </c>
      <c r="C46" s="414" t="s">
        <v>56</v>
      </c>
      <c r="D46" s="470">
        <f si="9" t="shared"/>
        <v>1.5768021929051432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si="0" t="shared"/>
        <v>-32.156094092099998</v>
      </c>
    </row>
    <row ht="15.75" r="47" spans="2:17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si="0" t="shared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si="0" t="shared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si="0" t="shared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si="0" t="shared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si="0" t="shared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si="0" t="shared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si="0" t="shared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si="0" t="shared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si="0" t="shared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si="0" t="shared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si="0" t="shared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si="0" t="shared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si="0" t="shared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si="0" t="shared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si="0" t="shared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si="0" t="shared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si="0" t="shared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si="0" t="shared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si="0" t="shared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si="0" t="shared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si="0" t="shared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si="0" t="shared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ref="Q69:Q104" si="10" t="shared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si="10" t="shared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si="10" t="shared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si="10" t="shared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si="10" t="shared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si="10" t="shared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si="10" t="shared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si="10" t="shared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si="10" t="shared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si="10" t="shared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si="10" t="shared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si="10" t="shared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si="10" t="shared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si="10" t="shared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si="10" t="shared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si="10" t="shared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si="10" t="shared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si="10" t="shared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si="10" t="shared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si="10" t="shared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si="10" t="shared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si="10" t="shared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si="10" t="shared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si="10" t="shared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si="10" t="shared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si="10" t="shared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si="10" t="shared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si="10" t="shared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si="10" t="shared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si="10" t="shared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si="10" t="shared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si="10" t="shared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si="10" t="shared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si="10" t="shared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si="10" t="shared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2019-10-07T21:07:41Z</dcterms:modified>
</cp:coreProperties>
</file>