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mc:Ignorable="x15">
  <fileVersion appName="xl" codeName="{21656B06-1B9B-AA78-C99D-37B55691406E}" lastEdited="7" lowestEdited="4" rupBuild="18201"/>
  <workbookPr codeName="ThisWorkbook" defaultThemeVersion="124226"/>
  <mc:AlternateContent>
    <mc:Choice Requires="x15">
      <x15ac:absPath xmlns:x15ac="http://schemas.microsoft.com/office/spreadsheetml/2010/11/ac" url="D:\Sensitivity Test\BKRCast_V1-3_Test13\daysim_summaries\bkrcast_outbkr\output\"/>
    </mc:Choice>
  </mc:AlternateContent>
  <bookViews>
    <workbookView activeTab="6" firstSheet="1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  <sheet name="Coeff_Descr" r:id="rId5" sheetId="8"/>
    <sheet name="OtherTourDestination" r:id="rId6" sheetId="7"/>
    <sheet name="Calibration" r:id="rId7" sheetId="6"/>
  </sheets>
  <definedNames>
    <definedName name="AVGD">TLFD!$L$11:$L$13</definedName>
    <definedName name="AVGT">TDFD!$L$11:$L$13</definedName>
    <definedName name="flow">County_Flow!$M$7:$P$14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71027"/>
</workbook>
</file>

<file path=xl/calcChain.xml><?xml version="1.0" encoding="utf-8"?>
<calcChain xmlns="http://schemas.openxmlformats.org/spreadsheetml/2006/main">
  <c i="6" l="1" r="P104"/>
  <c i="6" r="O104"/>
  <c i="6" r="N104"/>
  <c i="6" r="M104" s="1"/>
  <c i="6" r="P103"/>
  <c i="6" r="O103"/>
  <c i="6" r="N103"/>
  <c i="6" r="M103" s="1"/>
  <c i="6" r="P102"/>
  <c i="6" r="O102"/>
  <c i="6" r="N102"/>
  <c i="6" r="M102" s="1"/>
  <c i="6" r="P101"/>
  <c i="6" r="O101"/>
  <c i="6" r="N101"/>
  <c i="6" r="M101" s="1"/>
  <c i="6" r="P100"/>
  <c i="6" r="O100"/>
  <c i="6" r="N100"/>
  <c i="6" r="M100" s="1"/>
  <c i="6" r="P99"/>
  <c i="6" r="O99"/>
  <c i="6" r="N99"/>
  <c i="6" r="M99" s="1"/>
  <c i="6" r="P98"/>
  <c i="6" r="O98"/>
  <c i="6" r="N98"/>
  <c i="6" r="M98" s="1"/>
  <c i="6" r="P97"/>
  <c i="6" r="O97"/>
  <c i="6" r="N97"/>
  <c i="6" r="M97" s="1"/>
  <c i="6" r="P96"/>
  <c i="6" r="O96"/>
  <c i="6" r="N96"/>
  <c i="6" r="M96" s="1"/>
  <c i="6" r="P95"/>
  <c i="6" r="O95"/>
  <c i="6" r="N95"/>
  <c i="6" r="M95" s="1"/>
  <c i="6" r="P94"/>
  <c i="6" r="O94"/>
  <c i="6" r="N94"/>
  <c i="6" r="M94" s="1"/>
  <c i="6" r="P93"/>
  <c i="6" r="O93"/>
  <c i="6" r="N93"/>
  <c i="6" r="M93" s="1"/>
  <c i="6" r="P92"/>
  <c i="6" r="O92"/>
  <c i="6" r="N92"/>
  <c i="6" r="M92" s="1"/>
  <c i="6" r="P91"/>
  <c i="6" r="O91"/>
  <c i="6" r="N91"/>
  <c i="6" r="M91" s="1"/>
  <c i="6" r="P90"/>
  <c i="6" r="O90"/>
  <c i="6" r="N90"/>
  <c i="6" r="M90" s="1"/>
  <c i="6" r="P89"/>
  <c i="6" r="O89"/>
  <c i="6" r="N89"/>
  <c i="6" r="M89" s="1"/>
  <c i="6" r="P88"/>
  <c i="6" r="O88"/>
  <c i="6" r="N88"/>
  <c i="6" r="M88" s="1"/>
  <c i="6" r="P87"/>
  <c i="6" r="O87"/>
  <c i="6" r="N87"/>
  <c i="6" r="M87" s="1"/>
  <c i="6" r="P86"/>
  <c i="6" r="O86"/>
  <c i="6" r="N86"/>
  <c i="6" r="M86" s="1"/>
  <c i="6" r="P85"/>
  <c i="6" r="O85"/>
  <c i="6" r="N85"/>
  <c i="6" r="M85" s="1"/>
  <c i="6" r="P84"/>
  <c i="6" r="O84"/>
  <c i="6" r="N84"/>
  <c i="6" r="M84" s="1"/>
  <c i="6" r="P83"/>
  <c i="6" r="O83"/>
  <c i="6" r="N83"/>
  <c i="6" r="M83" s="1"/>
  <c i="6" r="P82"/>
  <c i="6" r="O82"/>
  <c i="6" r="N82"/>
  <c i="6" r="P81"/>
  <c i="6" r="O81"/>
  <c i="6" r="N81"/>
  <c i="6" r="M81" s="1"/>
  <c i="6" r="P80"/>
  <c i="6" r="O80"/>
  <c i="6" r="N80"/>
  <c i="6" r="M80" s="1"/>
  <c i="6" r="P79"/>
  <c i="6" r="O79"/>
  <c i="6" r="N79"/>
  <c i="6" r="M79" s="1"/>
  <c i="6" r="P78"/>
  <c i="6" r="O78"/>
  <c i="6" r="N78"/>
  <c i="6" r="M78" s="1"/>
  <c i="6" r="P77"/>
  <c i="6" r="O77"/>
  <c i="6" r="N77"/>
  <c i="6" r="M77" s="1"/>
  <c i="6" r="P76"/>
  <c i="6" r="O76"/>
  <c i="6" r="N76"/>
  <c i="6" r="M76" s="1"/>
  <c i="6" r="P75"/>
  <c i="6" r="O75"/>
  <c i="6" r="N75"/>
  <c i="6" r="M75" s="1"/>
  <c i="6" r="P74"/>
  <c i="6" r="O74"/>
  <c i="6" r="N74"/>
  <c i="6" r="M74" s="1"/>
  <c i="6" r="P73"/>
  <c i="6" r="O73"/>
  <c i="6" r="N73"/>
  <c i="6" r="M73" s="1"/>
  <c i="6" r="P72"/>
  <c i="6" r="O72"/>
  <c i="6" r="N72"/>
  <c i="6" r="M72" s="1"/>
  <c i="6" r="P71"/>
  <c i="6" r="O71"/>
  <c i="6" r="N71"/>
  <c i="6" r="M71" s="1"/>
  <c i="6" r="P70"/>
  <c i="6" r="O70"/>
  <c i="6" r="N70"/>
  <c i="6" r="M70" s="1"/>
  <c i="6" r="P69"/>
  <c i="6" r="O69"/>
  <c i="6" r="N69"/>
  <c i="6" r="M69" s="1"/>
  <c i="6" r="P68"/>
  <c i="6" r="O68"/>
  <c i="6" r="N68"/>
  <c i="6" r="M68" s="1"/>
  <c i="6" r="P67"/>
  <c i="6" r="O67"/>
  <c i="6" r="N67"/>
  <c i="6" r="M67" s="1"/>
  <c i="6" r="P66"/>
  <c i="6" r="O66"/>
  <c i="6" r="N66"/>
  <c i="6" r="M66" s="1"/>
  <c i="6" r="P65"/>
  <c i="6" r="O65"/>
  <c i="6" r="N65"/>
  <c i="6" r="M65" s="1"/>
  <c i="6" r="P64"/>
  <c i="6" r="O64"/>
  <c i="6" r="N64"/>
  <c i="6" r="M64" s="1"/>
  <c i="6" r="P63"/>
  <c i="6" r="O63"/>
  <c i="6" r="N63"/>
  <c i="6" r="M63" s="1"/>
  <c i="6" r="P62"/>
  <c i="6" r="O62"/>
  <c i="6" r="N62"/>
  <c i="6" r="M62" s="1"/>
  <c i="6" r="P61"/>
  <c i="6" r="O61"/>
  <c i="6" r="N61"/>
  <c i="6" r="M61" s="1"/>
  <c i="6" r="P60"/>
  <c i="6" r="O60"/>
  <c i="6" r="N60"/>
  <c i="6" r="M60" s="1"/>
  <c i="6" r="P59"/>
  <c i="6" r="O59"/>
  <c i="6" r="N59"/>
  <c i="6" r="M59" s="1"/>
  <c i="6" r="P58"/>
  <c i="6" r="O58"/>
  <c i="6" r="N58"/>
  <c i="6" r="M58" s="1"/>
  <c i="6" r="P57"/>
  <c i="6" r="O57"/>
  <c i="6" r="N57"/>
  <c i="6" r="M57" s="1"/>
  <c i="6" r="P56"/>
  <c i="6" r="O56"/>
  <c i="6" r="N56"/>
  <c i="6" r="M56" s="1"/>
  <c i="6" r="P55"/>
  <c i="6" r="O55"/>
  <c i="6" r="N55"/>
  <c i="6" r="M55" s="1"/>
  <c i="6" r="P54"/>
  <c i="6" r="O54"/>
  <c i="6" r="N54"/>
  <c i="6" r="P53"/>
  <c i="6" r="O53"/>
  <c i="6" r="N53"/>
  <c i="6" r="M53" s="1"/>
  <c i="6" r="P52"/>
  <c i="6" r="O52"/>
  <c i="6" r="N52"/>
  <c i="6" r="M52" s="1"/>
  <c i="6" r="P51"/>
  <c i="6" r="O51"/>
  <c i="6" r="N51"/>
  <c i="6" r="M51" s="1"/>
  <c i="6" r="P50"/>
  <c i="6" r="O50"/>
  <c i="6" r="N50"/>
  <c i="6" r="M50" s="1"/>
  <c i="6" r="P49"/>
  <c i="6" r="O49"/>
  <c i="6" r="N49"/>
  <c i="6" r="M49" s="1"/>
  <c i="6" r="P48"/>
  <c i="6" r="O48"/>
  <c i="6" r="N48"/>
  <c i="6" r="M48" s="1"/>
  <c i="6" r="P47"/>
  <c i="6" r="O47"/>
  <c i="6" r="N47"/>
  <c i="6" r="M47" s="1"/>
  <c i="6" r="P46"/>
  <c i="6" r="O46"/>
  <c i="6" r="N46"/>
  <c i="6" r="M46" s="1"/>
  <c i="6" r="P45"/>
  <c i="6" r="O45"/>
  <c i="6" r="N45"/>
  <c i="6" r="M45" s="1"/>
  <c i="6" r="P44"/>
  <c i="6" r="O44"/>
  <c i="6" r="N44"/>
  <c i="6" r="M44" s="1"/>
  <c i="6" r="P43"/>
  <c i="6" r="O43"/>
  <c i="6" r="N43"/>
  <c i="6" r="M43" s="1"/>
  <c i="6" r="P42"/>
  <c i="6" r="O42"/>
  <c i="6" r="N42"/>
  <c i="6" r="P41"/>
  <c i="6" r="O41"/>
  <c i="6" r="N41"/>
  <c i="6" r="M41" s="1"/>
  <c i="6" r="P40"/>
  <c i="6" r="O40"/>
  <c i="6" r="N40"/>
  <c i="6" r="P39"/>
  <c i="6" r="O39"/>
  <c i="6" r="N39"/>
  <c i="6" r="P38"/>
  <c i="6" r="O38"/>
  <c i="6" r="N38"/>
  <c i="6" r="M38" s="1"/>
  <c i="6" r="P37"/>
  <c i="6" r="O37"/>
  <c i="6" r="N37"/>
  <c i="6" r="M37" s="1"/>
  <c i="6" r="P36"/>
  <c i="6" r="O36"/>
  <c i="6" r="N36"/>
  <c i="6" r="M36" s="1"/>
  <c i="6" r="P35"/>
  <c i="6" r="O35"/>
  <c i="6" r="N35"/>
  <c i="6" r="M35" s="1"/>
  <c i="6" r="P34"/>
  <c i="6" r="O34"/>
  <c i="6" r="N34"/>
  <c i="6" r="M34" s="1"/>
  <c i="6" r="P33"/>
  <c i="6" r="O33"/>
  <c i="6" r="N33"/>
  <c i="6" r="M33" s="1"/>
  <c i="6" r="P32"/>
  <c i="6" r="O32"/>
  <c i="6" r="N32"/>
  <c i="6" r="R32" s="1"/>
  <c i="6" r="P31"/>
  <c i="6" r="O31"/>
  <c i="6" r="N31"/>
  <c i="6" r="M31" s="1"/>
  <c i="6" r="P30"/>
  <c i="6" r="O30"/>
  <c i="6" r="N30"/>
  <c i="6" r="R30" s="1"/>
  <c i="6" r="P29"/>
  <c i="6" r="O29"/>
  <c i="6" r="N29"/>
  <c i="6" r="R29" s="1"/>
  <c i="6" r="P28"/>
  <c i="6" r="O28"/>
  <c i="6" r="N28"/>
  <c i="6" r="M28" s="1"/>
  <c i="6" r="P27"/>
  <c i="6" r="O27"/>
  <c i="6" r="N27"/>
  <c i="6" r="M27" s="1"/>
  <c i="6" r="P26"/>
  <c i="6" r="O26"/>
  <c i="6" r="N26"/>
  <c i="6" r="M26" s="1"/>
  <c i="6" r="P25"/>
  <c i="6" r="O25"/>
  <c i="6" r="N25"/>
  <c i="6" r="P24"/>
  <c i="6" r="O24"/>
  <c i="6" r="N24"/>
  <c i="6" r="M24" s="1"/>
  <c i="6" r="P23"/>
  <c i="6" r="O23"/>
  <c i="6" r="N23"/>
  <c i="6" r="M23" s="1"/>
  <c i="6" r="P22"/>
  <c i="6" r="O22"/>
  <c i="6" r="N22"/>
  <c i="6" r="M22" s="1"/>
  <c i="6" r="P21"/>
  <c i="6" r="O21"/>
  <c i="6" r="N21"/>
  <c i="6" r="M21" s="1"/>
  <c i="6" r="P20"/>
  <c i="6" r="O20"/>
  <c i="6" r="N20"/>
  <c i="6" r="M20" s="1"/>
  <c i="6" r="P19"/>
  <c i="6" r="O19"/>
  <c i="6" r="N19"/>
  <c i="6" r="M19" s="1"/>
  <c i="6" r="P18"/>
  <c i="6" r="O18"/>
  <c i="6" r="N18"/>
  <c i="6" r="M18" s="1"/>
  <c i="6" r="P17"/>
  <c i="6" r="O17"/>
  <c i="6" r="N17"/>
  <c i="6" r="M17" s="1"/>
  <c i="6" r="P16"/>
  <c i="6" r="O16"/>
  <c i="6" r="N16"/>
  <c i="6" r="M16" s="1"/>
  <c i="6" r="P15"/>
  <c i="6" r="O15"/>
  <c i="6" r="N15"/>
  <c i="6" r="M15" s="1"/>
  <c i="6" r="P14"/>
  <c i="6" r="O14"/>
  <c i="6" r="N14"/>
  <c i="6" r="M14" s="1"/>
  <c i="6" r="P13"/>
  <c i="6" r="O13"/>
  <c i="6" r="N13"/>
  <c i="6" r="M13" s="1"/>
  <c i="6" r="P12"/>
  <c i="6" r="O12"/>
  <c i="6" r="N12"/>
  <c i="6" r="M12" s="1"/>
  <c i="6" r="P11"/>
  <c i="6" r="O11"/>
  <c i="6" r="N11"/>
  <c i="6" r="M11" s="1"/>
  <c i="6" r="P10"/>
  <c i="6" r="O10"/>
  <c i="6" r="N10"/>
  <c i="6" r="M10" s="1"/>
  <c i="6" r="P9"/>
  <c i="6" r="O9"/>
  <c i="6" r="N9"/>
  <c i="6" r="M9" s="1"/>
  <c i="6" r="P8"/>
  <c i="6" r="O8"/>
  <c i="6" r="N8"/>
  <c i="6" r="M8" s="1"/>
  <c i="6" r="P7"/>
  <c i="6" r="O7"/>
  <c i="6" r="N7"/>
  <c i="6" r="M7" s="1"/>
  <c i="6" r="P6"/>
  <c i="6" r="O6"/>
  <c i="6" r="N6"/>
  <c i="6" r="M6" s="1"/>
  <c i="6" r="P5"/>
  <c i="6" r="O5"/>
  <c i="6" r="N5"/>
  <c i="6" r="M5" s="1"/>
  <c i="6" r="P4"/>
  <c i="6" r="O4"/>
  <c i="6" r="N4"/>
  <c i="6" r="M4" s="1"/>
  <c i="6" r="P3"/>
  <c i="6" r="O3"/>
  <c i="6" r="N3"/>
  <c i="6" r="M3" s="1"/>
  <c i="6" r="B36"/>
  <c i="6" r="B46" s="1"/>
  <c i="6" r="B35"/>
  <c i="6" r="B45" s="1"/>
  <c i="6" r="B34"/>
  <c i="6" r="B44" s="1"/>
  <c i="6" r="B33"/>
  <c i="6" r="B43" s="1"/>
  <c i="6" l="1" r="M30"/>
  <c i="6" r="M32"/>
  <c i="6" r="D26"/>
  <c i="6" r="R31"/>
  <c i="6" r="D23"/>
  <c i="6" r="D24"/>
  <c i="6" r="D25"/>
  <c i="6" r="Q53"/>
  <c i="6" r="M29"/>
  <c i="6" r="M42"/>
  <c i="6" r="M39"/>
  <c i="6" r="Q95"/>
  <c i="6" r="Q99"/>
  <c i="6" r="Q22"/>
  <c i="6" r="Q93"/>
  <c i="6" r="Q16"/>
  <c i="6" r="Q63"/>
  <c i="6" r="Q9"/>
  <c i="6" r="Q54"/>
  <c i="6" r="Q66"/>
  <c i="6" r="Q55"/>
  <c i="6" r="Q74"/>
  <c i="6" r="Q19"/>
  <c i="6" r="Q75"/>
  <c i="6" r="Q60"/>
  <c i="6" r="Q77"/>
  <c i="6" r="Q17"/>
  <c i="6" r="Q78"/>
  <c i="6" r="Q23"/>
  <c i="6" r="Q79"/>
  <c i="6" r="Q28"/>
  <c i="6" r="Q12"/>
  <c i="6" r="Q21"/>
  <c i="6" r="Q26"/>
  <c i="6" r="Q80"/>
  <c i="6" r="Q46"/>
  <c i="6" r="Q56"/>
  <c i="6" r="Q20"/>
  <c i="6" r="Q27"/>
  <c i="6" r="Q84"/>
  <c i="6" r="Q18"/>
  <c i="6" r="Q85"/>
  <c i="6" r="Q61"/>
  <c i="6" r="Q15"/>
  <c i="6" r="Q86"/>
  <c i="6" r="Q44"/>
  <c i="6" r="Q87"/>
  <c i="6" r="Q59"/>
  <c i="6" r="Q45"/>
  <c i="6" r="Q88"/>
  <c i="6" r="Q11"/>
  <c i="6" r="Q13"/>
  <c i="6" r="Q14"/>
  <c i="6" r="Q47"/>
  <c i="6" r="Q89"/>
  <c i="6" r="Q48"/>
  <c i="6" r="Q91"/>
  <c i="6" r="Q50"/>
  <c i="6" r="Q8"/>
  <c i="6" r="Q62"/>
  <c i="6" r="Q104"/>
  <c i="6" r="Q49"/>
  <c i="6" r="Q81"/>
  <c i="6" r="Q90"/>
  <c i="6" r="Q25"/>
  <c i="6" r="Q64"/>
  <c i="6" r="Q92"/>
  <c i="6" r="Q82"/>
  <c i="6" r="Q65"/>
  <c i="6" r="Q94"/>
  <c i="6" r="Q33"/>
  <c i="6" r="Q67"/>
  <c i="6" r="Q96"/>
  <c i="6" r="Q34"/>
  <c i="6" r="Q68"/>
  <c i="6" r="Q97"/>
  <c i="6" r="Q57"/>
  <c i="6" r="Q83"/>
  <c i="6" r="Q3"/>
  <c i="6" r="Q35"/>
  <c i="6" r="Q69"/>
  <c i="6" r="Q98"/>
  <c i="6" r="Q51"/>
  <c i="6" r="Q4"/>
  <c i="6" r="Q36"/>
  <c i="6" r="Q70"/>
  <c i="6" r="Q101"/>
  <c i="6" r="Q5"/>
  <c i="6" r="Q37"/>
  <c i="6" r="Q71"/>
  <c i="6" r="Q102"/>
  <c i="6" r="Q6"/>
  <c i="6" r="Q38"/>
  <c i="6" r="Q72"/>
  <c i="6" r="Q103"/>
  <c i="6" r="Q58"/>
  <c i="6" r="Q7"/>
  <c i="6" r="Q43"/>
  <c i="6" r="Q73"/>
  <c i="6" r="M40"/>
  <c i="6" r="M82"/>
  <c i="6" r="M25"/>
  <c i="6" r="M54"/>
  <c i="6" r="Q24"/>
  <c i="6" r="Q52"/>
  <c i="6" r="Q76"/>
  <c i="6" r="Q100"/>
  <c i="6" r="Q10"/>
  <c i="6" l="1" r="D5"/>
  <c i="6" r="G7"/>
  <c i="6" r="D7"/>
  <c i="6" r="G6"/>
  <c i="6" r="D6"/>
  <c i="6" r="G5"/>
  <c i="6" r="G4"/>
  <c i="6" r="D4"/>
  <c i="6" l="1" r="G8"/>
  <c i="6" r="G16" s="1"/>
  <c i="6" r="D8"/>
  <c i="1" r="H15"/>
  <c i="1" r="J13"/>
  <c i="6" l="1" r="G13"/>
  <c i="6" r="G14"/>
  <c i="6" r="G15"/>
  <c i="6" r="G12"/>
  <c i="6" r="D13"/>
  <c i="6" r="D16"/>
  <c i="6" r="D12"/>
  <c i="6" r="D15"/>
  <c i="6" r="D14"/>
  <c i="1" r="S15"/>
  <c i="1" r="U13"/>
  <c i="6" l="1" r="I15"/>
  <c i="6" r="J15" s="1"/>
  <c i="6" r="I13"/>
  <c i="6" r="J13" s="1"/>
  <c i="6" r="I14"/>
  <c i="6" r="J14" s="1"/>
  <c i="6" r="I12"/>
  <c i="6" r="J12" s="1"/>
  <c i="6" r="K12" s="1"/>
  <c i="6" r="D33" s="1"/>
  <c i="6" r="D43" s="1"/>
  <c i="1" r="D26"/>
  <c i="1" r="E26"/>
  <c i="1" r="F26"/>
  <c i="1" r="G26"/>
  <c i="1" r="H26"/>
  <c i="1" r="B26"/>
  <c i="1" r="C26"/>
  <c i="1" r="S28"/>
  <c i="1" r="U26"/>
  <c i="1" r="N26"/>
  <c i="1" r="O26"/>
  <c i="1" r="P26"/>
  <c i="1" r="Q26"/>
  <c i="1" r="R26"/>
  <c i="1" r="S26"/>
  <c i="1" r="M26"/>
  <c i="1" r="S21"/>
  <c i="1" r="S22"/>
  <c i="1" r="S23"/>
  <c i="1" r="S24"/>
  <c i="1" r="S25"/>
  <c i="1" r="S20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6" l="1" r="Q39"/>
  <c i="6" r="Q29"/>
  <c i="6" r="K13"/>
  <c i="6" r="D34" s="1"/>
  <c i="6" r="D44" s="1"/>
  <c i="6" r="K15"/>
  <c i="6" r="D36" s="1"/>
  <c i="6" r="D46" s="1"/>
  <c i="6" r="Q32" s="1"/>
  <c i="6" r="Q42"/>
  <c i="6" r="K14"/>
  <c i="6" r="D35" s="1"/>
  <c i="6" r="D45" s="1"/>
  <c i="6" r="Q40"/>
  <c i="6" r="Q30"/>
  <c i="6" r="Q41"/>
  <c i="6" r="Q31"/>
  <c i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5"/>
  <c i="1" r="H23"/>
  <c i="1" r="O21"/>
  <c i="1" r="P21"/>
  <c i="1" r="Q21"/>
  <c i="1" r="R21"/>
  <c i="1" r="O22"/>
  <c i="1" r="P22"/>
  <c i="1" r="Q22"/>
  <c i="1" r="R22"/>
  <c i="1" r="O23"/>
  <c i="1" r="P23"/>
  <c i="1" r="Q23"/>
  <c i="1" r="R23"/>
  <c i="1" r="O24"/>
  <c i="1" r="P24"/>
  <c i="1" r="Q24"/>
  <c i="1" r="R24"/>
  <c i="1" r="O25"/>
  <c i="1" r="P25"/>
  <c i="1" r="Q25"/>
  <c i="1" r="R25"/>
  <c i="1" r="Q20"/>
  <c i="1" r="R20"/>
  <c i="1" r="E23"/>
  <c i="1" r="F23"/>
  <c i="1" r="G23"/>
  <c i="1" r="E24"/>
  <c i="1" r="F24"/>
  <c i="1" r="G24"/>
  <c i="1" r="E25"/>
  <c i="1" r="F25"/>
  <c i="1" r="G25"/>
  <c i="1" l="1" r="U23"/>
  <c i="1" r="U24"/>
  <c i="1" r="U25"/>
  <c i="1" r="M23"/>
  <c i="1" r="N23"/>
  <c i="1" r="M24"/>
  <c i="1" r="N24"/>
  <c i="1" r="M25"/>
  <c i="1" r="N25"/>
  <c i="1" r="B23"/>
  <c i="1" r="C23"/>
  <c i="1" r="D23"/>
  <c i="1" r="B24"/>
  <c i="1" r="C24"/>
  <c i="1" r="D24"/>
  <c i="1" r="B25"/>
  <c i="1" r="C25"/>
  <c i="1" r="D25"/>
  <c i="1" r="U7"/>
  <c i="1" r="H20" s="1"/>
  <c i="1" r="M15"/>
  <c i="1" r="C15"/>
  <c i="1" r="D15"/>
  <c i="1" r="E15"/>
  <c i="1" r="I15"/>
  <c i="1" r="B15"/>
  <c i="1" r="J8"/>
  <c i="1" r="J9"/>
  <c i="1" r="J14"/>
  <c i="1" r="J7"/>
  <c i="1" l="1" r="J23"/>
  <c i="1" r="J24"/>
  <c i="1" r="J25"/>
  <c i="1" r="F20"/>
  <c i="1" r="G20"/>
  <c i="1" r="J15"/>
  <c i="1" r="N15"/>
  <c i="1" r="N28" s="1"/>
  <c i="1" r="O15"/>
  <c i="1" r="O28" s="1"/>
  <c i="1" r="P15"/>
  <c i="1" r="T15"/>
  <c i="1" r="M28"/>
  <c i="1" r="U8"/>
  <c i="1" r="H21" s="1"/>
  <c i="1" r="U9"/>
  <c i="1" r="H22" s="1"/>
  <c i="1" r="U14"/>
  <c i="1" r="D20"/>
  <c i="1" r="P28"/>
  <c i="1" r="N22"/>
  <c i="1" r="M22"/>
  <c i="1" r="N21"/>
  <c i="1" r="M21"/>
  <c i="1" r="P20"/>
  <c i="1" r="O20"/>
  <c i="1" r="N20"/>
  <c i="1" r="M20"/>
  <c i="1" r="I28"/>
  <c i="1" r="J27"/>
  <c i="4" r="F102"/>
  <c i="4" r="G101" s="1"/>
  <c i="4" r="B102"/>
  <c i="4" r="C102" s="1"/>
  <c i="3" r="F102"/>
  <c i="3" r="G101" s="1"/>
  <c i="3" r="B102"/>
  <c i="3" r="C13" s="1"/>
  <c i="1" l="1" r="H28"/>
  <c i="1" r="U22"/>
  <c i="1" r="F22"/>
  <c i="1" r="G22"/>
  <c i="1" r="E22"/>
  <c i="1" r="C21"/>
  <c i="1" r="E21"/>
  <c i="1" r="F21"/>
  <c i="1" r="F28" s="1"/>
  <c i="1" r="G21"/>
  <c i="1" r="G28" s="1"/>
  <c i="4" r="C11"/>
  <c i="4" r="C25"/>
  <c i="4" r="C49"/>
  <c i="4" r="C81"/>
  <c i="4" r="C41"/>
  <c i="4" r="C17"/>
  <c i="4" r="C97"/>
  <c i="4" r="C19"/>
  <c i="4" r="C73"/>
  <c i="4" r="C33"/>
  <c i="4" r="C65"/>
  <c i="4" r="C15"/>
  <c i="4" r="C27"/>
  <c i="4" r="C57"/>
  <c i="4" r="C89"/>
  <c i="1" r="B22"/>
  <c i="1" r="B21"/>
  <c i="1" r="U21"/>
  <c i="4" r="G30"/>
  <c i="1" r="C20"/>
  <c i="4" r="G46"/>
  <c i="4" r="G62"/>
  <c i="4" r="C35"/>
  <c i="4" r="C43"/>
  <c i="4" r="C51"/>
  <c i="4" r="C59"/>
  <c i="4" r="C67"/>
  <c i="4" r="C75"/>
  <c i="4" r="C83"/>
  <c i="4" r="C91"/>
  <c i="4" r="C101"/>
  <c i="1" r="U15"/>
  <c i="1" r="U28" s="1"/>
  <c i="4" r="C31"/>
  <c i="4" r="C47"/>
  <c i="4" r="C63"/>
  <c i="4" r="C79"/>
  <c i="4" r="C87"/>
  <c i="4" r="C95"/>
  <c i="4" r="G94"/>
  <c i="4" r="C23"/>
  <c i="4" r="C39"/>
  <c i="4" r="C55"/>
  <c i="4" r="C71"/>
  <c i="4" r="C13"/>
  <c i="4" r="C21"/>
  <c i="4" r="C29"/>
  <c i="4" r="C37"/>
  <c i="4" r="C45"/>
  <c i="4" r="C53"/>
  <c i="4" r="C61"/>
  <c i="4" r="C69"/>
  <c i="4" r="C77"/>
  <c i="4" r="C85"/>
  <c i="4" r="C93"/>
  <c i="4" r="G14"/>
  <c i="4" r="G78"/>
  <c i="1" r="D21"/>
  <c i="1" r="D22"/>
  <c i="1" r="C22"/>
  <c i="1" r="B20"/>
  <c i="1" r="U20"/>
  <c i="1" r="E20"/>
  <c i="4" r="C99"/>
  <c i="4" r="G22"/>
  <c i="4" r="G38"/>
  <c i="4" r="G54"/>
  <c i="4" r="G70"/>
  <c i="4" r="G86"/>
  <c i="4" r="G102"/>
  <c i="4" r="G18"/>
  <c i="4" r="G34"/>
  <c i="4" r="G50"/>
  <c i="4" r="G66"/>
  <c i="4" r="G82"/>
  <c i="4" r="G98"/>
  <c i="4" r="G26"/>
  <c i="4" r="G42"/>
  <c i="4" r="G58"/>
  <c i="4" r="G74"/>
  <c i="4" r="G90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88"/>
  <c i="4" r="G92"/>
  <c i="4" r="G96"/>
  <c i="4" r="G100"/>
  <c i="4" r="G11"/>
  <c i="4" r="G13"/>
  <c i="4" r="G15"/>
  <c i="4" r="G17"/>
  <c i="4" r="G19"/>
  <c i="4" r="G21"/>
  <c i="4" r="G23"/>
  <c i="4" r="G25"/>
  <c i="4" r="G27"/>
  <c i="4" r="G29"/>
  <c i="4" r="G31"/>
  <c i="4" r="G33"/>
  <c i="4" r="G35"/>
  <c i="4" r="G37"/>
  <c i="4" r="G39"/>
  <c i="4" r="G41"/>
  <c i="4" r="G43"/>
  <c i="4" r="G45"/>
  <c i="4" r="G47"/>
  <c i="4" r="G49"/>
  <c i="4" r="G51"/>
  <c i="4" r="G53"/>
  <c i="4" r="G55"/>
  <c i="4" r="G57"/>
  <c i="4" r="G59"/>
  <c i="4" r="G61"/>
  <c i="4" r="G63"/>
  <c i="4" r="G65"/>
  <c i="4" r="G67"/>
  <c i="4" r="G69"/>
  <c i="4" r="G71"/>
  <c i="4" r="G73"/>
  <c i="4" r="G75"/>
  <c i="4" r="G77"/>
  <c i="4" r="G79"/>
  <c i="4" r="G81"/>
  <c i="4" r="G83"/>
  <c i="4" r="G85"/>
  <c i="4" r="G87"/>
  <c i="4" r="G89"/>
  <c i="4" r="G91"/>
  <c i="4" r="G93"/>
  <c i="4" r="G95"/>
  <c i="4" r="G97"/>
  <c i="4" r="G99"/>
  <c i="4" r="C12"/>
  <c i="4" r="C14"/>
  <c i="4" r="C16"/>
  <c i="4" r="C18"/>
  <c i="4" r="C20"/>
  <c i="4" r="C22"/>
  <c i="4" r="C24"/>
  <c i="4" r="C26"/>
  <c i="4" r="C28"/>
  <c i="4" r="C30"/>
  <c i="4" r="C32"/>
  <c i="4" r="C34"/>
  <c i="4" r="C36"/>
  <c i="4" r="C38"/>
  <c i="4" r="C40"/>
  <c i="4" r="C42"/>
  <c i="4" r="C44"/>
  <c i="4" r="C46"/>
  <c i="4" r="C48"/>
  <c i="4" r="C50"/>
  <c i="4" r="C52"/>
  <c i="4" r="C54"/>
  <c i="4" r="C56"/>
  <c i="4" r="C58"/>
  <c i="4" r="C60"/>
  <c i="4" r="C62"/>
  <c i="4" r="C64"/>
  <c i="4" r="C66"/>
  <c i="4" r="C68"/>
  <c i="4" r="C70"/>
  <c i="4" r="C72"/>
  <c i="4" r="C74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02"/>
  <c i="3" r="C98"/>
  <c i="3" r="C92"/>
  <c i="3" r="C82"/>
  <c i="3" r="C28"/>
  <c i="3" r="C11"/>
  <c i="3" r="C100"/>
  <c i="3" r="C96"/>
  <c i="3" r="C94"/>
  <c i="3" r="C90"/>
  <c i="3" r="C88"/>
  <c i="3" r="C86"/>
  <c i="3" r="C84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6"/>
  <c i="3" r="C24"/>
  <c i="3" r="C22"/>
  <c i="3" r="C20"/>
  <c i="3" r="C18"/>
  <c i="3" r="C16"/>
  <c i="3" r="C14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1" l="1" r="S35"/>
  <c i="1" r="S37"/>
  <c i="1" r="M39"/>
  <c i="1" r="S34"/>
  <c i="1" r="N39"/>
  <c i="1" r="P39"/>
  <c i="1" r="S36"/>
  <c i="1" r="S38"/>
  <c i="1" r="S39"/>
  <c i="1" r="S33"/>
  <c i="1" r="O39"/>
  <c i="1" r="R39"/>
  <c i="1" r="Q39"/>
  <c i="1" r="P41"/>
  <c i="1" r="U39"/>
  <c i="1" r="S41"/>
  <c i="1" r="R41"/>
  <c i="1" r="Q41"/>
  <c i="1" r="R38"/>
  <c i="1" r="Q38"/>
  <c i="1" r="Q33"/>
  <c i="1" r="R33"/>
  <c i="1" r="P36"/>
  <c i="1" r="O34"/>
  <c i="1" r="O37"/>
  <c i="1" r="R34"/>
  <c i="1" r="Q36"/>
  <c i="1" r="O36"/>
  <c i="1" r="P37"/>
  <c i="1" r="R35"/>
  <c i="1" r="Q37"/>
  <c i="1" r="Q34"/>
  <c i="1" r="P35"/>
  <c i="1" r="O35"/>
  <c i="1" r="Q35"/>
  <c i="1" r="P38"/>
  <c i="1" r="R37"/>
  <c i="1" r="O38"/>
  <c i="1" r="P34"/>
  <c i="1" r="R36"/>
  <c i="1" r="P33"/>
  <c i="1" r="U41"/>
  <c i="1" r="U36"/>
  <c i="1" r="U37"/>
  <c i="1" r="U38"/>
  <c i="1" r="M36"/>
  <c i="1" r="N36"/>
  <c i="1" r="M37"/>
  <c i="1" r="N37"/>
  <c i="1" r="M38"/>
  <c i="1" r="N38"/>
  <c i="1" r="U35"/>
  <c i="1" r="M41"/>
  <c i="1" r="O41"/>
  <c i="1" r="U33"/>
  <c i="1" r="J22"/>
  <c i="1" r="B28"/>
  <c i="1" r="T41"/>
  <c i="1" r="N34"/>
  <c i="1" r="N41"/>
  <c i="1" r="M34"/>
  <c i="1" r="C28"/>
  <c i="1" r="J21"/>
  <c i="1" r="E28"/>
  <c i="1" r="U34"/>
  <c i="1" r="N33"/>
  <c i="1" r="M33"/>
  <c i="1" r="N35"/>
  <c i="1" r="M35"/>
  <c i="1" r="O33"/>
  <c i="1" r="D28"/>
  <c i="1" r="J20"/>
  <c i="1" l="1" r="J28"/>
  <c i="1" l="1" r="G39"/>
  <c i="1" r="AC39" s="1"/>
  <c i="1" r="F39"/>
  <c i="1" r="AB39" s="1"/>
  <c i="1" r="C39"/>
  <c i="1" r="Y39" s="1"/>
  <c i="1" r="B39"/>
  <c i="1" r="X39" s="1"/>
  <c i="1" r="E39"/>
  <c i="1" r="AA39" s="1"/>
  <c i="1" r="D39"/>
  <c i="1" r="Z39" s="1"/>
  <c i="1" r="H39"/>
  <c i="1" r="AD39" s="1"/>
  <c i="1" r="H36"/>
  <c i="1" r="AD36" s="1"/>
  <c i="1" r="H38"/>
  <c i="1" r="AD38" s="1"/>
  <c i="1" r="H37"/>
  <c i="1" r="AD37" s="1"/>
  <c i="1" r="H33"/>
  <c i="1" r="AD33" s="1"/>
  <c i="1" r="H35"/>
  <c i="1" r="AD35" s="1"/>
  <c i="1" r="H34"/>
  <c i="1" r="AD34" s="1"/>
  <c i="1" r="J39"/>
  <c i="1" r="AF39" s="1"/>
  <c i="1" r="H41"/>
  <c i="1" r="AD41" s="1"/>
  <c i="1" r="F41"/>
  <c i="1" r="AB41" s="1"/>
  <c i="1" r="G41"/>
  <c i="1" r="AC41" s="1"/>
  <c i="1" r="E37"/>
  <c i="1" r="AA37" s="1"/>
  <c i="1" r="G36"/>
  <c i="1" r="AC36" s="1"/>
  <c i="1" r="F36"/>
  <c i="1" r="AB36" s="1"/>
  <c i="1" r="G37"/>
  <c i="1" r="AC37" s="1"/>
  <c i="1" r="F38"/>
  <c i="1" r="AB38" s="1"/>
  <c i="1" r="F37"/>
  <c i="1" r="AB37" s="1"/>
  <c i="1" r="E36"/>
  <c i="1" r="AA36" s="1"/>
  <c i="1" r="E38"/>
  <c i="1" r="AA38" s="1"/>
  <c i="1" r="G38"/>
  <c i="1" r="AC38" s="1"/>
  <c i="1" r="G33"/>
  <c i="1" r="AC33" s="1"/>
  <c i="1" r="F33"/>
  <c i="1" r="AB33" s="1"/>
  <c i="1" r="F34"/>
  <c i="1" r="AB34" s="1"/>
  <c i="1" r="E35"/>
  <c i="1" r="AA35" s="1"/>
  <c i="1" r="E34"/>
  <c i="1" r="AA34" s="1"/>
  <c i="1" r="F35"/>
  <c i="1" r="AB35" s="1"/>
  <c i="1" r="G35"/>
  <c i="1" r="AC35" s="1"/>
  <c i="1" r="G34"/>
  <c i="1" r="AC34" s="1"/>
  <c i="1" r="J33"/>
  <c i="1" r="AF33" s="1"/>
  <c i="1" r="J37"/>
  <c i="1" r="AF37" s="1"/>
  <c i="1" r="C37"/>
  <c i="1" r="Y37" s="1"/>
  <c i="1" r="D38"/>
  <c i="1" r="Z38" s="1"/>
  <c i="1" r="C36"/>
  <c i="1" r="Y36" s="1"/>
  <c i="1" r="D37"/>
  <c i="1" r="Z37" s="1"/>
  <c i="1" r="C38"/>
  <c i="1" r="Y38" s="1"/>
  <c i="1" r="B38"/>
  <c i="1" r="X38" s="1"/>
  <c i="1" r="B36"/>
  <c i="1" r="X36" s="1"/>
  <c i="1" r="D36"/>
  <c i="1" r="Z36" s="1"/>
  <c i="1" r="B37"/>
  <c i="1" r="X37" s="1"/>
  <c i="1" r="J38"/>
  <c i="1" r="AF38" s="1"/>
  <c i="1" r="J36"/>
  <c i="1" r="AF36" s="1"/>
  <c i="1" r="J41"/>
  <c i="1" r="AF41" s="1"/>
  <c i="1" r="C33"/>
  <c i="1" r="Y33" s="1"/>
  <c i="1" r="C41"/>
  <c i="1" r="Y41" s="1"/>
  <c i="1" r="B34"/>
  <c i="1" r="X34" s="1"/>
  <c i="1" r="E41"/>
  <c i="1" r="AA41" s="1"/>
  <c i="1" r="E33"/>
  <c i="1" r="AA33" s="1"/>
  <c i="1" r="D41"/>
  <c i="1" r="Z41" s="1"/>
  <c i="1" r="D34"/>
  <c i="1" r="Z34" s="1"/>
  <c i="1" r="I41"/>
  <c i="1" r="AE41" s="1"/>
  <c i="1" r="J35"/>
  <c i="1" r="AF35" s="1"/>
  <c i="1" r="D33"/>
  <c i="1" r="Z33" s="1"/>
  <c i="1" r="J34"/>
  <c i="1" r="AF34" s="1"/>
  <c i="1" r="B35"/>
  <c i="1" r="X35" s="1"/>
  <c i="1" r="D35"/>
  <c i="1" r="Z35" s="1"/>
  <c i="1" r="B33"/>
  <c i="1" r="X33" s="1"/>
  <c i="1" r="C34"/>
  <c i="1" r="Y34" s="1"/>
  <c i="1" r="C35"/>
  <c i="1" r="Y35" s="1"/>
  <c i="1" r="B41"/>
  <c i="1" r="X41" s="1"/>
</calcChain>
</file>

<file path=xl/sharedStrings.xml><?xml version="1.0" encoding="utf-8"?>
<sst xmlns="http://schemas.openxmlformats.org/spreadsheetml/2006/main" count="716" uniqueCount="284">
  <si>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</si>
  <si>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</si>
  <si>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</si>
  <si>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</si>
  <si>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</si>
  <si>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</si>
  <si>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Distance values reflect low end of each range (ie. 0 refers to 0-1 miles)</t>
  </si>
  <si>
    <t>Frequency of trips by 1-minute increment</t>
  </si>
  <si>
    <t>Distance values reflect low end of each range (ie. 0 refers to 0-1 minutes)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</si>
  <si>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</si>
  <si>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</si>
  <si>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</si>
  <si>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</si>
  <si>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</si>
  <si>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</si>
  <si>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</si>
  <si>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</si>
  <si>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</si>
  <si>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</si>
  <si>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Table X. Estimated Personal Business Tour Flows by County: DaySim</t>
  </si>
  <si>
    <t>Steps for generating tour distance and time distributions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</si>
  <si>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</si>
  <si>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</si>
  <si>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</si>
  <si>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</si>
  <si>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</si>
  <si>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</si>
  <si>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</si>
  <si>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</si>
  <si>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</si>
  <si>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</si>
  <si>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</si>
  <si>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</si>
  <si>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</si>
  <si>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Observed Trip Lengths: Survey</t>
  </si>
  <si>
    <t>Survey</t>
  </si>
  <si>
    <t>Table X. Observed Trip Durations: Survey</t>
  </si>
  <si>
    <t>Observed Sources: Survey &amp; CTPP, 6-county Tampa Region only</t>
  </si>
  <si>
    <t>Table X. Observed Personal Business Tour Flows by County: Survey</t>
  </si>
  <si>
    <t>Table X. Adjusted Observed Personal Business Tour Flows by County: Survey</t>
  </si>
  <si>
    <t>Observed</t>
  </si>
  <si>
    <t>Estimated</t>
  </si>
  <si>
    <t>OtherTourDestinationCoefficients_SACOG-v1.8.F12</t>
  </si>
  <si>
    <t>Count</t>
  </si>
  <si>
    <t>TOTAL</t>
  </si>
  <si>
    <t>Beta00001</t>
  </si>
  <si>
    <t>sampleItem.AdjustmentFactor</t>
  </si>
  <si>
    <t>0-1</t>
  </si>
  <si>
    <t>Beta00002</t>
  </si>
  <si>
    <t>_tour.IsHomeBasedTour).ToFlag() * timePressure</t>
  </si>
  <si>
    <t>1-3.5</t>
  </si>
  <si>
    <t>Beta00003</t>
  </si>
  <si>
    <t>_secondaryFlag * _workOrSchoolPatternFlag * distanceFromOrigin0</t>
  </si>
  <si>
    <t>3.5-10</t>
  </si>
  <si>
    <t>Beta00004</t>
  </si>
  <si>
    <t>_secondaryFlag * _otherPatternFlag * distanceFromOrigin5</t>
  </si>
  <si>
    <t>&gt;= 10</t>
  </si>
  <si>
    <t>Beta00005</t>
  </si>
  <si>
    <t>_secondaryFlag * _otherPatternFlag * distanceFromOrigin0</t>
  </si>
  <si>
    <t>Beta00006</t>
  </si>
  <si>
    <t>_secondaryFlag * _otherPatternFlag * distanceFromOrigin3</t>
  </si>
  <si>
    <t>Beta00007</t>
  </si>
  <si>
    <t>(!_tour.IsHomeBasedTour).ToFlag() * distanceFromOriginLog</t>
  </si>
  <si>
    <t>Share</t>
  </si>
  <si>
    <t>Beta00008</t>
  </si>
  <si>
    <t>household.Has0To15KIncome.ToFlag() * distanceFromOriginLog</t>
  </si>
  <si>
    <t>Beta00009</t>
  </si>
  <si>
    <t>household.HasMissingIncome.ToFlag() * distanceFromOriginLog</t>
  </si>
  <si>
    <t>Beta00010</t>
  </si>
  <si>
    <t>person.IsRetiredAdult.ToFlag() * distanceFromOriginLog</t>
  </si>
  <si>
    <t>Beta00011</t>
  </si>
  <si>
    <t>person.IsChildAge5Through15.ToFlag() * distanceFromOriginLog</t>
  </si>
  <si>
    <t>Beta00012</t>
  </si>
  <si>
    <t>person.IsChildUnder5.ToFlag() * distanceFromOriginLog</t>
  </si>
  <si>
    <t>Beta00013</t>
  </si>
  <si>
    <t>(_tour.IsHomeBasedTour).ToFlag() * distanceFromSchoolLog</t>
  </si>
  <si>
    <t>Beta00014</t>
  </si>
  <si>
    <t>distanceFromWorkLog</t>
  </si>
  <si>
    <t>Beta00015</t>
  </si>
  <si>
    <t>carCompetitionFlag * destinationParcel.ParkingHourlyEmploymentCommercialMixInParcel()</t>
  </si>
  <si>
    <t>Beta00016</t>
  </si>
  <si>
    <t>noCarCompetitionFlag * destinationParcel.ParkingHourlyEmploymentCommercialMixInParcel()</t>
  </si>
  <si>
    <t>Table X.X</t>
  </si>
  <si>
    <t>Beta00017</t>
  </si>
  <si>
    <t>carCompetitionFlag * destinationParcel.ParkingHourlyEmploymentCommercialMixBuffer1()</t>
  </si>
  <si>
    <t>ORIGINAL COEFFICIENT</t>
  </si>
  <si>
    <t>Beta00018</t>
  </si>
  <si>
    <t>noCarCompetitionFlag * destinationParcel.ParkingHourlyEmploymentCommercialMixBuffer1()</t>
  </si>
  <si>
    <t>ESCORT</t>
  </si>
  <si>
    <t>Beta00019</t>
  </si>
  <si>
    <t>noCarsFlag * c34Ratio</t>
  </si>
  <si>
    <t>Purpose</t>
  </si>
  <si>
    <t>Beta00020</t>
  </si>
  <si>
    <t>tourLogsum</t>
  </si>
  <si>
    <t>Beta00021</t>
  </si>
  <si>
    <t>distanceFromOrigin4</t>
  </si>
  <si>
    <t>Beta00022</t>
  </si>
  <si>
    <t>distanceFromOrigin8</t>
  </si>
  <si>
    <t>Beta00023</t>
  </si>
  <si>
    <t>distanceFromOrigin9</t>
  </si>
  <si>
    <t>Beta00024</t>
  </si>
  <si>
    <t>householdHasChildren.ToFlag() * studK12Buffer</t>
  </si>
  <si>
    <t>PERSBUS/MED</t>
  </si>
  <si>
    <t>Beta00025</t>
  </si>
  <si>
    <t>empTotBuffer</t>
  </si>
  <si>
    <t>Beta00026</t>
  </si>
  <si>
    <t>Beta00027</t>
  </si>
  <si>
    <t>COEFFICIENT ADJUSTMENT</t>
  </si>
  <si>
    <t>Beta00028</t>
  </si>
  <si>
    <t>Beta00029</t>
  </si>
  <si>
    <t>Beta00030</t>
  </si>
  <si>
    <t>distanceFromOrigin3</t>
  </si>
  <si>
    <t>Beta00031</t>
  </si>
  <si>
    <t>empEduBuffer</t>
  </si>
  <si>
    <t>Beta00032</t>
  </si>
  <si>
    <t>empSvcBuffer</t>
  </si>
  <si>
    <t>Beta00033</t>
  </si>
  <si>
    <t>empMedBuffer</t>
  </si>
  <si>
    <t>Beta00034</t>
  </si>
  <si>
    <t>housesBuffer</t>
  </si>
  <si>
    <t>SHOP</t>
  </si>
  <si>
    <t>Beta00035</t>
  </si>
  <si>
    <t>studUniBuffer</t>
  </si>
  <si>
    <t>Beta00036</t>
  </si>
  <si>
    <t>Beta00037</t>
  </si>
  <si>
    <t>NEXT COEFFICIENT</t>
  </si>
  <si>
    <t>Beta00038</t>
  </si>
  <si>
    <t>Beta00039</t>
  </si>
  <si>
    <t>Beta00040</t>
  </si>
  <si>
    <t>Beta00041</t>
  </si>
  <si>
    <t>MEAL</t>
  </si>
  <si>
    <t>Beta00042</t>
  </si>
  <si>
    <t>empRetBuffer</t>
  </si>
  <si>
    <t>Beta00043</t>
  </si>
  <si>
    <t>Beta00044</t>
  </si>
  <si>
    <t>distanceFromOrigin4  (0 -1 mile)</t>
  </si>
  <si>
    <t>Beta00045</t>
  </si>
  <si>
    <t>distanceFromOrigin8 (distance from 1 - 3.5 miles)</t>
  </si>
  <si>
    <t>Beta00046</t>
  </si>
  <si>
    <t>distanceFromOrigin9 (distance from 3.5 miles - 10 miles)</t>
  </si>
  <si>
    <t>Beta00047</t>
  </si>
  <si>
    <t>distanceFromOrigin3 (Distance over 10 miles)</t>
  </si>
  <si>
    <t>SOCREC</t>
  </si>
  <si>
    <t>Beta00048</t>
  </si>
  <si>
    <t>empFooBuffer</t>
  </si>
  <si>
    <t>Beta00049</t>
  </si>
  <si>
    <t>Beta00050</t>
  </si>
  <si>
    <t>Beta00051</t>
  </si>
  <si>
    <t>Beta00052</t>
  </si>
  <si>
    <t>Beta00053</t>
  </si>
  <si>
    <t>Beta00054</t>
  </si>
  <si>
    <t>empOfcBuffer</t>
  </si>
  <si>
    <t>Beta00055</t>
  </si>
  <si>
    <t>Beta00056</t>
  </si>
  <si>
    <t>Beta00057</t>
  </si>
  <si>
    <t>LSM_0070</t>
  </si>
  <si>
    <t>Gamma071</t>
  </si>
  <si>
    <t>(!householdHasChildren).ToFlag() * destinationParcel.EmploymentEducation</t>
  </si>
  <si>
    <t>Gamma072</t>
  </si>
  <si>
    <t>(!householdHasChildren).ToFlag() * destinationParcel.EmploymentFood</t>
  </si>
  <si>
    <t>Gamma073</t>
  </si>
  <si>
    <t>(!householdHasChildren).ToFlag() * destinationParcel.EmploymentGovernment</t>
  </si>
  <si>
    <t>Gamma074</t>
  </si>
  <si>
    <t>(!householdHasChildren).ToFlag() * destinationParcel.EmploymentOffice</t>
  </si>
  <si>
    <t>Gamma075</t>
  </si>
  <si>
    <t>(!householdHasChildren).ToFlag() * destinationParcel.EmploymentRetail</t>
  </si>
  <si>
    <t>Gamma076</t>
  </si>
  <si>
    <t>(!householdHasChildren).ToFlag() * destinationParcel.EmploymentService</t>
  </si>
  <si>
    <t>Gamma077</t>
  </si>
  <si>
    <t>(!householdHasChildren).ToFlag() * destinationParcel.EmploymentMedical</t>
  </si>
  <si>
    <t>Gamma078</t>
  </si>
  <si>
    <t>(!householdHasChildren).ToFlag() * destinationParcel.EmploymentIndustrial + destinationParcel.EmploymentAgricultureConstruction</t>
  </si>
  <si>
    <t>Gamma079</t>
  </si>
  <si>
    <t>(!householdHasChildren).ToFlag() * destinationParcel.Households</t>
  </si>
  <si>
    <t>Gamma080</t>
  </si>
  <si>
    <t>householdHasChildren.ToFlag() * destinationParcel.EmploymentEducation</t>
  </si>
  <si>
    <t>Gamma081</t>
  </si>
  <si>
    <t>householdHasChildren.ToFlag() * destinationParcel.EmploymentGovernment</t>
  </si>
  <si>
    <t>Gamma082</t>
  </si>
  <si>
    <t>Gamma083</t>
  </si>
  <si>
    <t>householdHasChildren.ToFlag() * destinationParcel.EmploymentRetail</t>
  </si>
  <si>
    <t>Gamma084</t>
  </si>
  <si>
    <t>householdHasChildren.ToFlag() * destinationParcel.EmploymentService</t>
  </si>
  <si>
    <t>Gamma085</t>
  </si>
  <si>
    <t>householdHasChildren.ToFlag() * destinationParcel.EmploymentMedical</t>
  </si>
  <si>
    <t>Gamma086</t>
  </si>
  <si>
    <t>householdHasChildren.ToFlag() * destinationParcel.EmploymentIndustrial + destinationParcel.EmploymentAgricultureConstruction</t>
  </si>
  <si>
    <t>Gamma087</t>
  </si>
  <si>
    <t>householdHasChildren.ToFlag() * destinationParcel.Households</t>
  </si>
  <si>
    <t>Gamma088</t>
  </si>
  <si>
    <t>householdHasChildren.ToFlag() * destinationParcel.StudentsK12</t>
  </si>
  <si>
    <t>Gamma089</t>
  </si>
  <si>
    <t>destinationParcel.EmploymentEducation</t>
  </si>
  <si>
    <t>Gamma090</t>
  </si>
  <si>
    <t>destinationParcel.EmploymentFood</t>
  </si>
  <si>
    <t>Gamma091</t>
  </si>
  <si>
    <t>destinationParcel.EmploymentOffice</t>
  </si>
  <si>
    <t>Gamma092</t>
  </si>
  <si>
    <t>destinationParcel.EmploymentRetail</t>
  </si>
  <si>
    <t>Gamma093</t>
  </si>
  <si>
    <t>destinationParcel.EmploymentService</t>
  </si>
  <si>
    <t>Gamma094</t>
  </si>
  <si>
    <t>destinationParcel.EmploymentMedical</t>
  </si>
  <si>
    <t>Gamma095</t>
  </si>
  <si>
    <t>destinationParcel.EmploymentIndustrial + destinationParcel.EmploymentAgricultureConstruction</t>
  </si>
  <si>
    <t>Gamma096</t>
  </si>
  <si>
    <t>destinationParcel.Households</t>
  </si>
  <si>
    <t>Gamma097</t>
  </si>
  <si>
    <t>destinationParcel.StudentsK12</t>
  </si>
  <si>
    <t>Gamma098</t>
  </si>
  <si>
    <t>Gamma099</t>
  </si>
  <si>
    <t>Gamma100</t>
  </si>
  <si>
    <t>Gamma101</t>
  </si>
  <si>
    <t>Gamma102</t>
  </si>
  <si>
    <t>Gamma103</t>
  </si>
  <si>
    <t>Gamma104</t>
  </si>
  <si>
    <t>Gamma105</t>
  </si>
  <si>
    <t>Gamma106</t>
  </si>
  <si>
    <t>Gamma107</t>
  </si>
  <si>
    <t>destinationParcel.EmploymentGovernment</t>
  </si>
  <si>
    <t>Gamma108</t>
  </si>
  <si>
    <t>Gamma109</t>
  </si>
  <si>
    <t>Gamma110</t>
  </si>
  <si>
    <t>Gamma111</t>
  </si>
  <si>
    <t>Gamma112</t>
  </si>
  <si>
    <t>destinationParcel.StudentsUniversity</t>
  </si>
  <si>
    <t>Gamma113</t>
  </si>
  <si>
    <t>Instructions:</t>
  </si>
  <si>
    <t>By: nagendra.dhakar@rsginc.com</t>
  </si>
  <si>
    <t>Select all(ctrl+A)</t>
  </si>
  <si>
    <t>Paste in cell A8</t>
  </si>
  <si>
    <t>Go to "Data" --&gt;Text to Columns - Select "Delimited" ---&gt; 'Space' ---&gt; Finish</t>
  </si>
  <si>
    <t>Tour</t>
  </si>
  <si>
    <t>Destination</t>
  </si>
  <si>
    <t>(SACOG2000</t>
  </si>
  <si>
    <t>Created</t>
  </si>
  <si>
    <t>by</t>
  </si>
  <si>
    <t>ALOGIT</t>
  </si>
  <si>
    <t>version</t>
  </si>
  <si>
    <t>on</t>
  </si>
  <si>
    <t>END</t>
  </si>
  <si>
    <t>T</t>
  </si>
  <si>
    <t>F</t>
  </si>
  <si>
    <t>Observed Sources: Survey</t>
  </si>
  <si>
    <t>Observed distance (in miles) based on joining AM peak SOV skim values to HH survey</t>
  </si>
  <si>
    <t>Observed duration (in minutes) based on joining AM peak SOV skim values to HH survey</t>
  </si>
  <si>
    <t>One of 4 time periods was first assigned to each tour half based on arrival time at and departure time from the primary tour destination</t>
  </si>
  <si>
    <t>Seattle</t>
  </si>
  <si>
    <t>Bellevue</t>
  </si>
  <si>
    <t>Bellevue Downtown</t>
  </si>
  <si>
    <t>Kirkland</t>
  </si>
  <si>
    <t>Redmond</t>
  </si>
  <si>
    <t>Seattle Downtown</t>
  </si>
  <si>
    <t>Rest</t>
  </si>
  <si>
    <t>Damp</t>
  </si>
  <si>
    <t>CALIBRATION</t>
  </si>
  <si>
    <t>RATIO</t>
  </si>
  <si>
    <t>LN(RATIO)</t>
  </si>
  <si>
    <t>ADJ</t>
  </si>
  <si>
    <t>Index</t>
  </si>
  <si>
    <t>Tag</t>
  </si>
  <si>
    <t>Description</t>
  </si>
  <si>
    <t>ALL</t>
  </si>
  <si>
    <t>Beta00118</t>
  </si>
  <si>
    <t>Open "OtherTourDestinationModel.F12" in Notepad+</t>
  </si>
  <si>
    <t>v0402)</t>
  </si>
  <si>
    <t>Oct</t>
  </si>
  <si>
    <t>011:04:21</t>
  </si>
  <si>
    <t>OtherTourDestinationModel.F12</t>
  </si>
  <si>
    <t>Old</t>
  </si>
  <si>
    <t>New</t>
  </si>
  <si>
    <t>UltraEdit Instructions:</t>
  </si>
  <si>
    <t>Copy (Ctrl-c) cells Q3:Q104</t>
  </si>
  <si>
    <t>Open "OtherTourDestinationModel.F12" in UltraEdit</t>
  </si>
  <si>
    <t>Choose column mode and select 4th columns from line 4 to line 105</t>
  </si>
  <si>
    <t>Make sure that you select Col 21 to Col 31</t>
  </si>
  <si>
    <t>Paste (Ctrl-v) the copied values</t>
  </si>
  <si>
    <t>Notepad ++ Instructions</t>
  </si>
  <si>
    <t>Paste in an empty document in Notepad++</t>
  </si>
  <si>
    <t>Hold the Alt key and select the lines as columns</t>
  </si>
  <si>
    <t>Cut or Copy the selection (Ctrl-x or Ctrl-c)</t>
  </si>
  <si>
    <t>Open "OtherTourDestinationModel.F12"</t>
  </si>
  <si>
    <t>Hold Alt and using mouse select the 4th column from line line 4 to line 105</t>
  </si>
  <si>
    <t>Paste (Ctrl-v)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</si>
</sst>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43" formatCode="_(* #,##0.00_);_(* \(#,##0.00\);_(* &quot;-&quot;??_);_(@_)"/>
    <numFmt numFmtId="164" formatCode="0.0%"/>
    <numFmt numFmtId="165" formatCode="mm/dd/yyyy\ hh:mm:ss"/>
    <numFmt numFmtId="166" formatCode="0.0000000000000"/>
    <numFmt numFmtId="167" formatCode="0.00000000000"/>
    <numFmt numFmtId="168" formatCode="0.000000000"/>
    <numFmt numFmtId="169" formatCode="_(* #,##0_);_(* \(#,##0\);_(* &quot;-&quot;??_);_(@_)"/>
    <numFmt numFmtId="170" formatCode="#,##0.0"/>
    <numFmt numFmtId="171" formatCode="0.000000"/>
    <numFmt numFmtId="172" formatCode="0.00000000"/>
  </numFmts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  <font>
      <b/>
      <u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b/>
      <u/>
      <sz val="11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22"/>
      </patternFill>
    </fill>
    <fill>
      <patternFill patternType="solid">
        <fgColor rgb="FF00B05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9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  <xf applyAlignment="0" applyBorder="0" applyFill="0" applyFont="0" applyProtection="0" borderId="0" fillId="0" fontId="3" numFmtId="43"/>
  </cellStyleXfs>
  <cellXfs count="471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Fill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Font="1" borderId="0" fillId="0" fontId="4" numFmtId="0" xfId="0"/>
    <xf applyAlignment="1" applyFont="1" applyNumberFormat="1" borderId="0" fillId="0" fontId="0" numFmtId="1" xfId="0">
      <alignment horizontal="right"/>
    </xf>
    <xf applyFont="1" borderId="0" fillId="0" fontId="0" numFmtId="0" xfId="0"/>
    <xf applyFont="1" borderId="0" fillId="0" fontId="5" numFmtId="0" xfId="0"/>
    <xf applyFont="1" applyNumberFormat="1" borderId="0" fillId="0" fontId="0" numFmtId="166" xfId="0"/>
    <xf applyAlignment="1" applyBorder="1" applyFont="1" borderId="2" fillId="0" fontId="0" numFmtId="0" xfId="0">
      <alignment horizontal="center" vertical="top"/>
    </xf>
    <xf applyAlignment="1" applyBorder="1" applyFont="1" applyNumberFormat="1" borderId="2" fillId="0" fontId="0" numFmtId="1" xfId="0">
      <alignment horizontal="center" vertical="top"/>
    </xf>
    <xf applyAlignment="1" applyBorder="1" applyFont="1" borderId="0" fillId="0" fontId="0" numFmtId="0" xfId="0">
      <alignment horizontal="center" vertical="top"/>
    </xf>
    <xf applyAlignment="1" applyBorder="1" applyFont="1" borderId="0" fillId="0" fontId="0" numFmtId="0" xfId="0">
      <alignment horizontal="left" vertical="top"/>
    </xf>
    <xf applyAlignment="1" applyBorder="1" applyFont="1" applyNumberFormat="1" borderId="0" fillId="0" fontId="0" numFmtId="3" xfId="0">
      <alignment horizontal="right" vertical="top"/>
    </xf>
    <xf applyFont="1" applyNumberFormat="1" borderId="0" fillId="0" fontId="0" numFmtId="1" xfId="0"/>
    <xf applyFont="1" applyNumberFormat="1" borderId="0" fillId="0" fontId="0" numFmtId="3" xfId="0"/>
    <xf applyAlignment="1" applyFont="1" applyNumberFormat="1" borderId="0" fillId="0" fontId="0" numFmtId="3" xfId="0">
      <alignment horizontal="right"/>
    </xf>
    <xf applyBorder="1" applyFont="1" applyNumberFormat="1" borderId="0" fillId="0" fontId="0" numFmtId="1" xfId="0"/>
    <xf applyBorder="1" applyFont="1" applyNumberFormat="1" borderId="3" fillId="0" fontId="0" numFmtId="3" xfId="0"/>
    <xf applyAlignment="1" applyBorder="1" applyFont="1" applyNumberFormat="1" borderId="3" fillId="0" fontId="0" numFmtId="3" xfId="0">
      <alignment horizontal="right"/>
    </xf>
    <xf applyBorder="1" applyFill="1" applyFont="1" applyNumberFormat="1" borderId="0" fillId="0" fontId="0" numFmtId="1" xfId="0"/>
    <xf applyBorder="1" applyFill="1" applyFont="1" applyNumberFormat="1" borderId="4" fillId="0" fontId="0" numFmtId="3" xfId="0"/>
    <xf applyAlignment="1" applyBorder="1" applyFill="1" applyFont="1" applyNumberFormat="1" borderId="4" fillId="0" fontId="0" numFmtId="3" xfId="0">
      <alignment horizontal="right"/>
    </xf>
    <xf applyBorder="1" applyFill="1" applyFont="1" borderId="0" fillId="0" fontId="0" numFmtId="0" xfId="0"/>
    <xf applyBorder="1" applyFill="1" applyFont="1" applyNumberFormat="1" borderId="0" fillId="0" fontId="5" numFmtId="3" xfId="0"/>
    <xf applyFont="1" applyNumberFormat="1" borderId="0" fillId="0" fontId="0" numFmtId="9" xfId="0"/>
    <xf applyAlignment="1" applyBorder="1" applyFont="1" applyNumberFormat="1" borderId="0" fillId="0" fontId="0" numFmtId="164" xfId="0">
      <alignment horizontal="right" vertical="top"/>
    </xf>
    <xf applyAlignment="1" applyFont="1" applyNumberFormat="1" borderId="0" fillId="0" fontId="0" numFmtId="164" xfId="0">
      <alignment horizontal="right"/>
    </xf>
    <xf applyBorder="1" applyFont="1" applyNumberFormat="1" borderId="0" fillId="0" fontId="0" numFmtId="9" xfId="0"/>
    <xf applyAlignment="1" applyBorder="1" applyFont="1" applyNumberFormat="1" borderId="4" fillId="0" fontId="0" numFmtId="164" xfId="0">
      <alignment horizontal="right"/>
    </xf>
    <xf applyFont="1" borderId="0" fillId="0" fontId="6" numFmtId="0" xfId="0"/>
    <xf applyFont="1" borderId="0" fillId="0" fontId="7" numFmtId="0" xfId="0"/>
    <xf applyAlignment="1" applyBorder="1" applyFont="1" borderId="2" fillId="0" fontId="6" numFmtId="0" xfId="0">
      <alignment horizontal="left"/>
    </xf>
    <xf applyAlignment="1" applyBorder="1" applyFont="1" applyNumberFormat="1" borderId="2" fillId="0" fontId="6" numFmtId="1" xfId="0">
      <alignment horizontal="right"/>
    </xf>
    <xf applyAlignment="1" applyFont="1" applyNumberFormat="1" borderId="0" fillId="0" fontId="7" numFmtId="166" xfId="0">
      <alignment horizontal="right"/>
    </xf>
    <xf applyBorder="1" applyFont="1" applyNumberFormat="1" borderId="1" fillId="0" fontId="0" numFmtId="3" xfId="0"/>
    <xf applyAlignment="1" applyBorder="1" applyFont="1" applyNumberFormat="1" borderId="1" fillId="0" fontId="7" numFmtId="166" xfId="0">
      <alignment horizontal="right"/>
    </xf>
    <xf applyAlignment="1" applyFont="1" applyNumberFormat="1" borderId="0" fillId="0" fontId="7" numFmtId="1" xfId="0">
      <alignment horizontal="right"/>
    </xf>
    <xf applyAlignment="1" applyFont="1" applyNumberFormat="1" borderId="0" fillId="0" fontId="6" numFmtId="1" xfId="0">
      <alignment horizontal="right"/>
    </xf>
    <xf applyAlignment="1" applyFont="1" applyNumberFormat="1" borderId="0" fillId="0" fontId="0" numFmtId="167" xfId="0">
      <alignment horizontal="right"/>
    </xf>
    <xf applyAlignment="1" applyFont="1" applyNumberFormat="1" borderId="0" fillId="0" fontId="0" numFmtId="168" xfId="0">
      <alignment horizontal="right"/>
    </xf>
    <xf applyAlignment="1" applyFont="1" applyNumberFormat="1" borderId="0" fillId="0" fontId="6" numFmtId="166" xfId="0">
      <alignment horizontal="right"/>
    </xf>
    <xf applyAlignment="1" applyBorder="1" applyFont="1" applyNumberFormat="1" borderId="2" fillId="0" fontId="6" numFmtId="166" xfId="0">
      <alignment horizontal="right"/>
    </xf>
    <xf applyFill="1" applyFont="1" borderId="0" fillId="0" fontId="0" numFmtId="0" xfId="0"/>
    <xf applyFont="1" applyNumberFormat="1" borderId="0" fillId="0" fontId="0" numFmtId="167" xfId="0"/>
    <xf applyNumberFormat="1" borderId="0" fillId="0" fontId="0" numFmtId="21" xfId="0"/>
    <xf applyNumberFormat="1" borderId="0" fillId="0" fontId="0" numFmtId="11" xfId="0"/>
    <xf applyFill="1" applyFont="1" applyNumberFormat="1" borderId="0" fillId="3" fontId="0" numFmtId="167" xfId="0"/>
    <xf applyFill="1" applyFont="1" borderId="0" fillId="4" fontId="0" numFmtId="0" xfId="0"/>
    <xf applyFill="1" applyFont="1" applyNumberFormat="1" borderId="0" fillId="4" fontId="0" numFmtId="166" xfId="0"/>
    <xf applyFill="1" applyFont="1" applyNumberFormat="1" borderId="0" fillId="4" fontId="0" numFmtId="167" xfId="0"/>
    <xf applyAlignment="1" applyFont="1" applyNumberFormat="1" borderId="0" fillId="0" fontId="2" numFmtId="169" xfId="8"/>
    <xf applyFont="1" applyNumberFormat="1" borderId="0" fillId="0" fontId="0" numFmtId="169" xfId="8"/>
    <xf applyBorder="1" applyFont="1" applyNumberFormat="1" borderId="3" fillId="0" fontId="0" numFmtId="169" xfId="8"/>
    <xf applyBorder="1" applyFont="1" applyNumberFormat="1" borderId="1" fillId="0" fontId="0" numFmtId="169" xfId="8"/>
    <xf applyAlignment="1" applyBorder="1" applyFont="1" applyNumberFormat="1" borderId="0" fillId="0" fontId="0" numFmtId="1" xfId="0">
      <alignment horizontal="center" vertical="top"/>
    </xf>
    <xf applyAlignment="1" applyBorder="1" applyFont="1" applyNumberFormat="1" borderId="0" fillId="0" fontId="0" numFmtId="3" xfId="0">
      <alignment horizontal="right"/>
    </xf>
    <xf applyAlignment="1" applyBorder="1" applyFill="1" applyFont="1" applyNumberFormat="1" borderId="0" fillId="0" fontId="0" numFmtId="3" xfId="0">
      <alignment horizontal="right"/>
    </xf>
    <xf applyAlignment="1" applyBorder="1" applyFont="1" applyNumberFormat="1" borderId="0" fillId="0" fontId="0" numFmtId="164" xfId="0">
      <alignment horizontal="right"/>
    </xf>
    <xf applyAlignment="1" applyBorder="1" applyFill="1" applyFont="1" applyNumberFormat="1" borderId="0" fillId="5" fontId="0" numFmtId="170" xfId="0">
      <alignment horizontal="right"/>
    </xf>
    <xf applyAlignment="1" applyBorder="1" applyFont="1" applyNumberFormat="1" borderId="1" fillId="0" fontId="5" numFmtId="1" xfId="0">
      <alignment horizontal="left"/>
    </xf>
    <xf applyAlignment="1" applyBorder="1" applyFont="1" applyNumberFormat="1" borderId="1" fillId="0" fontId="0" numFmtId="1" xfId="0">
      <alignment horizontal="right"/>
    </xf>
    <xf applyAlignment="1" applyBorder="1" applyFont="1" applyNumberFormat="1" borderId="0" fillId="0" fontId="0" numFmtId="2" xfId="0">
      <alignment horizontal="right" vertical="top"/>
    </xf>
    <xf applyAlignment="1" applyBorder="1" applyFont="1" applyNumberFormat="1" borderId="0" fillId="0" fontId="0" numFmtId="171" xfId="0">
      <alignment horizontal="right" vertical="top"/>
    </xf>
    <xf applyAlignment="1" applyBorder="1" applyFont="1" applyNumberFormat="1" borderId="1" fillId="0" fontId="0" numFmtId="2" xfId="0">
      <alignment horizontal="right" vertical="top"/>
    </xf>
    <xf applyAlignment="1" applyBorder="1" applyFont="1" applyNumberFormat="1" borderId="1" fillId="0" fontId="0" numFmtId="171" xfId="0">
      <alignment horizontal="right" vertical="top"/>
    </xf>
    <xf applyAlignment="1" applyBorder="1" applyFont="1" applyNumberFormat="1" borderId="0" fillId="0" fontId="0" numFmtId="2" xfId="0">
      <alignment horizontal="right"/>
    </xf>
    <xf applyAlignment="1" applyFont="1" applyNumberFormat="1" borderId="0" fillId="0" fontId="0" numFmtId="172" xfId="0">
      <alignment horizontal="right"/>
    </xf>
    <xf applyAlignment="1" applyBorder="1" applyFont="1" borderId="2" fillId="0" fontId="1" numFmtId="0" xfId="0">
      <alignment horizontal="left"/>
    </xf>
    <xf applyAlignment="1" applyFont="1" borderId="0" fillId="0" fontId="0" numFmtId="0" xfId="0">
      <alignment horizontal="left"/>
    </xf>
    <xf applyAlignment="1" applyBorder="1" applyFont="1" borderId="1" fillId="0" fontId="0" numFmtId="0" xfId="0">
      <alignment horizontal="left"/>
    </xf>
    <xf applyAlignment="1" applyBorder="1" applyFont="1" borderId="5" fillId="0" fontId="0" numFmtId="0" xfId="0">
      <alignment horizontal="left"/>
    </xf>
    <xf applyBorder="1" applyFont="1" borderId="1" fillId="0" fontId="0" numFmtId="0" xfId="0"/>
    <xf applyBorder="1" applyFill="1" applyFont="1" borderId="6" fillId="6" fontId="5" numFmtId="0" xfId="0"/>
    <xf applyBorder="1" applyFill="1" applyFont="1" borderId="7" fillId="6" fontId="7" numFmtId="0" xfId="0"/>
    <xf applyBorder="1" applyFill="1" applyFont="1" borderId="8" fillId="6" fontId="7" numFmtId="0" xfId="0"/>
    <xf applyBorder="1" applyFill="1" applyFont="1" borderId="9" fillId="6" fontId="7" numFmtId="0" xfId="0"/>
    <xf applyBorder="1" applyFill="1" applyFont="1" borderId="0" fillId="6" fontId="7" numFmtId="0" xfId="0"/>
    <xf applyBorder="1" applyFill="1" applyFont="1" borderId="10" fillId="6" fontId="7" numFmtId="0" xfId="0"/>
    <xf applyBorder="1" applyFill="1" applyFont="1" borderId="11" fillId="6" fontId="7" numFmtId="0" xfId="0"/>
    <xf applyBorder="1" applyFill="1" applyFont="1" borderId="3" fillId="6" fontId="7" numFmtId="0" xfId="0"/>
    <xf applyBorder="1" applyFill="1" applyFont="1" borderId="12" fillId="6" fontId="7" numFmtId="0" xfId="0"/>
    <xf applyAlignment="1" applyFont="1" applyNumberFormat="1" borderId="0" fillId="0" fontId="1" numFmtId="166" xfId="0">
      <alignment horizontal="right"/>
    </xf>
    <xf applyAlignment="1" applyFont="1" applyNumberFormat="1" borderId="0" fillId="0" fontId="1" numFmtId="167" xfId="0">
      <alignment horizontal="right"/>
    </xf>
    <xf applyFont="1" borderId="0" fillId="0" fontId="8" numFmtId="0" xfId="0"/>
    <xf applyFill="1" applyFont="1" applyNumberFormat="1" borderId="0" fillId="0" fontId="0" numFmtId="166" xfId="0"/>
    <xf applyAlignment="1" applyFill="1" applyFont="1" applyNumberFormat="1" borderId="0" fillId="7" fontId="7" numFmtId="166" xfId="0">
      <alignment horizontal="right"/>
    </xf>
    <xf applyAlignment="1" applyBorder="1" applyFill="1" applyFont="1" applyNumberFormat="1" borderId="1" fillId="7" fontId="7" numFmtId="166" xfId="0">
      <alignment horizontal="right"/>
    </xf>
    <xf applyAlignment="1" applyBorder="1" applyFont="1" applyNumberFormat="1" borderId="7" fillId="0" fontId="7" numFmtId="166" xfId="0">
      <alignment horizontal="right"/>
    </xf>
    <xf applyAlignment="1" applyBorder="1" applyFont="1" applyNumberFormat="1" borderId="0" fillId="0" fontId="7" numFmtId="166" xfId="0">
      <alignment horizontal="right"/>
    </xf>
    <xf applyAlignment="1" applyFill="1" applyFont="1" applyNumberFormat="1" borderId="0" fillId="3" fontId="7" numFmtId="166" xfId="0">
      <alignment horizontal="right"/>
    </xf>
    <xf applyAlignment="1" applyBorder="1" applyFill="1" applyFont="1" applyNumberFormat="1" borderId="1" fillId="3" fontId="7" numFmtId="166" xfId="0">
      <alignment horizontal="right"/>
    </xf>
  </cellXfs>
  <cellStyles count="9">
    <cellStyle builtinId="3" name="Comma" xfId="8"/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10" Target="sharedStrings.xml" Type="http://schemas.openxmlformats.org/officeDocument/2006/relationships/sharedStrings"/>
<Relationship Id="rId11" Target="calcChain.xml" Type="http://schemas.openxmlformats.org/officeDocument/2006/relationships/calcChain"/>
<Relationship Id="rId12" Target="vbaProject.bin" Type="http://schemas.microsoft.com/office/2006/relationships/vbaProjec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worksheets/sheet5.xml" Type="http://schemas.openxmlformats.org/officeDocument/2006/relationships/worksheet"/>
<Relationship Id="rId6" Target="worksheets/sheet6.xml" Type="http://schemas.openxmlformats.org/officeDocument/2006/relationships/worksheet"/>
<Relationship Id="rId7" Target="worksheets/sheet7.xml" Type="http://schemas.openxmlformats.org/officeDocument/2006/relationships/worksheet"/>
<Relationship Id="rId8" Target="theme/theme1.xml" Type="http://schemas.openxmlformats.org/officeDocument/2006/relationships/theme"/>
<Relationship Id="rId9" Target="styles.xml" Type="http://schemas.openxmlformats.org/officeDocument/2006/relationships/styles"/>
</Relationships>
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Personal</a:t>
            </a:r>
            <a:r>
              <a:rPr baseline="0" lang="en-US"/>
              <a:t> Business</a:t>
            </a:r>
            <a:endParaRPr lang="en-US"/>
          </a:p>
        </c:rich>
      </c:tx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1.5743867254577746E-2</c:v>
                </c:pt>
                <c:pt idx="1">
                  <c:v>2.628891273546323E-2</c:v>
                </c:pt>
                <c:pt idx="2">
                  <c:v>6.4482591842063577E-2</c:v>
                </c:pt>
                <c:pt idx="3">
                  <c:v>9.4961932739585239E-2</c:v>
                </c:pt>
                <c:pt idx="4">
                  <c:v>0.17194008781012191</c:v>
                </c:pt>
                <c:pt idx="5">
                  <c:v>0.11551751501430732</c:v>
                </c:pt>
                <c:pt idx="6">
                  <c:v>0.11739642847421469</c:v>
                </c:pt>
                <c:pt idx="7">
                  <c:v>7.6313625983678954E-2</c:v>
                </c:pt>
                <c:pt idx="8">
                  <c:v>4.9890486631045589E-2</c:v>
                </c:pt>
                <c:pt idx="9">
                  <c:v>3.6391843347395203E-2</c:v>
                </c:pt>
                <c:pt idx="10">
                  <c:v>5.7770487779162785E-2</c:v>
                </c:pt>
                <c:pt idx="11">
                  <c:v>2.631944850567431E-2</c:v>
                </c:pt>
                <c:pt idx="12">
                  <c:v>1.8200785337901065E-2</c:v>
                </c:pt>
                <c:pt idx="13">
                  <c:v>1.0963526003815793E-2</c:v>
                </c:pt>
                <c:pt idx="14">
                  <c:v>3.5902950951784696E-3</c:v>
                </c:pt>
                <c:pt idx="15">
                  <c:v>5.4461572893835068E-3</c:v>
                </c:pt>
                <c:pt idx="16">
                  <c:v>1.8850874242926162E-2</c:v>
                </c:pt>
                <c:pt idx="17">
                  <c:v>6.5402059729058803E-3</c:v>
                </c:pt>
                <c:pt idx="18">
                  <c:v>5.8110090816323127E-3</c:v>
                </c:pt>
                <c:pt idx="19">
                  <c:v>1.1280321782208448E-2</c:v>
                </c:pt>
                <c:pt idx="20">
                  <c:v>8.0619961502381883E-3</c:v>
                </c:pt>
                <c:pt idx="21">
                  <c:v>9.0434185983171295E-3</c:v>
                </c:pt>
                <c:pt idx="22">
                  <c:v>8.7300721408975733E-3</c:v>
                </c:pt>
                <c:pt idx="23">
                  <c:v>7.7204114700666626E-3</c:v>
                </c:pt>
                <c:pt idx="24">
                  <c:v>1.0921044552150896E-3</c:v>
                </c:pt>
                <c:pt idx="25">
                  <c:v>1.4203812406766341E-3</c:v>
                </c:pt>
                <c:pt idx="26">
                  <c:v>1.5691832713554657E-3</c:v>
                </c:pt>
                <c:pt idx="27">
                  <c:v>3.263208436246186E-3</c:v>
                </c:pt>
                <c:pt idx="28">
                  <c:v>4.5885413498850743E-4</c:v>
                </c:pt>
                <c:pt idx="29">
                  <c:v>1.1230111595955123E-3</c:v>
                </c:pt>
                <c:pt idx="30">
                  <c:v>2.2139861767938823E-3</c:v>
                </c:pt>
                <c:pt idx="31">
                  <c:v>2.4320021890064485E-3</c:v>
                </c:pt>
                <c:pt idx="32">
                  <c:v>0</c:v>
                </c:pt>
                <c:pt idx="33">
                  <c:v>6.3632127897531314E-4</c:v>
                </c:pt>
                <c:pt idx="34">
                  <c:v>1.1602944886654829E-3</c:v>
                </c:pt>
                <c:pt idx="35">
                  <c:v>1.3877052011006343E-3</c:v>
                </c:pt>
                <c:pt idx="36">
                  <c:v>2.4047233788988665E-4</c:v>
                </c:pt>
                <c:pt idx="37">
                  <c:v>0</c:v>
                </c:pt>
                <c:pt idx="38">
                  <c:v>7.2517906183192046E-6</c:v>
                </c:pt>
                <c:pt idx="39">
                  <c:v>1.2708358441728445E-4</c:v>
                </c:pt>
                <c:pt idx="40">
                  <c:v>1.0074440942893736E-2</c:v>
                </c:pt>
                <c:pt idx="41">
                  <c:v>1.9244629151135737E-3</c:v>
                </c:pt>
                <c:pt idx="42">
                  <c:v>0</c:v>
                </c:pt>
                <c:pt idx="43">
                  <c:v>0</c:v>
                </c:pt>
                <c:pt idx="44">
                  <c:v>1.2226184812523397E-4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3.3764575590920792E-4</c:v>
                </c:pt>
                <c:pt idx="49">
                  <c:v>0</c:v>
                </c:pt>
                <c:pt idx="50">
                  <c:v>7.172736962431425E-4</c:v>
                </c:pt>
                <c:pt idx="51">
                  <c:v>1.4953407173942584E-4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1.2119102166859835E-3</c:v>
                </c:pt>
                <c:pt idx="57">
                  <c:v>4.7980473381377381E-4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68-4CC4-A340-DE4B7A3064B2}"/>
            </c:ext>
          </c:extLst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0.12776199242415312</c:v>
                </c:pt>
                <c:pt idx="1">
                  <c:v>8.5926407502412719E-2</c:v>
                </c:pt>
                <c:pt idx="2">
                  <c:v>5.1479715493095338E-2</c:v>
                </c:pt>
                <c:pt idx="3">
                  <c:v>2.9217033360337798E-2</c:v>
                </c:pt>
                <c:pt idx="4">
                  <c:v>0.15421513855647948</c:v>
                </c:pt>
                <c:pt idx="5">
                  <c:v>8.9288210614606997E-2</c:v>
                </c:pt>
                <c:pt idx="6">
                  <c:v>8.2072797522101837E-2</c:v>
                </c:pt>
                <c:pt idx="7">
                  <c:v>5.7893416019766594E-2</c:v>
                </c:pt>
                <c:pt idx="8">
                  <c:v>4.6955766014461144E-2</c:v>
                </c:pt>
                <c:pt idx="9">
                  <c:v>2.793530381706132E-2</c:v>
                </c:pt>
                <c:pt idx="10">
                  <c:v>1.9830596113715179E-2</c:v>
                </c:pt>
                <c:pt idx="11">
                  <c:v>2.0751891856385658E-2</c:v>
                </c:pt>
                <c:pt idx="12">
                  <c:v>2.1526656100678929E-2</c:v>
                </c:pt>
                <c:pt idx="13">
                  <c:v>2.6183662916920009E-2</c:v>
                </c:pt>
                <c:pt idx="14">
                  <c:v>1.5887719818300942E-2</c:v>
                </c:pt>
                <c:pt idx="15">
                  <c:v>2.0682836782437777E-2</c:v>
                </c:pt>
                <c:pt idx="16">
                  <c:v>1.602414569610041E-2</c:v>
                </c:pt>
                <c:pt idx="17">
                  <c:v>1.1695571548635826E-2</c:v>
                </c:pt>
                <c:pt idx="18">
                  <c:v>1.2805505542090753E-2</c:v>
                </c:pt>
                <c:pt idx="19">
                  <c:v>8.6133572724256344E-3</c:v>
                </c:pt>
                <c:pt idx="20">
                  <c:v>7.2945737870307838E-3</c:v>
                </c:pt>
                <c:pt idx="21">
                  <c:v>8.3607167579821777E-3</c:v>
                </c:pt>
                <c:pt idx="22">
                  <c:v>6.2419049768497074E-3</c:v>
                </c:pt>
                <c:pt idx="23">
                  <c:v>5.667568874014913E-3</c:v>
                </c:pt>
                <c:pt idx="24">
                  <c:v>5.7467295685405297E-3</c:v>
                </c:pt>
                <c:pt idx="25">
                  <c:v>4.5458449898859582E-3</c:v>
                </c:pt>
                <c:pt idx="26">
                  <c:v>4.421209002760519E-3</c:v>
                </c:pt>
                <c:pt idx="27">
                  <c:v>5.6456733627631463E-3</c:v>
                </c:pt>
                <c:pt idx="28">
                  <c:v>3.3213806298833305E-3</c:v>
                </c:pt>
                <c:pt idx="29">
                  <c:v>2.9777895302402274E-3</c:v>
                </c:pt>
                <c:pt idx="30">
                  <c:v>2.8935760254257415E-3</c:v>
                </c:pt>
                <c:pt idx="31">
                  <c:v>2.1339702119990769E-3</c:v>
                </c:pt>
                <c:pt idx="32">
                  <c:v>1.8425914853409551E-3</c:v>
                </c:pt>
                <c:pt idx="33">
                  <c:v>1.825748784378058E-3</c:v>
                </c:pt>
                <c:pt idx="34">
                  <c:v>1.3575216976095155E-3</c:v>
                </c:pt>
                <c:pt idx="35">
                  <c:v>1.2648868423135809E-3</c:v>
                </c:pt>
                <c:pt idx="36">
                  <c:v>1.3760486686687024E-3</c:v>
                </c:pt>
                <c:pt idx="37">
                  <c:v>8.0508110602648688E-4</c:v>
                </c:pt>
                <c:pt idx="38">
                  <c:v>9.4655979411482341E-4</c:v>
                </c:pt>
                <c:pt idx="39">
                  <c:v>6.9055073947878578E-4</c:v>
                </c:pt>
                <c:pt idx="40">
                  <c:v>7.4781592275263633E-4</c:v>
                </c:pt>
                <c:pt idx="41">
                  <c:v>4.6485854657596311E-4</c:v>
                </c:pt>
                <c:pt idx="42">
                  <c:v>3.3685401925794429E-4</c:v>
                </c:pt>
                <c:pt idx="43">
                  <c:v>2.7958883598409374E-4</c:v>
                </c:pt>
                <c:pt idx="44">
                  <c:v>2.8632591636925265E-4</c:v>
                </c:pt>
                <c:pt idx="45">
                  <c:v>2.206393826139535E-4</c:v>
                </c:pt>
                <c:pt idx="46">
                  <c:v>3.3853828935423398E-4</c:v>
                </c:pt>
                <c:pt idx="47">
                  <c:v>2.6779894531006571E-4</c:v>
                </c:pt>
                <c:pt idx="48">
                  <c:v>1.1116182635512161E-4</c:v>
                </c:pt>
                <c:pt idx="49">
                  <c:v>1.1284609645141133E-4</c:v>
                </c:pt>
                <c:pt idx="50">
                  <c:v>1.0274047587367301E-4</c:v>
                </c:pt>
                <c:pt idx="51">
                  <c:v>1.2463598712543939E-4</c:v>
                </c:pt>
                <c:pt idx="52">
                  <c:v>7.2423614140458019E-5</c:v>
                </c:pt>
                <c:pt idx="53">
                  <c:v>6.737080385158885E-5</c:v>
                </c:pt>
                <c:pt idx="54">
                  <c:v>7.0739344044168305E-5</c:v>
                </c:pt>
                <c:pt idx="55">
                  <c:v>6.0633723466429973E-5</c:v>
                </c:pt>
                <c:pt idx="56">
                  <c:v>4.3791022503532757E-5</c:v>
                </c:pt>
                <c:pt idx="57">
                  <c:v>2.526405144434582E-5</c:v>
                </c:pt>
                <c:pt idx="58">
                  <c:v>4.7159562696112199E-5</c:v>
                </c:pt>
                <c:pt idx="59">
                  <c:v>1.178989067402805E-5</c:v>
                </c:pt>
                <c:pt idx="60">
                  <c:v>2.6948321540635541E-5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D68-4CC4-A340-DE4B7A3064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7880"/>
        <c:axId val="343636704"/>
      </c:lineChart>
      <c:catAx>
        <c:axId val="34363788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Distance (miles)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6704"/>
        <c:crosses val="autoZero"/>
        <c:auto val="1"/>
        <c:lblAlgn val="ctr"/>
        <c:lblOffset val="100"/>
        <c:tickLblSkip val="10"/>
        <c:noMultiLvlLbl val="0"/>
      </c:catAx>
      <c:valAx>
        <c:axId val="343636704"/>
        <c:scaling>
          <c:orientation val="minMax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7880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11" footer="0.30000000000000032" header="0.30000000000000032" l="0.70000000000000062" r="0.70000000000000062" t="0.75000000000000211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8.3233246069193542E-4</c:v>
                </c:pt>
                <c:pt idx="4">
                  <c:v>1.3996526412851488E-3</c:v>
                </c:pt>
                <c:pt idx="5">
                  <c:v>1.3511882152600666E-2</c:v>
                </c:pt>
                <c:pt idx="6">
                  <c:v>6.2716581451719372E-3</c:v>
                </c:pt>
                <c:pt idx="7">
                  <c:v>6.5708884551980758E-3</c:v>
                </c:pt>
                <c:pt idx="8">
                  <c:v>6.587292784897586E-3</c:v>
                </c:pt>
                <c:pt idx="9">
                  <c:v>6.8590733501956349E-3</c:v>
                </c:pt>
                <c:pt idx="10">
                  <c:v>0</c:v>
                </c:pt>
                <c:pt idx="11">
                  <c:v>1.021101979781908E-2</c:v>
                </c:pt>
                <c:pt idx="12">
                  <c:v>1.998781091357648E-2</c:v>
                </c:pt>
                <c:pt idx="13">
                  <c:v>4.1606708923963051E-2</c:v>
                </c:pt>
                <c:pt idx="14">
                  <c:v>2.199889844019659E-2</c:v>
                </c:pt>
                <c:pt idx="15">
                  <c:v>9.1701118881915723E-3</c:v>
                </c:pt>
                <c:pt idx="16">
                  <c:v>3.7326683517737567E-2</c:v>
                </c:pt>
                <c:pt idx="17">
                  <c:v>2.1263980458690407E-2</c:v>
                </c:pt>
                <c:pt idx="18">
                  <c:v>7.1942219770740543E-2</c:v>
                </c:pt>
                <c:pt idx="19">
                  <c:v>4.5108628604058142E-2</c:v>
                </c:pt>
                <c:pt idx="20">
                  <c:v>6.2408261890903406E-2</c:v>
                </c:pt>
                <c:pt idx="21">
                  <c:v>5.9529528147071485E-2</c:v>
                </c:pt>
                <c:pt idx="22">
                  <c:v>5.601939498671394E-2</c:v>
                </c:pt>
                <c:pt idx="23">
                  <c:v>4.4219584199365218E-2</c:v>
                </c:pt>
                <c:pt idx="24">
                  <c:v>5.9295003554007721E-2</c:v>
                </c:pt>
                <c:pt idx="25">
                  <c:v>1.5504976124218259E-2</c:v>
                </c:pt>
                <c:pt idx="26">
                  <c:v>7.2243896159591453E-2</c:v>
                </c:pt>
                <c:pt idx="27">
                  <c:v>1.2589693298978412E-2</c:v>
                </c:pt>
                <c:pt idx="28">
                  <c:v>1.9270318164443492E-2</c:v>
                </c:pt>
                <c:pt idx="29">
                  <c:v>2.4506529068825996E-2</c:v>
                </c:pt>
                <c:pt idx="30">
                  <c:v>9.2933772736574806E-3</c:v>
                </c:pt>
                <c:pt idx="31">
                  <c:v>1.7715922749936778E-2</c:v>
                </c:pt>
                <c:pt idx="32">
                  <c:v>7.5155322744353903E-3</c:v>
                </c:pt>
                <c:pt idx="33">
                  <c:v>1.8406628737974644E-2</c:v>
                </c:pt>
                <c:pt idx="34">
                  <c:v>1.3095230417903043E-2</c:v>
                </c:pt>
                <c:pt idx="35">
                  <c:v>1.329440813519343E-2</c:v>
                </c:pt>
                <c:pt idx="36">
                  <c:v>2.0305087406644945E-3</c:v>
                </c:pt>
                <c:pt idx="37">
                  <c:v>1.8451178967698139E-2</c:v>
                </c:pt>
                <c:pt idx="38">
                  <c:v>1.4349468789904642E-2</c:v>
                </c:pt>
                <c:pt idx="39">
                  <c:v>7.8584260499886815E-3</c:v>
                </c:pt>
                <c:pt idx="40">
                  <c:v>1.3402899552058893E-2</c:v>
                </c:pt>
                <c:pt idx="41">
                  <c:v>1.7469829575609108E-2</c:v>
                </c:pt>
                <c:pt idx="42">
                  <c:v>8.3158166336739711E-4</c:v>
                </c:pt>
                <c:pt idx="43">
                  <c:v>8.6442057906633966E-4</c:v>
                </c:pt>
                <c:pt idx="44">
                  <c:v>1.9226436444753504E-3</c:v>
                </c:pt>
                <c:pt idx="45">
                  <c:v>5.019860685533075E-2</c:v>
                </c:pt>
                <c:pt idx="46">
                  <c:v>4.5020742691109904E-3</c:v>
                </c:pt>
                <c:pt idx="47">
                  <c:v>0</c:v>
                </c:pt>
                <c:pt idx="48">
                  <c:v>8.263740000622625E-5</c:v>
                </c:pt>
                <c:pt idx="49">
                  <c:v>3.3798771829928815E-4</c:v>
                </c:pt>
                <c:pt idx="50">
                  <c:v>2.7900285494385328E-3</c:v>
                </c:pt>
                <c:pt idx="51">
                  <c:v>4.4213644852317372E-4</c:v>
                </c:pt>
                <c:pt idx="52">
                  <c:v>0</c:v>
                </c:pt>
                <c:pt idx="53">
                  <c:v>0</c:v>
                </c:pt>
                <c:pt idx="54">
                  <c:v>5.1582827564354301E-4</c:v>
                </c:pt>
                <c:pt idx="55">
                  <c:v>0</c:v>
                </c:pt>
                <c:pt idx="56">
                  <c:v>3.6755592230717116E-4</c:v>
                </c:pt>
                <c:pt idx="57">
                  <c:v>3.0847574037790575E-3</c:v>
                </c:pt>
                <c:pt idx="58">
                  <c:v>3.4739024801424536E-3</c:v>
                </c:pt>
                <c:pt idx="59">
                  <c:v>1.5353476317944305E-4</c:v>
                </c:pt>
                <c:pt idx="60">
                  <c:v>3.1347740047083352E-3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35-4531-9AF3-405EFA2DFC15}"/>
            </c:ext>
          </c:extLst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2.5316263817330802E-2</c:v>
                </c:pt>
                <c:pt idx="1">
                  <c:v>2.4144011830313155E-2</c:v>
                </c:pt>
                <c:pt idx="2">
                  <c:v>2.8644381527599291E-2</c:v>
                </c:pt>
                <c:pt idx="3">
                  <c:v>2.7867933013209729E-2</c:v>
                </c:pt>
                <c:pt idx="4">
                  <c:v>2.4976041257880277E-2</c:v>
                </c:pt>
                <c:pt idx="5">
                  <c:v>2.3340614994382961E-2</c:v>
                </c:pt>
                <c:pt idx="6">
                  <c:v>2.079568287888919E-2</c:v>
                </c:pt>
                <c:pt idx="7">
                  <c:v>1.8788032924111842E-2</c:v>
                </c:pt>
                <c:pt idx="8">
                  <c:v>1.6549637966142804E-2</c:v>
                </c:pt>
                <c:pt idx="9">
                  <c:v>1.4730626262149903E-2</c:v>
                </c:pt>
                <c:pt idx="10">
                  <c:v>1.2901508937579267E-2</c:v>
                </c:pt>
                <c:pt idx="11">
                  <c:v>1.1624832204591658E-2</c:v>
                </c:pt>
                <c:pt idx="12">
                  <c:v>1.0440790326899983E-2</c:v>
                </c:pt>
                <c:pt idx="13">
                  <c:v>9.0108450151500097E-3</c:v>
                </c:pt>
                <c:pt idx="14">
                  <c:v>8.129971754790485E-3</c:v>
                </c:pt>
                <c:pt idx="15">
                  <c:v>7.5000547387781297E-3</c:v>
                </c:pt>
                <c:pt idx="16">
                  <c:v>7.1632007195201854E-3</c:v>
                </c:pt>
                <c:pt idx="17">
                  <c:v>6.5686533755299134E-3</c:v>
                </c:pt>
                <c:pt idx="18">
                  <c:v>0.11022031937129566</c:v>
                </c:pt>
                <c:pt idx="19">
                  <c:v>3.4045835726400429E-2</c:v>
                </c:pt>
                <c:pt idx="20">
                  <c:v>4.3701756188429398E-2</c:v>
                </c:pt>
                <c:pt idx="21">
                  <c:v>4.7791163982220844E-2</c:v>
                </c:pt>
                <c:pt idx="22">
                  <c:v>4.6442063635092776E-2</c:v>
                </c:pt>
                <c:pt idx="23">
                  <c:v>3.2728736511101864E-2</c:v>
                </c:pt>
                <c:pt idx="24">
                  <c:v>3.4640383070390697E-2</c:v>
                </c:pt>
                <c:pt idx="25">
                  <c:v>3.017033023483778E-2</c:v>
                </c:pt>
                <c:pt idx="26">
                  <c:v>2.5360054839834334E-2</c:v>
                </c:pt>
                <c:pt idx="27">
                  <c:v>2.4144011830313155E-2</c:v>
                </c:pt>
                <c:pt idx="28">
                  <c:v>1.9175415046258477E-2</c:v>
                </c:pt>
                <c:pt idx="29">
                  <c:v>2.5979866235268954E-2</c:v>
                </c:pt>
                <c:pt idx="30">
                  <c:v>2.3493883573145323E-2</c:v>
                </c:pt>
                <c:pt idx="31">
                  <c:v>1.6694485194423719E-2</c:v>
                </c:pt>
                <c:pt idx="32">
                  <c:v>1.7186292062540316E-2</c:v>
                </c:pt>
                <c:pt idx="33">
                  <c:v>1.8702135149201066E-2</c:v>
                </c:pt>
                <c:pt idx="34">
                  <c:v>1.3779013657746211E-2</c:v>
                </c:pt>
                <c:pt idx="35">
                  <c:v>1.3517951792821304E-2</c:v>
                </c:pt>
                <c:pt idx="36">
                  <c:v>1.1766310892679994E-2</c:v>
                </c:pt>
                <c:pt idx="37">
                  <c:v>1.3708274313702043E-2</c:v>
                </c:pt>
                <c:pt idx="38">
                  <c:v>1.1001652268964461E-2</c:v>
                </c:pt>
                <c:pt idx="39">
                  <c:v>8.7565202306102621E-3</c:v>
                </c:pt>
                <c:pt idx="40">
                  <c:v>7.9177537226579799E-3</c:v>
                </c:pt>
                <c:pt idx="41">
                  <c:v>6.5534949446633059E-3</c:v>
                </c:pt>
                <c:pt idx="42">
                  <c:v>6.6158129382260259E-3</c:v>
                </c:pt>
                <c:pt idx="43">
                  <c:v>6.083583587798474E-3</c:v>
                </c:pt>
                <c:pt idx="44">
                  <c:v>4.3656280895829581E-3</c:v>
                </c:pt>
                <c:pt idx="45">
                  <c:v>4.4902640767083973E-3</c:v>
                </c:pt>
                <c:pt idx="46">
                  <c:v>4.3016258259239481E-3</c:v>
                </c:pt>
                <c:pt idx="47">
                  <c:v>5.6305149318965388E-3</c:v>
                </c:pt>
                <c:pt idx="48">
                  <c:v>3.3196963597870409E-3</c:v>
                </c:pt>
                <c:pt idx="49">
                  <c:v>2.8497850029222086E-3</c:v>
                </c:pt>
                <c:pt idx="50">
                  <c:v>2.8009411701298069E-3</c:v>
                </c:pt>
                <c:pt idx="51">
                  <c:v>3.0064221218771528E-3</c:v>
                </c:pt>
                <c:pt idx="52">
                  <c:v>2.4691399611607317E-3</c:v>
                </c:pt>
                <c:pt idx="53">
                  <c:v>2.3343983534575537E-3</c:v>
                </c:pt>
                <c:pt idx="54">
                  <c:v>1.8139588937040299E-3</c:v>
                </c:pt>
                <c:pt idx="55">
                  <c:v>1.4855262249275343E-3</c:v>
                </c:pt>
                <c:pt idx="56">
                  <c:v>1.2766767329876088E-3</c:v>
                </c:pt>
                <c:pt idx="57">
                  <c:v>1.4956318455052727E-3</c:v>
                </c:pt>
                <c:pt idx="58">
                  <c:v>9.3645417353708507E-4</c:v>
                </c:pt>
                <c:pt idx="59">
                  <c:v>1.1436193953807208E-3</c:v>
                </c:pt>
                <c:pt idx="60">
                  <c:v>8.6234628930033732E-4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835-4531-9AF3-405EFA2DF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43638664"/>
        <c:axId val="343638272"/>
      </c:lineChart>
      <c:catAx>
        <c:axId val="34363866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Duration (mins)</a:t>
                </a:r>
              </a:p>
            </c:rich>
          </c:tx>
          <c:overlay val="0"/>
        </c:title>
        <c:majorTickMark val="none"/>
        <c:minorTickMark val="none"/>
        <c:tickLblPos val="nextTo"/>
        <c:crossAx val="343638272"/>
        <c:crosses val="autoZero"/>
        <c:auto val="1"/>
        <c:lblAlgn val="ctr"/>
        <c:lblOffset val="100"/>
        <c:tickLblSkip val="10"/>
        <c:noMultiLvlLbl val="0"/>
      </c:catAx>
      <c:valAx>
        <c:axId val="343638272"/>
        <c:scaling>
          <c:orientation val="minMax"/>
          <c:max val="0.15000000000000024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Share (%)</a:t>
                </a:r>
              </a:p>
            </c:rich>
          </c:tx>
          <c:overlay val="0"/>
        </c:title>
        <c:numFmt formatCode="0%" sourceLinked="0"/>
        <c:majorTickMark val="none"/>
        <c:minorTickMark val="none"/>
        <c:tickLblPos val="nextTo"/>
        <c:crossAx val="343638664"/>
        <c:crosses val="autoZero"/>
        <c:crossBetween val="between"/>
        <c:majorUnit val="0.05"/>
        <c:minorUnit val="0.05"/>
      </c:valAx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footer="0.30000000000000032" header="0.30000000000000032" l="0.70000000000000062" r="0.70000000000000062" t="0.75000000000000233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panose="020F0302020204030204"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_rels/sheet5.xml.rels><?xml version="1.0" encoding="UTF-8" standalone="no"?>
<Relationships xmlns="http://schemas.openxmlformats.org/package/2006/relationships">
<Relationship Id="rId1" Target="../printerSettings/printerSettings3.bin" Type="http://schemas.openxmlformats.org/officeDocument/2006/relationships/printerSettings"/>
</Relationships>

</file>

<file path=xl/worksheets/_rels/sheet7.xml.rels><?xml version="1.0" encoding="UTF-8" standalone="no"?>
<Relationships xmlns="http://schemas.openxmlformats.org/package/2006/relationships">
<Relationship Id="rId1" Target="../printerSettings/printerSettings4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L102"/>
  <sheetViews>
    <sheetView topLeftCell="E1" workbookViewId="0">
      <selection activeCell="T10" sqref="T10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  <col min="6" max="6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243</v>
      </c>
    </row>
    <row r="3" spans="1:12" x14ac:dyDescent="0.25">
      <c r="A3" t="s">
        <v>244</v>
      </c>
    </row>
    <row r="4" spans="1:12" x14ac:dyDescent="0.25">
      <c r="A4" t="s">
        <v>5</v>
      </c>
    </row>
    <row r="5" spans="1:12" x14ac:dyDescent="0.25">
      <c r="A5" t="s">
        <v>6</v>
      </c>
    </row>
    <row r="7" spans="1:12" x14ac:dyDescent="0.25">
      <c r="A7" t="s">
        <v>9</v>
      </c>
    </row>
    <row ht="15.75" r="9" spans="1:12" thickBot="1" x14ac:dyDescent="0.3">
      <c r="A9" s="4" t="s">
        <v>34</v>
      </c>
      <c r="B9" s="1"/>
      <c r="E9" s="4" t="s">
        <v>10</v>
      </c>
      <c r="F9" s="1"/>
      <c r="G9" s="6"/>
      <c r="J9" s="10" t="s">
        <v>17</v>
      </c>
    </row>
    <row r="10" spans="1:12" x14ac:dyDescent="0.25">
      <c r="A10" s="2" t="s">
        <v>3</v>
      </c>
      <c r="B10" s="5" t="s">
        <v>35</v>
      </c>
      <c r="C10" s="5" t="s">
        <v>35</v>
      </c>
      <c r="E10" s="2" t="s">
        <v>3</v>
      </c>
      <c r="F10" s="5" t="s">
        <v>16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9973.1768341485</v>
      </c>
      <c r="C11" s="11">
        <f>B11/B$102</f>
        <v>1.5743867254577746E-2</v>
      </c>
      <c r="E11" s="20">
        <v>0</v>
      </c>
      <c r="F11" s="110" t="n">
        <v>74630.0</v>
      </c>
      <c r="G11" s="11">
        <f>F11/F$102</f>
        <v>0.12776199242415312</v>
      </c>
      <c r="K11" s="8" t="n">
        <v>7.667280534292302</v>
      </c>
      <c r="L11" s="8" t="n">
        <v>7.771230547593713</v>
      </c>
    </row>
    <row r="12" spans="1:12" x14ac:dyDescent="0.25">
      <c r="A12">
        <v>1</v>
      </c>
      <c r="B12" s="8" t="n">
        <v>16653.0860079527</v>
      </c>
      <c r="C12" s="11">
        <f>B12/B$102</f>
        <v>2.628891273546323E-2</v>
      </c>
      <c r="E12" s="21">
        <v>1</v>
      </c>
      <c r="F12" s="111" t="n">
        <v>51061.0</v>
      </c>
      <c r="G12" s="11">
        <f>F12/F$102</f>
        <v>8.5926407502412719E-2</v>
      </c>
      <c r="K12" s="8"/>
      <c r="L12" s="380"/>
    </row>
    <row r="13" spans="1:12" x14ac:dyDescent="0.25">
      <c r="A13">
        <v>2</v>
      </c>
      <c r="B13" s="8" t="n">
        <v>40847.4157439388</v>
      </c>
      <c r="C13" s="11">
        <f ref="C13:C76" si="0" t="shared">B13/B$102</f>
        <v>6.4482591842063577E-2</v>
      </c>
      <c r="E13" s="22">
        <v>2</v>
      </c>
      <c r="F13" s="112" t="n">
        <v>30646.0</v>
      </c>
      <c r="G13" s="11">
        <f ref="G13:G76" si="1" t="shared">F13/F$102</f>
        <v>5.1479715493095338E-2</v>
      </c>
    </row>
    <row r="14" spans="1:12" x14ac:dyDescent="0.25">
      <c r="A14">
        <v>3</v>
      </c>
      <c r="B14" s="8" t="n">
        <v>60154.9881239646</v>
      </c>
      <c r="C14" s="11">
        <f si="0" t="shared"/>
        <v>9.4961932739585239E-2</v>
      </c>
      <c r="E14" s="23">
        <v>3</v>
      </c>
      <c r="F14" s="113" t="n">
        <v>17565.0</v>
      </c>
      <c r="G14" s="11">
        <f si="1" t="shared"/>
        <v>2.9217033360337798E-2</v>
      </c>
    </row>
    <row r="15" spans="1:12" x14ac:dyDescent="0.25">
      <c r="A15">
        <v>4</v>
      </c>
      <c r="B15" s="8" t="n">
        <v>108917.8962755017</v>
      </c>
      <c r="C15" s="11">
        <f si="0" t="shared"/>
        <v>0.17194008781012191</v>
      </c>
      <c r="E15" s="24">
        <v>4</v>
      </c>
      <c r="F15" s="114" t="n">
        <v>91681.0</v>
      </c>
      <c r="G15" s="11">
        <f si="1" t="shared"/>
        <v>0.15421513855647948</v>
      </c>
    </row>
    <row r="16" spans="1:12" x14ac:dyDescent="0.25">
      <c r="A16">
        <v>5</v>
      </c>
      <c r="B16" s="8" t="n">
        <v>73176.2143347664</v>
      </c>
      <c r="C16" s="11">
        <f si="0" t="shared"/>
        <v>0.11551751501430732</v>
      </c>
      <c r="E16" s="25">
        <v>5</v>
      </c>
      <c r="F16" s="115" t="n">
        <v>55860.0</v>
      </c>
      <c r="G16" s="11">
        <f si="1" t="shared"/>
        <v>8.9288210614606997E-2</v>
      </c>
    </row>
    <row r="17" spans="1:7" x14ac:dyDescent="0.25">
      <c r="A17">
        <v>6</v>
      </c>
      <c r="B17" s="8" t="n">
        <v>74366.438813207</v>
      </c>
      <c r="C17" s="11">
        <f si="0" t="shared"/>
        <v>0.11739642847421469</v>
      </c>
      <c r="E17" s="26">
        <v>6</v>
      </c>
      <c r="F17" s="116" t="n">
        <v>45677.0</v>
      </c>
      <c r="G17" s="11">
        <f si="1" t="shared"/>
        <v>8.2072797522101837E-2</v>
      </c>
    </row>
    <row r="18" spans="1:7" x14ac:dyDescent="0.25">
      <c r="A18">
        <v>7</v>
      </c>
      <c r="B18" s="8" t="n">
        <v>48341.9527415669</v>
      </c>
      <c r="C18" s="11">
        <f si="0" t="shared"/>
        <v>7.6313625983678954E-2</v>
      </c>
      <c r="E18" s="27">
        <v>7</v>
      </c>
      <c r="F18" s="117" t="n">
        <v>33599.0</v>
      </c>
      <c r="G18" s="11">
        <f si="1" t="shared"/>
        <v>5.7893416019766594E-2</v>
      </c>
    </row>
    <row r="19" spans="1:7" x14ac:dyDescent="0.25">
      <c r="A19">
        <v>8</v>
      </c>
      <c r="B19" s="8" t="n">
        <v>31603.8389721855</v>
      </c>
      <c r="C19" s="11">
        <f si="0" t="shared"/>
        <v>4.9890486631045589E-2</v>
      </c>
      <c r="E19" s="28">
        <v>8</v>
      </c>
      <c r="F19" s="118" t="n">
        <v>25846.0</v>
      </c>
      <c r="G19" s="11">
        <f si="1" t="shared"/>
        <v>4.6955766014461144E-2</v>
      </c>
    </row>
    <row r="20" spans="1:7" x14ac:dyDescent="0.25">
      <c r="A20">
        <v>9</v>
      </c>
      <c r="B20" s="8" t="n">
        <v>23052.931224294498</v>
      </c>
      <c r="C20" s="11">
        <f si="0" t="shared"/>
        <v>3.6391843347395203E-2</v>
      </c>
      <c r="E20" s="29">
        <v>9</v>
      </c>
      <c r="F20" s="119" t="n">
        <v>20883.0</v>
      </c>
      <c r="G20" s="11">
        <f si="1" t="shared"/>
        <v>2.793530381706132E-2</v>
      </c>
    </row>
    <row r="21" spans="1:7" x14ac:dyDescent="0.25">
      <c r="A21">
        <v>10</v>
      </c>
      <c r="B21" s="8" t="n">
        <v>36595.5378751736</v>
      </c>
      <c r="C21" s="11">
        <f si="0" t="shared"/>
        <v>5.7770487779162785E-2</v>
      </c>
      <c r="E21" s="30">
        <v>10</v>
      </c>
      <c r="F21" s="120" t="n">
        <v>9970.0</v>
      </c>
      <c r="G21" s="11">
        <f si="1" t="shared"/>
        <v>1.9830596113715179E-2</v>
      </c>
    </row>
    <row r="22" spans="1:7" x14ac:dyDescent="0.25">
      <c r="A22">
        <v>11</v>
      </c>
      <c r="B22" s="8" t="n">
        <v>16672.4293262847</v>
      </c>
      <c r="C22" s="11">
        <f si="0" t="shared"/>
        <v>2.631944850567431E-2</v>
      </c>
      <c r="E22" s="31">
        <v>11</v>
      </c>
      <c r="F22" s="121" t="n">
        <v>13637.0</v>
      </c>
      <c r="G22" s="11">
        <f si="1" t="shared"/>
        <v>2.0751891856385658E-2</v>
      </c>
    </row>
    <row r="23" spans="1:7" x14ac:dyDescent="0.25">
      <c r="A23">
        <v>12</v>
      </c>
      <c r="B23" s="8" t="n">
        <v>11529.5465694736</v>
      </c>
      <c r="C23" s="11">
        <f si="0" t="shared"/>
        <v>1.8200785337901065E-2</v>
      </c>
      <c r="E23" s="32">
        <v>12</v>
      </c>
      <c r="F23" s="122" t="n">
        <v>12433.0</v>
      </c>
      <c r="G23" s="11">
        <f si="1" t="shared"/>
        <v>2.1526656100678929E-2</v>
      </c>
    </row>
    <row r="24" spans="1:7" x14ac:dyDescent="0.25">
      <c r="A24">
        <v>13</v>
      </c>
      <c r="B24" s="8" t="n">
        <v>6945.0016183316</v>
      </c>
      <c r="C24" s="11">
        <f si="0" t="shared"/>
        <v>1.0963526003815793E-2</v>
      </c>
      <c r="E24" s="33">
        <v>13</v>
      </c>
      <c r="F24" s="123" t="n">
        <v>15109.0</v>
      </c>
      <c r="G24" s="11">
        <f si="1" t="shared"/>
        <v>2.6183662916920009E-2</v>
      </c>
    </row>
    <row r="25" spans="1:7" x14ac:dyDescent="0.25">
      <c r="A25">
        <v>14</v>
      </c>
      <c r="B25" s="8" t="n">
        <v>2274.323537667</v>
      </c>
      <c r="C25" s="11">
        <f si="0" t="shared"/>
        <v>3.5902950951784696E-3</v>
      </c>
      <c r="E25" s="34">
        <v>14</v>
      </c>
      <c r="F25" s="124" t="n">
        <v>8669.0</v>
      </c>
      <c r="G25" s="11">
        <f si="1" t="shared"/>
        <v>1.5887719818300942E-2</v>
      </c>
    </row>
    <row r="26" spans="1:7" x14ac:dyDescent="0.25">
      <c r="A26">
        <v>15</v>
      </c>
      <c r="B26" s="8" t="n">
        <v>3449.9458637023</v>
      </c>
      <c r="C26" s="11">
        <f si="0" t="shared"/>
        <v>5.4461572893835068E-3</v>
      </c>
      <c r="E26" s="35">
        <v>15</v>
      </c>
      <c r="F26" s="125" t="n">
        <v>13654.0</v>
      </c>
      <c r="G26" s="11">
        <f si="1" t="shared"/>
        <v>2.0682836782437777E-2</v>
      </c>
    </row>
    <row r="27" spans="1:7" x14ac:dyDescent="0.25">
      <c r="A27">
        <v>16</v>
      </c>
      <c r="B27" s="8" t="n">
        <v>11941.3546406988</v>
      </c>
      <c r="C27" s="11">
        <f si="0" t="shared"/>
        <v>1.8850874242926162E-2</v>
      </c>
      <c r="E27" s="36">
        <v>16</v>
      </c>
      <c r="F27" s="126" t="n">
        <v>9509.0</v>
      </c>
      <c r="G27" s="11">
        <f si="1" t="shared"/>
        <v>1.602414569610041E-2</v>
      </c>
    </row>
    <row r="28" spans="1:7" x14ac:dyDescent="0.25">
      <c r="A28">
        <v>17</v>
      </c>
      <c r="B28" s="8" t="n">
        <v>4142.9865766036</v>
      </c>
      <c r="C28" s="11">
        <f si="0" t="shared"/>
        <v>6.5402059729058803E-3</v>
      </c>
      <c r="E28" s="37">
        <v>17</v>
      </c>
      <c r="F28" s="127" t="n">
        <v>7476.0</v>
      </c>
      <c r="G28" s="11">
        <f si="1" t="shared"/>
        <v>1.1695571548635826E-2</v>
      </c>
    </row>
    <row r="29" spans="1:7" x14ac:dyDescent="0.25">
      <c r="A29">
        <v>18</v>
      </c>
      <c r="B29" s="8" t="n">
        <v>3681.066425348</v>
      </c>
      <c r="C29" s="11">
        <f si="0" t="shared"/>
        <v>5.8110090816323127E-3</v>
      </c>
      <c r="E29" s="38">
        <v>18</v>
      </c>
      <c r="F29" s="128" t="n">
        <v>6868.0</v>
      </c>
      <c r="G29" s="11">
        <f si="1" t="shared"/>
        <v>1.2805505542090753E-2</v>
      </c>
    </row>
    <row r="30" spans="1:7" x14ac:dyDescent="0.25">
      <c r="A30">
        <v>19</v>
      </c>
      <c r="B30" s="8" t="n">
        <v>7145.680413899</v>
      </c>
      <c r="C30" s="11">
        <f si="0" t="shared"/>
        <v>1.1280321782208448E-2</v>
      </c>
      <c r="E30" s="39">
        <v>19</v>
      </c>
      <c r="F30" s="129" t="n">
        <v>5134.0</v>
      </c>
      <c r="G30" s="11">
        <f si="1" t="shared"/>
        <v>8.6133572724256344E-3</v>
      </c>
    </row>
    <row r="31" spans="1:7" x14ac:dyDescent="0.25">
      <c r="A31">
        <v>20</v>
      </c>
      <c r="B31" s="8" t="n">
        <v>5106.9862278705</v>
      </c>
      <c r="C31" s="11">
        <f si="0" t="shared"/>
        <v>8.0619961502381883E-3</v>
      </c>
      <c r="E31" s="40">
        <v>20</v>
      </c>
      <c r="F31" s="130" t="n">
        <v>4788.0</v>
      </c>
      <c r="G31" s="11">
        <f si="1" t="shared"/>
        <v>7.2945737870307838E-3</v>
      </c>
    </row>
    <row r="32" spans="1:7" x14ac:dyDescent="0.25">
      <c r="A32">
        <v>21</v>
      </c>
      <c r="B32" s="8" t="n">
        <v>5728.68224864</v>
      </c>
      <c r="C32" s="11">
        <f si="0" t="shared"/>
        <v>9.0434185983171295E-3</v>
      </c>
      <c r="E32" s="41">
        <v>21</v>
      </c>
      <c r="F32" s="131" t="n">
        <v>4568.0</v>
      </c>
      <c r="G32" s="11">
        <f si="1" t="shared"/>
        <v>8.3607167579821777E-3</v>
      </c>
    </row>
    <row r="33" spans="1:7" x14ac:dyDescent="0.25">
      <c r="A33">
        <v>22</v>
      </c>
      <c r="B33" s="8" t="n">
        <v>5530.1884745458</v>
      </c>
      <c r="C33" s="11">
        <f si="0" t="shared"/>
        <v>8.7300721408975733E-3</v>
      </c>
      <c r="E33" s="42">
        <v>22</v>
      </c>
      <c r="F33" s="132" t="n">
        <v>3857.0</v>
      </c>
      <c r="G33" s="11">
        <f si="1" t="shared"/>
        <v>6.2419049768497074E-3</v>
      </c>
    </row>
    <row r="34" spans="1:7" x14ac:dyDescent="0.25">
      <c r="A34">
        <v>23</v>
      </c>
      <c r="B34" s="8" t="n">
        <v>4890.604549589</v>
      </c>
      <c r="C34" s="11">
        <f si="0" t="shared"/>
        <v>7.7204114700666626E-3</v>
      </c>
      <c r="E34" s="43">
        <v>23</v>
      </c>
      <c r="F34" s="133" t="n">
        <v>3425.0</v>
      </c>
      <c r="G34" s="11">
        <f si="1" t="shared"/>
        <v>5.667568874014913E-3</v>
      </c>
    </row>
    <row r="35" spans="1:7" x14ac:dyDescent="0.25">
      <c r="A35">
        <v>24</v>
      </c>
      <c r="B35" s="8" t="n">
        <v>691.809113803</v>
      </c>
      <c r="C35" s="11">
        <f si="0" t="shared"/>
        <v>1.0921044552150896E-3</v>
      </c>
      <c r="E35" s="44">
        <v>24</v>
      </c>
      <c r="F35" s="134" t="n">
        <v>3475.0</v>
      </c>
      <c r="G35" s="11">
        <f si="1" t="shared"/>
        <v>5.7467295685405297E-3</v>
      </c>
    </row>
    <row r="36" spans="1:7" x14ac:dyDescent="0.25">
      <c r="A36">
        <v>25</v>
      </c>
      <c r="B36" s="8" t="n">
        <v>899.760716736</v>
      </c>
      <c r="C36" s="11">
        <f si="0" t="shared"/>
        <v>1.4203812406766341E-3</v>
      </c>
      <c r="E36" s="45">
        <v>25</v>
      </c>
      <c r="F36" s="135" t="n">
        <v>3061.0</v>
      </c>
      <c r="G36" s="11">
        <f si="1" t="shared"/>
        <v>4.5458449898859582E-3</v>
      </c>
    </row>
    <row r="37" spans="1:7" x14ac:dyDescent="0.25">
      <c r="A37">
        <v>26</v>
      </c>
      <c r="B37" s="8" t="n">
        <v>994.02148134</v>
      </c>
      <c r="C37" s="11">
        <f si="0" t="shared"/>
        <v>1.5691832713554657E-3</v>
      </c>
      <c r="E37" s="46">
        <v>26</v>
      </c>
      <c r="F37" s="136" t="n">
        <v>2623.0</v>
      </c>
      <c r="G37" s="11">
        <f si="1" t="shared"/>
        <v>4.421209002760519E-3</v>
      </c>
    </row>
    <row r="38" spans="1:7" x14ac:dyDescent="0.25">
      <c r="A38">
        <v>27</v>
      </c>
      <c r="B38" s="8" t="n">
        <v>2067.125837326</v>
      </c>
      <c r="C38" s="11">
        <f si="0" t="shared"/>
        <v>3.263208436246186E-3</v>
      </c>
      <c r="E38" s="47">
        <v>27</v>
      </c>
      <c r="F38" s="137" t="n">
        <v>3738.0</v>
      </c>
      <c r="G38" s="11">
        <f si="1" t="shared"/>
        <v>5.6456733627631463E-3</v>
      </c>
    </row>
    <row r="39" spans="1:7" x14ac:dyDescent="0.25">
      <c r="A39">
        <v>28</v>
      </c>
      <c r="B39" s="8" t="n">
        <v>290.667683824</v>
      </c>
      <c r="C39" s="11">
        <f si="0" t="shared"/>
        <v>4.5885413498850743E-4</v>
      </c>
      <c r="E39" s="48">
        <v>28</v>
      </c>
      <c r="F39" s="138" t="n">
        <v>2062.0</v>
      </c>
      <c r="G39" s="11">
        <f si="1" t="shared"/>
        <v>3.3213806298833305E-3</v>
      </c>
    </row>
    <row r="40" spans="1:7" x14ac:dyDescent="0.25">
      <c r="A40">
        <v>29</v>
      </c>
      <c r="B40" s="8" t="n">
        <v>711.387405665</v>
      </c>
      <c r="C40" s="11">
        <f si="0" t="shared"/>
        <v>1.1230111595955123E-3</v>
      </c>
      <c r="E40" s="49">
        <v>29</v>
      </c>
      <c r="F40" s="139" t="n">
        <v>1873.0</v>
      </c>
      <c r="G40" s="11">
        <f si="1" t="shared"/>
        <v>2.9777895302402274E-3</v>
      </c>
    </row>
    <row r="41" spans="1:7" x14ac:dyDescent="0.25">
      <c r="A41">
        <v>30</v>
      </c>
      <c r="B41" s="8" t="n">
        <v>1402.4810608782</v>
      </c>
      <c r="C41" s="11">
        <f si="0" t="shared"/>
        <v>2.2139861767938823E-3</v>
      </c>
      <c r="E41" s="50">
        <v>30</v>
      </c>
      <c r="F41" s="140" t="n">
        <v>1811.0</v>
      </c>
      <c r="G41" s="11">
        <f si="1" t="shared"/>
        <v>2.8935760254257415E-3</v>
      </c>
    </row>
    <row r="42" spans="1:7" x14ac:dyDescent="0.25">
      <c r="A42">
        <v>31</v>
      </c>
      <c r="B42" s="8" t="n">
        <v>1540.58640738</v>
      </c>
      <c r="C42" s="11">
        <f si="0" t="shared"/>
        <v>2.4320021890064485E-3</v>
      </c>
      <c r="E42" s="51">
        <v>31</v>
      </c>
      <c r="F42" s="141" t="n">
        <v>1344.0</v>
      </c>
      <c r="G42" s="11">
        <f si="1" t="shared"/>
        <v>2.1339702119990769E-3</v>
      </c>
    </row>
    <row r="43" spans="1:7" x14ac:dyDescent="0.25">
      <c r="A43">
        <v>32</v>
      </c>
      <c r="B43" s="8" t="n">
        <v>0.0</v>
      </c>
      <c r="C43" s="11">
        <f si="0" t="shared"/>
        <v>0</v>
      </c>
      <c r="E43" s="52">
        <v>32</v>
      </c>
      <c r="F43" s="142" t="n">
        <v>1192.0</v>
      </c>
      <c r="G43" s="11">
        <f si="1" t="shared"/>
        <v>1.8425914853409551E-3</v>
      </c>
    </row>
    <row r="44" spans="1:7" x14ac:dyDescent="0.25">
      <c r="A44">
        <v>33</v>
      </c>
      <c r="B44" s="8" t="n">
        <v>403.086772515</v>
      </c>
      <c r="C44" s="11">
        <f si="0" t="shared"/>
        <v>6.3632127897531314E-4</v>
      </c>
      <c r="E44" s="53">
        <v>33</v>
      </c>
      <c r="F44" s="143" t="n">
        <v>1039.0</v>
      </c>
      <c r="G44" s="11">
        <f si="1" t="shared"/>
        <v>1.825748784378058E-3</v>
      </c>
    </row>
    <row r="45" spans="1:7" x14ac:dyDescent="0.25">
      <c r="A45">
        <v>34</v>
      </c>
      <c r="B45" s="8" t="n">
        <v>735.005061211</v>
      </c>
      <c r="C45" s="11">
        <f si="0" t="shared"/>
        <v>1.1602944886654829E-3</v>
      </c>
      <c r="E45" s="54">
        <v>34</v>
      </c>
      <c r="F45" s="144" t="n">
        <v>812.0</v>
      </c>
      <c r="G45" s="11">
        <f si="1" t="shared"/>
        <v>1.3575216976095155E-3</v>
      </c>
    </row>
    <row r="46" spans="1:7" x14ac:dyDescent="0.25">
      <c r="A46">
        <v>35</v>
      </c>
      <c r="B46" s="8" t="n">
        <v>879.0616143070001</v>
      </c>
      <c r="C46" s="11">
        <f si="0" t="shared"/>
        <v>1.3877052011006343E-3</v>
      </c>
      <c r="E46" s="55">
        <v>35</v>
      </c>
      <c r="F46" s="145" t="n">
        <v>666.0</v>
      </c>
      <c r="G46" s="11">
        <f si="1" t="shared"/>
        <v>1.2648868423135809E-3</v>
      </c>
    </row>
    <row r="47" spans="1:7" x14ac:dyDescent="0.25">
      <c r="A47">
        <v>36</v>
      </c>
      <c r="B47" s="8" t="n">
        <v>152.330625679</v>
      </c>
      <c r="C47" s="11">
        <f si="0" t="shared"/>
        <v>2.4047233788988665E-4</v>
      </c>
      <c r="E47" s="56">
        <v>36</v>
      </c>
      <c r="F47" s="146" t="n">
        <v>799.0</v>
      </c>
      <c r="G47" s="11">
        <f si="1" t="shared"/>
        <v>1.3760486686687024E-3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7">
        <v>37</v>
      </c>
      <c r="F48" s="147" t="n">
        <v>534.0</v>
      </c>
      <c r="G48" s="11">
        <f si="1" t="shared"/>
        <v>8.0508110602648688E-4</v>
      </c>
    </row>
    <row r="49" spans="1:7" x14ac:dyDescent="0.25">
      <c r="A49">
        <v>38</v>
      </c>
      <c r="B49" s="8" t="n">
        <v>4.59375</v>
      </c>
      <c r="C49" s="11">
        <f si="0" t="shared"/>
        <v>7.2517906183192046E-6</v>
      </c>
      <c r="E49" s="58">
        <v>38</v>
      </c>
      <c r="F49" s="148" t="n">
        <v>624.0</v>
      </c>
      <c r="G49" s="11">
        <f si="1" t="shared"/>
        <v>9.4655979411482341E-4</v>
      </c>
    </row>
    <row r="50" spans="1:7" x14ac:dyDescent="0.25">
      <c r="A50">
        <v>39</v>
      </c>
      <c r="B50" s="8" t="n">
        <v>80.5029056468</v>
      </c>
      <c r="C50" s="11">
        <f si="0" t="shared"/>
        <v>1.2708358441728445E-4</v>
      </c>
      <c r="E50" s="59">
        <v>39</v>
      </c>
      <c r="F50" s="149" t="n">
        <v>463.0</v>
      </c>
      <c r="G50" s="11">
        <f si="1" t="shared"/>
        <v>6.9055073947878578E-4</v>
      </c>
    </row>
    <row r="51" spans="1:7" x14ac:dyDescent="0.25">
      <c r="A51">
        <v>40</v>
      </c>
      <c r="B51" s="8" t="n">
        <v>6381.798029925</v>
      </c>
      <c r="C51" s="11">
        <f si="0" t="shared"/>
        <v>1.0074440942893736E-2</v>
      </c>
      <c r="E51" s="60">
        <v>40</v>
      </c>
      <c r="F51" s="150" t="n">
        <v>431.0</v>
      </c>
      <c r="G51" s="11">
        <f si="1" t="shared"/>
        <v>7.4781592275263633E-4</v>
      </c>
    </row>
    <row r="52" spans="1:7" x14ac:dyDescent="0.25">
      <c r="A52">
        <v>41</v>
      </c>
      <c r="B52" s="8" t="n">
        <v>1219.07842926</v>
      </c>
      <c r="C52" s="11">
        <f si="0" t="shared"/>
        <v>1.9244629151135737E-3</v>
      </c>
      <c r="E52" s="61">
        <v>41</v>
      </c>
      <c r="F52" s="151" t="n">
        <v>353.0</v>
      </c>
      <c r="G52" s="11">
        <f si="1" t="shared"/>
        <v>4.6485854657596311E-4</v>
      </c>
    </row>
    <row r="53" spans="1:7" x14ac:dyDescent="0.25">
      <c r="A53">
        <v>42</v>
      </c>
      <c r="B53" s="8" t="n">
        <v>0.0</v>
      </c>
      <c r="C53" s="11">
        <f si="0" t="shared"/>
        <v>0</v>
      </c>
      <c r="E53" s="62">
        <v>42</v>
      </c>
      <c r="F53" s="152" t="n">
        <v>199.0</v>
      </c>
      <c r="G53" s="11">
        <f si="1" t="shared"/>
        <v>3.3685401925794429E-4</v>
      </c>
    </row>
    <row r="54" spans="1:7" x14ac:dyDescent="0.25">
      <c r="A54">
        <v>43</v>
      </c>
      <c r="B54" s="8" t="n">
        <v>0.0</v>
      </c>
      <c r="C54" s="11">
        <f si="0" t="shared"/>
        <v>0</v>
      </c>
      <c r="E54" s="63">
        <v>43</v>
      </c>
      <c r="F54" s="153" t="n">
        <v>197.0</v>
      </c>
      <c r="G54" s="11">
        <f si="1" t="shared"/>
        <v>2.7958883598409374E-4</v>
      </c>
    </row>
    <row r="55" spans="1:7" x14ac:dyDescent="0.25">
      <c r="A55">
        <v>44</v>
      </c>
      <c r="B55" s="8" t="n">
        <v>77.4485081528</v>
      </c>
      <c r="C55" s="11">
        <f si="0" t="shared"/>
        <v>1.2226184812523397E-4</v>
      </c>
      <c r="E55" s="64">
        <v>44</v>
      </c>
      <c r="F55" s="154" t="n">
        <v>188.0</v>
      </c>
      <c r="G55" s="11">
        <f si="1" t="shared"/>
        <v>2.8632591636925265E-4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5">
        <v>45</v>
      </c>
      <c r="F56" s="155" t="n">
        <v>245.0</v>
      </c>
      <c r="G56" s="11">
        <f si="1" t="shared"/>
        <v>2.206393826139535E-4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66">
        <v>46</v>
      </c>
      <c r="F57" s="156" t="n">
        <v>160.0</v>
      </c>
      <c r="G57" s="11">
        <f si="1" t="shared"/>
        <v>3.3853828935423398E-4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7">
        <v>47</v>
      </c>
      <c r="F58" s="157" t="n">
        <v>194.0</v>
      </c>
      <c r="G58" s="11">
        <f si="1" t="shared"/>
        <v>2.6779894531006571E-4</v>
      </c>
    </row>
    <row r="59" spans="1:7" x14ac:dyDescent="0.25">
      <c r="A59">
        <v>48</v>
      </c>
      <c r="B59" s="8" t="n">
        <v>213.886510635</v>
      </c>
      <c r="C59" s="11">
        <f si="0" t="shared"/>
        <v>3.3764575590920792E-4</v>
      </c>
      <c r="E59" s="68">
        <v>48</v>
      </c>
      <c r="F59" s="158" t="n">
        <v>86.0</v>
      </c>
      <c r="G59" s="11">
        <f si="1" t="shared"/>
        <v>1.1116182635512161E-4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9">
        <v>49</v>
      </c>
      <c r="F60" s="159" t="n">
        <v>99.0</v>
      </c>
      <c r="G60" s="11">
        <f si="1" t="shared"/>
        <v>1.1284609645141133E-4</v>
      </c>
    </row>
    <row r="61" spans="1:7" x14ac:dyDescent="0.25">
      <c r="A61">
        <v>50</v>
      </c>
      <c r="B61" s="8" t="n">
        <v>454.367233631</v>
      </c>
      <c r="C61" s="11">
        <f si="0" t="shared"/>
        <v>7.172736962431425E-4</v>
      </c>
      <c r="E61" s="70">
        <v>50</v>
      </c>
      <c r="F61" s="160" t="n">
        <v>49.0</v>
      </c>
      <c r="G61" s="11">
        <f si="1" t="shared"/>
        <v>1.0274047587367301E-4</v>
      </c>
    </row>
    <row r="62" spans="1:7" x14ac:dyDescent="0.25">
      <c r="A62">
        <v>51</v>
      </c>
      <c r="B62" s="8" t="n">
        <v>94.7244864348</v>
      </c>
      <c r="C62" s="11">
        <f si="0" t="shared"/>
        <v>1.4953407173942584E-4</v>
      </c>
      <c r="E62" s="71">
        <v>51</v>
      </c>
      <c r="F62" s="161" t="n">
        <v>88.0</v>
      </c>
      <c r="G62" s="11">
        <f si="1" t="shared"/>
        <v>1.2463598712543939E-4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2">
        <v>52</v>
      </c>
      <c r="F63" s="162" t="n">
        <v>33.0</v>
      </c>
      <c r="G63" s="11">
        <f si="1" t="shared"/>
        <v>7.2423614140458019E-5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3">
        <v>53</v>
      </c>
      <c r="F64" s="163" t="n">
        <v>35.0</v>
      </c>
      <c r="G64" s="11">
        <f si="1" t="shared"/>
        <v>6.737080385158885E-5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4">
        <v>54</v>
      </c>
      <c r="F65" s="164" t="n">
        <v>43.0</v>
      </c>
      <c r="G65" s="11">
        <f si="1" t="shared"/>
        <v>7.0739344044168305E-5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5">
        <v>55</v>
      </c>
      <c r="F66" s="165" t="n">
        <v>26.0</v>
      </c>
      <c r="G66" s="11">
        <f si="1" t="shared"/>
        <v>6.0633723466429973E-5</v>
      </c>
    </row>
    <row r="67" spans="1:7" x14ac:dyDescent="0.25">
      <c r="A67">
        <v>56</v>
      </c>
      <c r="B67" s="8" t="n">
        <v>767.701778901</v>
      </c>
      <c r="C67" s="11">
        <f si="0" t="shared"/>
        <v>1.2119102166859835E-3</v>
      </c>
      <c r="E67" s="76">
        <v>56</v>
      </c>
      <c r="F67" s="166" t="n">
        <v>18.0</v>
      </c>
      <c r="G67" s="11">
        <f si="1" t="shared"/>
        <v>4.3791022503532757E-5</v>
      </c>
    </row>
    <row r="68" spans="1:7" x14ac:dyDescent="0.25">
      <c r="A68">
        <v>57</v>
      </c>
      <c r="B68" s="8" t="n">
        <v>303.939138892</v>
      </c>
      <c r="C68" s="11">
        <f si="0" t="shared"/>
        <v>4.7980473381377381E-4</v>
      </c>
      <c r="E68" s="77">
        <v>57</v>
      </c>
      <c r="F68" s="167" t="n">
        <v>17.0</v>
      </c>
      <c r="G68" s="11">
        <f si="1" t="shared"/>
        <v>2.526405144434582E-5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8">
        <v>58</v>
      </c>
      <c r="F69" s="168" t="n">
        <v>21.0</v>
      </c>
      <c r="G69" s="11">
        <f si="1" t="shared"/>
        <v>4.7159562696112199E-5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9">
        <v>59</v>
      </c>
      <c r="F70" s="169" t="n">
        <v>11.0</v>
      </c>
      <c r="G70" s="11">
        <f si="1" t="shared"/>
        <v>1.178989067402805E-5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80">
        <v>60</v>
      </c>
      <c r="F71" s="170" t="n">
        <v>6.0</v>
      </c>
      <c r="G71" s="11">
        <f si="1" t="shared"/>
        <v>2.6948321540635541E-5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1">
        <v>61</v>
      </c>
      <c r="F72" s="171" t="n">
        <v>9.0</v>
      </c>
      <c r="G72" s="11">
        <f si="1" t="shared"/>
        <v>1.0105620577738329E-5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2">
        <v>62</v>
      </c>
      <c r="F73" s="172" t="n">
        <v>11.0</v>
      </c>
      <c r="G73" s="11">
        <f si="1" t="shared"/>
        <v>2.1895511251766379E-5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3">
        <v>63</v>
      </c>
      <c r="F74" s="173" t="n">
        <v>1.0</v>
      </c>
      <c r="G74" s="11">
        <f si="1" t="shared"/>
        <v>5.0528102888691644E-6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4">
        <v>64</v>
      </c>
      <c r="F75" s="174" t="n">
        <v>5.0</v>
      </c>
      <c r="G75" s="11">
        <f si="1" t="shared"/>
        <v>1.6842700962897213E-6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5">
        <v>65</v>
      </c>
      <c r="F76" s="175" t="n">
        <v>1.0</v>
      </c>
      <c r="G76" s="11">
        <f si="1" t="shared"/>
        <v>5.0528102888691644E-6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6">
        <v>66</v>
      </c>
      <c r="F77" s="176" t="n">
        <v>3.0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7">
        <v>67</v>
      </c>
      <c r="F78" s="177" t="n">
        <v>1.0</v>
      </c>
      <c r="G78" s="11">
        <f si="3" t="shared"/>
        <v>0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8">
        <v>68</v>
      </c>
      <c r="F79" s="178" t="n">
        <v>1.0</v>
      </c>
      <c r="G79" s="11">
        <f si="3" t="shared"/>
        <v>3.3685401925794427E-6</v>
      </c>
    </row>
    <row r="80" spans="1:7" x14ac:dyDescent="0.25">
      <c r="A80">
        <v>69</v>
      </c>
      <c r="B80" s="8" t="n">
        <v>376.597523036</v>
      </c>
      <c r="C80" s="11">
        <f si="2" t="shared"/>
        <v>5.945047911694618E-4</v>
      </c>
      <c r="E80" s="89">
        <v>69</v>
      </c>
      <c r="F80" s="179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90">
        <v>70</v>
      </c>
      <c r="F81" s="180" t="n">
        <v>1.0</v>
      </c>
      <c r="G81" s="11">
        <f si="3" t="shared"/>
        <v>1.8526971059186937E-5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1">
        <v>71</v>
      </c>
      <c r="F82" s="181" t="n">
        <v>1.0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2">
        <v>72</v>
      </c>
      <c r="F83" s="182" t="n">
        <v>2.0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3">
        <v>73</v>
      </c>
      <c r="F84" s="183" t="n">
        <v>0.0</v>
      </c>
      <c r="G84" s="11">
        <f si="3" t="shared"/>
        <v>1.6842700962897213E-6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4">
        <v>74</v>
      </c>
      <c r="F85" s="184" t="n">
        <v>0.0</v>
      </c>
      <c r="G85" s="11">
        <f si="3" t="shared"/>
        <v>1.6842700962897213E-6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5">
        <v>75</v>
      </c>
      <c r="F86" s="185" t="n">
        <v>1.0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6">
        <v>76</v>
      </c>
      <c r="F87" s="186" t="n">
        <v>2.0</v>
      </c>
      <c r="G87" s="11">
        <f si="3" t="shared"/>
        <v>1.6842700962897213E-6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7">
        <v>77</v>
      </c>
      <c r="F88" s="187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8">
        <v>78</v>
      </c>
      <c r="F89" s="188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9">
        <v>79</v>
      </c>
      <c r="F90" s="189" t="n">
        <v>1.0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100">
        <v>80</v>
      </c>
      <c r="F91" s="190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1">
        <v>81</v>
      </c>
      <c r="F92" s="191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2">
        <v>82</v>
      </c>
      <c r="F93" s="192" t="n">
        <v>0.0</v>
      </c>
      <c r="G93" s="11">
        <f si="3" t="shared"/>
        <v>1.6842700962897213E-6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3">
        <v>83</v>
      </c>
      <c r="F94" s="193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4">
        <v>84</v>
      </c>
      <c r="F95" s="194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5">
        <v>85</v>
      </c>
      <c r="F96" s="195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6">
        <v>86</v>
      </c>
      <c r="F97" s="196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7">
        <v>87</v>
      </c>
      <c r="F98" s="197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8">
        <v>88</v>
      </c>
      <c r="F99" s="198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9">
        <v>89</v>
      </c>
      <c r="F100" s="199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633464.23549453274</v>
      </c>
      <c r="C102" s="11">
        <f si="2" t="shared"/>
        <v>1</v>
      </c>
      <c r="F102" s="8">
        <f>SUM(F11:F101)</f>
        <v>593729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L102"/>
  <sheetViews>
    <sheetView workbookViewId="0">
      <selection activeCell="M30" sqref="M30"/>
    </sheetView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243</v>
      </c>
    </row>
    <row r="3" spans="1:12" x14ac:dyDescent="0.25">
      <c r="A3" t="s">
        <v>245</v>
      </c>
    </row>
    <row r="4" spans="1:12" x14ac:dyDescent="0.25">
      <c r="A4" t="s">
        <v>7</v>
      </c>
    </row>
    <row r="5" spans="1:12" x14ac:dyDescent="0.25">
      <c r="A5" t="s">
        <v>8</v>
      </c>
    </row>
    <row r="7" spans="1:12" x14ac:dyDescent="0.25">
      <c r="A7" t="s">
        <v>9</v>
      </c>
    </row>
    <row ht="15.75" r="9" spans="1:12" thickBot="1" x14ac:dyDescent="0.3">
      <c r="A9" s="4" t="s">
        <v>36</v>
      </c>
      <c r="B9" s="1"/>
      <c r="E9" s="4" t="s">
        <v>11</v>
      </c>
      <c r="F9" s="1"/>
      <c r="J9" s="10" t="s">
        <v>18</v>
      </c>
    </row>
    <row r="10" spans="1:12" x14ac:dyDescent="0.25">
      <c r="A10" s="2" t="s">
        <v>15</v>
      </c>
      <c r="B10" s="5" t="s">
        <v>4</v>
      </c>
      <c r="C10" s="5" t="s">
        <v>35</v>
      </c>
      <c r="E10" s="2" t="s">
        <v>15</v>
      </c>
      <c r="F10" s="5" t="s">
        <v>4</v>
      </c>
      <c r="G10" s="5" t="s">
        <v>16</v>
      </c>
      <c r="J10" s="2"/>
      <c r="K10" s="5" t="s">
        <v>35</v>
      </c>
      <c r="L10" s="5" t="s">
        <v>16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200">
        <v>0</v>
      </c>
      <c r="F11" s="290" t="n">
        <v>13860.0</v>
      </c>
      <c r="G11" s="11">
        <f>F11/F$102</f>
        <v>2.5316263817330802E-2</v>
      </c>
      <c r="K11" s="8" t="n">
        <v>25.779057995554705</v>
      </c>
      <c r="L11" s="8" t="n">
        <v>21.621183987317796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1">
        <v>1</v>
      </c>
      <c r="F12" s="291" t="n">
        <v>14518.0</v>
      </c>
      <c r="G12" s="11">
        <f>F12/F$102</f>
        <v>2.4144011830313155E-2</v>
      </c>
      <c r="K12" s="8"/>
      <c r="L12" s="381"/>
    </row>
    <row r="13" spans="1:12" x14ac:dyDescent="0.25">
      <c r="A13">
        <v>2</v>
      </c>
      <c r="B13" s="8" t="n">
        <v>0.0</v>
      </c>
      <c r="C13" s="11">
        <f ref="C13:C76" si="0" t="shared">B13/B$102</f>
        <v>0</v>
      </c>
      <c r="E13" s="202">
        <v>2</v>
      </c>
      <c r="F13" s="292" t="n">
        <v>16843.0</v>
      </c>
      <c r="G13" s="11">
        <f ref="G13:G76" si="1" t="shared">F13/F$102</f>
        <v>2.8644381527599291E-2</v>
      </c>
    </row>
    <row r="14" spans="1:12" x14ac:dyDescent="0.25">
      <c r="A14">
        <v>3</v>
      </c>
      <c r="B14" s="8" t="n">
        <v>527.2528458895</v>
      </c>
      <c r="C14" s="11">
        <f si="0" t="shared"/>
        <v>8.3233246069193542E-4</v>
      </c>
      <c r="E14" s="203">
        <v>3</v>
      </c>
      <c r="F14" s="293" t="n">
        <v>16492.0</v>
      </c>
      <c r="G14" s="11">
        <f si="1" t="shared"/>
        <v>2.7867933013209729E-2</v>
      </c>
    </row>
    <row r="15" spans="1:12" x14ac:dyDescent="0.25">
      <c r="A15">
        <v>4</v>
      </c>
      <c r="B15" s="8" t="n">
        <v>886.6298903696</v>
      </c>
      <c r="C15" s="11">
        <f si="0" t="shared"/>
        <v>1.3996526412851488E-3</v>
      </c>
      <c r="E15" s="204">
        <v>4</v>
      </c>
      <c r="F15" s="294" t="n">
        <v>14870.0</v>
      </c>
      <c r="G15" s="11">
        <f si="1" t="shared"/>
        <v>2.4976041257880277E-2</v>
      </c>
    </row>
    <row r="16" spans="1:12" x14ac:dyDescent="0.25">
      <c r="A16">
        <v>5</v>
      </c>
      <c r="B16" s="8" t="n">
        <v>8559.2940978894</v>
      </c>
      <c r="C16" s="11">
        <f si="0" t="shared"/>
        <v>1.3511882152600666E-2</v>
      </c>
      <c r="E16" s="205">
        <v>5</v>
      </c>
      <c r="F16" s="295" t="n">
        <v>13888.0</v>
      </c>
      <c r="G16" s="11">
        <f si="1" t="shared"/>
        <v>2.3340614994382961E-2</v>
      </c>
    </row>
    <row r="17" spans="1:7" x14ac:dyDescent="0.25">
      <c r="A17">
        <v>6</v>
      </c>
      <c r="B17" s="8" t="n">
        <v>3972.8711322144</v>
      </c>
      <c r="C17" s="11">
        <f si="0" t="shared"/>
        <v>6.2716581451719372E-3</v>
      </c>
      <c r="E17" s="206">
        <v>6</v>
      </c>
      <c r="F17" s="296" t="n">
        <v>12306.0</v>
      </c>
      <c r="G17" s="11">
        <f si="1" t="shared"/>
        <v>2.079568287888919E-2</v>
      </c>
    </row>
    <row r="18" spans="1:7" x14ac:dyDescent="0.25">
      <c r="A18">
        <v>7</v>
      </c>
      <c r="B18" s="8" t="n">
        <v>4162.4228317919</v>
      </c>
      <c r="C18" s="11">
        <f si="0" t="shared"/>
        <v>6.5708884551980758E-3</v>
      </c>
      <c r="E18" s="207">
        <v>7</v>
      </c>
      <c r="F18" s="297" t="n">
        <v>11130.0</v>
      </c>
      <c r="G18" s="11">
        <f si="1" t="shared"/>
        <v>1.8788032924111842E-2</v>
      </c>
    </row>
    <row r="19" spans="1:7" x14ac:dyDescent="0.25">
      <c r="A19">
        <v>8</v>
      </c>
      <c r="B19" s="8" t="n">
        <v>4172.8143879638</v>
      </c>
      <c r="C19" s="11">
        <f si="0" t="shared"/>
        <v>6.587292784897586E-3</v>
      </c>
      <c r="E19" s="208">
        <v>8</v>
      </c>
      <c r="F19" s="298" t="n">
        <v>9837.0</v>
      </c>
      <c r="G19" s="11">
        <f si="1" t="shared"/>
        <v>1.6549637966142804E-2</v>
      </c>
    </row>
    <row r="20" spans="1:7" x14ac:dyDescent="0.25">
      <c r="A20">
        <v>9</v>
      </c>
      <c r="B20" s="8" t="n">
        <v>4344.9776559826005</v>
      </c>
      <c r="C20" s="11">
        <f si="0" t="shared"/>
        <v>6.8590733501956349E-3</v>
      </c>
      <c r="E20" s="209">
        <v>9</v>
      </c>
      <c r="F20" s="299" t="n">
        <v>8772.0</v>
      </c>
      <c r="G20" s="11">
        <f si="1" t="shared"/>
        <v>1.4730626262149903E-2</v>
      </c>
    </row>
    <row r="21" spans="1:7" x14ac:dyDescent="0.25">
      <c r="A21">
        <v>10</v>
      </c>
      <c r="B21" s="8" t="n">
        <v>0.0</v>
      </c>
      <c r="C21" s="11">
        <f si="0" t="shared"/>
        <v>0</v>
      </c>
      <c r="E21" s="210">
        <v>10</v>
      </c>
      <c r="F21" s="300" t="n">
        <v>7732.0</v>
      </c>
      <c r="G21" s="11">
        <f si="1" t="shared"/>
        <v>1.2901508937579267E-2</v>
      </c>
    </row>
    <row r="22" spans="1:7" x14ac:dyDescent="0.25">
      <c r="A22">
        <v>11</v>
      </c>
      <c r="B22" s="8" t="n">
        <v>6468.315849845</v>
      </c>
      <c r="C22" s="11">
        <f si="0" t="shared"/>
        <v>1.021101979781908E-2</v>
      </c>
      <c r="E22" s="211">
        <v>11</v>
      </c>
      <c r="F22" s="301" t="n">
        <v>6852.0</v>
      </c>
      <c r="G22" s="11">
        <f si="1" t="shared"/>
        <v>1.1624832204591658E-2</v>
      </c>
    </row>
    <row r="23" spans="1:7" x14ac:dyDescent="0.25">
      <c r="A23">
        <v>12</v>
      </c>
      <c r="B23" s="8" t="n">
        <v>12661.563359578</v>
      </c>
      <c r="C23" s="11">
        <f si="0" t="shared"/>
        <v>1.998781091357648E-2</v>
      </c>
      <c r="E23" s="212">
        <v>12</v>
      </c>
      <c r="F23" s="302" t="n">
        <v>6264.0</v>
      </c>
      <c r="G23" s="11">
        <f si="1" t="shared"/>
        <v>1.0440790326899983E-2</v>
      </c>
    </row>
    <row r="24" spans="1:7" x14ac:dyDescent="0.25">
      <c r="A24">
        <v>13</v>
      </c>
      <c r="B24" s="8" t="n">
        <v>26356.3620599618</v>
      </c>
      <c r="C24" s="11">
        <f si="0" t="shared"/>
        <v>4.1606708923963051E-2</v>
      </c>
      <c r="E24" s="213">
        <v>13</v>
      </c>
      <c r="F24" s="303" t="n">
        <v>5456.0</v>
      </c>
      <c r="G24" s="11">
        <f si="1" t="shared"/>
        <v>9.0108450151500097E-3</v>
      </c>
    </row>
    <row r="25" spans="1:7" x14ac:dyDescent="0.25">
      <c r="A25">
        <v>14</v>
      </c>
      <c r="B25" s="8" t="n">
        <v>13935.515382141</v>
      </c>
      <c r="C25" s="11">
        <f si="0" t="shared"/>
        <v>2.199889844019659E-2</v>
      </c>
      <c r="E25" s="214">
        <v>14</v>
      </c>
      <c r="F25" s="304" t="n">
        <v>4869.0</v>
      </c>
      <c r="G25" s="11">
        <f si="1" t="shared"/>
        <v>8.129971754790485E-3</v>
      </c>
    </row>
    <row r="26" spans="1:7" x14ac:dyDescent="0.25">
      <c r="A26">
        <v>15</v>
      </c>
      <c r="B26" s="8" t="n">
        <v>5808.9379166526</v>
      </c>
      <c r="C26" s="11">
        <f si="0" t="shared"/>
        <v>9.1701118881915723E-3</v>
      </c>
      <c r="E26" s="215">
        <v>15</v>
      </c>
      <c r="F26" s="305" t="n">
        <v>4560.0</v>
      </c>
      <c r="G26" s="11">
        <f si="1" t="shared"/>
        <v>7.5000547387781297E-3</v>
      </c>
    </row>
    <row r="27" spans="1:7" x14ac:dyDescent="0.25">
      <c r="A27">
        <v>16</v>
      </c>
      <c r="B27" s="8" t="n">
        <v>23645.11903811</v>
      </c>
      <c r="C27" s="11">
        <f si="0" t="shared"/>
        <v>3.7326683517737567E-2</v>
      </c>
      <c r="E27" s="216">
        <v>16</v>
      </c>
      <c r="F27" s="306" t="n">
        <v>4367.0</v>
      </c>
      <c r="G27" s="11">
        <f si="1" t="shared"/>
        <v>7.1632007195201854E-3</v>
      </c>
    </row>
    <row r="28" spans="1:7" x14ac:dyDescent="0.25">
      <c r="A28">
        <v>17</v>
      </c>
      <c r="B28" s="8" t="n">
        <v>13469.971124835</v>
      </c>
      <c r="C28" s="11">
        <f si="0" t="shared"/>
        <v>2.1263980458690407E-2</v>
      </c>
      <c r="E28" s="217">
        <v>17</v>
      </c>
      <c r="F28" s="307" t="n">
        <v>3898.0</v>
      </c>
      <c r="G28" s="11">
        <f si="1" t="shared"/>
        <v>6.5686533755299134E-3</v>
      </c>
    </row>
    <row r="29" spans="1:7" x14ac:dyDescent="0.25">
      <c r="A29">
        <v>18</v>
      </c>
      <c r="B29" s="8" t="n">
        <v>45572.8232468518</v>
      </c>
      <c r="C29" s="11">
        <f si="0" t="shared"/>
        <v>7.1942219770740543E-2</v>
      </c>
      <c r="E29" s="218">
        <v>18</v>
      </c>
      <c r="F29" s="308" t="n">
        <v>65161.0</v>
      </c>
      <c r="G29" s="11">
        <f si="1" t="shared"/>
        <v>0.11022031937129566</v>
      </c>
    </row>
    <row r="30" spans="1:7" x14ac:dyDescent="0.25">
      <c r="A30">
        <v>19</v>
      </c>
      <c r="B30" s="8" t="n">
        <v>28574.7029328765</v>
      </c>
      <c r="C30" s="11">
        <f si="0" t="shared"/>
        <v>4.5108628604058142E-2</v>
      </c>
      <c r="E30" s="219">
        <v>19</v>
      </c>
      <c r="F30" s="309" t="n">
        <v>20579.0</v>
      </c>
      <c r="G30" s="11">
        <f si="1" t="shared"/>
        <v>3.4045835726400429E-2</v>
      </c>
    </row>
    <row r="31" spans="1:7" x14ac:dyDescent="0.25">
      <c r="A31">
        <v>20</v>
      </c>
      <c r="B31" s="8" t="n">
        <v>39533.4019072637</v>
      </c>
      <c r="C31" s="11">
        <f si="0" t="shared"/>
        <v>6.2408261890903406E-2</v>
      </c>
      <c r="E31" s="220">
        <v>20</v>
      </c>
      <c r="F31" s="310" t="n">
        <v>25987.0</v>
      </c>
      <c r="G31" s="11">
        <f si="1" t="shared"/>
        <v>4.3701756188429398E-2</v>
      </c>
    </row>
    <row r="32" spans="1:7" x14ac:dyDescent="0.25">
      <c r="A32">
        <v>21</v>
      </c>
      <c r="B32" s="8" t="n">
        <v>37709.8270370349</v>
      </c>
      <c r="C32" s="11">
        <f si="0" t="shared"/>
        <v>5.9529528147071485E-2</v>
      </c>
      <c r="E32" s="221">
        <v>21</v>
      </c>
      <c r="F32" s="311" t="n">
        <v>28756.0</v>
      </c>
      <c r="G32" s="11">
        <f si="1" t="shared"/>
        <v>4.7791163982220844E-2</v>
      </c>
    </row>
    <row r="33" spans="1:7" x14ac:dyDescent="0.25">
      <c r="A33">
        <v>22</v>
      </c>
      <c r="B33" s="8" t="n">
        <v>35486.283218125</v>
      </c>
      <c r="C33" s="11">
        <f si="0" t="shared"/>
        <v>5.601939498671394E-2</v>
      </c>
      <c r="E33" s="222">
        <v>22</v>
      </c>
      <c r="F33" s="312" t="n">
        <v>28577.0</v>
      </c>
      <c r="G33" s="11">
        <f si="1" t="shared"/>
        <v>4.6442063635092776E-2</v>
      </c>
    </row>
    <row r="34" spans="1:7" x14ac:dyDescent="0.25">
      <c r="A34">
        <v>23</v>
      </c>
      <c r="B34" s="8" t="n">
        <v>28011.525098737002</v>
      </c>
      <c r="C34" s="11">
        <f si="0" t="shared"/>
        <v>4.4219584199365218E-2</v>
      </c>
      <c r="E34" s="223">
        <v>23</v>
      </c>
      <c r="F34" s="313" t="n">
        <v>19636.0</v>
      </c>
      <c r="G34" s="11">
        <f si="1" t="shared"/>
        <v>3.2728736511101864E-2</v>
      </c>
    </row>
    <row r="35" spans="1:7" x14ac:dyDescent="0.25">
      <c r="A35">
        <v>24</v>
      </c>
      <c r="B35" s="8" t="n">
        <v>37561.2640949851</v>
      </c>
      <c r="C35" s="11">
        <f si="0" t="shared"/>
        <v>5.9295003554007721E-2</v>
      </c>
      <c r="E35" s="224">
        <v>24</v>
      </c>
      <c r="F35" s="314" t="n">
        <v>18719.0</v>
      </c>
      <c r="G35" s="11">
        <f si="1" t="shared"/>
        <v>3.4640383070390697E-2</v>
      </c>
    </row>
    <row r="36" spans="1:7" x14ac:dyDescent="0.25">
      <c r="A36">
        <v>25</v>
      </c>
      <c r="B36" s="8" t="n">
        <v>9821.8478468889</v>
      </c>
      <c r="C36" s="11">
        <f si="0" t="shared"/>
        <v>1.5504976124218259E-2</v>
      </c>
      <c r="E36" s="225">
        <v>25</v>
      </c>
      <c r="F36" s="315" t="n">
        <v>19948.0</v>
      </c>
      <c r="G36" s="11">
        <f si="1" t="shared"/>
        <v>3.017033023483778E-2</v>
      </c>
    </row>
    <row r="37" spans="1:7" x14ac:dyDescent="0.25">
      <c r="A37">
        <v>26</v>
      </c>
      <c r="B37" s="8" t="n">
        <v>45763.924449882</v>
      </c>
      <c r="C37" s="11">
        <f si="0" t="shared"/>
        <v>7.2243896159591453E-2</v>
      </c>
      <c r="E37" s="226">
        <v>26</v>
      </c>
      <c r="F37" s="316" t="n">
        <v>15119.0</v>
      </c>
      <c r="G37" s="11">
        <f si="1" t="shared"/>
        <v>2.5360054839834334E-2</v>
      </c>
    </row>
    <row r="38" spans="1:7" x14ac:dyDescent="0.25">
      <c r="A38">
        <v>27</v>
      </c>
      <c r="B38" s="8" t="n">
        <v>7975.120440748</v>
      </c>
      <c r="C38" s="11">
        <f si="0" t="shared"/>
        <v>1.2589693298978412E-2</v>
      </c>
      <c r="E38" s="227">
        <v>27</v>
      </c>
      <c r="F38" s="317" t="n">
        <v>11506.0</v>
      </c>
      <c r="G38" s="11">
        <f si="1" t="shared"/>
        <v>2.4144011830313155E-2</v>
      </c>
    </row>
    <row r="39" spans="1:7" x14ac:dyDescent="0.25">
      <c r="A39">
        <v>28</v>
      </c>
      <c r="B39" s="8" t="n">
        <v>12207.0573637756</v>
      </c>
      <c r="C39" s="11">
        <f si="0" t="shared"/>
        <v>1.9270318164443492E-2</v>
      </c>
      <c r="E39" s="228">
        <v>28</v>
      </c>
      <c r="F39" s="318" t="n">
        <v>14102.0</v>
      </c>
      <c r="G39" s="11">
        <f si="1" t="shared"/>
        <v>1.9175415046258477E-2</v>
      </c>
    </row>
    <row r="40" spans="1:7" x14ac:dyDescent="0.25">
      <c r="A40">
        <v>29</v>
      </c>
      <c r="B40" s="8" t="n">
        <v>15524.0097012084</v>
      </c>
      <c r="C40" s="11">
        <f si="0" t="shared"/>
        <v>2.4506529068825996E-2</v>
      </c>
      <c r="E40" s="229">
        <v>29</v>
      </c>
      <c r="F40" s="319" t="n">
        <v>14965.0</v>
      </c>
      <c r="G40" s="11">
        <f si="1" t="shared"/>
        <v>2.5979866235268954E-2</v>
      </c>
    </row>
    <row r="41" spans="1:7" x14ac:dyDescent="0.25">
      <c r="A41">
        <v>30</v>
      </c>
      <c r="B41" s="8" t="n">
        <v>5887.0221298197</v>
      </c>
      <c r="C41" s="11">
        <f si="0" t="shared"/>
        <v>9.2933772736574806E-3</v>
      </c>
      <c r="E41" s="230">
        <v>30</v>
      </c>
      <c r="F41" s="320" t="n">
        <v>13175.0</v>
      </c>
      <c r="G41" s="11">
        <f si="1" t="shared"/>
        <v>2.3493883573145323E-2</v>
      </c>
    </row>
    <row r="42" spans="1:7" x14ac:dyDescent="0.25">
      <c r="A42">
        <v>31</v>
      </c>
      <c r="B42" s="8" t="n">
        <v>11222.4034608689</v>
      </c>
      <c r="C42" s="11">
        <f si="0" t="shared"/>
        <v>1.7715922749936778E-2</v>
      </c>
      <c r="E42" s="231">
        <v>31</v>
      </c>
      <c r="F42" s="321" t="n">
        <v>9465.0</v>
      </c>
      <c r="G42" s="11">
        <f si="1" t="shared"/>
        <v>1.6694485194423719E-2</v>
      </c>
    </row>
    <row r="43" spans="1:7" x14ac:dyDescent="0.25">
      <c r="A43">
        <v>32</v>
      </c>
      <c r="B43" s="8" t="n">
        <v>4760.8209065597</v>
      </c>
      <c r="C43" s="11">
        <f si="0" t="shared"/>
        <v>7.5155322744353903E-3</v>
      </c>
      <c r="E43" s="232">
        <v>32</v>
      </c>
      <c r="F43" s="322" t="n">
        <v>11342.0</v>
      </c>
      <c r="G43" s="11">
        <f si="1" t="shared"/>
        <v>1.7186292062540316E-2</v>
      </c>
    </row>
    <row r="44" spans="1:7" x14ac:dyDescent="0.25">
      <c r="A44">
        <v>33</v>
      </c>
      <c r="B44" s="8" t="n">
        <v>11659.941001532801</v>
      </c>
      <c r="C44" s="11">
        <f si="0" t="shared"/>
        <v>1.8406628737974644E-2</v>
      </c>
      <c r="E44" s="233">
        <v>33</v>
      </c>
      <c r="F44" s="323" t="n">
        <v>11188.0</v>
      </c>
      <c r="G44" s="11">
        <f si="1" t="shared"/>
        <v>1.8702135149201066E-2</v>
      </c>
    </row>
    <row r="45" spans="1:7" x14ac:dyDescent="0.25">
      <c r="A45">
        <v>34</v>
      </c>
      <c r="B45" s="8" t="n">
        <v>8295.3601253017</v>
      </c>
      <c r="C45" s="11">
        <f si="0" t="shared"/>
        <v>1.3095230417903043E-2</v>
      </c>
      <c r="E45" s="234">
        <v>34</v>
      </c>
      <c r="F45" s="324" t="n">
        <v>9197.0</v>
      </c>
      <c r="G45" s="11">
        <f si="1" t="shared"/>
        <v>1.3779013657746211E-2</v>
      </c>
    </row>
    <row r="46" spans="1:7" x14ac:dyDescent="0.25">
      <c r="A46">
        <v>35</v>
      </c>
      <c r="B46" s="8" t="n">
        <v>8421.5320857126</v>
      </c>
      <c r="C46" s="11">
        <f si="0" t="shared"/>
        <v>1.329440813519343E-2</v>
      </c>
      <c r="E46" s="235">
        <v>35</v>
      </c>
      <c r="F46" s="325" t="n">
        <v>7452.0</v>
      </c>
      <c r="G46" s="11">
        <f si="1" t="shared"/>
        <v>1.3517951792821304E-2</v>
      </c>
    </row>
    <row r="47" spans="1:7" x14ac:dyDescent="0.25">
      <c r="A47">
        <v>36</v>
      </c>
      <c r="B47" s="8" t="n">
        <v>1286.25466707</v>
      </c>
      <c r="C47" s="11">
        <f si="0" t="shared"/>
        <v>2.0305087406644945E-3</v>
      </c>
      <c r="E47" s="236">
        <v>36</v>
      </c>
      <c r="F47" s="326" t="n">
        <v>6305.0</v>
      </c>
      <c r="G47" s="11">
        <f si="1" t="shared"/>
        <v>1.1766310892679994E-2</v>
      </c>
    </row>
    <row r="48" spans="1:7" x14ac:dyDescent="0.25">
      <c r="A48">
        <v>37</v>
      </c>
      <c r="B48" s="8" t="n">
        <v>11688.1619787457</v>
      </c>
      <c r="C48" s="11">
        <f si="0" t="shared"/>
        <v>1.8451178967698139E-2</v>
      </c>
      <c r="E48" s="237">
        <v>37</v>
      </c>
      <c r="F48" s="327" t="n">
        <v>9566.0</v>
      </c>
      <c r="G48" s="11">
        <f si="1" t="shared"/>
        <v>1.3708274313702043E-2</v>
      </c>
    </row>
    <row r="49" spans="1:7" x14ac:dyDescent="0.25">
      <c r="A49">
        <v>38</v>
      </c>
      <c r="B49" s="8" t="n">
        <v>9089.8752767496</v>
      </c>
      <c r="C49" s="11">
        <f si="0" t="shared"/>
        <v>1.4349468789904642E-2</v>
      </c>
      <c r="E49" s="238">
        <v>38</v>
      </c>
      <c r="F49" s="328" t="n">
        <v>6410.0</v>
      </c>
      <c r="G49" s="11">
        <f si="1" t="shared"/>
        <v>1.1001652268964461E-2</v>
      </c>
    </row>
    <row r="50" spans="1:7" x14ac:dyDescent="0.25">
      <c r="A50">
        <v>39</v>
      </c>
      <c r="B50" s="8" t="n">
        <v>4978.0318499464</v>
      </c>
      <c r="C50" s="11">
        <f si="0" t="shared"/>
        <v>7.8584260499886815E-3</v>
      </c>
      <c r="E50" s="239">
        <v>39</v>
      </c>
      <c r="F50" s="329" t="n">
        <v>5461.0</v>
      </c>
      <c r="G50" s="11">
        <f si="1" t="shared"/>
        <v>8.7565202306102621E-3</v>
      </c>
    </row>
    <row r="51" spans="1:7" x14ac:dyDescent="0.25">
      <c r="A51">
        <v>40</v>
      </c>
      <c r="B51" s="8" t="n">
        <v>8490.257518155</v>
      </c>
      <c r="C51" s="11">
        <f si="0" t="shared"/>
        <v>1.3402899552058893E-2</v>
      </c>
      <c r="E51" s="240">
        <v>40</v>
      </c>
      <c r="F51" s="330" t="n">
        <v>5040.0</v>
      </c>
      <c r="G51" s="11">
        <f si="1" t="shared"/>
        <v>7.9177537226579799E-3</v>
      </c>
    </row>
    <row r="52" spans="1:7" x14ac:dyDescent="0.25">
      <c r="A52">
        <v>41</v>
      </c>
      <c r="B52" s="8" t="n">
        <v>11066.512236333</v>
      </c>
      <c r="C52" s="11">
        <f si="0" t="shared"/>
        <v>1.7469829575609108E-2</v>
      </c>
      <c r="E52" s="241">
        <v>41</v>
      </c>
      <c r="F52" s="331" t="n">
        <v>3661.0</v>
      </c>
      <c r="G52" s="11">
        <f si="1" t="shared"/>
        <v>6.5534949446633059E-3</v>
      </c>
    </row>
    <row r="53" spans="1:7" x14ac:dyDescent="0.25">
      <c r="A53">
        <v>42</v>
      </c>
      <c r="B53" s="8" t="n">
        <v>526.7772426363</v>
      </c>
      <c r="C53" s="11">
        <f si="0" t="shared"/>
        <v>8.3158166336739711E-4</v>
      </c>
      <c r="E53" s="242">
        <v>42</v>
      </c>
      <c r="F53" s="332" t="n">
        <v>3554.0</v>
      </c>
      <c r="G53" s="11">
        <f si="1" t="shared"/>
        <v>6.6158129382260259E-3</v>
      </c>
    </row>
    <row r="54" spans="1:7" x14ac:dyDescent="0.25">
      <c r="A54">
        <v>43</v>
      </c>
      <c r="B54" s="8" t="n">
        <v>547.579521264</v>
      </c>
      <c r="C54" s="11">
        <f si="0" t="shared"/>
        <v>8.6442057906633966E-4</v>
      </c>
      <c r="E54" s="243">
        <v>43</v>
      </c>
      <c r="F54" s="333" t="n">
        <v>4000.0</v>
      </c>
      <c r="G54" s="11">
        <f si="1" t="shared"/>
        <v>6.083583587798474E-3</v>
      </c>
    </row>
    <row r="55" spans="1:7" x14ac:dyDescent="0.25">
      <c r="A55">
        <v>44</v>
      </c>
      <c r="B55" s="8" t="n">
        <v>1217.9259863759999</v>
      </c>
      <c r="C55" s="11">
        <f si="0" t="shared"/>
        <v>1.9226436444753504E-3</v>
      </c>
      <c r="E55" s="244">
        <v>44</v>
      </c>
      <c r="F55" s="334" t="n">
        <v>2682.0</v>
      </c>
      <c r="G55" s="11">
        <f si="1" t="shared"/>
        <v>4.3656280895829581E-3</v>
      </c>
    </row>
    <row r="56" spans="1:7" x14ac:dyDescent="0.25">
      <c r="A56">
        <v>45</v>
      </c>
      <c r="B56" s="8" t="n">
        <v>31799.0221145027</v>
      </c>
      <c r="C56" s="11">
        <f si="0" t="shared"/>
        <v>5.019860685533075E-2</v>
      </c>
      <c r="E56" s="245">
        <v>45</v>
      </c>
      <c r="F56" s="335" t="n">
        <v>2744.0</v>
      </c>
      <c r="G56" s="11">
        <f si="1" t="shared"/>
        <v>4.4902640767083973E-3</v>
      </c>
    </row>
    <row r="57" spans="1:7" x14ac:dyDescent="0.25">
      <c r="A57">
        <v>46</v>
      </c>
      <c r="B57" s="8" t="n">
        <v>2851.903035022</v>
      </c>
      <c r="C57" s="11">
        <f si="0" t="shared"/>
        <v>4.5020742691109904E-3</v>
      </c>
      <c r="E57" s="246">
        <v>46</v>
      </c>
      <c r="F57" s="336" t="n">
        <v>2385.0</v>
      </c>
      <c r="G57" s="11">
        <f si="1" t="shared"/>
        <v>4.3016258259239481E-3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247">
        <v>47</v>
      </c>
      <c r="F58" s="337" t="n">
        <v>2583.0</v>
      </c>
      <c r="G58" s="11">
        <f si="1" t="shared"/>
        <v>5.6305149318965388E-3</v>
      </c>
    </row>
    <row r="59" spans="1:7" x14ac:dyDescent="0.25">
      <c r="A59">
        <v>48</v>
      </c>
      <c r="B59" s="8" t="n">
        <v>52.3478374182</v>
      </c>
      <c r="C59" s="11">
        <f si="0" t="shared"/>
        <v>8.263740000622625E-5</v>
      </c>
      <c r="E59" s="248">
        <v>48</v>
      </c>
      <c r="F59" s="338" t="n">
        <v>2625.0</v>
      </c>
      <c r="G59" s="11">
        <f si="1" t="shared"/>
        <v>3.3196963597870409E-3</v>
      </c>
    </row>
    <row r="60" spans="1:7" x14ac:dyDescent="0.25">
      <c r="A60">
        <v>49</v>
      </c>
      <c r="B60" s="8" t="n">
        <v>214.103131579</v>
      </c>
      <c r="C60" s="11">
        <f si="0" t="shared"/>
        <v>3.3798771829928815E-4</v>
      </c>
      <c r="E60" s="249">
        <v>49</v>
      </c>
      <c r="F60" s="339" t="n">
        <v>1877.0</v>
      </c>
      <c r="G60" s="11">
        <f si="1" t="shared"/>
        <v>2.8497850029222086E-3</v>
      </c>
    </row>
    <row r="61" spans="1:7" x14ac:dyDescent="0.25">
      <c r="A61">
        <v>50</v>
      </c>
      <c r="B61" s="8" t="n">
        <v>1767.383302078</v>
      </c>
      <c r="C61" s="11">
        <f si="0" t="shared"/>
        <v>2.7900285494385328E-3</v>
      </c>
      <c r="E61" s="250">
        <v>50</v>
      </c>
      <c r="F61" s="340" t="n">
        <v>1570.0</v>
      </c>
      <c r="G61" s="11">
        <f si="1" t="shared"/>
        <v>2.8009411701298069E-3</v>
      </c>
    </row>
    <row r="62" spans="1:7" x14ac:dyDescent="0.25">
      <c r="A62">
        <v>51</v>
      </c>
      <c r="B62" s="8" t="n">
        <v>280.077627348</v>
      </c>
      <c r="C62" s="11">
        <f si="0" t="shared"/>
        <v>4.4213644852317372E-4</v>
      </c>
      <c r="E62" s="251">
        <v>51</v>
      </c>
      <c r="F62" s="341" t="n">
        <v>1741.0</v>
      </c>
      <c r="G62" s="11">
        <f si="1" t="shared"/>
        <v>3.0064221218771528E-3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252">
        <v>52</v>
      </c>
      <c r="F63" s="342" t="n">
        <v>1371.0</v>
      </c>
      <c r="G63" s="11">
        <f si="1" t="shared"/>
        <v>2.4691399611607317E-3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253">
        <v>53</v>
      </c>
      <c r="F64" s="343" t="n">
        <v>1177.0</v>
      </c>
      <c r="G64" s="11">
        <f si="1" t="shared"/>
        <v>2.3343983534575537E-3</v>
      </c>
    </row>
    <row r="65" spans="1:7" x14ac:dyDescent="0.25">
      <c r="A65">
        <v>54</v>
      </c>
      <c r="B65" s="8" t="n">
        <v>326.758764277</v>
      </c>
      <c r="C65" s="11">
        <f si="0" t="shared"/>
        <v>5.1582827564354301E-4</v>
      </c>
      <c r="E65" s="254">
        <v>54</v>
      </c>
      <c r="F65" s="344" t="n">
        <v>1114.0</v>
      </c>
      <c r="G65" s="11">
        <f si="1" t="shared"/>
        <v>1.8139588937040299E-3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255">
        <v>55</v>
      </c>
      <c r="F66" s="345" t="n">
        <v>997.0</v>
      </c>
      <c r="G66" s="11">
        <f si="1" t="shared"/>
        <v>1.4855262249275343E-3</v>
      </c>
    </row>
    <row r="67" spans="1:7" x14ac:dyDescent="0.25">
      <c r="A67">
        <v>56</v>
      </c>
      <c r="B67" s="8" t="n">
        <v>232.8335313258</v>
      </c>
      <c r="C67" s="11">
        <f si="0" t="shared"/>
        <v>3.6755592230717116E-4</v>
      </c>
      <c r="E67" s="256">
        <v>56</v>
      </c>
      <c r="F67" s="346" t="n">
        <v>808.0</v>
      </c>
      <c r="G67" s="11">
        <f si="1" t="shared"/>
        <v>1.2766767329876088E-3</v>
      </c>
    </row>
    <row r="68" spans="1:7" x14ac:dyDescent="0.25">
      <c r="A68">
        <v>57</v>
      </c>
      <c r="B68" s="8" t="n">
        <v>1954.083490471</v>
      </c>
      <c r="C68" s="11">
        <f si="0" t="shared"/>
        <v>3.0847574037790575E-3</v>
      </c>
      <c r="E68" s="257">
        <v>57</v>
      </c>
      <c r="F68" s="347" t="n">
        <v>739.0</v>
      </c>
      <c r="G68" s="11">
        <f si="1" t="shared"/>
        <v>1.4956318455052727E-3</v>
      </c>
    </row>
    <row r="69" spans="1:7" x14ac:dyDescent="0.25">
      <c r="A69">
        <v>58</v>
      </c>
      <c r="B69" s="8" t="n">
        <v>2200.592978766</v>
      </c>
      <c r="C69" s="11">
        <f si="0" t="shared"/>
        <v>3.4739024801424536E-3</v>
      </c>
      <c r="E69" s="258">
        <v>58</v>
      </c>
      <c r="F69" s="348" t="n">
        <v>576.0</v>
      </c>
      <c r="G69" s="11">
        <f si="1" t="shared"/>
        <v>9.3645417353708507E-4</v>
      </c>
    </row>
    <row r="70" spans="1:7" x14ac:dyDescent="0.25">
      <c r="A70">
        <v>59</v>
      </c>
      <c r="B70" s="8" t="n">
        <v>97.2587813793</v>
      </c>
      <c r="C70" s="11">
        <f si="0" t="shared"/>
        <v>1.5353476317944305E-4</v>
      </c>
      <c r="E70" s="259">
        <v>59</v>
      </c>
      <c r="F70" s="349" t="n">
        <v>651.0</v>
      </c>
      <c r="G70" s="11">
        <f si="1" t="shared"/>
        <v>1.1436193953807208E-3</v>
      </c>
    </row>
    <row r="71" spans="1:7" x14ac:dyDescent="0.25">
      <c r="A71">
        <v>60</v>
      </c>
      <c r="B71" s="8" t="n">
        <v>1985.7672183407</v>
      </c>
      <c r="C71" s="11">
        <f si="0" t="shared"/>
        <v>3.1347740047083352E-3</v>
      </c>
      <c r="E71" s="260">
        <v>60</v>
      </c>
      <c r="F71" s="350" t="n">
        <v>462.0</v>
      </c>
      <c r="G71" s="11">
        <f si="1" t="shared"/>
        <v>8.6234628930033732E-4</v>
      </c>
    </row>
    <row r="72" spans="1:7" x14ac:dyDescent="0.25">
      <c r="A72">
        <v>61</v>
      </c>
      <c r="B72" s="8" t="n">
        <v>711.387405665</v>
      </c>
      <c r="C72" s="11">
        <f si="0" t="shared"/>
        <v>1.1230111595955125E-3</v>
      </c>
      <c r="E72" s="261">
        <v>61</v>
      </c>
      <c r="F72" s="351" t="n">
        <v>428.0</v>
      </c>
      <c r="G72" s="11">
        <f si="1" t="shared"/>
        <v>7.4276311246376716E-4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262">
        <v>62</v>
      </c>
      <c r="F73" s="352" t="n">
        <v>429.0</v>
      </c>
      <c r="G73" s="11">
        <f si="1" t="shared"/>
        <v>7.3265749188602882E-4</v>
      </c>
    </row>
    <row r="74" spans="1:7" x14ac:dyDescent="0.25">
      <c r="A74">
        <v>63</v>
      </c>
      <c r="B74" s="8" t="n">
        <v>110.470897351</v>
      </c>
      <c r="C74" s="11">
        <f si="0" t="shared"/>
        <v>1.7439168805600782E-4</v>
      </c>
      <c r="E74" s="263">
        <v>63</v>
      </c>
      <c r="F74" s="353" t="n">
        <v>361.0</v>
      </c>
      <c r="G74" s="11">
        <f si="1" t="shared"/>
        <v>7.8150132467843072E-4</v>
      </c>
    </row>
    <row r="75" spans="1:7" x14ac:dyDescent="0.25">
      <c r="A75">
        <v>64</v>
      </c>
      <c r="B75" s="8" t="n">
        <v>111.109208251</v>
      </c>
      <c r="C75" s="11">
        <f si="0" t="shared"/>
        <v>1.7539933910279765E-4</v>
      </c>
      <c r="E75" s="264">
        <v>64</v>
      </c>
      <c r="F75" s="354" t="n">
        <v>282.0</v>
      </c>
      <c r="G75" s="11">
        <f si="1" t="shared"/>
        <v>5.726518327385053E-4</v>
      </c>
    </row>
    <row r="76" spans="1:7" x14ac:dyDescent="0.25">
      <c r="A76">
        <v>65</v>
      </c>
      <c r="B76" s="8" t="n">
        <v>77.4485081528</v>
      </c>
      <c r="C76" s="11">
        <f si="0" t="shared"/>
        <v>1.22261848125234E-4</v>
      </c>
      <c r="E76" s="265">
        <v>65</v>
      </c>
      <c r="F76" s="355" t="n">
        <v>317.0</v>
      </c>
      <c r="G76" s="11">
        <f si="1" t="shared"/>
        <v>4.6822708676854253E-4</v>
      </c>
    </row>
    <row r="77" spans="1:7" x14ac:dyDescent="0.25">
      <c r="A77">
        <v>66</v>
      </c>
      <c r="B77" s="8" t="n">
        <v>4.59375</v>
      </c>
      <c r="C77" s="11">
        <f ref="C77:C102" si="2" t="shared">B77/B$102</f>
        <v>7.2517906183192063E-6</v>
      </c>
      <c r="E77" s="266">
        <v>66</v>
      </c>
      <c r="F77" s="356" t="n">
        <v>272.0</v>
      </c>
      <c r="G77" s="11">
        <f ref="G77:G102" si="3" t="shared">F77/F$102</f>
        <v>4.2948887455387897E-4</v>
      </c>
    </row>
    <row r="78" spans="1:7" x14ac:dyDescent="0.25">
      <c r="A78">
        <v>67</v>
      </c>
      <c r="B78" s="8" t="n">
        <v>5478.798556153</v>
      </c>
      <c r="C78" s="11">
        <f si="2" t="shared"/>
        <v>8.6489469320644666E-3</v>
      </c>
      <c r="E78" s="267">
        <v>67</v>
      </c>
      <c r="F78" s="357" t="n">
        <v>219.0</v>
      </c>
      <c r="G78" s="11">
        <f si="3" t="shared"/>
        <v>2.9137872665812182E-4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8">
        <v>68</v>
      </c>
      <c r="F79" s="358" t="n">
        <v>141.0</v>
      </c>
      <c r="G79" s="11">
        <f si="3" t="shared"/>
        <v>3.1495850800617792E-4</v>
      </c>
    </row>
    <row r="80" spans="1:7" x14ac:dyDescent="0.25">
      <c r="A80">
        <v>69</v>
      </c>
      <c r="B80" s="8" t="n">
        <v>1506.324996334</v>
      </c>
      <c r="C80" s="11">
        <f si="2" t="shared"/>
        <v>2.3779164030595075E-3</v>
      </c>
      <c r="E80" s="269">
        <v>69</v>
      </c>
      <c r="F80" s="359" t="n">
        <v>160.0</v>
      </c>
      <c r="G80" s="11">
        <f si="3" t="shared"/>
        <v>2.8464164627296291E-4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70">
        <v>70</v>
      </c>
      <c r="F81" s="360" t="n">
        <v>129.0</v>
      </c>
      <c r="G81" s="11">
        <f si="3" t="shared"/>
        <v>2.8969445656183208E-4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1">
        <v>71</v>
      </c>
      <c r="F82" s="361" t="n">
        <v>150.0</v>
      </c>
      <c r="G82" s="11">
        <f si="3" t="shared"/>
        <v>2.610618649249068E-4</v>
      </c>
    </row>
    <row r="83" spans="1:7" x14ac:dyDescent="0.25">
      <c r="A83">
        <v>72</v>
      </c>
      <c r="B83" s="8" t="n">
        <v>618.016967959</v>
      </c>
      <c r="C83" s="11">
        <f si="2" t="shared"/>
        <v>9.756146177321704E-4</v>
      </c>
      <c r="E83" s="272">
        <v>72</v>
      </c>
      <c r="F83" s="362" t="n">
        <v>115.0</v>
      </c>
      <c r="G83" s="11">
        <f si="3" t="shared"/>
        <v>2.1558657232508433E-4</v>
      </c>
    </row>
    <row r="84" spans="1:7" x14ac:dyDescent="0.25">
      <c r="A84">
        <v>73</v>
      </c>
      <c r="B84" s="8" t="n">
        <v>767.701778901</v>
      </c>
      <c r="C84" s="11">
        <f si="2" t="shared"/>
        <v>1.2119102166859837E-3</v>
      </c>
      <c r="E84" s="273">
        <v>73</v>
      </c>
      <c r="F84" s="363" t="n">
        <v>90.0</v>
      </c>
      <c r="G84" s="11">
        <f si="3" t="shared"/>
        <v>1.6168992924381326E-4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4">
        <v>74</v>
      </c>
      <c r="F85" s="364" t="n">
        <v>81.0</v>
      </c>
      <c r="G85" s="11">
        <f si="3" t="shared"/>
        <v>1.802169003030002E-4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5">
        <v>75</v>
      </c>
      <c r="F86" s="365" t="n">
        <v>72.0</v>
      </c>
      <c r="G86" s="11">
        <f si="3" t="shared"/>
        <v>1.0274047587367301E-4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6">
        <v>76</v>
      </c>
      <c r="F87" s="366" t="n">
        <v>68.0</v>
      </c>
      <c r="G87" s="11">
        <f si="3" t="shared"/>
        <v>8.4213504814486072E-5</v>
      </c>
    </row>
    <row r="88" spans="1:7" x14ac:dyDescent="0.25">
      <c r="A88">
        <v>77</v>
      </c>
      <c r="B88" s="8" t="n">
        <v>103.884081167</v>
      </c>
      <c r="C88" s="11">
        <f si="2" t="shared"/>
        <v>1.6399360113187735E-4</v>
      </c>
      <c r="E88" s="277">
        <v>77</v>
      </c>
      <c r="F88" s="367" t="n">
        <v>54.0</v>
      </c>
      <c r="G88" s="11">
        <f si="3" t="shared"/>
        <v>8.9266315103355228E-5</v>
      </c>
    </row>
    <row r="89" spans="1:7" x14ac:dyDescent="0.25">
      <c r="A89">
        <v>78</v>
      </c>
      <c r="B89" s="8" t="n">
        <v>552.1879851022</v>
      </c>
      <c r="C89" s="11">
        <f si="2" t="shared"/>
        <v>8.7169559725991169E-4</v>
      </c>
      <c r="E89" s="278">
        <v>78</v>
      </c>
      <c r="F89" s="368" t="n">
        <v>35.0</v>
      </c>
      <c r="G89" s="11">
        <f si="3" t="shared"/>
        <v>1.0779328616254217E-4</v>
      </c>
    </row>
    <row r="90" spans="1:7" x14ac:dyDescent="0.25">
      <c r="A90">
        <v>79</v>
      </c>
      <c r="B90" s="8" t="n">
        <v>3617.977487135</v>
      </c>
      <c r="C90" s="11">
        <f si="2" t="shared"/>
        <v>5.7114155534140273E-3</v>
      </c>
      <c r="E90" s="279">
        <v>79</v>
      </c>
      <c r="F90" s="369" t="n">
        <v>54.0</v>
      </c>
      <c r="G90" s="11">
        <f si="3" t="shared"/>
        <v>8.2529234718196345E-5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80">
        <v>80</v>
      </c>
      <c r="F91" s="370" t="n">
        <v>35.0</v>
      </c>
      <c r="G91" s="11">
        <f si="3" t="shared"/>
        <v>8.0844964621906631E-5</v>
      </c>
    </row>
    <row r="92" spans="1:7" x14ac:dyDescent="0.25">
      <c r="A92">
        <v>81</v>
      </c>
      <c r="B92" s="8" t="n">
        <v>761.4660318990001</v>
      </c>
      <c r="C92" s="11">
        <f si="2" t="shared"/>
        <v>1.2020663349755476E-3</v>
      </c>
      <c r="E92" s="281">
        <v>81</v>
      </c>
      <c r="F92" s="371" t="n">
        <v>28.0</v>
      </c>
      <c r="G92" s="11">
        <f si="3" t="shared"/>
        <v>5.7265183273850524E-5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2">
        <v>82</v>
      </c>
      <c r="F93" s="372" t="n">
        <v>30.0</v>
      </c>
      <c r="G93" s="11">
        <f si="3" t="shared"/>
        <v>4.5475292599822478E-5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3">
        <v>83</v>
      </c>
      <c r="F94" s="373" t="n">
        <v>31.0</v>
      </c>
      <c r="G94" s="11">
        <f si="3" t="shared"/>
        <v>3.3685401925794425E-5</v>
      </c>
    </row>
    <row r="95" spans="1:7" x14ac:dyDescent="0.25">
      <c r="A95">
        <v>84</v>
      </c>
      <c r="B95" s="8" t="n">
        <v>470.638625</v>
      </c>
      <c r="C95" s="11">
        <f si="2" t="shared"/>
        <v>7.4296005777276756E-4</v>
      </c>
      <c r="E95" s="284">
        <v>84</v>
      </c>
      <c r="F95" s="374" t="n">
        <v>18.0</v>
      </c>
      <c r="G95" s="11">
        <f si="3" t="shared"/>
        <v>3.5369672022084153E-5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5">
        <v>85</v>
      </c>
      <c r="F96" s="375" t="n">
        <v>15.0</v>
      </c>
      <c r="G96" s="11">
        <f si="3" t="shared"/>
        <v>3.8738212214663594E-5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6">
        <v>86</v>
      </c>
      <c r="F97" s="376" t="n">
        <v>14.0</v>
      </c>
      <c r="G97" s="11">
        <f si="3" t="shared"/>
        <v>6.737080385158885E-5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7">
        <v>87</v>
      </c>
      <c r="F98" s="377" t="n">
        <v>9.0</v>
      </c>
      <c r="G98" s="11">
        <f si="3" t="shared"/>
        <v>2.526405144434582E-5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8">
        <v>88</v>
      </c>
      <c r="F99" s="378" t="n">
        <v>11.0</v>
      </c>
      <c r="G99" s="11">
        <f si="3" t="shared"/>
        <v>3.7053942118373874E-5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9">
        <v>89</v>
      </c>
      <c r="F100" s="379" t="n">
        <v>9.0</v>
      </c>
      <c r="G100" s="11">
        <f si="3" t="shared"/>
        <v>1.0105620577738329E-5</v>
      </c>
    </row>
    <row ht="15.75" r="101" spans="1:7" thickBot="1" x14ac:dyDescent="0.3">
      <c r="A101" s="1">
        <v>90</v>
      </c>
      <c r="B101" s="9" t="n">
        <v>2957.8065042821</v>
      </c>
      <c r="C101" s="11">
        <f si="2" t="shared"/>
        <v>4.6692557188694334E-3</v>
      </c>
      <c r="E101" s="382">
        <v>90</v>
      </c>
      <c r="F101" s="382" t="n">
        <v>56.0</v>
      </c>
      <c r="G101" s="11">
        <f si="3" t="shared"/>
        <v>1.2295171702914967E-4</v>
      </c>
    </row>
    <row r="102" spans="1:7" x14ac:dyDescent="0.25">
      <c r="B102" s="8">
        <f>SUM(B11:B101)</f>
        <v>633464.23549453262</v>
      </c>
      <c r="C102" s="11">
        <f si="2" t="shared"/>
        <v>1</v>
      </c>
      <c r="F102" s="8">
        <f>SUM(F11:F101)</f>
        <v>593729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F41"/>
  <sheetViews>
    <sheetView topLeftCell="F1" workbookViewId="0">
      <selection activeCell="AC29" sqref="AC29"/>
    </sheetView>
  </sheetViews>
  <sheetFormatPr defaultRowHeight="15" x14ac:dyDescent="0.25"/>
  <cols>
    <col min="4" max="4" bestFit="true" customWidth="true" width="12.28515625" collapsed="true"/>
    <col min="13" max="14" bestFit="true" customWidth="true" width="10.7109375" collapsed="true"/>
    <col min="15" max="15" bestFit="true" customWidth="true" width="12.5703125" collapsed="true"/>
    <col min="16" max="16" bestFit="true" customWidth="true" width="10.7109375" collapsed="true"/>
    <col min="17" max="17" bestFit="true" customWidth="true" width="11.5703125" collapsed="true"/>
    <col min="18" max="18" bestFit="true" customWidth="true" width="10.7109375" collapsed="true"/>
    <col min="19" max="19" bestFit="true" customWidth="true" width="11.5703125" collapsed="true"/>
    <col min="20" max="20" bestFit="true" customWidth="true" width="9.28515625" collapsed="true"/>
    <col min="21" max="21" bestFit="true" customWidth="true" width="11.5703125" collapsed="true"/>
    <col min="26" max="26" bestFit="true" customWidth="true" width="12.28515625" collapsed="true"/>
  </cols>
  <sheetData>
    <row r="1" spans="1:21" x14ac:dyDescent="0.25">
      <c r="A1" t="s">
        <v>2</v>
      </c>
    </row>
    <row r="2" spans="1:21" x14ac:dyDescent="0.25">
      <c r="A2" t="s">
        <v>37</v>
      </c>
    </row>
    <row r="3" spans="1:21" x14ac:dyDescent="0.25">
      <c r="A3" t="s">
        <v>14</v>
      </c>
    </row>
    <row ht="15.75" r="5" spans="1:21" thickBot="1" x14ac:dyDescent="0.3">
      <c r="A5" s="4" t="s">
        <v>38</v>
      </c>
      <c r="B5" s="1"/>
      <c r="C5" s="1"/>
      <c r="D5" s="1"/>
      <c r="E5" s="1"/>
      <c r="F5" s="1"/>
      <c r="G5" s="1"/>
      <c r="H5" s="1"/>
      <c r="I5" s="1"/>
      <c r="J5" s="1"/>
      <c r="L5" s="4" t="s">
        <v>19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12</v>
      </c>
      <c r="B6" s="3" t="str">
        <f>$A$7</f>
        <v>Bellevue</v>
      </c>
      <c r="C6" s="3" t="str">
        <f>$A$8</f>
        <v>Bellevue Downtown</v>
      </c>
      <c r="D6" s="3" t="str">
        <f>$A$9</f>
        <v>Kirkland</v>
      </c>
      <c r="E6" s="3" t="str">
        <f>$A$10</f>
        <v>Redmond</v>
      </c>
      <c r="F6" s="3" t="str">
        <f>$A$11</f>
        <v>Seattle</v>
      </c>
      <c r="G6" s="3" t="str">
        <f>$A$12</f>
        <v>Seattle Downtown</v>
      </c>
      <c r="H6" s="3" t="str">
        <f>$A$13</f>
        <v>Rest</v>
      </c>
      <c r="I6" s="3" t="s">
        <v>13</v>
      </c>
      <c r="J6" s="3" t="s">
        <v>4</v>
      </c>
      <c r="L6" s="2" t="s">
        <v>12</v>
      </c>
      <c r="M6" s="3" t="str">
        <f>$A$7</f>
        <v>Bellevue</v>
      </c>
      <c r="N6" s="3" t="str">
        <f>$A$8</f>
        <v>Bellevue Downtown</v>
      </c>
      <c r="O6" s="3" t="str">
        <f>$A$9</f>
        <v>Kirkland</v>
      </c>
      <c r="P6" s="3" t="str">
        <f>$A$10</f>
        <v>Redmond</v>
      </c>
      <c r="Q6" s="3" t="str">
        <f>$A$11</f>
        <v>Seattle</v>
      </c>
      <c r="R6" s="3" t="str">
        <f>$A$12</f>
        <v>Seattle Downtown</v>
      </c>
      <c r="S6" s="3" t="str">
        <f>$A$13</f>
        <v>Rest</v>
      </c>
      <c r="T6" s="3" t="s">
        <v>13</v>
      </c>
      <c r="U6" s="3" t="s">
        <v>4</v>
      </c>
    </row>
    <row r="7" spans="1:21" x14ac:dyDescent="0.25">
      <c r="A7" s="383" t="s">
        <v>248</v>
      </c>
      <c r="B7" s="12" t="n">
        <v>0.0</v>
      </c>
      <c r="C7" s="12" t="n">
        <v>0.0</v>
      </c>
      <c r="D7" s="12" t="n">
        <v>0.0</v>
      </c>
      <c r="E7" s="12" t="n">
        <v>0.0</v>
      </c>
      <c r="F7" s="12" t="n">
        <v>0.0</v>
      </c>
      <c r="G7" s="12" t="n">
        <v>0.0</v>
      </c>
      <c r="H7" s="12" t="n">
        <v>0.0</v>
      </c>
      <c r="I7" s="12"/>
      <c r="J7" s="12">
        <f>SUM(B7:I7)</f>
        <v>0</v>
      </c>
      <c r="K7" s="12"/>
      <c r="L7" t="str">
        <f>$A$7</f>
        <v>Bellevue</v>
      </c>
      <c r="M7" s="430" t="n">
        <v>0.0</v>
      </c>
      <c r="N7" s="430" t="n">
        <v>0.0</v>
      </c>
      <c r="O7" s="430" t="n">
        <v>0.0</v>
      </c>
      <c r="P7" s="430" t="n">
        <v>0.0</v>
      </c>
      <c r="Q7" s="430" t="n">
        <v>0.0</v>
      </c>
      <c r="R7" s="430" t="n">
        <v>0.0</v>
      </c>
      <c r="S7" s="430" t="n">
        <v>0.0</v>
      </c>
      <c r="T7" s="430"/>
      <c r="U7" s="431">
        <f>SUM(M7:T7)</f>
        <v>0</v>
      </c>
    </row>
    <row r="8" spans="1:21" x14ac:dyDescent="0.25">
      <c r="A8" t="s">
        <v>249</v>
      </c>
      <c r="B8" s="12" t="n">
        <v>0.0</v>
      </c>
      <c r="C8" s="12" t="n">
        <v>0.0</v>
      </c>
      <c r="D8" s="12" t="n">
        <v>0.0</v>
      </c>
      <c r="E8" s="12" t="n">
        <v>0.0</v>
      </c>
      <c r="F8" s="12" t="n">
        <v>0.0</v>
      </c>
      <c r="G8" s="12" t="n">
        <v>0.0</v>
      </c>
      <c r="H8" s="12" t="n">
        <v>0.0</v>
      </c>
      <c r="I8" s="12"/>
      <c r="J8" s="12">
        <f ref="J8:J14" si="0" t="shared">SUM(B8:I8)</f>
        <v>0</v>
      </c>
      <c r="K8" s="12"/>
      <c r="L8" t="str">
        <f>$A$8</f>
        <v>Bellevue Downtown</v>
      </c>
      <c r="M8" s="430" t="n">
        <v>0.0</v>
      </c>
      <c r="N8" s="430" t="n">
        <v>0.0</v>
      </c>
      <c r="O8" s="430" t="n">
        <v>0.0</v>
      </c>
      <c r="P8" s="430" t="n">
        <v>0.0</v>
      </c>
      <c r="Q8" s="430" t="n">
        <v>0.0</v>
      </c>
      <c r="R8" s="430" t="n">
        <v>0.0</v>
      </c>
      <c r="S8" s="430" t="n">
        <v>0.0</v>
      </c>
      <c r="T8" s="430"/>
      <c r="U8" s="431">
        <f ref="U8:U14" si="1" t="shared">SUM(M8:T8)</f>
        <v>0</v>
      </c>
    </row>
    <row r="9" spans="1:21" x14ac:dyDescent="0.25">
      <c r="A9" t="s">
        <v>250</v>
      </c>
      <c r="B9" s="12" t="n">
        <v>0.0</v>
      </c>
      <c r="C9" s="12" t="n">
        <v>0.0</v>
      </c>
      <c r="D9" s="12" t="n">
        <v>0.0</v>
      </c>
      <c r="E9" s="12" t="n">
        <v>0.0</v>
      </c>
      <c r="F9" s="12" t="n">
        <v>0.0</v>
      </c>
      <c r="G9" s="12" t="n">
        <v>0.0</v>
      </c>
      <c r="H9" s="12" t="n">
        <v>0.0</v>
      </c>
      <c r="I9" s="12"/>
      <c r="J9" s="12">
        <f si="0" t="shared"/>
        <v>0</v>
      </c>
      <c r="K9" s="13"/>
      <c r="L9" t="str">
        <f>$A$9</f>
        <v>Kirkland</v>
      </c>
      <c r="M9" s="430" t="n">
        <v>0.0</v>
      </c>
      <c r="N9" s="430" t="n">
        <v>0.0</v>
      </c>
      <c r="O9" s="430" t="n">
        <v>0.0</v>
      </c>
      <c r="P9" s="430" t="n">
        <v>0.0</v>
      </c>
      <c r="Q9" s="430" t="n">
        <v>0.0</v>
      </c>
      <c r="R9" s="430" t="n">
        <v>0.0</v>
      </c>
      <c r="S9" s="430" t="n">
        <v>0.0</v>
      </c>
      <c r="T9" s="430"/>
      <c r="U9" s="431">
        <f si="1" t="shared"/>
        <v>0</v>
      </c>
    </row>
    <row r="10" spans="1:21" x14ac:dyDescent="0.25">
      <c r="A10" t="s">
        <v>251</v>
      </c>
      <c r="B10" s="12" t="n">
        <v>0.0</v>
      </c>
      <c r="C10" s="12" t="n">
        <v>0.0</v>
      </c>
      <c r="D10" s="12" t="n">
        <v>0.0</v>
      </c>
      <c r="E10" s="12" t="n">
        <v>0.0</v>
      </c>
      <c r="F10" s="12" t="n">
        <v>0.0</v>
      </c>
      <c r="G10" s="12" t="n">
        <v>0.0</v>
      </c>
      <c r="H10" s="12" t="n">
        <v>0.0</v>
      </c>
      <c r="I10" s="12"/>
      <c r="J10" s="12">
        <f si="0" t="shared"/>
        <v>0</v>
      </c>
      <c r="K10" s="13"/>
      <c r="L10" t="str">
        <f>$A$10</f>
        <v>Redmond</v>
      </c>
      <c r="M10" s="430" t="n">
        <v>0.0</v>
      </c>
      <c r="N10" s="430" t="n">
        <v>0.0</v>
      </c>
      <c r="O10" s="430" t="n">
        <v>0.0</v>
      </c>
      <c r="P10" s="430" t="n">
        <v>0.0</v>
      </c>
      <c r="Q10" s="430" t="n">
        <v>0.0</v>
      </c>
      <c r="R10" s="430" t="n">
        <v>0.0</v>
      </c>
      <c r="S10" s="430" t="n">
        <v>0.0</v>
      </c>
      <c r="T10" s="430"/>
      <c r="U10" s="431">
        <f si="1" t="shared"/>
        <v>0</v>
      </c>
    </row>
    <row r="11" spans="1:21" x14ac:dyDescent="0.25">
      <c r="A11" t="s">
        <v>247</v>
      </c>
      <c r="B11" s="12" t="n">
        <v>1692.676880788</v>
      </c>
      <c r="C11" s="12" t="n">
        <v>63.528726944</v>
      </c>
      <c r="D11" s="12" t="n">
        <v>160.016879313</v>
      </c>
      <c r="E11" s="12" t="n">
        <v>9.4775</v>
      </c>
      <c r="F11" s="12" t="n">
        <v>88217.5662422081</v>
      </c>
      <c r="G11" s="12" t="n">
        <v>13915.1218176164</v>
      </c>
      <c r="H11" s="12" t="n">
        <v>6127.6922476265</v>
      </c>
      <c r="I11" s="12"/>
      <c r="J11" s="12">
        <f si="0" t="shared"/>
        <v>110186.08029449599</v>
      </c>
      <c r="K11" s="13"/>
      <c r="L11" t="str">
        <f>$A$11</f>
        <v>Seattle</v>
      </c>
      <c r="M11" s="430" t="n">
        <v>2209.0</v>
      </c>
      <c r="N11" s="430" t="n">
        <v>637.0</v>
      </c>
      <c r="O11" s="430" t="n">
        <v>2211.0</v>
      </c>
      <c r="P11" s="430" t="n">
        <v>870.0</v>
      </c>
      <c r="Q11" s="430" t="n">
        <v>79972.0</v>
      </c>
      <c r="R11" s="430" t="n">
        <v>9153.0</v>
      </c>
      <c r="S11" s="430" t="n">
        <v>11120.0</v>
      </c>
      <c r="T11" s="430"/>
      <c r="U11" s="431">
        <f si="1" t="shared"/>
        <v>106097</v>
      </c>
    </row>
    <row r="12" spans="1:21" x14ac:dyDescent="0.25">
      <c r="A12" t="s">
        <v>252</v>
      </c>
      <c r="B12" s="12" t="n">
        <v>57.5148662035</v>
      </c>
      <c r="C12" s="12" t="n">
        <v>0.0</v>
      </c>
      <c r="D12" s="12" t="n">
        <v>0.0</v>
      </c>
      <c r="E12" s="12" t="n">
        <v>0.0</v>
      </c>
      <c r="F12" s="12" t="n">
        <v>4316.5827853598</v>
      </c>
      <c r="G12" s="12" t="n">
        <v>5541.7068748445</v>
      </c>
      <c r="H12" s="12" t="n">
        <v>771.7855595547001</v>
      </c>
      <c r="I12" s="12"/>
      <c r="J12" s="12">
        <f si="0" t="shared"/>
        <v>10687.5900859625</v>
      </c>
      <c r="K12" s="13"/>
      <c r="L12" t="str">
        <f>$A$12</f>
        <v>Seattle Downtown</v>
      </c>
      <c r="M12" s="430" t="n">
        <v>185.0</v>
      </c>
      <c r="N12" s="430" t="n">
        <v>48.0</v>
      </c>
      <c r="O12" s="430" t="n">
        <v>79.0</v>
      </c>
      <c r="P12" s="430" t="n">
        <v>51.0</v>
      </c>
      <c r="Q12" s="430" t="n">
        <v>3025.0</v>
      </c>
      <c r="R12" s="430" t="n">
        <v>6785.0</v>
      </c>
      <c r="S12" s="430" t="n">
        <v>421.0</v>
      </c>
      <c r="T12" s="430"/>
      <c r="U12" s="431">
        <f si="1" t="shared"/>
        <v>10630</v>
      </c>
    </row>
    <row r="13" spans="1:21" x14ac:dyDescent="0.25">
      <c r="A13" t="s">
        <v>253</v>
      </c>
      <c r="B13" s="12" t="n">
        <v>8122.870363239</v>
      </c>
      <c r="C13" s="12" t="n">
        <v>3138.15946386</v>
      </c>
      <c r="D13" s="12" t="n">
        <v>10022.891088588</v>
      </c>
      <c r="E13" s="12" t="n">
        <v>2645.91822705</v>
      </c>
      <c r="F13" s="12" t="n">
        <v>15413.2145940696</v>
      </c>
      <c r="G13" s="12" t="n">
        <v>10252.1123914386</v>
      </c>
      <c r="H13" s="12" t="n">
        <v>467326.12922187</v>
      </c>
      <c r="I13" s="12"/>
      <c r="J13" s="12">
        <f si="0" t="shared"/>
        <v>516921.29535011516</v>
      </c>
      <c r="K13" s="13"/>
      <c r="L13" t="str">
        <f>$A$13</f>
        <v>Rest</v>
      </c>
      <c r="M13" s="430" t="n">
        <v>10911.0</v>
      </c>
      <c r="N13" s="430" t="n">
        <v>2458.0</v>
      </c>
      <c r="O13" s="430" t="n">
        <v>8928.0</v>
      </c>
      <c r="P13" s="430" t="n">
        <v>6842.0</v>
      </c>
      <c r="Q13" s="430" t="n">
        <v>30470.0</v>
      </c>
      <c r="R13" s="430" t="n">
        <v>5460.0</v>
      </c>
      <c r="S13" s="430" t="n">
        <v>411040.0</v>
      </c>
      <c r="T13" s="430"/>
      <c r="U13" s="431">
        <f si="1" t="shared"/>
        <v>474165</v>
      </c>
    </row>
    <row r="14" spans="1:21" x14ac:dyDescent="0.25">
      <c r="A14" s="7" t="s">
        <v>13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15" t="s">
        <v>13</v>
      </c>
      <c r="M14" s="432"/>
      <c r="N14" s="432"/>
      <c r="O14" s="432"/>
      <c r="P14" s="432"/>
      <c r="Q14" s="432"/>
      <c r="R14" s="432"/>
      <c r="S14" s="432"/>
      <c r="T14" s="432"/>
      <c r="U14" s="432">
        <f si="1" t="shared"/>
        <v>0</v>
      </c>
    </row>
    <row ht="15.75" r="15" spans="1:21" thickBot="1" x14ac:dyDescent="0.3">
      <c r="A15" s="1" t="s">
        <v>4</v>
      </c>
      <c r="B15" s="16">
        <f ref="B15:J15" si="2" t="shared">SUM(B7:B14)</f>
        <v>9873.0621102304995</v>
      </c>
      <c r="C15" s="16">
        <f si="2" t="shared"/>
        <v>3201.688190804</v>
      </c>
      <c r="D15" s="16">
        <f si="2" t="shared"/>
        <v>10182.907967900999</v>
      </c>
      <c r="E15" s="16">
        <f si="2" t="shared"/>
        <v>2655.39572705</v>
      </c>
      <c r="F15" s="16">
        <f si="2" t="shared"/>
        <v>107947.36362163749</v>
      </c>
      <c r="G15" s="16">
        <f si="2" t="shared"/>
        <v>29708.941083899499</v>
      </c>
      <c r="H15" s="16">
        <f si="2" t="shared"/>
        <v>474225.60702905117</v>
      </c>
      <c r="I15" s="16">
        <f si="2" t="shared"/>
        <v>0</v>
      </c>
      <c r="J15" s="16">
        <f si="2" t="shared"/>
        <v>637794.96573057363</v>
      </c>
      <c r="K15" s="12"/>
      <c r="L15" s="16" t="s">
        <v>4</v>
      </c>
      <c r="M15" s="433">
        <f ref="M15:U15" si="3" t="shared">SUM(M7:M14)</f>
        <v>12951</v>
      </c>
      <c r="N15" s="433">
        <f si="3" t="shared"/>
        <v>2539</v>
      </c>
      <c r="O15" s="433">
        <f si="3" t="shared"/>
        <v>10440</v>
      </c>
      <c r="P15" s="433">
        <f si="3" t="shared"/>
        <v>7041</v>
      </c>
      <c r="Q15" s="433">
        <f si="3" t="shared"/>
        <v>114064</v>
      </c>
      <c r="R15" s="433">
        <f si="3" t="shared"/>
        <v>21602</v>
      </c>
      <c r="S15" s="433">
        <f si="3" t="shared"/>
        <v>422255</v>
      </c>
      <c r="T15" s="433">
        <f si="3" t="shared"/>
        <v>0</v>
      </c>
      <c r="U15" s="433">
        <f si="3" t="shared"/>
        <v>590892</v>
      </c>
    </row>
    <row ht="15.75" r="18" spans="1:32" thickBot="1" x14ac:dyDescent="0.3">
      <c r="A18" s="4" t="s">
        <v>39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19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12</v>
      </c>
      <c r="B19" s="3" t="str">
        <f>$A$7</f>
        <v>Bellevue</v>
      </c>
      <c r="C19" s="3" t="str">
        <f>$A$8</f>
        <v>Bellevue Downtown</v>
      </c>
      <c r="D19" s="3" t="str">
        <f>$A$9</f>
        <v>Kirkland</v>
      </c>
      <c r="E19" s="3" t="str">
        <f>$A$10</f>
        <v>Redmond</v>
      </c>
      <c r="F19" s="3" t="str">
        <f>$A$11</f>
        <v>Seattle</v>
      </c>
      <c r="G19" s="3" t="str">
        <f>$A$12</f>
        <v>Seattle Downtown</v>
      </c>
      <c r="H19" s="3" t="str">
        <f>$A$13</f>
        <v>Rest</v>
      </c>
      <c r="I19" s="3" t="s">
        <v>13</v>
      </c>
      <c r="J19" s="3" t="s">
        <v>4</v>
      </c>
      <c r="L19" s="2" t="s">
        <v>12</v>
      </c>
      <c r="M19" s="3" t="str">
        <f>$A$7</f>
        <v>Bellevue</v>
      </c>
      <c r="N19" s="3" t="str">
        <f>$A$8</f>
        <v>Bellevue Downtown</v>
      </c>
      <c r="O19" s="3" t="str">
        <f>$A$9</f>
        <v>Kirkland</v>
      </c>
      <c r="P19" s="3" t="str">
        <f>$A$10</f>
        <v>Redmond</v>
      </c>
      <c r="Q19" s="3" t="str">
        <f>$A$11</f>
        <v>Seattle</v>
      </c>
      <c r="R19" s="3" t="str">
        <f>$A$12</f>
        <v>Seattle Downtown</v>
      </c>
      <c r="S19" s="3" t="str">
        <f>$A$13</f>
        <v>Rest</v>
      </c>
      <c r="T19" s="3" t="s">
        <v>13</v>
      </c>
      <c r="U19" s="3" t="s">
        <v>4</v>
      </c>
    </row>
    <row r="20" spans="1:32" x14ac:dyDescent="0.25">
      <c r="A20" t="str">
        <f>$A$7</f>
        <v>Bellevue</v>
      </c>
      <c r="B20" s="12" t="e">
        <f ref="B20:G20" si="4" t="shared">($U7/$J7)*B7</f>
        <v>#DIV/0!</v>
      </c>
      <c r="C20" s="12" t="e">
        <f si="4" t="shared"/>
        <v>#DIV/0!</v>
      </c>
      <c r="D20" s="12" t="e">
        <f si="4" t="shared"/>
        <v>#DIV/0!</v>
      </c>
      <c r="E20" s="12" t="e">
        <f si="4" t="shared"/>
        <v>#DIV/0!</v>
      </c>
      <c r="F20" s="12" t="e">
        <f si="4" t="shared"/>
        <v>#DIV/0!</v>
      </c>
      <c r="G20" s="12" t="e">
        <f si="4" t="shared"/>
        <v>#DIV/0!</v>
      </c>
      <c r="H20" s="12" t="e">
        <f ref="H20" si="5" t="shared">($U7/$J7)*H7</f>
        <v>#DIV/0!</v>
      </c>
      <c r="I20" s="12"/>
      <c r="J20" s="12" t="e">
        <f>SUM(B20:I20)</f>
        <v>#DIV/0!</v>
      </c>
      <c r="K20" s="12"/>
      <c r="L20" t="str">
        <f>$A$7</f>
        <v>Bellevue</v>
      </c>
      <c r="M20" s="12">
        <f>M7</f>
        <v>0</v>
      </c>
      <c r="N20" s="12">
        <f ref="N20:U20" si="6" t="shared">N7</f>
        <v>0</v>
      </c>
      <c r="O20" s="12">
        <f si="6" t="shared"/>
        <v>0</v>
      </c>
      <c r="P20" s="12">
        <f si="6" t="shared"/>
        <v>0</v>
      </c>
      <c r="Q20" s="12">
        <f si="6" t="shared"/>
        <v>0</v>
      </c>
      <c r="R20" s="12">
        <f si="6" t="shared"/>
        <v>0</v>
      </c>
      <c r="S20" s="12">
        <f si="6" t="shared"/>
        <v>0</v>
      </c>
      <c r="T20" s="12"/>
      <c r="U20" s="12">
        <f si="6" t="shared"/>
        <v>0</v>
      </c>
    </row>
    <row r="21" spans="1:32" x14ac:dyDescent="0.25">
      <c r="A21" t="str">
        <f>$A$8</f>
        <v>Bellevue Downtown</v>
      </c>
      <c r="B21" s="12" t="e">
        <f ref="B21:G26" si="7" t="shared">($U8/$J8)*B8</f>
        <v>#DIV/0!</v>
      </c>
      <c r="C21" s="12" t="e">
        <f si="7" t="shared"/>
        <v>#DIV/0!</v>
      </c>
      <c r="D21" s="12" t="e">
        <f si="7" t="shared"/>
        <v>#DIV/0!</v>
      </c>
      <c r="E21" s="12" t="e">
        <f si="7" t="shared"/>
        <v>#DIV/0!</v>
      </c>
      <c r="F21" s="12" t="e">
        <f si="7" t="shared"/>
        <v>#DIV/0!</v>
      </c>
      <c r="G21" s="12" t="e">
        <f si="7" t="shared"/>
        <v>#DIV/0!</v>
      </c>
      <c r="H21" s="12" t="e">
        <f ref="H21" si="8" t="shared">($U8/$J8)*H8</f>
        <v>#DIV/0!</v>
      </c>
      <c r="I21" s="12"/>
      <c r="J21" s="12" t="e">
        <f ref="J21:J27" si="9" t="shared">SUM(B21:I21)</f>
        <v>#DIV/0!</v>
      </c>
      <c r="K21" s="12"/>
      <c r="L21" t="str">
        <f>$A$8</f>
        <v>Bellevue Downtown</v>
      </c>
      <c r="M21" s="12">
        <f ref="M21:U21" si="10" t="shared">M8</f>
        <v>0</v>
      </c>
      <c r="N21" s="12">
        <f si="10" t="shared"/>
        <v>0</v>
      </c>
      <c r="O21" s="12">
        <f si="10" t="shared"/>
        <v>0</v>
      </c>
      <c r="P21" s="12">
        <f si="10" t="shared"/>
        <v>0</v>
      </c>
      <c r="Q21" s="12">
        <f si="10" t="shared"/>
        <v>0</v>
      </c>
      <c r="R21" s="12">
        <f si="10" t="shared"/>
        <v>0</v>
      </c>
      <c r="S21" s="12">
        <f si="10" t="shared"/>
        <v>0</v>
      </c>
      <c r="T21" s="12"/>
      <c r="U21" s="12">
        <f si="10" t="shared"/>
        <v>0</v>
      </c>
    </row>
    <row r="22" spans="1:32" x14ac:dyDescent="0.25">
      <c r="A22" t="str">
        <f>$A$9</f>
        <v>Kirkland</v>
      </c>
      <c r="B22" s="12" t="e">
        <f si="7" t="shared"/>
        <v>#DIV/0!</v>
      </c>
      <c r="C22" s="12" t="e">
        <f si="7" t="shared"/>
        <v>#DIV/0!</v>
      </c>
      <c r="D22" s="12" t="e">
        <f si="7" t="shared"/>
        <v>#DIV/0!</v>
      </c>
      <c r="E22" s="12" t="e">
        <f si="7" t="shared"/>
        <v>#DIV/0!</v>
      </c>
      <c r="F22" s="12" t="e">
        <f si="7" t="shared"/>
        <v>#DIV/0!</v>
      </c>
      <c r="G22" s="12" t="e">
        <f si="7" t="shared"/>
        <v>#DIV/0!</v>
      </c>
      <c r="H22" s="12" t="e">
        <f ref="H22" si="11" t="shared">($U9/$J9)*H9</f>
        <v>#DIV/0!</v>
      </c>
      <c r="I22" s="12"/>
      <c r="J22" s="12" t="e">
        <f si="9" t="shared"/>
        <v>#DIV/0!</v>
      </c>
      <c r="K22" s="13"/>
      <c r="L22" t="str">
        <f>$A$9</f>
        <v>Kirkland</v>
      </c>
      <c r="M22" s="12">
        <f ref="M22:U22" si="12" t="shared">M9</f>
        <v>0</v>
      </c>
      <c r="N22" s="12">
        <f si="12" t="shared"/>
        <v>0</v>
      </c>
      <c r="O22" s="12">
        <f si="12" t="shared"/>
        <v>0</v>
      </c>
      <c r="P22" s="12">
        <f si="12" t="shared"/>
        <v>0</v>
      </c>
      <c r="Q22" s="12">
        <f si="12" t="shared"/>
        <v>0</v>
      </c>
      <c r="R22" s="12">
        <f si="12" t="shared"/>
        <v>0</v>
      </c>
      <c r="S22" s="12">
        <f si="12" t="shared"/>
        <v>0</v>
      </c>
      <c r="T22" s="12"/>
      <c r="U22" s="12">
        <f si="12" t="shared"/>
        <v>0</v>
      </c>
    </row>
    <row r="23" spans="1:32" x14ac:dyDescent="0.25">
      <c r="A23" t="str">
        <f>$A$10</f>
        <v>Redmond</v>
      </c>
      <c r="B23" s="12" t="e">
        <f si="7" t="shared"/>
        <v>#DIV/0!</v>
      </c>
      <c r="C23" s="12" t="e">
        <f si="7" t="shared"/>
        <v>#DIV/0!</v>
      </c>
      <c r="D23" s="12" t="e">
        <f si="7" t="shared"/>
        <v>#DIV/0!</v>
      </c>
      <c r="E23" s="12" t="e">
        <f si="7" t="shared"/>
        <v>#DIV/0!</v>
      </c>
      <c r="F23" s="12" t="e">
        <f si="7" t="shared"/>
        <v>#DIV/0!</v>
      </c>
      <c r="G23" s="12" t="e">
        <f si="7" t="shared"/>
        <v>#DIV/0!</v>
      </c>
      <c r="H23" s="12" t="e">
        <f ref="H23" si="13" t="shared">($U10/$J10)*H10</f>
        <v>#DIV/0!</v>
      </c>
      <c r="I23" s="12"/>
      <c r="J23" s="12" t="e">
        <f>SUM(B23:I23)</f>
        <v>#DIV/0!</v>
      </c>
      <c r="K23" s="13"/>
      <c r="L23" t="str">
        <f>$A$10</f>
        <v>Redmond</v>
      </c>
      <c r="M23" s="12">
        <f ref="M23:S23" si="14" t="shared">M10</f>
        <v>0</v>
      </c>
      <c r="N23" s="12">
        <f si="14" t="shared"/>
        <v>0</v>
      </c>
      <c r="O23" s="12">
        <f si="14" t="shared"/>
        <v>0</v>
      </c>
      <c r="P23" s="12">
        <f si="14" t="shared"/>
        <v>0</v>
      </c>
      <c r="Q23" s="12">
        <f si="14" t="shared"/>
        <v>0</v>
      </c>
      <c r="R23" s="12">
        <f si="14" t="shared"/>
        <v>0</v>
      </c>
      <c r="S23" s="12">
        <f si="14" t="shared"/>
        <v>0</v>
      </c>
      <c r="T23" s="12"/>
      <c r="U23" s="12">
        <f ref="U23" si="15" t="shared">U10</f>
        <v>0</v>
      </c>
    </row>
    <row r="24" spans="1:32" x14ac:dyDescent="0.25">
      <c r="A24" t="str">
        <f>$A$11</f>
        <v>Seattle</v>
      </c>
      <c r="B24" s="12">
        <f si="7" t="shared"/>
        <v>1629.8604918241674</v>
      </c>
      <c r="C24" s="12">
        <f si="7" t="shared"/>
        <v>61.171132728951918</v>
      </c>
      <c r="D24" s="12">
        <f si="7" t="shared"/>
        <v>154.07854421444023</v>
      </c>
      <c r="E24" s="12">
        <f si="7" t="shared"/>
        <v>9.1257835364729676</v>
      </c>
      <c r="F24" s="12">
        <f si="7" t="shared"/>
        <v>84943.752428473337</v>
      </c>
      <c r="G24" s="12">
        <f si="7" t="shared"/>
        <v>13398.722193745138</v>
      </c>
      <c r="H24" s="12">
        <f ref="H24" si="16" t="shared">($U11/$J11)*H11</f>
        <v>5900.2894254774938</v>
      </c>
      <c r="I24" s="12"/>
      <c r="J24" s="12">
        <f si="9" t="shared"/>
        <v>106097</v>
      </c>
      <c r="K24" s="13"/>
      <c r="L24" t="str">
        <f>$A$11</f>
        <v>Seattle</v>
      </c>
      <c r="M24" s="12">
        <f ref="M24:S24" si="17" t="shared">M11</f>
        <v>2176</v>
      </c>
      <c r="N24" s="12">
        <f si="17" t="shared"/>
        <v>576</v>
      </c>
      <c r="O24" s="12">
        <f si="17" t="shared"/>
        <v>2124</v>
      </c>
      <c r="P24" s="12">
        <f si="17" t="shared"/>
        <v>755</v>
      </c>
      <c r="Q24" s="12">
        <f si="17" t="shared"/>
        <v>80438</v>
      </c>
      <c r="R24" s="12">
        <f si="17" t="shared"/>
        <v>9083</v>
      </c>
      <c r="S24" s="12">
        <f si="17" t="shared"/>
        <v>10945</v>
      </c>
      <c r="T24" s="12"/>
      <c r="U24" s="12">
        <f ref="U24" si="18" t="shared">U11</f>
        <v>106097</v>
      </c>
    </row>
    <row r="25" spans="1:32" x14ac:dyDescent="0.25">
      <c r="A25" t="str">
        <f>$A$12</f>
        <v>Seattle Downtown</v>
      </c>
      <c r="B25" s="12">
        <f si="7" t="shared"/>
        <v>57.204947310453029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4293.3228762807994</v>
      </c>
      <c r="G25" s="12">
        <f si="7" t="shared"/>
        <v>5511.8453838316236</v>
      </c>
      <c r="H25" s="12">
        <f ref="H25" si="19" t="shared">($U12/$J12)*H12</f>
        <v>767.62679257712387</v>
      </c>
      <c r="I25" s="12"/>
      <c r="J25" s="12">
        <f si="9" t="shared"/>
        <v>10630</v>
      </c>
      <c r="K25" s="13"/>
      <c r="L25" t="str">
        <f>$A$12</f>
        <v>Seattle Downtown</v>
      </c>
      <c r="M25" s="12">
        <f ref="M25:S26" si="20" t="shared">M12</f>
        <v>183</v>
      </c>
      <c r="N25" s="12">
        <f si="20" t="shared"/>
        <v>39</v>
      </c>
      <c r="O25" s="12">
        <f si="20" t="shared"/>
        <v>52</v>
      </c>
      <c r="P25" s="12">
        <f si="20" t="shared"/>
        <v>47</v>
      </c>
      <c r="Q25" s="12">
        <f si="20" t="shared"/>
        <v>3082</v>
      </c>
      <c r="R25" s="12">
        <f si="20" t="shared"/>
        <v>6783</v>
      </c>
      <c r="S25" s="12">
        <f si="20" t="shared"/>
        <v>444</v>
      </c>
      <c r="T25" s="12"/>
      <c r="U25" s="12">
        <f ref="U25:U26" si="21" t="shared">U12</f>
        <v>10630</v>
      </c>
    </row>
    <row r="26" spans="1:32" x14ac:dyDescent="0.25">
      <c r="A26" t="str">
        <f>$A$13</f>
        <v>Rest</v>
      </c>
      <c r="B26" s="12">
        <f si="7" t="shared"/>
        <v>7451.0004916251555</v>
      </c>
      <c r="C26" s="12">
        <f si="7" t="shared"/>
        <v>2878.5917615820763</v>
      </c>
      <c r="D26" s="12">
        <f si="7" t="shared"/>
        <v>9193.8641254882277</v>
      </c>
      <c r="E26" s="12">
        <f si="7" t="shared"/>
        <v>2427.0654496433754</v>
      </c>
      <c r="F26" s="12">
        <f si="7" t="shared"/>
        <v>14138.335881571615</v>
      </c>
      <c r="G26" s="12">
        <f si="7" t="shared"/>
        <v>9404.1257650141051</v>
      </c>
      <c r="H26" s="12">
        <f ref="H26" si="22" t="shared">($U13/$J13)*H13</f>
        <v>428672.01652507542</v>
      </c>
      <c r="I26" s="12"/>
      <c r="J26" s="12">
        <f si="9" t="shared"/>
        <v>474165</v>
      </c>
      <c r="K26" s="13"/>
      <c r="L26" t="str">
        <f>$A$13</f>
        <v>Rest</v>
      </c>
      <c r="M26" s="12">
        <f si="20" t="shared"/>
        <v>10592</v>
      </c>
      <c r="N26" s="12">
        <f si="20" t="shared"/>
        <v>1924</v>
      </c>
      <c r="O26" s="12">
        <f si="20" t="shared"/>
        <v>8264</v>
      </c>
      <c r="P26" s="12">
        <f si="20" t="shared"/>
        <v>6239</v>
      </c>
      <c r="Q26" s="12">
        <f si="20" t="shared"/>
        <v>30544</v>
      </c>
      <c r="R26" s="12">
        <f si="20" t="shared"/>
        <v>5736</v>
      </c>
      <c r="S26" s="12">
        <f si="20" t="shared"/>
        <v>410866</v>
      </c>
      <c r="T26" s="12"/>
      <c r="U26" s="12">
        <f si="21" t="shared"/>
        <v>474165</v>
      </c>
    </row>
    <row r="27" spans="1:32" x14ac:dyDescent="0.25">
      <c r="A27" s="7" t="s">
        <v>13</v>
      </c>
      <c r="B27" s="14"/>
      <c r="C27" s="14"/>
      <c r="D27" s="14"/>
      <c r="E27" s="14"/>
      <c r="F27" s="14"/>
      <c r="G27" s="14"/>
      <c r="H27" s="14"/>
      <c r="I27" s="14"/>
      <c r="J27" s="14">
        <f si="9" t="shared"/>
        <v>0</v>
      </c>
      <c r="K27" s="12"/>
      <c r="L27" s="15" t="s">
        <v>13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6" t="e">
        <f ref="B28:J28" si="23" t="shared">SUM(B20:B27)</f>
        <v>#DIV/0!</v>
      </c>
      <c r="C28" s="16" t="e">
        <f si="23" t="shared"/>
        <v>#DIV/0!</v>
      </c>
      <c r="D28" s="16" t="e">
        <f si="23" t="shared"/>
        <v>#DIV/0!</v>
      </c>
      <c r="E28" s="16" t="e">
        <f si="23" t="shared"/>
        <v>#DIV/0!</v>
      </c>
      <c r="F28" s="16" t="e">
        <f si="23" t="shared"/>
        <v>#DIV/0!</v>
      </c>
      <c r="G28" s="16" t="e">
        <f si="23" t="shared"/>
        <v>#DIV/0!</v>
      </c>
      <c r="H28" s="16" t="e">
        <f si="23" t="shared"/>
        <v>#DIV/0!</v>
      </c>
      <c r="I28" s="16">
        <f si="23" t="shared"/>
        <v>0</v>
      </c>
      <c r="J28" s="16" t="e">
        <f si="23" t="shared"/>
        <v>#DIV/0!</v>
      </c>
      <c r="K28" s="12"/>
      <c r="L28" s="16" t="s">
        <v>4</v>
      </c>
      <c r="M28" s="16">
        <f ref="M28:U28" si="24" t="shared">M15</f>
        <v>12951</v>
      </c>
      <c r="N28" s="16">
        <f si="24" t="shared"/>
        <v>2539</v>
      </c>
      <c r="O28" s="16">
        <f si="24" t="shared"/>
        <v>10440</v>
      </c>
      <c r="P28" s="16">
        <f si="24" t="shared"/>
        <v>7041</v>
      </c>
      <c r="Q28" s="16">
        <f si="24" t="shared"/>
        <v>114064</v>
      </c>
      <c r="R28" s="16">
        <f si="24" t="shared"/>
        <v>21602</v>
      </c>
      <c r="S28" s="16">
        <f si="24" t="shared"/>
        <v>422255</v>
      </c>
      <c r="T28" s="16"/>
      <c r="U28" s="16">
        <f si="24" t="shared"/>
        <v>590892</v>
      </c>
    </row>
    <row ht="15.75" r="31" spans="1:32" thickBot="1" x14ac:dyDescent="0.3">
      <c r="A31" s="4" t="s">
        <v>39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19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19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12</v>
      </c>
      <c r="B32" s="3" t="str">
        <f>$A$7</f>
        <v>Bellevue</v>
      </c>
      <c r="C32" s="3" t="str">
        <f>$A$8</f>
        <v>Bellevue Downtown</v>
      </c>
      <c r="D32" s="3" t="str">
        <f>$A$9</f>
        <v>Kirkland</v>
      </c>
      <c r="E32" s="3" t="str">
        <f>$A$10</f>
        <v>Redmond</v>
      </c>
      <c r="F32" s="3" t="str">
        <f>$A$11</f>
        <v>Seattle</v>
      </c>
      <c r="G32" s="3" t="str">
        <f>$A$12</f>
        <v>Seattle Downtown</v>
      </c>
      <c r="H32" s="3" t="str">
        <f>$A$13</f>
        <v>Rest</v>
      </c>
      <c r="I32" s="3" t="s">
        <v>13</v>
      </c>
      <c r="J32" s="3" t="s">
        <v>4</v>
      </c>
      <c r="L32" s="2" t="s">
        <v>12</v>
      </c>
      <c r="M32" s="3" t="str">
        <f>$A$7</f>
        <v>Bellevue</v>
      </c>
      <c r="N32" s="3" t="str">
        <f>$A$8</f>
        <v>Bellevue Downtown</v>
      </c>
      <c r="O32" s="3" t="str">
        <f>$A$9</f>
        <v>Kirkland</v>
      </c>
      <c r="P32" s="3" t="str">
        <f>$A$10</f>
        <v>Redmond</v>
      </c>
      <c r="Q32" s="3" t="str">
        <f>$A$11</f>
        <v>Seattle</v>
      </c>
      <c r="R32" s="3" t="str">
        <f>$A$12</f>
        <v>Seattle Downtown</v>
      </c>
      <c r="S32" s="3" t="str">
        <f>$A$13</f>
        <v>Rest</v>
      </c>
      <c r="T32" s="3" t="s">
        <v>13</v>
      </c>
      <c r="U32" s="3" t="s">
        <v>4</v>
      </c>
      <c r="W32" s="2" t="s">
        <v>12</v>
      </c>
      <c r="X32" s="3" t="str">
        <f>$A$7</f>
        <v>Bellevue</v>
      </c>
      <c r="Y32" s="3" t="str">
        <f>$A$8</f>
        <v>Bellevue Downtown</v>
      </c>
      <c r="Z32" s="3" t="str">
        <f>$A$9</f>
        <v>Kirkland</v>
      </c>
      <c r="AA32" s="3" t="str">
        <f>$A$10</f>
        <v>Redmond</v>
      </c>
      <c r="AB32" s="3" t="str">
        <f>$A$11</f>
        <v>Seattle</v>
      </c>
      <c r="AC32" s="3" t="str">
        <f>$A$12</f>
        <v>Seattle Downtown</v>
      </c>
      <c r="AD32" s="3" t="str">
        <f>$A$13</f>
        <v>Rest</v>
      </c>
      <c r="AE32" s="3" t="s">
        <v>13</v>
      </c>
      <c r="AF32" s="3" t="s">
        <v>4</v>
      </c>
    </row>
    <row r="33" spans="1:32" x14ac:dyDescent="0.25">
      <c r="A33" t="str">
        <f>$A$7</f>
        <v>Bellevue</v>
      </c>
      <c r="B33" s="17" t="e">
        <f ref="B33:G33" si="25" t="shared">B20/$J$28</f>
        <v>#DIV/0!</v>
      </c>
      <c r="C33" s="17" t="e">
        <f si="25" t="shared"/>
        <v>#DIV/0!</v>
      </c>
      <c r="D33" s="17" t="e">
        <f si="25" t="shared"/>
        <v>#DIV/0!</v>
      </c>
      <c r="E33" s="17" t="e">
        <f si="25" t="shared"/>
        <v>#DIV/0!</v>
      </c>
      <c r="F33" s="17" t="e">
        <f si="25" t="shared"/>
        <v>#DIV/0!</v>
      </c>
      <c r="G33" s="17" t="e">
        <f si="25" t="shared"/>
        <v>#DIV/0!</v>
      </c>
      <c r="H33" s="17" t="e">
        <f ref="H33" si="26" t="shared">H20/$J$28</f>
        <v>#DIV/0!</v>
      </c>
      <c r="I33" s="12"/>
      <c r="J33" s="17" t="e">
        <f ref="J33:J39" si="27" t="shared">J20/$J$28</f>
        <v>#DIV/0!</v>
      </c>
      <c r="K33" s="12"/>
      <c r="L33" t="str">
        <f>$A$7</f>
        <v>Bellevue</v>
      </c>
      <c r="M33" s="17">
        <f ref="M33:R33" si="28" t="shared">M20/$U$28</f>
        <v>0</v>
      </c>
      <c r="N33" s="17">
        <f si="28" t="shared"/>
        <v>0</v>
      </c>
      <c r="O33" s="17">
        <f si="28" t="shared"/>
        <v>0</v>
      </c>
      <c r="P33" s="17">
        <f si="28" t="shared"/>
        <v>0</v>
      </c>
      <c r="Q33" s="17">
        <f si="28" t="shared"/>
        <v>0</v>
      </c>
      <c r="R33" s="17">
        <f si="28" t="shared"/>
        <v>0</v>
      </c>
      <c r="S33" s="17">
        <f ref="S33" si="29" t="shared">S20/$U$28</f>
        <v>0</v>
      </c>
      <c r="T33" s="17"/>
      <c r="U33" s="17">
        <f>U20/$U$28</f>
        <v>0</v>
      </c>
      <c r="W33" t="str">
        <f>$A$7</f>
        <v>Bellevue</v>
      </c>
      <c r="X33" s="17" t="e">
        <f>M33-B33</f>
        <v>#DIV/0!</v>
      </c>
      <c r="Y33" s="17" t="e">
        <f ref="Y33:Y35" si="30" t="shared">N33-C33</f>
        <v>#DIV/0!</v>
      </c>
      <c r="Z33" s="17" t="e">
        <f ref="Z33:Z35" si="31" t="shared">O33-D33</f>
        <v>#DIV/0!</v>
      </c>
      <c r="AA33" s="17" t="e">
        <f ref="AA33" si="32" t="shared">P33-E33</f>
        <v>#DIV/0!</v>
      </c>
      <c r="AB33" s="17" t="e">
        <f ref="AB33" si="33" t="shared">Q33-F33</f>
        <v>#DIV/0!</v>
      </c>
      <c r="AC33" s="17" t="e">
        <f ref="AC33:AD33" si="34" t="shared">R33-G33</f>
        <v>#DIV/0!</v>
      </c>
      <c r="AD33" s="17" t="e">
        <f si="34" t="shared"/>
        <v>#DIV/0!</v>
      </c>
      <c r="AE33" s="17"/>
      <c r="AF33" s="17" t="e">
        <f ref="AF33:AF39" si="35" t="shared">U33-J33</f>
        <v>#DIV/0!</v>
      </c>
    </row>
    <row r="34" spans="1:32" x14ac:dyDescent="0.25">
      <c r="A34" t="str">
        <f>$A$8</f>
        <v>Bellevue Downtown</v>
      </c>
      <c r="B34" s="17" t="e">
        <f ref="B34:G39" si="36" t="shared">B21/$J$28</f>
        <v>#DIV/0!</v>
      </c>
      <c r="C34" s="17" t="e">
        <f si="36" t="shared"/>
        <v>#DIV/0!</v>
      </c>
      <c r="D34" s="17" t="e">
        <f si="36" t="shared"/>
        <v>#DIV/0!</v>
      </c>
      <c r="E34" s="17" t="e">
        <f si="36" t="shared"/>
        <v>#DIV/0!</v>
      </c>
      <c r="F34" s="17" t="e">
        <f si="36" t="shared"/>
        <v>#DIV/0!</v>
      </c>
      <c r="G34" s="17" t="e">
        <f si="36" t="shared"/>
        <v>#DIV/0!</v>
      </c>
      <c r="H34" s="17" t="e">
        <f ref="H34" si="37" t="shared">H21/$J$28</f>
        <v>#DIV/0!</v>
      </c>
      <c r="I34" s="12"/>
      <c r="J34" s="17" t="e">
        <f si="27" t="shared"/>
        <v>#DIV/0!</v>
      </c>
      <c r="K34" s="12"/>
      <c r="L34" t="str">
        <f>$A$8</f>
        <v>Bellevue Downtown</v>
      </c>
      <c r="M34" s="17">
        <f ref="M34:R36" si="38" t="shared">M21/$U$28</f>
        <v>0</v>
      </c>
      <c r="N34" s="17">
        <f si="38" t="shared"/>
        <v>0</v>
      </c>
      <c r="O34" s="17">
        <f si="38" t="shared"/>
        <v>0</v>
      </c>
      <c r="P34" s="17">
        <f si="38" t="shared"/>
        <v>0</v>
      </c>
      <c r="Q34" s="17">
        <f si="38" t="shared"/>
        <v>0</v>
      </c>
      <c r="R34" s="17">
        <f si="38" t="shared"/>
        <v>0</v>
      </c>
      <c r="S34" s="17">
        <f ref="S34" si="39" t="shared">S21/$U$28</f>
        <v>0</v>
      </c>
      <c r="T34" s="17"/>
      <c r="U34" s="17">
        <f>U21/$U$28</f>
        <v>0</v>
      </c>
      <c r="W34" t="str">
        <f>$A$8</f>
        <v>Bellevue Downtown</v>
      </c>
      <c r="X34" s="17" t="e">
        <f ref="X34:X35" si="40" t="shared">M34-B34</f>
        <v>#DIV/0!</v>
      </c>
      <c r="Y34" s="17" t="e">
        <f si="30" t="shared"/>
        <v>#DIV/0!</v>
      </c>
      <c r="Z34" s="17" t="e">
        <f si="31" t="shared"/>
        <v>#DIV/0!</v>
      </c>
      <c r="AA34" s="17" t="e">
        <f ref="AA34:AA38" si="41" t="shared">P34-E34</f>
        <v>#DIV/0!</v>
      </c>
      <c r="AB34" s="17" t="e">
        <f ref="AB34:AB38" si="42" t="shared">Q34-F34</f>
        <v>#DIV/0!</v>
      </c>
      <c r="AC34" s="17" t="e">
        <f ref="AC34:AD38" si="43" t="shared">R34-G34</f>
        <v>#DIV/0!</v>
      </c>
      <c r="AD34" s="17" t="e">
        <f si="43" t="shared"/>
        <v>#DIV/0!</v>
      </c>
      <c r="AE34" s="17"/>
      <c r="AF34" s="17" t="e">
        <f si="35" t="shared"/>
        <v>#DIV/0!</v>
      </c>
    </row>
    <row r="35" spans="1:32" x14ac:dyDescent="0.25">
      <c r="A35" t="str">
        <f>$A$9</f>
        <v>Kirkland</v>
      </c>
      <c r="B35" s="17" t="e">
        <f si="36" t="shared"/>
        <v>#DIV/0!</v>
      </c>
      <c r="C35" s="17" t="e">
        <f si="36" t="shared"/>
        <v>#DIV/0!</v>
      </c>
      <c r="D35" s="17" t="e">
        <f si="36" t="shared"/>
        <v>#DIV/0!</v>
      </c>
      <c r="E35" s="17" t="e">
        <f si="36" t="shared"/>
        <v>#DIV/0!</v>
      </c>
      <c r="F35" s="17" t="e">
        <f si="36" t="shared"/>
        <v>#DIV/0!</v>
      </c>
      <c r="G35" s="17" t="e">
        <f si="36" t="shared"/>
        <v>#DIV/0!</v>
      </c>
      <c r="H35" s="17" t="e">
        <f ref="H35" si="44" t="shared">H22/$J$28</f>
        <v>#DIV/0!</v>
      </c>
      <c r="I35" s="12"/>
      <c r="J35" s="17" t="e">
        <f si="27" t="shared"/>
        <v>#DIV/0!</v>
      </c>
      <c r="K35" s="13"/>
      <c r="L35" t="str">
        <f>$A$9</f>
        <v>Kirkland</v>
      </c>
      <c r="M35" s="17">
        <f si="38" t="shared"/>
        <v>0</v>
      </c>
      <c r="N35" s="17">
        <f si="38" t="shared"/>
        <v>0</v>
      </c>
      <c r="O35" s="17">
        <f si="38" t="shared"/>
        <v>0</v>
      </c>
      <c r="P35" s="17">
        <f si="38" t="shared"/>
        <v>0</v>
      </c>
      <c r="Q35" s="17">
        <f si="38" t="shared"/>
        <v>0</v>
      </c>
      <c r="R35" s="17">
        <f si="38" t="shared"/>
        <v>0</v>
      </c>
      <c r="S35" s="17">
        <f ref="S35" si="45" t="shared">S22/$U$28</f>
        <v>0</v>
      </c>
      <c r="T35" s="17"/>
      <c r="U35" s="17">
        <f>U22/$U$28</f>
        <v>0</v>
      </c>
      <c r="W35" t="str">
        <f>$A$9</f>
        <v>Kirkland</v>
      </c>
      <c r="X35" s="17" t="e">
        <f si="40" t="shared"/>
        <v>#DIV/0!</v>
      </c>
      <c r="Y35" s="17" t="e">
        <f si="30" t="shared"/>
        <v>#DIV/0!</v>
      </c>
      <c r="Z35" s="17" t="e">
        <f si="31" t="shared"/>
        <v>#DIV/0!</v>
      </c>
      <c r="AA35" s="17" t="e">
        <f si="41" t="shared"/>
        <v>#DIV/0!</v>
      </c>
      <c r="AB35" s="17" t="e">
        <f si="42" t="shared"/>
        <v>#DIV/0!</v>
      </c>
      <c r="AC35" s="17" t="e">
        <f si="43" t="shared"/>
        <v>#DIV/0!</v>
      </c>
      <c r="AD35" s="17" t="e">
        <f si="43" t="shared"/>
        <v>#DIV/0!</v>
      </c>
      <c r="AE35" s="17"/>
      <c r="AF35" s="17" t="e">
        <f si="35" t="shared"/>
        <v>#DIV/0!</v>
      </c>
    </row>
    <row r="36" spans="1:32" x14ac:dyDescent="0.25">
      <c r="A36" t="str">
        <f>$A$10</f>
        <v>Redmond</v>
      </c>
      <c r="B36" s="17" t="e">
        <f si="36" t="shared"/>
        <v>#DIV/0!</v>
      </c>
      <c r="C36" s="17" t="e">
        <f si="36" t="shared"/>
        <v>#DIV/0!</v>
      </c>
      <c r="D36" s="17" t="e">
        <f si="36" t="shared"/>
        <v>#DIV/0!</v>
      </c>
      <c r="E36" s="17" t="e">
        <f si="36" t="shared"/>
        <v>#DIV/0!</v>
      </c>
      <c r="F36" s="17" t="e">
        <f si="36" t="shared"/>
        <v>#DIV/0!</v>
      </c>
      <c r="G36" s="17" t="e">
        <f si="36" t="shared"/>
        <v>#DIV/0!</v>
      </c>
      <c r="H36" s="17" t="e">
        <f ref="H36" si="46" t="shared">H23/$J$28</f>
        <v>#DIV/0!</v>
      </c>
      <c r="I36" s="12"/>
      <c r="J36" s="17" t="e">
        <f si="27" t="shared"/>
        <v>#DIV/0!</v>
      </c>
      <c r="K36" s="13"/>
      <c r="L36" t="str">
        <f>$A$10</f>
        <v>Redmond</v>
      </c>
      <c r="M36" s="17">
        <f si="38" t="shared"/>
        <v>0</v>
      </c>
      <c r="N36" s="17">
        <f si="38" t="shared"/>
        <v>0</v>
      </c>
      <c r="O36" s="17">
        <f si="38" t="shared"/>
        <v>0</v>
      </c>
      <c r="P36" s="17">
        <f si="38" t="shared"/>
        <v>0</v>
      </c>
      <c r="Q36" s="17">
        <f si="38" t="shared"/>
        <v>0</v>
      </c>
      <c r="R36" s="17">
        <f si="38" t="shared"/>
        <v>0</v>
      </c>
      <c r="S36" s="17">
        <f ref="S36" si="47" t="shared">S23/$U$28</f>
        <v>0</v>
      </c>
      <c r="T36" s="17"/>
      <c r="U36" s="17">
        <f ref="U36" si="48" t="shared">U23/$U$28</f>
        <v>0</v>
      </c>
      <c r="W36" t="str">
        <f>$A$10</f>
        <v>Redmond</v>
      </c>
      <c r="X36" s="17" t="e">
        <f ref="X36:X38" si="49" t="shared">M36-B36</f>
        <v>#DIV/0!</v>
      </c>
      <c r="Y36" s="17" t="e">
        <f ref="Y36:Y38" si="50" t="shared">N36-C36</f>
        <v>#DIV/0!</v>
      </c>
      <c r="Z36" s="17" t="e">
        <f ref="Z36:Z38" si="51" t="shared">O36-D36</f>
        <v>#DIV/0!</v>
      </c>
      <c r="AA36" s="17" t="e">
        <f si="41" t="shared"/>
        <v>#DIV/0!</v>
      </c>
      <c r="AB36" s="17" t="e">
        <f si="42" t="shared"/>
        <v>#DIV/0!</v>
      </c>
      <c r="AC36" s="17" t="e">
        <f si="43" t="shared"/>
        <v>#DIV/0!</v>
      </c>
      <c r="AD36" s="17" t="e">
        <f si="43" t="shared"/>
        <v>#DIV/0!</v>
      </c>
      <c r="AE36" s="17"/>
      <c r="AF36" s="17" t="e">
        <f si="35" t="shared"/>
        <v>#DIV/0!</v>
      </c>
    </row>
    <row r="37" spans="1:32" x14ac:dyDescent="0.25">
      <c r="A37" t="str">
        <f>$A$11</f>
        <v>Seattle</v>
      </c>
      <c r="B37" s="17" t="e">
        <f si="36" t="shared"/>
        <v>#DIV/0!</v>
      </c>
      <c r="C37" s="17" t="e">
        <f si="36" t="shared"/>
        <v>#DIV/0!</v>
      </c>
      <c r="D37" s="17" t="e">
        <f si="36" t="shared"/>
        <v>#DIV/0!</v>
      </c>
      <c r="E37" s="17" t="e">
        <f si="36" t="shared"/>
        <v>#DIV/0!</v>
      </c>
      <c r="F37" s="17" t="e">
        <f si="36" t="shared"/>
        <v>#DIV/0!</v>
      </c>
      <c r="G37" s="17" t="e">
        <f si="36" t="shared"/>
        <v>#DIV/0!</v>
      </c>
      <c r="H37" s="17" t="e">
        <f ref="H37" si="52" t="shared">H24/$J$28</f>
        <v>#DIV/0!</v>
      </c>
      <c r="I37" s="12"/>
      <c r="J37" s="17" t="e">
        <f si="27" t="shared"/>
        <v>#DIV/0!</v>
      </c>
      <c r="K37" s="13"/>
      <c r="L37" t="str">
        <f>$A$11</f>
        <v>Seattle</v>
      </c>
      <c r="M37" s="17">
        <f ref="M37:N39" si="53" t="shared">M24/$U$28</f>
        <v>3.6825680496605133E-3</v>
      </c>
      <c r="N37" s="17">
        <f si="53" t="shared"/>
        <v>9.7479742491013584E-4</v>
      </c>
      <c r="O37" s="17">
        <f ref="O37:R37" si="54" t="shared">O24/$U$28</f>
        <v>3.594565504356126E-3</v>
      </c>
      <c r="P37" s="17">
        <f si="54" t="shared"/>
        <v>1.2777292635540844E-3</v>
      </c>
      <c r="Q37" s="17">
        <f si="54" t="shared"/>
        <v>0.13612978344604429</v>
      </c>
      <c r="R37" s="17">
        <f si="54" t="shared"/>
        <v>1.5371675365379799E-2</v>
      </c>
      <c r="S37" s="17">
        <f ref="S37" si="55" t="shared">S24/$U$28</f>
        <v>1.8522843429933052E-2</v>
      </c>
      <c r="T37" s="17"/>
      <c r="U37" s="17">
        <f ref="U37" si="56" t="shared">U24/$U$28</f>
        <v>0.17955396248383798</v>
      </c>
      <c r="W37" t="str">
        <f>$A$11</f>
        <v>Seattle</v>
      </c>
      <c r="X37" s="17" t="e">
        <f si="49" t="shared"/>
        <v>#DIV/0!</v>
      </c>
      <c r="Y37" s="17" t="e">
        <f si="50" t="shared"/>
        <v>#DIV/0!</v>
      </c>
      <c r="Z37" s="17" t="e">
        <f si="51" t="shared"/>
        <v>#DIV/0!</v>
      </c>
      <c r="AA37" s="17" t="e">
        <f si="41" t="shared"/>
        <v>#DIV/0!</v>
      </c>
      <c r="AB37" s="17" t="e">
        <f si="42" t="shared"/>
        <v>#DIV/0!</v>
      </c>
      <c r="AC37" s="17" t="e">
        <f si="43" t="shared"/>
        <v>#DIV/0!</v>
      </c>
      <c r="AD37" s="17" t="e">
        <f si="43" t="shared"/>
        <v>#DIV/0!</v>
      </c>
      <c r="AE37" s="17"/>
      <c r="AF37" s="17" t="e">
        <f si="35" t="shared"/>
        <v>#DIV/0!</v>
      </c>
    </row>
    <row r="38" spans="1:32" x14ac:dyDescent="0.25">
      <c r="A38" t="str">
        <f>$A$12</f>
        <v>Seattle Downtown</v>
      </c>
      <c r="B38" s="17" t="e">
        <f si="36" t="shared"/>
        <v>#DIV/0!</v>
      </c>
      <c r="C38" s="17" t="e">
        <f si="36" t="shared"/>
        <v>#DIV/0!</v>
      </c>
      <c r="D38" s="17" t="e">
        <f si="36" t="shared"/>
        <v>#DIV/0!</v>
      </c>
      <c r="E38" s="17" t="e">
        <f si="36" t="shared"/>
        <v>#DIV/0!</v>
      </c>
      <c r="F38" s="17" t="e">
        <f si="36" t="shared"/>
        <v>#DIV/0!</v>
      </c>
      <c r="G38" s="17" t="e">
        <f si="36" t="shared"/>
        <v>#DIV/0!</v>
      </c>
      <c r="H38" s="17" t="e">
        <f ref="H38" si="57" t="shared">H25/$J$28</f>
        <v>#DIV/0!</v>
      </c>
      <c r="I38" s="12"/>
      <c r="J38" s="17" t="e">
        <f si="27" t="shared"/>
        <v>#DIV/0!</v>
      </c>
      <c r="K38" s="13"/>
      <c r="L38" t="str">
        <f>$A$12</f>
        <v>Seattle Downtown</v>
      </c>
      <c r="M38" s="17">
        <f si="53" t="shared"/>
        <v>3.0970126520582443E-4</v>
      </c>
      <c r="N38" s="17">
        <f si="53" t="shared"/>
        <v>6.6001908978290444E-5</v>
      </c>
      <c r="O38" s="17">
        <f ref="O38:R39" si="58" t="shared">O25/$U$28</f>
        <v>8.8002545304387259E-5</v>
      </c>
      <c r="P38" s="17">
        <f si="58" t="shared"/>
        <v>7.9540762102042336E-5</v>
      </c>
      <c r="Q38" s="17">
        <f si="58" t="shared"/>
        <v>5.2158431659254144E-3</v>
      </c>
      <c r="R38" s="17">
        <f si="58" t="shared"/>
        <v>1.1479255092301131E-2</v>
      </c>
      <c r="S38" s="17">
        <f ref="S38" si="59" t="shared">S25/$U$28</f>
        <v>7.514063483682297E-4</v>
      </c>
      <c r="T38" s="17"/>
      <c r="U38" s="17">
        <f ref="U38:U39" si="60" t="shared">U25/$U$28</f>
        <v>1.7989751088185318E-2</v>
      </c>
      <c r="W38" t="str">
        <f>$A$12</f>
        <v>Seattle Downtown</v>
      </c>
      <c r="X38" s="17" t="e">
        <f si="49" t="shared"/>
        <v>#DIV/0!</v>
      </c>
      <c r="Y38" s="17" t="e">
        <f si="50" t="shared"/>
        <v>#DIV/0!</v>
      </c>
      <c r="Z38" s="17" t="e">
        <f si="51" t="shared"/>
        <v>#DIV/0!</v>
      </c>
      <c r="AA38" s="17" t="e">
        <f si="41" t="shared"/>
        <v>#DIV/0!</v>
      </c>
      <c r="AB38" s="17" t="e">
        <f si="42" t="shared"/>
        <v>#DIV/0!</v>
      </c>
      <c r="AC38" s="17" t="e">
        <f si="43" t="shared"/>
        <v>#DIV/0!</v>
      </c>
      <c r="AD38" s="17" t="e">
        <f si="43" t="shared"/>
        <v>#DIV/0!</v>
      </c>
      <c r="AE38" s="17"/>
      <c r="AF38" s="17" t="e">
        <f si="35" t="shared"/>
        <v>#DIV/0!</v>
      </c>
    </row>
    <row r="39" spans="1:32" x14ac:dyDescent="0.25">
      <c r="A39" t="str">
        <f>$A$13</f>
        <v>Rest</v>
      </c>
      <c r="B39" s="17" t="e">
        <f si="36" t="shared"/>
        <v>#DIV/0!</v>
      </c>
      <c r="C39" s="17" t="e">
        <f si="36" t="shared"/>
        <v>#DIV/0!</v>
      </c>
      <c r="D39" s="17" t="e">
        <f si="36" t="shared"/>
        <v>#DIV/0!</v>
      </c>
      <c r="E39" s="17" t="e">
        <f si="36" t="shared"/>
        <v>#DIV/0!</v>
      </c>
      <c r="F39" s="17" t="e">
        <f si="36" t="shared"/>
        <v>#DIV/0!</v>
      </c>
      <c r="G39" s="17" t="e">
        <f si="36" t="shared"/>
        <v>#DIV/0!</v>
      </c>
      <c r="H39" s="17" t="e">
        <f ref="H39" si="61" t="shared">H26/$J$28</f>
        <v>#DIV/0!</v>
      </c>
      <c r="I39" s="12"/>
      <c r="J39" s="17" t="e">
        <f si="27" t="shared"/>
        <v>#DIV/0!</v>
      </c>
      <c r="K39" s="13"/>
      <c r="L39" t="str">
        <f>$A$13</f>
        <v>Rest</v>
      </c>
      <c r="M39" s="17">
        <f si="53" t="shared"/>
        <v>1.7925441535847499E-2</v>
      </c>
      <c r="N39" s="17">
        <f si="53" t="shared"/>
        <v>3.2560941762623287E-3</v>
      </c>
      <c r="O39" s="17">
        <f si="58" t="shared"/>
        <v>1.39856352768357E-2</v>
      </c>
      <c r="P39" s="17">
        <f si="58" t="shared"/>
        <v>1.0558613079886002E-2</v>
      </c>
      <c r="Q39" s="17">
        <f si="58" t="shared"/>
        <v>5.1691341226484708E-2</v>
      </c>
      <c r="R39" s="17">
        <f si="58" t="shared"/>
        <v>9.7073576897301027E-3</v>
      </c>
      <c r="S39" s="17">
        <f ref="S39" si="62" t="shared">S26/$U$28</f>
        <v>0.69533180344293033</v>
      </c>
      <c r="T39" s="17"/>
      <c r="U39" s="17">
        <f si="60" t="shared"/>
        <v>0.80245628642797673</v>
      </c>
      <c r="W39" t="str">
        <f>$A$13</f>
        <v>Rest</v>
      </c>
      <c r="X39" s="17" t="e">
        <f ref="X39" si="63" t="shared">M39-B39</f>
        <v>#DIV/0!</v>
      </c>
      <c r="Y39" s="17" t="e">
        <f ref="Y39" si="64" t="shared">N39-C39</f>
        <v>#DIV/0!</v>
      </c>
      <c r="Z39" s="17" t="e">
        <f ref="Z39" si="65" t="shared">O39-D39</f>
        <v>#DIV/0!</v>
      </c>
      <c r="AA39" s="17" t="e">
        <f ref="AA39" si="66" t="shared">P39-E39</f>
        <v>#DIV/0!</v>
      </c>
      <c r="AB39" s="17" t="e">
        <f ref="AB39" si="67" t="shared">Q39-F39</f>
        <v>#DIV/0!</v>
      </c>
      <c r="AC39" s="17" t="e">
        <f ref="AC39:AD39" si="68" t="shared">R39-G39</f>
        <v>#DIV/0!</v>
      </c>
      <c r="AD39" s="17" t="e">
        <f si="68" t="shared"/>
        <v>#DIV/0!</v>
      </c>
      <c r="AE39" s="17"/>
      <c r="AF39" s="17" t="e">
        <f si="35" t="shared"/>
        <v>#DIV/0!</v>
      </c>
    </row>
    <row r="40" spans="1:32" x14ac:dyDescent="0.25">
      <c r="A40" s="7" t="s">
        <v>13</v>
      </c>
      <c r="B40" s="14"/>
      <c r="C40" s="14"/>
      <c r="D40" s="14"/>
      <c r="E40" s="14"/>
      <c r="F40" s="14"/>
      <c r="G40" s="14"/>
      <c r="H40" s="14"/>
      <c r="I40" s="14"/>
      <c r="J40" s="18"/>
      <c r="K40" s="12"/>
      <c r="L40" s="15" t="s">
        <v>13</v>
      </c>
      <c r="M40" s="18"/>
      <c r="N40" s="18"/>
      <c r="O40" s="18"/>
      <c r="P40" s="18"/>
      <c r="Q40" s="18"/>
      <c r="R40" s="18"/>
      <c r="S40" s="18"/>
      <c r="T40" s="18"/>
      <c r="U40" s="18"/>
      <c r="W40" s="15" t="s">
        <v>13</v>
      </c>
      <c r="X40" s="18"/>
      <c r="Y40" s="18"/>
      <c r="Z40" s="18"/>
      <c r="AA40" s="18"/>
      <c r="AB40" s="18"/>
      <c r="AC40" s="18"/>
      <c r="AD40" s="18"/>
      <c r="AE40" s="18"/>
      <c r="AF40" s="18"/>
    </row>
    <row ht="15.75" r="41" spans="1:32" thickBot="1" x14ac:dyDescent="0.3">
      <c r="A41" s="1" t="s">
        <v>4</v>
      </c>
      <c r="B41" s="19" t="e">
        <f ref="B41:H41" si="69" t="shared">B28/$J$28</f>
        <v>#DIV/0!</v>
      </c>
      <c r="C41" s="19" t="e">
        <f si="69" t="shared"/>
        <v>#DIV/0!</v>
      </c>
      <c r="D41" s="19" t="e">
        <f si="69" t="shared"/>
        <v>#DIV/0!</v>
      </c>
      <c r="E41" s="19" t="e">
        <f si="69" t="shared"/>
        <v>#DIV/0!</v>
      </c>
      <c r="F41" s="19" t="e">
        <f si="69" t="shared"/>
        <v>#DIV/0!</v>
      </c>
      <c r="G41" s="19" t="e">
        <f si="69" t="shared"/>
        <v>#DIV/0!</v>
      </c>
      <c r="H41" s="19" t="e">
        <f si="69" t="shared"/>
        <v>#DIV/0!</v>
      </c>
      <c r="I41" s="19" t="e">
        <f>I28/$J$28</f>
        <v>#DIV/0!</v>
      </c>
      <c r="J41" s="19" t="e">
        <f>J28/$J$28</f>
        <v>#DIV/0!</v>
      </c>
      <c r="K41" s="12"/>
      <c r="L41" s="16" t="s">
        <v>4</v>
      </c>
      <c r="M41" s="19">
        <f>M28/$U$28</f>
        <v>2.1917710850713836E-2</v>
      </c>
      <c r="N41" s="19">
        <f>N28/$U$28</f>
        <v>4.2968935101507554E-3</v>
      </c>
      <c r="O41" s="19">
        <f>O28/$U$28</f>
        <v>1.7668203326496212E-2</v>
      </c>
      <c r="P41" s="19">
        <f>P28/$U$28</f>
        <v>1.1915883105542129E-2</v>
      </c>
      <c r="Q41" s="19">
        <f ref="Q41:S41" si="70" t="shared">Q28/$U$28</f>
        <v>0.19303696783845439</v>
      </c>
      <c r="R41" s="19">
        <f si="70" t="shared"/>
        <v>3.6558288147411036E-2</v>
      </c>
      <c r="S41" s="19">
        <f si="70" t="shared"/>
        <v>0.71460605322123161</v>
      </c>
      <c r="T41" s="19">
        <f>T28/$U$28</f>
        <v>0</v>
      </c>
      <c r="U41" s="19">
        <f>U28/$U$28</f>
        <v>1</v>
      </c>
      <c r="W41" s="16" t="s">
        <v>4</v>
      </c>
      <c r="X41" s="19" t="e">
        <f ref="X41:AF41" si="71" t="shared">M41-B41</f>
        <v>#DIV/0!</v>
      </c>
      <c r="Y41" s="19" t="e">
        <f si="71" t="shared"/>
        <v>#DIV/0!</v>
      </c>
      <c r="Z41" s="19" t="e">
        <f si="71" t="shared"/>
        <v>#DIV/0!</v>
      </c>
      <c r="AA41" s="19" t="e">
        <f si="71" t="shared"/>
        <v>#DIV/0!</v>
      </c>
      <c r="AB41" s="19" t="e">
        <f si="71" t="shared"/>
        <v>#DIV/0!</v>
      </c>
      <c r="AC41" s="19" t="e">
        <f si="71" t="shared"/>
        <v>#DIV/0!</v>
      </c>
      <c r="AD41" s="19" t="e">
        <f si="71" t="shared"/>
        <v>#DIV/0!</v>
      </c>
      <c r="AE41" s="19" t="e">
        <f si="71" t="shared"/>
        <v>#DIV/0!</v>
      </c>
      <c r="AF41" s="19" t="e">
        <f si="71" t="shared"/>
        <v>#DIV/0!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C15"/>
  <sheetViews>
    <sheetView workbookViewId="0">
      <selection activeCell="G13" sqref="G13"/>
    </sheetView>
  </sheetViews>
  <sheetFormatPr defaultRowHeight="15" x14ac:dyDescent="0.25"/>
  <sheetData>
    <row r="1" spans="1:3" x14ac:dyDescent="0.25">
      <c r="A1" s="10" t="s">
        <v>20</v>
      </c>
    </row>
    <row r="2" spans="1:3" x14ac:dyDescent="0.25">
      <c r="A2">
        <v>1</v>
      </c>
      <c r="B2" t="s">
        <v>246</v>
      </c>
    </row>
    <row r="3" spans="1:3" x14ac:dyDescent="0.25">
      <c r="B3" t="s">
        <v>21</v>
      </c>
      <c r="C3" t="s">
        <v>22</v>
      </c>
    </row>
    <row r="4" spans="1:3" x14ac:dyDescent="0.25">
      <c r="B4" t="s">
        <v>23</v>
      </c>
      <c r="C4" t="s">
        <v>24</v>
      </c>
    </row>
    <row r="5" spans="1:3" x14ac:dyDescent="0.25">
      <c r="B5" t="s">
        <v>25</v>
      </c>
      <c r="C5" t="s">
        <v>26</v>
      </c>
    </row>
    <row r="6" spans="1:3" x14ac:dyDescent="0.25">
      <c r="B6" t="s">
        <v>27</v>
      </c>
      <c r="C6" t="s">
        <v>28</v>
      </c>
    </row>
    <row r="8" spans="1:3" x14ac:dyDescent="0.25">
      <c r="A8">
        <v>2</v>
      </c>
      <c r="B8" t="s">
        <v>29</v>
      </c>
    </row>
    <row r="10" spans="1:3" x14ac:dyDescent="0.25">
      <c r="A10">
        <v>3</v>
      </c>
      <c r="B10" t="s">
        <v>30</v>
      </c>
    </row>
    <row r="12" spans="1:3" x14ac:dyDescent="0.25">
      <c r="A12">
        <v>4</v>
      </c>
      <c r="B12" t="s">
        <v>31</v>
      </c>
    </row>
    <row r="14" spans="1:3" x14ac:dyDescent="0.25">
      <c r="A14">
        <v>5</v>
      </c>
      <c r="B14" t="s">
        <v>32</v>
      </c>
    </row>
    <row r="15" spans="1:3" x14ac:dyDescent="0.25">
      <c r="B15" t="s">
        <v>33</v>
      </c>
    </row>
  </sheetData>
  <pageMargins bottom="0.75" footer="0.3" header="0.3" left="0.7" right="0.7" top="0.75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04"/>
  <sheetViews>
    <sheetView topLeftCell="A17" workbookViewId="0">
      <selection activeCell="B39" sqref="B39"/>
    </sheetView>
  </sheetViews>
  <sheetFormatPr defaultRowHeight="15" x14ac:dyDescent="0.25"/>
  <cols>
    <col min="2" max="2" customWidth="true" width="10.7109375" collapsed="true"/>
    <col min="3" max="3" customWidth="true" width="13.7109375" collapsed="true"/>
  </cols>
  <sheetData>
    <row r="1" spans="1:4" x14ac:dyDescent="0.25">
      <c r="A1" s="386" t="s">
        <v>42</v>
      </c>
    </row>
    <row r="2" spans="1:4" x14ac:dyDescent="0.25">
      <c r="A2" t="s">
        <v>259</v>
      </c>
      <c r="B2" t="s">
        <v>260</v>
      </c>
      <c r="C2" t="s">
        <v>91</v>
      </c>
      <c r="D2" t="s">
        <v>261</v>
      </c>
    </row>
    <row r="3" spans="1:4" x14ac:dyDescent="0.25">
      <c r="A3">
        <v>1</v>
      </c>
      <c r="B3" t="s">
        <v>45</v>
      </c>
      <c r="C3" t="s">
        <v>262</v>
      </c>
      <c r="D3" t="s">
        <v>46</v>
      </c>
    </row>
    <row r="4" spans="1:4" x14ac:dyDescent="0.25">
      <c r="A4">
        <v>2</v>
      </c>
      <c r="B4" t="s">
        <v>48</v>
      </c>
      <c r="C4" t="s">
        <v>262</v>
      </c>
      <c r="D4" t="s">
        <v>49</v>
      </c>
    </row>
    <row r="5" spans="1:4" x14ac:dyDescent="0.25">
      <c r="A5">
        <v>3</v>
      </c>
      <c r="B5" t="s">
        <v>51</v>
      </c>
      <c r="C5" t="s">
        <v>262</v>
      </c>
      <c r="D5" t="s">
        <v>52</v>
      </c>
    </row>
    <row r="6" spans="1:4" x14ac:dyDescent="0.25">
      <c r="A6">
        <v>4</v>
      </c>
      <c r="B6" t="s">
        <v>54</v>
      </c>
      <c r="C6" t="s">
        <v>262</v>
      </c>
      <c r="D6" t="s">
        <v>55</v>
      </c>
    </row>
    <row r="7" spans="1:4" x14ac:dyDescent="0.25">
      <c r="A7">
        <v>5</v>
      </c>
      <c r="B7" t="s">
        <v>57</v>
      </c>
      <c r="C7" t="s">
        <v>262</v>
      </c>
      <c r="D7" t="s">
        <v>58</v>
      </c>
    </row>
    <row r="8" spans="1:4" x14ac:dyDescent="0.25">
      <c r="A8">
        <v>6</v>
      </c>
      <c r="B8" t="s">
        <v>59</v>
      </c>
      <c r="C8" t="s">
        <v>262</v>
      </c>
      <c r="D8" t="s">
        <v>60</v>
      </c>
    </row>
    <row r="9" spans="1:4" x14ac:dyDescent="0.25">
      <c r="A9">
        <v>7</v>
      </c>
      <c r="B9" t="s">
        <v>61</v>
      </c>
      <c r="C9" t="s">
        <v>262</v>
      </c>
      <c r="D9" t="s">
        <v>62</v>
      </c>
    </row>
    <row r="10" spans="1:4" x14ac:dyDescent="0.25">
      <c r="A10">
        <v>8</v>
      </c>
      <c r="B10" t="s">
        <v>64</v>
      </c>
      <c r="C10" t="s">
        <v>262</v>
      </c>
      <c r="D10" t="s">
        <v>65</v>
      </c>
    </row>
    <row r="11" spans="1:4" x14ac:dyDescent="0.25">
      <c r="A11">
        <v>9</v>
      </c>
      <c r="B11" t="s">
        <v>66</v>
      </c>
      <c r="C11" t="s">
        <v>262</v>
      </c>
      <c r="D11" t="s">
        <v>67</v>
      </c>
    </row>
    <row r="12" spans="1:4" x14ac:dyDescent="0.25">
      <c r="A12">
        <v>10</v>
      </c>
      <c r="B12" t="s">
        <v>68</v>
      </c>
      <c r="C12" t="s">
        <v>262</v>
      </c>
      <c r="D12" t="s">
        <v>69</v>
      </c>
    </row>
    <row r="13" spans="1:4" x14ac:dyDescent="0.25">
      <c r="A13">
        <v>11</v>
      </c>
      <c r="B13" t="s">
        <v>70</v>
      </c>
      <c r="C13" t="s">
        <v>262</v>
      </c>
      <c r="D13" t="s">
        <v>71</v>
      </c>
    </row>
    <row r="14" spans="1:4" x14ac:dyDescent="0.25">
      <c r="A14">
        <v>12</v>
      </c>
      <c r="B14" t="s">
        <v>72</v>
      </c>
      <c r="C14" t="s">
        <v>262</v>
      </c>
      <c r="D14" t="s">
        <v>73</v>
      </c>
    </row>
    <row r="15" spans="1:4" x14ac:dyDescent="0.25">
      <c r="A15">
        <v>13</v>
      </c>
      <c r="B15" t="s">
        <v>74</v>
      </c>
      <c r="C15" t="s">
        <v>262</v>
      </c>
      <c r="D15" t="s">
        <v>75</v>
      </c>
    </row>
    <row r="16" spans="1:4" x14ac:dyDescent="0.25">
      <c r="A16">
        <v>14</v>
      </c>
      <c r="B16" t="s">
        <v>76</v>
      </c>
      <c r="C16" t="s">
        <v>262</v>
      </c>
      <c r="D16" t="s">
        <v>77</v>
      </c>
    </row>
    <row r="17" spans="1:4" x14ac:dyDescent="0.25">
      <c r="A17">
        <v>15</v>
      </c>
      <c r="B17" t="s">
        <v>78</v>
      </c>
      <c r="C17" t="s">
        <v>262</v>
      </c>
      <c r="D17" t="s">
        <v>79</v>
      </c>
    </row>
    <row r="18" spans="1:4" x14ac:dyDescent="0.25">
      <c r="A18">
        <v>16</v>
      </c>
      <c r="B18" t="s">
        <v>80</v>
      </c>
      <c r="C18" t="s">
        <v>262</v>
      </c>
      <c r="D18" t="s">
        <v>81</v>
      </c>
    </row>
    <row r="19" spans="1:4" x14ac:dyDescent="0.25">
      <c r="A19">
        <v>17</v>
      </c>
      <c r="B19" t="s">
        <v>83</v>
      </c>
      <c r="C19" t="s">
        <v>262</v>
      </c>
      <c r="D19" t="s">
        <v>84</v>
      </c>
    </row>
    <row r="20" spans="1:4" x14ac:dyDescent="0.25">
      <c r="A20">
        <v>18</v>
      </c>
      <c r="B20" t="s">
        <v>86</v>
      </c>
      <c r="C20" t="s">
        <v>262</v>
      </c>
      <c r="D20" t="s">
        <v>87</v>
      </c>
    </row>
    <row r="21" spans="1:4" x14ac:dyDescent="0.25">
      <c r="A21">
        <v>19</v>
      </c>
      <c r="B21" t="s">
        <v>89</v>
      </c>
      <c r="C21" t="s">
        <v>262</v>
      </c>
      <c r="D21" t="s">
        <v>90</v>
      </c>
    </row>
    <row r="22" spans="1:4" x14ac:dyDescent="0.25">
      <c r="A22">
        <v>20</v>
      </c>
      <c r="B22" t="s">
        <v>92</v>
      </c>
      <c r="C22" t="s">
        <v>88</v>
      </c>
      <c r="D22" t="s">
        <v>93</v>
      </c>
    </row>
    <row r="23" spans="1:4" x14ac:dyDescent="0.25">
      <c r="A23">
        <v>21</v>
      </c>
      <c r="B23" t="s">
        <v>94</v>
      </c>
      <c r="C23" t="s">
        <v>88</v>
      </c>
      <c r="D23" t="s">
        <v>95</v>
      </c>
    </row>
    <row r="24" spans="1:4" x14ac:dyDescent="0.25">
      <c r="A24">
        <v>22</v>
      </c>
      <c r="B24" t="s">
        <v>96</v>
      </c>
      <c r="C24" t="s">
        <v>88</v>
      </c>
      <c r="D24" t="s">
        <v>97</v>
      </c>
    </row>
    <row r="25" spans="1:4" x14ac:dyDescent="0.25">
      <c r="A25">
        <v>23</v>
      </c>
      <c r="B25" t="s">
        <v>98</v>
      </c>
      <c r="C25" t="s">
        <v>88</v>
      </c>
      <c r="D25" t="s">
        <v>99</v>
      </c>
    </row>
    <row r="26" spans="1:4" x14ac:dyDescent="0.25">
      <c r="A26">
        <v>24</v>
      </c>
      <c r="B26" t="s">
        <v>100</v>
      </c>
      <c r="C26" t="s">
        <v>88</v>
      </c>
      <c r="D26" t="s">
        <v>101</v>
      </c>
    </row>
    <row r="27" spans="1:4" x14ac:dyDescent="0.25">
      <c r="A27">
        <v>25</v>
      </c>
      <c r="B27" t="s">
        <v>103</v>
      </c>
      <c r="C27" t="s">
        <v>88</v>
      </c>
      <c r="D27" t="s">
        <v>104</v>
      </c>
    </row>
    <row r="28" spans="1:4" x14ac:dyDescent="0.25">
      <c r="A28">
        <v>26</v>
      </c>
      <c r="B28" t="s">
        <v>105</v>
      </c>
      <c r="C28" t="s">
        <v>102</v>
      </c>
      <c r="D28" t="s">
        <v>93</v>
      </c>
    </row>
    <row r="29" spans="1:4" x14ac:dyDescent="0.25">
      <c r="A29">
        <v>27</v>
      </c>
      <c r="B29" t="s">
        <v>106</v>
      </c>
      <c r="C29" t="s">
        <v>102</v>
      </c>
      <c r="D29" t="s">
        <v>95</v>
      </c>
    </row>
    <row r="30" spans="1:4" x14ac:dyDescent="0.25">
      <c r="A30">
        <v>28</v>
      </c>
      <c r="B30" t="s">
        <v>108</v>
      </c>
      <c r="C30" t="s">
        <v>102</v>
      </c>
      <c r="D30" t="s">
        <v>97</v>
      </c>
    </row>
    <row r="31" spans="1:4" x14ac:dyDescent="0.25">
      <c r="A31">
        <v>29</v>
      </c>
      <c r="B31" t="s">
        <v>109</v>
      </c>
      <c r="C31" t="s">
        <v>102</v>
      </c>
      <c r="D31" t="s">
        <v>99</v>
      </c>
    </row>
    <row r="32" spans="1:4" x14ac:dyDescent="0.25">
      <c r="A32">
        <v>30</v>
      </c>
      <c r="B32" t="s">
        <v>110</v>
      </c>
      <c r="C32" t="s">
        <v>102</v>
      </c>
      <c r="D32" t="s">
        <v>111</v>
      </c>
    </row>
    <row r="33" spans="1:4" x14ac:dyDescent="0.25">
      <c r="A33">
        <v>31</v>
      </c>
      <c r="B33" t="s">
        <v>112</v>
      </c>
      <c r="C33" t="s">
        <v>102</v>
      </c>
      <c r="D33" t="s">
        <v>113</v>
      </c>
    </row>
    <row r="34" spans="1:4" x14ac:dyDescent="0.25">
      <c r="A34">
        <v>32</v>
      </c>
      <c r="B34" t="s">
        <v>114</v>
      </c>
      <c r="C34" t="s">
        <v>102</v>
      </c>
      <c r="D34" t="s">
        <v>115</v>
      </c>
    </row>
    <row r="35" spans="1:4" x14ac:dyDescent="0.25">
      <c r="A35">
        <v>33</v>
      </c>
      <c r="B35" t="s">
        <v>116</v>
      </c>
      <c r="C35" t="s">
        <v>102</v>
      </c>
      <c r="D35" t="s">
        <v>117</v>
      </c>
    </row>
    <row r="36" spans="1:4" x14ac:dyDescent="0.25">
      <c r="A36">
        <v>34</v>
      </c>
      <c r="B36" t="s">
        <v>118</v>
      </c>
      <c r="C36" t="s">
        <v>102</v>
      </c>
      <c r="D36" t="s">
        <v>119</v>
      </c>
    </row>
    <row r="37" spans="1:4" x14ac:dyDescent="0.25">
      <c r="A37">
        <v>35</v>
      </c>
      <c r="B37" t="s">
        <v>121</v>
      </c>
      <c r="C37" t="s">
        <v>102</v>
      </c>
      <c r="D37" t="s">
        <v>122</v>
      </c>
    </row>
    <row r="38" spans="1:4" x14ac:dyDescent="0.25">
      <c r="A38">
        <v>36</v>
      </c>
      <c r="B38" t="s">
        <v>123</v>
      </c>
      <c r="C38" t="s">
        <v>120</v>
      </c>
      <c r="D38" t="s">
        <v>93</v>
      </c>
    </row>
    <row r="39" spans="1:4" x14ac:dyDescent="0.25">
      <c r="A39">
        <v>37</v>
      </c>
      <c r="B39" t="s">
        <v>124</v>
      </c>
      <c r="C39" t="s">
        <v>120</v>
      </c>
      <c r="D39" t="s">
        <v>95</v>
      </c>
    </row>
    <row r="40" spans="1:4" x14ac:dyDescent="0.25">
      <c r="A40">
        <v>38</v>
      </c>
      <c r="B40" t="s">
        <v>126</v>
      </c>
      <c r="C40" t="s">
        <v>120</v>
      </c>
      <c r="D40" t="s">
        <v>97</v>
      </c>
    </row>
    <row r="41" spans="1:4" x14ac:dyDescent="0.25">
      <c r="A41">
        <v>39</v>
      </c>
      <c r="B41" t="s">
        <v>127</v>
      </c>
      <c r="C41" t="s">
        <v>120</v>
      </c>
      <c r="D41" t="s">
        <v>99</v>
      </c>
    </row>
    <row r="42" spans="1:4" x14ac:dyDescent="0.25">
      <c r="A42">
        <v>40</v>
      </c>
      <c r="B42" t="s">
        <v>128</v>
      </c>
      <c r="C42" t="s">
        <v>120</v>
      </c>
      <c r="D42" t="s">
        <v>111</v>
      </c>
    </row>
    <row r="43" spans="1:4" x14ac:dyDescent="0.25">
      <c r="A43">
        <v>41</v>
      </c>
      <c r="B43" t="s">
        <v>129</v>
      </c>
      <c r="C43" t="s">
        <v>120</v>
      </c>
      <c r="D43" t="s">
        <v>113</v>
      </c>
    </row>
    <row r="44" spans="1:4" x14ac:dyDescent="0.25">
      <c r="A44">
        <v>42</v>
      </c>
      <c r="B44" t="s">
        <v>131</v>
      </c>
      <c r="C44" t="s">
        <v>120</v>
      </c>
      <c r="D44" t="s">
        <v>132</v>
      </c>
    </row>
    <row r="45" spans="1:4" x14ac:dyDescent="0.25">
      <c r="A45">
        <v>43</v>
      </c>
      <c r="B45" t="s">
        <v>133</v>
      </c>
      <c r="C45" t="s">
        <v>130</v>
      </c>
      <c r="D45" t="s">
        <v>93</v>
      </c>
    </row>
    <row r="46" spans="1:4" x14ac:dyDescent="0.25">
      <c r="A46">
        <v>44</v>
      </c>
      <c r="B46" t="s">
        <v>134</v>
      </c>
      <c r="C46" t="s">
        <v>130</v>
      </c>
      <c r="D46" t="s">
        <v>135</v>
      </c>
    </row>
    <row r="47" spans="1:4" x14ac:dyDescent="0.25">
      <c r="A47">
        <v>45</v>
      </c>
      <c r="B47" t="s">
        <v>136</v>
      </c>
      <c r="C47" t="s">
        <v>130</v>
      </c>
      <c r="D47" t="s">
        <v>137</v>
      </c>
    </row>
    <row r="48" spans="1:4" x14ac:dyDescent="0.25">
      <c r="A48">
        <v>46</v>
      </c>
      <c r="B48" t="s">
        <v>138</v>
      </c>
      <c r="C48" t="s">
        <v>130</v>
      </c>
      <c r="D48" t="s">
        <v>139</v>
      </c>
    </row>
    <row r="49" spans="1:4" x14ac:dyDescent="0.25">
      <c r="A49">
        <v>47</v>
      </c>
      <c r="B49" t="s">
        <v>140</v>
      </c>
      <c r="C49" t="s">
        <v>130</v>
      </c>
      <c r="D49" t="s">
        <v>141</v>
      </c>
    </row>
    <row r="50" spans="1:4" x14ac:dyDescent="0.25">
      <c r="A50">
        <v>48</v>
      </c>
      <c r="B50" t="s">
        <v>143</v>
      </c>
      <c r="C50" t="s">
        <v>130</v>
      </c>
      <c r="D50" t="s">
        <v>144</v>
      </c>
    </row>
    <row r="51" spans="1:4" x14ac:dyDescent="0.25">
      <c r="A51">
        <v>49</v>
      </c>
      <c r="B51" t="s">
        <v>145</v>
      </c>
      <c r="C51" t="s">
        <v>142</v>
      </c>
      <c r="D51" t="s">
        <v>93</v>
      </c>
    </row>
    <row r="52" spans="1:4" x14ac:dyDescent="0.25">
      <c r="A52">
        <v>50</v>
      </c>
      <c r="B52" t="s">
        <v>146</v>
      </c>
      <c r="C52" t="s">
        <v>142</v>
      </c>
      <c r="D52" t="s">
        <v>95</v>
      </c>
    </row>
    <row r="53" spans="1:4" x14ac:dyDescent="0.25">
      <c r="A53">
        <v>51</v>
      </c>
      <c r="B53" t="s">
        <v>147</v>
      </c>
      <c r="C53" t="s">
        <v>142</v>
      </c>
      <c r="D53" t="s">
        <v>97</v>
      </c>
    </row>
    <row r="54" spans="1:4" x14ac:dyDescent="0.25">
      <c r="A54">
        <v>52</v>
      </c>
      <c r="B54" t="s">
        <v>148</v>
      </c>
      <c r="C54" t="s">
        <v>142</v>
      </c>
      <c r="D54" t="s">
        <v>99</v>
      </c>
    </row>
    <row r="55" spans="1:4" x14ac:dyDescent="0.25">
      <c r="A55">
        <v>53</v>
      </c>
      <c r="B55" t="s">
        <v>149</v>
      </c>
      <c r="C55" t="s">
        <v>142</v>
      </c>
      <c r="D55" t="s">
        <v>111</v>
      </c>
    </row>
    <row r="56" spans="1:4" x14ac:dyDescent="0.25">
      <c r="A56">
        <v>54</v>
      </c>
      <c r="B56" t="s">
        <v>150</v>
      </c>
      <c r="C56" t="s">
        <v>142</v>
      </c>
      <c r="D56" t="s">
        <v>151</v>
      </c>
    </row>
    <row r="57" spans="1:4" x14ac:dyDescent="0.25">
      <c r="A57">
        <v>55</v>
      </c>
      <c r="B57" t="s">
        <v>152</v>
      </c>
      <c r="C57" t="s">
        <v>142</v>
      </c>
      <c r="D57" t="s">
        <v>115</v>
      </c>
    </row>
    <row r="58" spans="1:4" x14ac:dyDescent="0.25">
      <c r="A58">
        <v>56</v>
      </c>
      <c r="B58" t="s">
        <v>153</v>
      </c>
      <c r="C58" t="s">
        <v>142</v>
      </c>
      <c r="D58" t="s">
        <v>119</v>
      </c>
    </row>
    <row r="59" spans="1:4" x14ac:dyDescent="0.25">
      <c r="A59">
        <v>57</v>
      </c>
      <c r="B59" t="s">
        <v>154</v>
      </c>
      <c r="C59" t="s">
        <v>142</v>
      </c>
      <c r="D59" t="s">
        <v>122</v>
      </c>
    </row>
    <row r="60" spans="1:4" x14ac:dyDescent="0.25">
      <c r="A60">
        <v>118</v>
      </c>
      <c r="B60" t="s">
        <v>263</v>
      </c>
    </row>
    <row r="61" spans="1:4" x14ac:dyDescent="0.25">
      <c r="A61">
        <v>70</v>
      </c>
      <c r="B61" t="s">
        <v>155</v>
      </c>
      <c r="C61" t="s">
        <v>88</v>
      </c>
    </row>
    <row r="62" spans="1:4" x14ac:dyDescent="0.25">
      <c r="A62">
        <v>71</v>
      </c>
      <c r="B62" t="s">
        <v>156</v>
      </c>
      <c r="C62" t="s">
        <v>88</v>
      </c>
      <c r="D62" t="s">
        <v>157</v>
      </c>
    </row>
    <row r="63" spans="1:4" x14ac:dyDescent="0.25">
      <c r="A63">
        <v>72</v>
      </c>
      <c r="B63" t="s">
        <v>158</v>
      </c>
      <c r="C63" t="s">
        <v>88</v>
      </c>
      <c r="D63" t="s">
        <v>159</v>
      </c>
    </row>
    <row r="64" spans="1:4" x14ac:dyDescent="0.25">
      <c r="A64">
        <v>73</v>
      </c>
      <c r="B64" t="s">
        <v>160</v>
      </c>
      <c r="C64" t="s">
        <v>88</v>
      </c>
      <c r="D64" t="s">
        <v>161</v>
      </c>
    </row>
    <row r="65" spans="1:4" x14ac:dyDescent="0.25">
      <c r="A65">
        <v>74</v>
      </c>
      <c r="B65" t="s">
        <v>162</v>
      </c>
      <c r="C65" t="s">
        <v>88</v>
      </c>
      <c r="D65" t="s">
        <v>163</v>
      </c>
    </row>
    <row r="66" spans="1:4" x14ac:dyDescent="0.25">
      <c r="A66">
        <v>75</v>
      </c>
      <c r="B66" t="s">
        <v>164</v>
      </c>
      <c r="C66" t="s">
        <v>88</v>
      </c>
      <c r="D66" t="s">
        <v>165</v>
      </c>
    </row>
    <row r="67" spans="1:4" x14ac:dyDescent="0.25">
      <c r="A67">
        <v>76</v>
      </c>
      <c r="B67" t="s">
        <v>166</v>
      </c>
      <c r="C67" t="s">
        <v>88</v>
      </c>
      <c r="D67" t="s">
        <v>167</v>
      </c>
    </row>
    <row r="68" spans="1:4" x14ac:dyDescent="0.25">
      <c r="A68">
        <v>77</v>
      </c>
      <c r="B68" t="s">
        <v>168</v>
      </c>
      <c r="C68" t="s">
        <v>88</v>
      </c>
      <c r="D68" t="s">
        <v>169</v>
      </c>
    </row>
    <row r="69" spans="1:4" x14ac:dyDescent="0.25">
      <c r="A69">
        <v>78</v>
      </c>
      <c r="B69" t="s">
        <v>170</v>
      </c>
      <c r="C69" t="s">
        <v>88</v>
      </c>
      <c r="D69" t="s">
        <v>171</v>
      </c>
    </row>
    <row r="70" spans="1:4" x14ac:dyDescent="0.25">
      <c r="A70">
        <v>79</v>
      </c>
      <c r="B70" t="s">
        <v>172</v>
      </c>
      <c r="C70" t="s">
        <v>88</v>
      </c>
      <c r="D70" t="s">
        <v>173</v>
      </c>
    </row>
    <row r="71" spans="1:4" x14ac:dyDescent="0.25">
      <c r="A71">
        <v>80</v>
      </c>
      <c r="B71" t="s">
        <v>174</v>
      </c>
      <c r="C71" t="s">
        <v>88</v>
      </c>
      <c r="D71" t="s">
        <v>175</v>
      </c>
    </row>
    <row r="72" spans="1:4" x14ac:dyDescent="0.25">
      <c r="A72">
        <v>81</v>
      </c>
      <c r="B72" t="s">
        <v>176</v>
      </c>
      <c r="C72" t="s">
        <v>88</v>
      </c>
      <c r="D72" t="s">
        <v>177</v>
      </c>
    </row>
    <row r="73" spans="1:4" x14ac:dyDescent="0.25">
      <c r="A73">
        <v>82</v>
      </c>
      <c r="B73" t="s">
        <v>178</v>
      </c>
      <c r="C73" t="s">
        <v>88</v>
      </c>
      <c r="D73" t="s">
        <v>177</v>
      </c>
    </row>
    <row r="74" spans="1:4" x14ac:dyDescent="0.25">
      <c r="A74">
        <v>83</v>
      </c>
      <c r="B74" t="s">
        <v>179</v>
      </c>
      <c r="C74" t="s">
        <v>88</v>
      </c>
      <c r="D74" t="s">
        <v>180</v>
      </c>
    </row>
    <row r="75" spans="1:4" x14ac:dyDescent="0.25">
      <c r="A75">
        <v>84</v>
      </c>
      <c r="B75" t="s">
        <v>181</v>
      </c>
      <c r="C75" t="s">
        <v>88</v>
      </c>
      <c r="D75" t="s">
        <v>182</v>
      </c>
    </row>
    <row r="76" spans="1:4" x14ac:dyDescent="0.25">
      <c r="A76">
        <v>85</v>
      </c>
      <c r="B76" t="s">
        <v>183</v>
      </c>
      <c r="C76" t="s">
        <v>88</v>
      </c>
      <c r="D76" t="s">
        <v>184</v>
      </c>
    </row>
    <row r="77" spans="1:4" x14ac:dyDescent="0.25">
      <c r="A77">
        <v>86</v>
      </c>
      <c r="B77" t="s">
        <v>185</v>
      </c>
      <c r="C77" t="s">
        <v>88</v>
      </c>
      <c r="D77" t="s">
        <v>186</v>
      </c>
    </row>
    <row r="78" spans="1:4" x14ac:dyDescent="0.25">
      <c r="A78">
        <v>87</v>
      </c>
      <c r="B78" t="s">
        <v>187</v>
      </c>
      <c r="C78" t="s">
        <v>88</v>
      </c>
      <c r="D78" t="s">
        <v>188</v>
      </c>
    </row>
    <row r="79" spans="1:4" x14ac:dyDescent="0.25">
      <c r="A79">
        <v>88</v>
      </c>
      <c r="B79" t="s">
        <v>189</v>
      </c>
      <c r="C79" t="s">
        <v>88</v>
      </c>
      <c r="D79" t="s">
        <v>190</v>
      </c>
    </row>
    <row r="80" spans="1:4" x14ac:dyDescent="0.25">
      <c r="A80">
        <v>89</v>
      </c>
      <c r="B80" t="s">
        <v>191</v>
      </c>
      <c r="C80" t="s">
        <v>102</v>
      </c>
      <c r="D80" t="s">
        <v>192</v>
      </c>
    </row>
    <row r="81" spans="1:4" x14ac:dyDescent="0.25">
      <c r="A81">
        <v>90</v>
      </c>
      <c r="B81" t="s">
        <v>193</v>
      </c>
      <c r="C81" t="s">
        <v>102</v>
      </c>
      <c r="D81" t="s">
        <v>194</v>
      </c>
    </row>
    <row r="82" spans="1:4" x14ac:dyDescent="0.25">
      <c r="A82">
        <v>91</v>
      </c>
      <c r="B82" t="s">
        <v>195</v>
      </c>
      <c r="C82" t="s">
        <v>102</v>
      </c>
      <c r="D82" t="s">
        <v>196</v>
      </c>
    </row>
    <row r="83" spans="1:4" x14ac:dyDescent="0.25">
      <c r="A83">
        <v>92</v>
      </c>
      <c r="B83" t="s">
        <v>197</v>
      </c>
      <c r="C83" t="s">
        <v>102</v>
      </c>
      <c r="D83" t="s">
        <v>198</v>
      </c>
    </row>
    <row r="84" spans="1:4" x14ac:dyDescent="0.25">
      <c r="A84">
        <v>93</v>
      </c>
      <c r="B84" t="s">
        <v>199</v>
      </c>
      <c r="C84" t="s">
        <v>102</v>
      </c>
      <c r="D84" t="s">
        <v>200</v>
      </c>
    </row>
    <row r="85" spans="1:4" x14ac:dyDescent="0.25">
      <c r="A85">
        <v>94</v>
      </c>
      <c r="B85" t="s">
        <v>201</v>
      </c>
      <c r="C85" t="s">
        <v>102</v>
      </c>
      <c r="D85" t="s">
        <v>202</v>
      </c>
    </row>
    <row r="86" spans="1:4" x14ac:dyDescent="0.25">
      <c r="A86">
        <v>95</v>
      </c>
      <c r="B86" t="s">
        <v>203</v>
      </c>
      <c r="C86" t="s">
        <v>102</v>
      </c>
      <c r="D86" t="s">
        <v>204</v>
      </c>
    </row>
    <row r="87" spans="1:4" x14ac:dyDescent="0.25">
      <c r="A87">
        <v>96</v>
      </c>
      <c r="B87" t="s">
        <v>205</v>
      </c>
      <c r="C87" t="s">
        <v>102</v>
      </c>
      <c r="D87" t="s">
        <v>206</v>
      </c>
    </row>
    <row r="88" spans="1:4" x14ac:dyDescent="0.25">
      <c r="A88">
        <v>97</v>
      </c>
      <c r="B88" t="s">
        <v>207</v>
      </c>
      <c r="C88" t="s">
        <v>102</v>
      </c>
      <c r="D88" t="s">
        <v>208</v>
      </c>
    </row>
    <row r="89" spans="1:4" x14ac:dyDescent="0.25">
      <c r="A89">
        <v>98</v>
      </c>
      <c r="B89" t="s">
        <v>209</v>
      </c>
      <c r="C89" t="s">
        <v>120</v>
      </c>
      <c r="D89" t="s">
        <v>194</v>
      </c>
    </row>
    <row r="90" spans="1:4" x14ac:dyDescent="0.25">
      <c r="A90">
        <v>99</v>
      </c>
      <c r="B90" t="s">
        <v>210</v>
      </c>
      <c r="C90" t="s">
        <v>120</v>
      </c>
      <c r="D90" t="s">
        <v>196</v>
      </c>
    </row>
    <row r="91" spans="1:4" x14ac:dyDescent="0.25">
      <c r="A91">
        <v>100</v>
      </c>
      <c r="B91" t="s">
        <v>211</v>
      </c>
      <c r="C91" t="s">
        <v>120</v>
      </c>
      <c r="D91" t="s">
        <v>198</v>
      </c>
    </row>
    <row r="92" spans="1:4" x14ac:dyDescent="0.25">
      <c r="A92">
        <v>101</v>
      </c>
      <c r="B92" t="s">
        <v>212</v>
      </c>
      <c r="C92" t="s">
        <v>120</v>
      </c>
      <c r="D92" t="s">
        <v>200</v>
      </c>
    </row>
    <row r="93" spans="1:4" x14ac:dyDescent="0.25">
      <c r="A93">
        <v>102</v>
      </c>
      <c r="B93" t="s">
        <v>213</v>
      </c>
      <c r="C93" t="s">
        <v>130</v>
      </c>
      <c r="D93" t="s">
        <v>194</v>
      </c>
    </row>
    <row r="94" spans="1:4" x14ac:dyDescent="0.25">
      <c r="A94">
        <v>103</v>
      </c>
      <c r="B94" t="s">
        <v>214</v>
      </c>
      <c r="C94" t="s">
        <v>130</v>
      </c>
      <c r="D94" t="s">
        <v>196</v>
      </c>
    </row>
    <row r="95" spans="1:4" x14ac:dyDescent="0.25">
      <c r="A95">
        <v>104</v>
      </c>
      <c r="B95" t="s">
        <v>215</v>
      </c>
      <c r="C95" t="s">
        <v>130</v>
      </c>
      <c r="D95" t="s">
        <v>198</v>
      </c>
    </row>
    <row r="96" spans="1:4" x14ac:dyDescent="0.25">
      <c r="A96">
        <v>105</v>
      </c>
      <c r="B96" t="s">
        <v>216</v>
      </c>
      <c r="C96" t="s">
        <v>130</v>
      </c>
      <c r="D96" t="s">
        <v>200</v>
      </c>
    </row>
    <row r="97" spans="1:4" x14ac:dyDescent="0.25">
      <c r="A97">
        <v>106</v>
      </c>
      <c r="B97" t="s">
        <v>217</v>
      </c>
      <c r="C97" t="s">
        <v>142</v>
      </c>
      <c r="D97" t="s">
        <v>194</v>
      </c>
    </row>
    <row r="98" spans="1:4" x14ac:dyDescent="0.25">
      <c r="A98">
        <v>107</v>
      </c>
      <c r="B98" t="s">
        <v>218</v>
      </c>
      <c r="C98" t="s">
        <v>142</v>
      </c>
      <c r="D98" t="s">
        <v>219</v>
      </c>
    </row>
    <row r="99" spans="1:4" x14ac:dyDescent="0.25">
      <c r="A99">
        <v>108</v>
      </c>
      <c r="B99" t="s">
        <v>220</v>
      </c>
      <c r="C99" t="s">
        <v>142</v>
      </c>
      <c r="D99" t="s">
        <v>196</v>
      </c>
    </row>
    <row r="100" spans="1:4" x14ac:dyDescent="0.25">
      <c r="A100">
        <v>109</v>
      </c>
      <c r="B100" t="s">
        <v>221</v>
      </c>
      <c r="C100" t="s">
        <v>142</v>
      </c>
      <c r="D100" t="s">
        <v>198</v>
      </c>
    </row>
    <row r="101" spans="1:4" x14ac:dyDescent="0.25">
      <c r="A101">
        <v>110</v>
      </c>
      <c r="B101" t="s">
        <v>222</v>
      </c>
      <c r="C101" t="s">
        <v>142</v>
      </c>
      <c r="D101" t="s">
        <v>200</v>
      </c>
    </row>
    <row r="102" spans="1:4" x14ac:dyDescent="0.25">
      <c r="A102">
        <v>111</v>
      </c>
      <c r="B102" t="s">
        <v>223</v>
      </c>
      <c r="C102" t="s">
        <v>142</v>
      </c>
      <c r="D102" t="s">
        <v>206</v>
      </c>
    </row>
    <row r="103" spans="1:4" x14ac:dyDescent="0.25">
      <c r="A103">
        <v>112</v>
      </c>
      <c r="B103" t="s">
        <v>224</v>
      </c>
      <c r="C103" t="s">
        <v>142</v>
      </c>
      <c r="D103" t="s">
        <v>225</v>
      </c>
    </row>
    <row r="104" spans="1:4" x14ac:dyDescent="0.25">
      <c r="A104">
        <v>113</v>
      </c>
      <c r="B104" t="s">
        <v>226</v>
      </c>
      <c r="C104" t="s">
        <v>142</v>
      </c>
      <c r="D104" t="s">
        <v>208</v>
      </c>
    </row>
  </sheetData>
  <pageMargins bottom="0.75" footer="0.3" header="0.3" left="0.7" right="0.7" top="0.75"/>
  <pageSetup orientation="portrait" r:id="rId1" verticalDpi="0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FFFF00"/>
  </sheetPr>
  <dimension ref="A1:K620"/>
  <sheetViews>
    <sheetView workbookViewId="0">
      <selection activeCell="P18" sqref="P18"/>
    </sheetView>
  </sheetViews>
  <sheetFormatPr defaultRowHeight="15" x14ac:dyDescent="0.25"/>
  <sheetData>
    <row r="1" spans="1:11" x14ac:dyDescent="0.25">
      <c r="A1" s="452" t="s">
        <v>227</v>
      </c>
      <c r="B1" s="453"/>
      <c r="C1" s="453"/>
      <c r="D1" s="453"/>
      <c r="E1" s="453"/>
      <c r="F1" s="453"/>
      <c r="G1" s="453"/>
      <c r="H1" s="453" t="s">
        <v>228</v>
      </c>
      <c r="I1" s="453"/>
      <c r="J1" s="453"/>
      <c r="K1" s="454"/>
    </row>
    <row r="2" spans="1:11" x14ac:dyDescent="0.25">
      <c r="A2" s="455">
        <v>1</v>
      </c>
      <c r="B2" s="456" t="s">
        <v>264</v>
      </c>
      <c r="C2" s="456"/>
      <c r="D2" s="456"/>
      <c r="E2" s="456"/>
      <c r="F2" s="456"/>
      <c r="G2" s="456"/>
      <c r="H2" s="456"/>
      <c r="I2" s="456"/>
      <c r="J2" s="456"/>
      <c r="K2" s="457"/>
    </row>
    <row r="3" spans="1:11" x14ac:dyDescent="0.25">
      <c r="A3" s="455">
        <v>2</v>
      </c>
      <c r="B3" s="456" t="s">
        <v>229</v>
      </c>
      <c r="C3" s="456"/>
      <c r="D3" s="456"/>
      <c r="E3" s="456"/>
      <c r="F3" s="456"/>
      <c r="G3" s="456"/>
      <c r="H3" s="456"/>
      <c r="I3" s="456"/>
      <c r="J3" s="456"/>
      <c r="K3" s="457"/>
    </row>
    <row r="4" spans="1:11" x14ac:dyDescent="0.25">
      <c r="A4" s="455">
        <v>3</v>
      </c>
      <c r="B4" s="456" t="s">
        <v>230</v>
      </c>
      <c r="C4" s="456"/>
      <c r="D4" s="456"/>
      <c r="E4" s="456"/>
      <c r="F4" s="456"/>
      <c r="G4" s="456"/>
      <c r="H4" s="456"/>
      <c r="I4" s="456"/>
      <c r="J4" s="456"/>
      <c r="K4" s="457"/>
    </row>
    <row r="5" spans="1:11" x14ac:dyDescent="0.25">
      <c r="A5" s="458">
        <v>4</v>
      </c>
      <c r="B5" s="459" t="s">
        <v>231</v>
      </c>
      <c r="C5" s="459"/>
      <c r="D5" s="459"/>
      <c r="E5" s="459"/>
      <c r="F5" s="459"/>
      <c r="G5" s="459"/>
      <c r="H5" s="459"/>
      <c r="I5" s="459"/>
      <c r="J5" s="459"/>
      <c r="K5" s="460"/>
    </row>
    <row r="8" spans="1:11" x14ac:dyDescent="0.25">
      <c r="A8" t="s">
        <v>232</v>
      </c>
      <c r="B8" t="s">
        <v>233</v>
      </c>
      <c r="C8" t="s">
        <v>234</v>
      </c>
      <c r="D8" t="s">
        <v>265</v>
      </c>
    </row>
    <row r="9" spans="1:11" x14ac:dyDescent="0.25">
      <c r="A9" t="s">
        <v>235</v>
      </c>
      <c r="B9" t="s">
        <v>236</v>
      </c>
      <c r="C9" t="s">
        <v>237</v>
      </c>
      <c r="D9" t="s">
        <v>238</v>
      </c>
      <c r="E9">
        <v>4</v>
      </c>
      <c r="F9" s="424">
        <v>0.46135416666666668</v>
      </c>
      <c r="G9" t="s">
        <v>239</v>
      </c>
      <c r="H9">
        <v>31</v>
      </c>
      <c r="I9" t="s">
        <v>266</v>
      </c>
      <c r="J9">
        <v>16</v>
      </c>
    </row>
    <row r="10" spans="1:11" x14ac:dyDescent="0.25">
      <c r="A10" t="s">
        <v>240</v>
      </c>
    </row>
    <row r="11" spans="1:11" x14ac:dyDescent="0.25">
      <c r="B11">
        <v>1</v>
      </c>
      <c r="C11" t="s">
        <v>45</v>
      </c>
      <c r="D11" t="s">
        <v>241</v>
      </c>
      <c r="E11">
        <v>1</v>
      </c>
      <c r="F11">
        <v>0</v>
      </c>
    </row>
    <row r="12" spans="1:11" x14ac:dyDescent="0.25">
      <c r="B12">
        <v>2</v>
      </c>
      <c r="C12" t="s">
        <v>48</v>
      </c>
      <c r="D12" t="s">
        <v>242</v>
      </c>
      <c r="E12">
        <v>11.7146172749</v>
      </c>
      <c r="F12">
        <v>1.25201685879</v>
      </c>
    </row>
    <row r="13" spans="1:11" x14ac:dyDescent="0.25">
      <c r="B13">
        <v>3</v>
      </c>
      <c r="C13" t="s">
        <v>51</v>
      </c>
      <c r="D13" t="s">
        <v>241</v>
      </c>
      <c r="E13" s="425">
        <v>-0.2117</v>
      </c>
      <c r="F13">
        <v>0</v>
      </c>
    </row>
    <row r="14" spans="1:11" x14ac:dyDescent="0.25">
      <c r="B14">
        <v>4</v>
      </c>
      <c r="C14" t="s">
        <v>54</v>
      </c>
      <c r="D14" t="s">
        <v>242</v>
      </c>
      <c r="E14" s="425">
        <v>0.27120783067900001</v>
      </c>
      <c r="F14">
        <v>0.28080475059900001</v>
      </c>
    </row>
    <row r="15" spans="1:11" x14ac:dyDescent="0.25">
      <c r="B15">
        <v>5</v>
      </c>
      <c r="C15" t="s">
        <v>57</v>
      </c>
      <c r="D15" t="s">
        <v>242</v>
      </c>
      <c r="E15">
        <v>-0.34490013167299999</v>
      </c>
      <c r="F15">
        <v>0.28924759776199999</v>
      </c>
    </row>
    <row r="16" spans="1:11" x14ac:dyDescent="0.25">
      <c r="B16">
        <v>6</v>
      </c>
      <c r="C16" t="s">
        <v>59</v>
      </c>
      <c r="D16" t="s">
        <v>242</v>
      </c>
      <c r="E16" s="425">
        <v>-8.2865473150899996E-2</v>
      </c>
      <c r="F16">
        <v>0.12955742148800001</v>
      </c>
    </row>
    <row r="17" spans="2:6" x14ac:dyDescent="0.25">
      <c r="B17">
        <v>7</v>
      </c>
      <c r="C17" t="s">
        <v>61</v>
      </c>
      <c r="D17" t="s">
        <v>242</v>
      </c>
      <c r="E17">
        <v>-3.9895313632499998</v>
      </c>
      <c r="F17">
        <v>0.54570093604299996</v>
      </c>
    </row>
    <row r="18" spans="2:6" x14ac:dyDescent="0.25">
      <c r="B18">
        <v>8</v>
      </c>
      <c r="C18" t="s">
        <v>64</v>
      </c>
      <c r="D18" t="s">
        <v>241</v>
      </c>
      <c r="E18" s="425">
        <v>6.9400000000000003E-2</v>
      </c>
      <c r="F18">
        <v>0</v>
      </c>
    </row>
    <row r="19" spans="2:6" x14ac:dyDescent="0.25">
      <c r="B19">
        <v>9</v>
      </c>
      <c r="C19" t="s">
        <v>66</v>
      </c>
      <c r="D19" t="s">
        <v>242</v>
      </c>
      <c r="E19" s="425">
        <v>-9.5820044919499997E-2</v>
      </c>
      <c r="F19">
        <v>0.17082561533000001</v>
      </c>
    </row>
    <row r="20" spans="2:6" x14ac:dyDescent="0.25">
      <c r="B20">
        <v>10</v>
      </c>
      <c r="C20" t="s">
        <v>68</v>
      </c>
      <c r="D20" t="s">
        <v>242</v>
      </c>
      <c r="E20">
        <v>0.517563261484</v>
      </c>
      <c r="F20">
        <v>0.123013847134</v>
      </c>
    </row>
    <row r="21" spans="2:6" x14ac:dyDescent="0.25">
      <c r="B21">
        <v>11</v>
      </c>
      <c r="C21" t="s">
        <v>70</v>
      </c>
      <c r="D21" t="s">
        <v>242</v>
      </c>
      <c r="E21">
        <v>-0.80352358260699996</v>
      </c>
      <c r="F21">
        <v>0.36043522904699998</v>
      </c>
    </row>
    <row r="22" spans="2:6" x14ac:dyDescent="0.25">
      <c r="B22">
        <v>12</v>
      </c>
      <c r="C22" t="s">
        <v>72</v>
      </c>
      <c r="D22" t="s">
        <v>242</v>
      </c>
      <c r="E22">
        <v>-0.80534348065299999</v>
      </c>
      <c r="F22">
        <v>0.22167024904800001</v>
      </c>
    </row>
    <row r="23" spans="2:6" x14ac:dyDescent="0.25">
      <c r="B23">
        <v>13</v>
      </c>
      <c r="C23" t="s">
        <v>74</v>
      </c>
      <c r="D23" t="s">
        <v>242</v>
      </c>
      <c r="E23">
        <v>-0.51977799879300002</v>
      </c>
      <c r="F23">
        <v>0.21757697517300001</v>
      </c>
    </row>
    <row r="24" spans="2:6" x14ac:dyDescent="0.25">
      <c r="B24">
        <v>14</v>
      </c>
      <c r="C24" t="s">
        <v>76</v>
      </c>
      <c r="D24" t="s">
        <v>242</v>
      </c>
      <c r="E24">
        <v>-0.27562686954600002</v>
      </c>
      <c r="F24">
        <v>0.123285243562</v>
      </c>
    </row>
    <row r="25" spans="2:6" x14ac:dyDescent="0.25">
      <c r="B25">
        <v>15</v>
      </c>
      <c r="C25" t="s">
        <v>78</v>
      </c>
      <c r="D25" t="s">
        <v>242</v>
      </c>
      <c r="E25">
        <v>-0.55245424085299999</v>
      </c>
      <c r="F25">
        <v>0.227173186739</v>
      </c>
    </row>
    <row r="26" spans="2:6" x14ac:dyDescent="0.25">
      <c r="B26">
        <v>16</v>
      </c>
      <c r="C26" t="s">
        <v>80</v>
      </c>
      <c r="D26" t="s">
        <v>242</v>
      </c>
      <c r="E26">
        <v>-0.493022087256</v>
      </c>
      <c r="F26">
        <v>0.18500368716500001</v>
      </c>
    </row>
    <row r="27" spans="2:6" x14ac:dyDescent="0.25">
      <c r="B27">
        <v>17</v>
      </c>
      <c r="C27" t="s">
        <v>83</v>
      </c>
      <c r="D27" t="s">
        <v>241</v>
      </c>
      <c r="E27">
        <v>0</v>
      </c>
      <c r="F27">
        <v>0</v>
      </c>
    </row>
    <row r="28" spans="2:6" x14ac:dyDescent="0.25">
      <c r="B28">
        <v>18</v>
      </c>
      <c r="C28" t="s">
        <v>86</v>
      </c>
      <c r="D28" t="s">
        <v>241</v>
      </c>
      <c r="E28">
        <v>0</v>
      </c>
      <c r="F28">
        <v>0</v>
      </c>
    </row>
    <row r="29" spans="2:6" x14ac:dyDescent="0.25">
      <c r="B29">
        <v>19</v>
      </c>
      <c r="C29" t="s">
        <v>89</v>
      </c>
      <c r="D29" t="s">
        <v>241</v>
      </c>
      <c r="E29">
        <v>0</v>
      </c>
      <c r="F29">
        <v>0</v>
      </c>
    </row>
    <row r="30" spans="2:6" x14ac:dyDescent="0.25">
      <c r="B30">
        <v>20</v>
      </c>
      <c r="C30" t="s">
        <v>92</v>
      </c>
      <c r="D30" t="s">
        <v>242</v>
      </c>
      <c r="E30">
        <v>0.63771148688699997</v>
      </c>
      <c r="F30" s="425">
        <v>6.0015015733300002E-2</v>
      </c>
    </row>
    <row r="31" spans="2:6" x14ac:dyDescent="0.25">
      <c r="B31">
        <v>21</v>
      </c>
      <c r="C31" t="s">
        <v>94</v>
      </c>
      <c r="D31" t="s">
        <v>242</v>
      </c>
      <c r="E31">
        <v>-12.0946718381</v>
      </c>
      <c r="F31">
        <v>2.3255856374100001</v>
      </c>
    </row>
    <row r="32" spans="2:6" x14ac:dyDescent="0.25">
      <c r="B32">
        <v>22</v>
      </c>
      <c r="C32" t="s">
        <v>96</v>
      </c>
      <c r="D32" t="s">
        <v>242</v>
      </c>
      <c r="E32">
        <v>-4.03623745316</v>
      </c>
      <c r="F32">
        <v>0.50541362942699997</v>
      </c>
    </row>
    <row r="33" spans="2:6" x14ac:dyDescent="0.25">
      <c r="B33">
        <v>23</v>
      </c>
      <c r="C33" t="s">
        <v>98</v>
      </c>
      <c r="D33" t="s">
        <v>242</v>
      </c>
      <c r="E33">
        <v>-2.16371815818</v>
      </c>
      <c r="F33">
        <v>0.27393549837699999</v>
      </c>
    </row>
    <row r="34" spans="2:6" x14ac:dyDescent="0.25">
      <c r="B34">
        <v>24</v>
      </c>
      <c r="C34" t="s">
        <v>100</v>
      </c>
      <c r="D34" t="s">
        <v>242</v>
      </c>
      <c r="E34">
        <v>0.10429329553199999</v>
      </c>
      <c r="F34" s="425">
        <v>1.6423300294899999E-2</v>
      </c>
    </row>
    <row r="35" spans="2:6" x14ac:dyDescent="0.25">
      <c r="B35">
        <v>25</v>
      </c>
      <c r="C35" t="s">
        <v>103</v>
      </c>
      <c r="D35" t="s">
        <v>241</v>
      </c>
      <c r="E35">
        <v>0</v>
      </c>
      <c r="F35" s="425">
        <v>0</v>
      </c>
    </row>
    <row r="36" spans="2:6" x14ac:dyDescent="0.25">
      <c r="B36">
        <v>26</v>
      </c>
      <c r="C36" t="s">
        <v>105</v>
      </c>
      <c r="D36" t="s">
        <v>242</v>
      </c>
      <c r="E36">
        <v>0.417326479157</v>
      </c>
      <c r="F36" s="425">
        <v>9.4301876730200004E-2</v>
      </c>
    </row>
    <row r="37" spans="2:6" x14ac:dyDescent="0.25">
      <c r="B37">
        <v>27</v>
      </c>
      <c r="C37" t="s">
        <v>106</v>
      </c>
      <c r="D37" t="s">
        <v>242</v>
      </c>
      <c r="E37">
        <v>-14.8384910501</v>
      </c>
      <c r="F37">
        <v>1.77123626526</v>
      </c>
    </row>
    <row r="38" spans="2:6" x14ac:dyDescent="0.25">
      <c r="B38">
        <v>28</v>
      </c>
      <c r="C38" t="s">
        <v>108</v>
      </c>
      <c r="D38" t="s">
        <v>242</v>
      </c>
      <c r="E38">
        <v>-5.1880432348000003</v>
      </c>
      <c r="F38">
        <v>0.43428377261099999</v>
      </c>
    </row>
    <row r="39" spans="2:6" x14ac:dyDescent="0.25">
      <c r="B39">
        <v>29</v>
      </c>
      <c r="C39" t="s">
        <v>109</v>
      </c>
      <c r="D39" t="s">
        <v>242</v>
      </c>
      <c r="E39">
        <v>-2.6156308707</v>
      </c>
      <c r="F39">
        <v>0.17802193728999999</v>
      </c>
    </row>
    <row r="40" spans="2:6" x14ac:dyDescent="0.25">
      <c r="B40">
        <v>30</v>
      </c>
      <c r="C40" t="s">
        <v>110</v>
      </c>
      <c r="D40" t="s">
        <v>242</v>
      </c>
      <c r="E40">
        <v>-0.91046169190000004</v>
      </c>
      <c r="F40" s="425">
        <v>9.2244527309799998E-2</v>
      </c>
    </row>
    <row r="41" spans="2:6" x14ac:dyDescent="0.25">
      <c r="B41">
        <v>31</v>
      </c>
      <c r="C41" t="s">
        <v>112</v>
      </c>
      <c r="D41" t="s">
        <v>242</v>
      </c>
      <c r="E41" s="425">
        <v>5.7553461640599997E-2</v>
      </c>
      <c r="F41" s="425">
        <v>1.69631861578E-2</v>
      </c>
    </row>
    <row r="42" spans="2:6" x14ac:dyDescent="0.25">
      <c r="B42">
        <v>32</v>
      </c>
      <c r="C42" t="s">
        <v>114</v>
      </c>
      <c r="D42" t="s">
        <v>242</v>
      </c>
      <c r="E42">
        <v>0.237798002151</v>
      </c>
      <c r="F42" s="425">
        <v>2.05709725741E-2</v>
      </c>
    </row>
    <row r="43" spans="2:6" x14ac:dyDescent="0.25">
      <c r="B43">
        <v>33</v>
      </c>
      <c r="C43" t="s">
        <v>116</v>
      </c>
      <c r="D43" t="s">
        <v>241</v>
      </c>
      <c r="E43">
        <v>0</v>
      </c>
      <c r="F43" s="425">
        <v>0</v>
      </c>
    </row>
    <row r="44" spans="2:6" x14ac:dyDescent="0.25">
      <c r="B44">
        <v>34</v>
      </c>
      <c r="C44" t="s">
        <v>118</v>
      </c>
      <c r="D44" t="s">
        <v>241</v>
      </c>
      <c r="E44">
        <v>0</v>
      </c>
      <c r="F44" s="425">
        <v>0</v>
      </c>
    </row>
    <row r="45" spans="2:6" x14ac:dyDescent="0.25">
      <c r="B45">
        <v>35</v>
      </c>
      <c r="C45" t="s">
        <v>121</v>
      </c>
      <c r="D45" t="s">
        <v>241</v>
      </c>
      <c r="E45">
        <v>0</v>
      </c>
      <c r="F45" s="425">
        <v>0</v>
      </c>
    </row>
    <row r="46" spans="2:6" x14ac:dyDescent="0.25">
      <c r="B46">
        <v>36</v>
      </c>
      <c r="C46" t="s">
        <v>123</v>
      </c>
      <c r="D46" t="s">
        <v>242</v>
      </c>
      <c r="E46" s="425">
        <v>0.61259135262599995</v>
      </c>
      <c r="F46" s="425">
        <v>9.8788050589500007E-2</v>
      </c>
    </row>
    <row r="47" spans="2:6" x14ac:dyDescent="0.25">
      <c r="B47">
        <v>37</v>
      </c>
      <c r="C47" t="s">
        <v>124</v>
      </c>
      <c r="D47" t="s">
        <v>242</v>
      </c>
      <c r="E47">
        <v>-20.810228388700001</v>
      </c>
      <c r="F47">
        <v>1.81763227452</v>
      </c>
    </row>
    <row r="48" spans="2:6" x14ac:dyDescent="0.25">
      <c r="B48">
        <v>38</v>
      </c>
      <c r="C48" t="s">
        <v>126</v>
      </c>
      <c r="D48" t="s">
        <v>242</v>
      </c>
      <c r="E48">
        <v>-7.1836373472300004</v>
      </c>
      <c r="F48">
        <v>0.45184406400299998</v>
      </c>
    </row>
    <row r="49" spans="2:6" x14ac:dyDescent="0.25">
      <c r="B49">
        <v>39</v>
      </c>
      <c r="C49" t="s">
        <v>127</v>
      </c>
      <c r="D49" t="s">
        <v>242</v>
      </c>
      <c r="E49">
        <v>-3.6600975390500001</v>
      </c>
      <c r="F49">
        <v>0.215349096297</v>
      </c>
    </row>
    <row r="50" spans="2:6" x14ac:dyDescent="0.25">
      <c r="B50">
        <v>40</v>
      </c>
      <c r="C50" t="s">
        <v>128</v>
      </c>
      <c r="D50" t="s">
        <v>242</v>
      </c>
      <c r="E50">
        <v>-1.3605457273599999</v>
      </c>
      <c r="F50">
        <v>0.14980450534500001</v>
      </c>
    </row>
    <row r="51" spans="2:6" x14ac:dyDescent="0.25">
      <c r="B51">
        <v>41</v>
      </c>
      <c r="C51" t="s">
        <v>129</v>
      </c>
      <c r="D51" t="s">
        <v>242</v>
      </c>
      <c r="E51">
        <v>-0.22141031751900001</v>
      </c>
      <c r="F51" s="425">
        <v>1.8224220405400001E-2</v>
      </c>
    </row>
    <row r="52" spans="2:6" x14ac:dyDescent="0.25">
      <c r="B52">
        <v>42</v>
      </c>
      <c r="C52" t="s">
        <v>131</v>
      </c>
      <c r="D52" t="s">
        <v>242</v>
      </c>
      <c r="E52">
        <v>0.64228876129599999</v>
      </c>
      <c r="F52" s="425">
        <v>2.3327425635499999E-2</v>
      </c>
    </row>
    <row r="53" spans="2:6" x14ac:dyDescent="0.25">
      <c r="B53">
        <v>43</v>
      </c>
      <c r="C53" t="s">
        <v>133</v>
      </c>
      <c r="D53" t="s">
        <v>242</v>
      </c>
      <c r="E53">
        <v>0.74588429254199995</v>
      </c>
      <c r="F53" s="425">
        <v>9.8514285453599998E-2</v>
      </c>
    </row>
    <row r="54" spans="2:6" x14ac:dyDescent="0.25">
      <c r="B54">
        <v>44</v>
      </c>
      <c r="C54" t="s">
        <v>134</v>
      </c>
      <c r="D54" t="s">
        <v>242</v>
      </c>
      <c r="E54">
        <v>-32.156094092099998</v>
      </c>
      <c r="F54">
        <v>2.2948875164700002</v>
      </c>
    </row>
    <row r="55" spans="2:6" x14ac:dyDescent="0.25">
      <c r="B55">
        <v>45</v>
      </c>
      <c r="C55" t="s">
        <v>136</v>
      </c>
      <c r="D55" t="s">
        <v>242</v>
      </c>
      <c r="E55">
        <v>-7.5551873767200002</v>
      </c>
      <c r="F55">
        <v>0.66933892320999999</v>
      </c>
    </row>
    <row r="56" spans="2:6" x14ac:dyDescent="0.25">
      <c r="B56">
        <v>46</v>
      </c>
      <c r="C56" t="s">
        <v>138</v>
      </c>
      <c r="D56" t="s">
        <v>242</v>
      </c>
      <c r="E56">
        <v>-3.4784098231399998</v>
      </c>
      <c r="F56">
        <v>0.32108887064199998</v>
      </c>
    </row>
    <row r="57" spans="2:6" x14ac:dyDescent="0.25">
      <c r="B57">
        <v>47</v>
      </c>
      <c r="C57" t="s">
        <v>140</v>
      </c>
      <c r="D57" t="s">
        <v>242</v>
      </c>
      <c r="E57">
        <v>-0.79171784712299997</v>
      </c>
      <c r="F57">
        <v>0.175744591995</v>
      </c>
    </row>
    <row r="58" spans="2:6" x14ac:dyDescent="0.25">
      <c r="B58">
        <v>48</v>
      </c>
      <c r="C58" t="s">
        <v>143</v>
      </c>
      <c r="D58" t="s">
        <v>242</v>
      </c>
      <c r="E58">
        <v>0.65760260093900003</v>
      </c>
      <c r="F58" s="425">
        <v>2.9500746847800002E-2</v>
      </c>
    </row>
    <row r="59" spans="2:6" x14ac:dyDescent="0.25">
      <c r="B59">
        <v>49</v>
      </c>
      <c r="C59" t="s">
        <v>145</v>
      </c>
      <c r="D59" t="s">
        <v>242</v>
      </c>
      <c r="E59">
        <v>0.201576719663</v>
      </c>
      <c r="F59" s="425">
        <v>0.11309559824400001</v>
      </c>
    </row>
    <row r="60" spans="2:6" x14ac:dyDescent="0.25">
      <c r="B60">
        <v>50</v>
      </c>
      <c r="C60" t="s">
        <v>146</v>
      </c>
      <c r="D60" t="s">
        <v>242</v>
      </c>
      <c r="E60">
        <v>-28.552058518999999</v>
      </c>
      <c r="F60">
        <v>2.50137650421</v>
      </c>
    </row>
    <row r="61" spans="2:6" x14ac:dyDescent="0.25">
      <c r="B61">
        <v>51</v>
      </c>
      <c r="C61" t="s">
        <v>147</v>
      </c>
      <c r="D61" t="s">
        <v>242</v>
      </c>
      <c r="E61">
        <v>-7.25833529236</v>
      </c>
      <c r="F61">
        <v>0.70645143226499996</v>
      </c>
    </row>
    <row r="62" spans="2:6" x14ac:dyDescent="0.25">
      <c r="B62">
        <v>52</v>
      </c>
      <c r="C62" t="s">
        <v>148</v>
      </c>
      <c r="D62" t="s">
        <v>242</v>
      </c>
      <c r="E62">
        <v>-2.64524710889</v>
      </c>
      <c r="F62">
        <v>0.24991877725200001</v>
      </c>
    </row>
    <row r="63" spans="2:6" x14ac:dyDescent="0.25">
      <c r="B63">
        <v>53</v>
      </c>
      <c r="C63" t="s">
        <v>149</v>
      </c>
      <c r="D63" t="s">
        <v>242</v>
      </c>
      <c r="E63">
        <v>-0.76461618005800003</v>
      </c>
      <c r="F63">
        <v>0.12393486604700001</v>
      </c>
    </row>
    <row r="64" spans="2:6" x14ac:dyDescent="0.25">
      <c r="B64">
        <v>54</v>
      </c>
      <c r="C64" t="s">
        <v>150</v>
      </c>
      <c r="D64" t="s">
        <v>242</v>
      </c>
      <c r="E64">
        <v>0.20818008309700001</v>
      </c>
      <c r="F64" s="425">
        <v>4.2700310294800002E-2</v>
      </c>
    </row>
    <row r="65" spans="2:6" x14ac:dyDescent="0.25">
      <c r="B65">
        <v>55</v>
      </c>
      <c r="C65" t="s">
        <v>152</v>
      </c>
      <c r="D65" t="s">
        <v>242</v>
      </c>
      <c r="E65">
        <v>0.42522231451499998</v>
      </c>
      <c r="F65" s="425">
        <v>4.5274903018000003E-2</v>
      </c>
    </row>
    <row r="66" spans="2:6" x14ac:dyDescent="0.25">
      <c r="B66">
        <v>56</v>
      </c>
      <c r="C66" t="s">
        <v>153</v>
      </c>
      <c r="D66" t="s">
        <v>242</v>
      </c>
      <c r="E66">
        <v>-0.743588483327</v>
      </c>
      <c r="F66" s="425">
        <v>4.4293261467400001E-2</v>
      </c>
    </row>
    <row r="67" spans="2:6" x14ac:dyDescent="0.25">
      <c r="B67">
        <v>57</v>
      </c>
      <c r="C67" t="s">
        <v>154</v>
      </c>
      <c r="D67" t="s">
        <v>241</v>
      </c>
      <c r="E67" s="425">
        <v>6.2100000000000002E-2</v>
      </c>
      <c r="F67" s="425">
        <v>0</v>
      </c>
    </row>
    <row r="68" spans="2:6" x14ac:dyDescent="0.25">
      <c r="B68">
        <v>118</v>
      </c>
      <c r="C68" t="s">
        <v>263</v>
      </c>
      <c r="D68" t="s">
        <v>241</v>
      </c>
      <c r="E68" s="425">
        <v>-3</v>
      </c>
      <c r="F68" s="425">
        <v>0</v>
      </c>
    </row>
    <row r="69" spans="2:6" x14ac:dyDescent="0.25">
      <c r="B69">
        <v>70</v>
      </c>
      <c r="C69" t="s">
        <v>155</v>
      </c>
      <c r="D69" t="s">
        <v>242</v>
      </c>
      <c r="E69">
        <v>0.29394695214400002</v>
      </c>
      <c r="F69" s="425">
        <v>8.1089668188599993E-3</v>
      </c>
    </row>
    <row r="70" spans="2:6" x14ac:dyDescent="0.25">
      <c r="B70">
        <v>71</v>
      </c>
      <c r="C70" t="s">
        <v>156</v>
      </c>
      <c r="D70" t="s">
        <v>241</v>
      </c>
      <c r="E70">
        <v>0</v>
      </c>
      <c r="F70">
        <v>0</v>
      </c>
    </row>
    <row r="71" spans="2:6" x14ac:dyDescent="0.25">
      <c r="B71">
        <v>72</v>
      </c>
      <c r="C71" t="s">
        <v>158</v>
      </c>
      <c r="D71" t="s">
        <v>242</v>
      </c>
      <c r="E71">
        <v>-6.2798471793299999</v>
      </c>
      <c r="F71">
        <v>1.35911922349</v>
      </c>
    </row>
    <row r="72" spans="2:6" x14ac:dyDescent="0.25">
      <c r="B72">
        <v>73</v>
      </c>
      <c r="C72" t="s">
        <v>160</v>
      </c>
      <c r="D72" t="s">
        <v>242</v>
      </c>
      <c r="E72">
        <v>3.2962256518299999</v>
      </c>
      <c r="F72">
        <v>0.72653017343100001</v>
      </c>
    </row>
    <row r="73" spans="2:6" x14ac:dyDescent="0.25">
      <c r="B73">
        <v>74</v>
      </c>
      <c r="C73" t="s">
        <v>162</v>
      </c>
      <c r="D73" t="s">
        <v>242</v>
      </c>
      <c r="E73">
        <v>-5.4150639062700003</v>
      </c>
      <c r="F73">
        <v>0.66626725203000003</v>
      </c>
    </row>
    <row r="74" spans="2:6" x14ac:dyDescent="0.25">
      <c r="B74">
        <v>75</v>
      </c>
      <c r="C74" t="s">
        <v>164</v>
      </c>
      <c r="D74" t="s">
        <v>242</v>
      </c>
      <c r="E74">
        <v>-5.94820877094</v>
      </c>
      <c r="F74">
        <v>1.0448329109000001</v>
      </c>
    </row>
    <row r="75" spans="2:6" x14ac:dyDescent="0.25">
      <c r="B75">
        <v>76</v>
      </c>
      <c r="C75" t="s">
        <v>166</v>
      </c>
      <c r="D75" t="s">
        <v>242</v>
      </c>
      <c r="E75">
        <v>-4.8479831726300002</v>
      </c>
      <c r="F75">
        <v>0.75877100340699999</v>
      </c>
    </row>
    <row r="76" spans="2:6" x14ac:dyDescent="0.25">
      <c r="B76">
        <v>77</v>
      </c>
      <c r="C76" t="s">
        <v>168</v>
      </c>
      <c r="D76" t="s">
        <v>242</v>
      </c>
      <c r="E76">
        <v>-5.4883496585599998</v>
      </c>
      <c r="F76">
        <v>0.74279705741099999</v>
      </c>
    </row>
    <row r="77" spans="2:6" x14ac:dyDescent="0.25">
      <c r="B77">
        <v>78</v>
      </c>
      <c r="C77" t="s">
        <v>170</v>
      </c>
      <c r="D77" t="s">
        <v>242</v>
      </c>
      <c r="E77">
        <v>-6.9308352438999998</v>
      </c>
      <c r="F77">
        <v>0.60838991881299997</v>
      </c>
    </row>
    <row r="78" spans="2:6" x14ac:dyDescent="0.25">
      <c r="B78">
        <v>79</v>
      </c>
      <c r="C78" t="s">
        <v>172</v>
      </c>
      <c r="D78" t="s">
        <v>242</v>
      </c>
      <c r="E78">
        <v>-22.404820174200001</v>
      </c>
      <c r="F78">
        <v>1.3329982754</v>
      </c>
    </row>
    <row r="79" spans="2:6" x14ac:dyDescent="0.25">
      <c r="B79">
        <v>80</v>
      </c>
      <c r="C79" t="s">
        <v>174</v>
      </c>
      <c r="D79" t="s">
        <v>242</v>
      </c>
      <c r="E79">
        <v>-2.8929233973800002</v>
      </c>
      <c r="F79">
        <v>0.60938285413299997</v>
      </c>
    </row>
    <row r="80" spans="2:6" x14ac:dyDescent="0.25">
      <c r="B80">
        <v>81</v>
      </c>
      <c r="C80" t="s">
        <v>176</v>
      </c>
      <c r="D80" t="s">
        <v>242</v>
      </c>
      <c r="E80">
        <v>-2.5610724948299999</v>
      </c>
      <c r="F80">
        <v>0.74146475529300004</v>
      </c>
    </row>
    <row r="81" spans="2:6" x14ac:dyDescent="0.25">
      <c r="B81">
        <v>82</v>
      </c>
      <c r="C81" t="s">
        <v>178</v>
      </c>
      <c r="D81" t="s">
        <v>242</v>
      </c>
      <c r="E81">
        <v>-6.7871010869299999</v>
      </c>
      <c r="F81">
        <v>0.57779777859899994</v>
      </c>
    </row>
    <row r="82" spans="2:6" x14ac:dyDescent="0.25">
      <c r="B82">
        <v>83</v>
      </c>
      <c r="C82" t="s">
        <v>179</v>
      </c>
      <c r="D82" t="s">
        <v>242</v>
      </c>
      <c r="E82">
        <v>-7.1983706387300002</v>
      </c>
      <c r="F82">
        <v>0.82705306473899998</v>
      </c>
    </row>
    <row r="83" spans="2:6" x14ac:dyDescent="0.25">
      <c r="B83">
        <v>84</v>
      </c>
      <c r="C83" t="s">
        <v>181</v>
      </c>
      <c r="D83" t="s">
        <v>242</v>
      </c>
      <c r="E83">
        <v>-6.5584328775399996</v>
      </c>
      <c r="F83">
        <v>0.62502704972500001</v>
      </c>
    </row>
    <row r="84" spans="2:6" x14ac:dyDescent="0.25">
      <c r="B84">
        <v>85</v>
      </c>
      <c r="C84" t="s">
        <v>183</v>
      </c>
      <c r="D84" t="s">
        <v>242</v>
      </c>
      <c r="E84">
        <v>-7.3832576457999997</v>
      </c>
      <c r="F84">
        <v>0.64961010779799999</v>
      </c>
    </row>
    <row r="85" spans="2:6" x14ac:dyDescent="0.25">
      <c r="B85">
        <v>86</v>
      </c>
      <c r="C85" t="s">
        <v>185</v>
      </c>
      <c r="D85" t="s">
        <v>242</v>
      </c>
      <c r="E85">
        <v>-8.5452246906399996</v>
      </c>
      <c r="F85">
        <v>0.805287961848</v>
      </c>
    </row>
    <row r="86" spans="2:6" x14ac:dyDescent="0.25">
      <c r="B86">
        <v>87</v>
      </c>
      <c r="C86" t="s">
        <v>187</v>
      </c>
      <c r="D86" t="s">
        <v>242</v>
      </c>
      <c r="E86">
        <v>-24.633851965200002</v>
      </c>
      <c r="F86">
        <v>1.2735106223899999</v>
      </c>
    </row>
    <row r="87" spans="2:6" x14ac:dyDescent="0.25">
      <c r="B87">
        <v>88</v>
      </c>
      <c r="C87" t="s">
        <v>189</v>
      </c>
      <c r="D87" t="s">
        <v>241</v>
      </c>
      <c r="E87">
        <v>0</v>
      </c>
      <c r="F87">
        <v>0</v>
      </c>
    </row>
    <row r="88" spans="2:6" x14ac:dyDescent="0.25">
      <c r="B88">
        <v>89</v>
      </c>
      <c r="C88" t="s">
        <v>191</v>
      </c>
      <c r="D88" t="s">
        <v>242</v>
      </c>
      <c r="E88">
        <v>-0.55009338373399996</v>
      </c>
      <c r="F88">
        <v>0.430293593074</v>
      </c>
    </row>
    <row r="89" spans="2:6" x14ac:dyDescent="0.25">
      <c r="B89">
        <v>90</v>
      </c>
      <c r="C89" t="s">
        <v>193</v>
      </c>
      <c r="D89" t="s">
        <v>242</v>
      </c>
      <c r="E89">
        <v>-9.9117567037699992</v>
      </c>
      <c r="F89">
        <v>1.2063271443700001</v>
      </c>
    </row>
    <row r="90" spans="2:6" x14ac:dyDescent="0.25">
      <c r="B90">
        <v>91</v>
      </c>
      <c r="C90" t="s">
        <v>195</v>
      </c>
      <c r="D90" t="s">
        <v>242</v>
      </c>
      <c r="E90">
        <v>-9.3194311560499994</v>
      </c>
      <c r="F90">
        <v>0.63822855090300001</v>
      </c>
    </row>
    <row r="91" spans="2:6" x14ac:dyDescent="0.25">
      <c r="B91">
        <v>92</v>
      </c>
      <c r="C91" t="s">
        <v>197</v>
      </c>
      <c r="D91" t="s">
        <v>242</v>
      </c>
      <c r="E91">
        <v>-0.20086270196799999</v>
      </c>
      <c r="F91">
        <v>0.28418966588200001</v>
      </c>
    </row>
    <row r="92" spans="2:6" x14ac:dyDescent="0.25">
      <c r="B92">
        <v>93</v>
      </c>
      <c r="C92" t="s">
        <v>199</v>
      </c>
      <c r="D92" t="s">
        <v>242</v>
      </c>
      <c r="E92">
        <v>-2.1843835309699999</v>
      </c>
      <c r="F92">
        <v>0.31159678408699998</v>
      </c>
    </row>
    <row r="93" spans="2:6" x14ac:dyDescent="0.25">
      <c r="B93">
        <v>94</v>
      </c>
      <c r="C93" t="s">
        <v>201</v>
      </c>
      <c r="D93" t="s">
        <v>241</v>
      </c>
      <c r="E93">
        <v>0</v>
      </c>
      <c r="F93">
        <v>0</v>
      </c>
    </row>
    <row r="94" spans="2:6" x14ac:dyDescent="0.25">
      <c r="B94">
        <v>95</v>
      </c>
      <c r="C94" t="s">
        <v>203</v>
      </c>
      <c r="D94" t="s">
        <v>242</v>
      </c>
      <c r="E94">
        <v>-9.9476357147400005</v>
      </c>
      <c r="F94">
        <v>0.75443935500500003</v>
      </c>
    </row>
    <row r="95" spans="2:6" x14ac:dyDescent="0.25">
      <c r="B95">
        <v>96</v>
      </c>
      <c r="C95" t="s">
        <v>205</v>
      </c>
      <c r="D95" t="s">
        <v>242</v>
      </c>
      <c r="E95">
        <v>-12.800107987600001</v>
      </c>
      <c r="F95">
        <v>0.49713188744499998</v>
      </c>
    </row>
    <row r="96" spans="2:6" x14ac:dyDescent="0.25">
      <c r="B96">
        <v>97</v>
      </c>
      <c r="C96" t="s">
        <v>207</v>
      </c>
      <c r="D96" t="s">
        <v>241</v>
      </c>
      <c r="E96">
        <v>-30</v>
      </c>
      <c r="F96">
        <v>0</v>
      </c>
    </row>
    <row r="97" spans="2:6" x14ac:dyDescent="0.25">
      <c r="B97">
        <v>98</v>
      </c>
      <c r="C97" t="s">
        <v>209</v>
      </c>
      <c r="D97" t="s">
        <v>242</v>
      </c>
      <c r="E97">
        <v>-21.699928591700001</v>
      </c>
      <c r="F97">
        <v>7.1872342422999997</v>
      </c>
    </row>
    <row r="98" spans="2:6" x14ac:dyDescent="0.25">
      <c r="B98">
        <v>99</v>
      </c>
      <c r="C98" t="s">
        <v>210</v>
      </c>
      <c r="D98" t="s">
        <v>242</v>
      </c>
      <c r="E98">
        <v>-17.700475093400001</v>
      </c>
      <c r="F98">
        <v>1.1180742155200001</v>
      </c>
    </row>
    <row r="99" spans="2:6" x14ac:dyDescent="0.25">
      <c r="B99">
        <v>100</v>
      </c>
      <c r="C99" t="s">
        <v>211</v>
      </c>
      <c r="D99" t="s">
        <v>241</v>
      </c>
      <c r="E99">
        <v>-0.7</v>
      </c>
      <c r="F99">
        <v>0</v>
      </c>
    </row>
    <row r="100" spans="2:6" x14ac:dyDescent="0.25">
      <c r="B100">
        <v>101</v>
      </c>
      <c r="C100" t="s">
        <v>212</v>
      </c>
      <c r="D100" t="s">
        <v>242</v>
      </c>
      <c r="E100">
        <v>-17.8758745875</v>
      </c>
      <c r="F100">
        <v>1.26568694335</v>
      </c>
    </row>
    <row r="101" spans="2:6" x14ac:dyDescent="0.25">
      <c r="B101">
        <v>102</v>
      </c>
      <c r="C101" t="s">
        <v>213</v>
      </c>
      <c r="D101" t="s">
        <v>241</v>
      </c>
      <c r="E101">
        <v>0</v>
      </c>
      <c r="F101">
        <v>0</v>
      </c>
    </row>
    <row r="102" spans="2:6" x14ac:dyDescent="0.25">
      <c r="B102">
        <v>103</v>
      </c>
      <c r="C102" t="s">
        <v>214</v>
      </c>
      <c r="D102" t="s">
        <v>241</v>
      </c>
      <c r="E102">
        <v>5</v>
      </c>
      <c r="F102">
        <v>0</v>
      </c>
    </row>
    <row r="103" spans="2:6" x14ac:dyDescent="0.25">
      <c r="B103">
        <v>104</v>
      </c>
      <c r="C103" t="s">
        <v>215</v>
      </c>
      <c r="D103" t="s">
        <v>241</v>
      </c>
      <c r="E103">
        <v>-30</v>
      </c>
      <c r="F103">
        <v>0</v>
      </c>
    </row>
    <row r="104" spans="2:6" x14ac:dyDescent="0.25">
      <c r="B104">
        <v>105</v>
      </c>
      <c r="C104" t="s">
        <v>216</v>
      </c>
      <c r="D104" t="s">
        <v>242</v>
      </c>
      <c r="E104">
        <v>-24.158093970700001</v>
      </c>
      <c r="F104">
        <v>2.2108663697200002</v>
      </c>
    </row>
    <row r="105" spans="2:6" x14ac:dyDescent="0.25">
      <c r="B105">
        <v>106</v>
      </c>
      <c r="C105" t="s">
        <v>217</v>
      </c>
      <c r="D105" t="s">
        <v>242</v>
      </c>
      <c r="E105">
        <v>-9.5803170794600003</v>
      </c>
      <c r="F105">
        <v>1.6901243268799999</v>
      </c>
    </row>
    <row r="106" spans="2:6" x14ac:dyDescent="0.25">
      <c r="B106">
        <v>107</v>
      </c>
      <c r="C106" t="s">
        <v>218</v>
      </c>
      <c r="D106" t="s">
        <v>241</v>
      </c>
      <c r="E106">
        <v>0</v>
      </c>
      <c r="F106">
        <v>0</v>
      </c>
    </row>
    <row r="107" spans="2:6" x14ac:dyDescent="0.25">
      <c r="B107">
        <v>108</v>
      </c>
      <c r="C107" t="s">
        <v>220</v>
      </c>
      <c r="D107" t="s">
        <v>242</v>
      </c>
      <c r="E107">
        <v>-15.671349338700001</v>
      </c>
      <c r="F107">
        <v>1.3505581518600001</v>
      </c>
    </row>
    <row r="108" spans="2:6" x14ac:dyDescent="0.25">
      <c r="B108">
        <v>109</v>
      </c>
      <c r="C108" t="s">
        <v>221</v>
      </c>
      <c r="D108" t="s">
        <v>242</v>
      </c>
      <c r="E108">
        <v>-18.208541213899998</v>
      </c>
      <c r="F108">
        <v>2.10981581266</v>
      </c>
    </row>
    <row r="109" spans="2:6" x14ac:dyDescent="0.25">
      <c r="B109">
        <v>110</v>
      </c>
      <c r="C109" t="s">
        <v>222</v>
      </c>
      <c r="D109" t="s">
        <v>242</v>
      </c>
      <c r="E109">
        <v>-11.2471450075</v>
      </c>
      <c r="F109">
        <v>1.15446038317</v>
      </c>
    </row>
    <row r="110" spans="2:6" x14ac:dyDescent="0.25">
      <c r="B110">
        <v>111</v>
      </c>
      <c r="C110" t="s">
        <v>223</v>
      </c>
      <c r="D110" t="s">
        <v>242</v>
      </c>
      <c r="E110">
        <v>-10.0807778908</v>
      </c>
      <c r="F110">
        <v>0.84387302679599996</v>
      </c>
    </row>
    <row r="111" spans="2:6" x14ac:dyDescent="0.25">
      <c r="B111">
        <v>112</v>
      </c>
      <c r="C111" t="s">
        <v>224</v>
      </c>
      <c r="D111" t="s">
        <v>241</v>
      </c>
      <c r="E111">
        <v>-5.6623999999999999</v>
      </c>
      <c r="F111">
        <v>0</v>
      </c>
    </row>
    <row r="112" spans="2:6" x14ac:dyDescent="0.25">
      <c r="B112">
        <v>113</v>
      </c>
      <c r="C112" t="s">
        <v>226</v>
      </c>
      <c r="D112" t="s">
        <v>242</v>
      </c>
      <c r="E112">
        <v>-12.0597581892</v>
      </c>
      <c r="F112">
        <v>2.2172988793199999</v>
      </c>
    </row>
    <row r="113" spans="1:11" x14ac:dyDescent="0.25">
      <c r="A113">
        <v>-1</v>
      </c>
    </row>
    <row r="114" spans="1:11" x14ac:dyDescent="0.25">
      <c r="B114">
        <v>10005</v>
      </c>
      <c r="C114" s="425">
        <v>-5981.59020986</v>
      </c>
      <c r="D114" s="425">
        <v>-29805.783655800002</v>
      </c>
      <c r="E114" s="425">
        <v>-17292.021287899999</v>
      </c>
    </row>
    <row r="115" spans="1:11" x14ac:dyDescent="0.25">
      <c r="B115">
        <v>17</v>
      </c>
      <c r="C115" t="s">
        <v>267</v>
      </c>
      <c r="D115" t="s">
        <v>239</v>
      </c>
      <c r="E115">
        <v>31</v>
      </c>
      <c r="F115" t="s">
        <v>266</v>
      </c>
      <c r="G115">
        <v>16</v>
      </c>
    </row>
    <row r="116" spans="1:11" x14ac:dyDescent="0.25">
      <c r="B116">
        <v>0</v>
      </c>
      <c r="C116">
        <v>0</v>
      </c>
      <c r="D116">
        <v>0</v>
      </c>
      <c r="E116">
        <v>0</v>
      </c>
      <c r="F116">
        <v>15444</v>
      </c>
      <c r="G116">
        <v>0</v>
      </c>
      <c r="H116">
        <v>0</v>
      </c>
      <c r="I116">
        <v>7455</v>
      </c>
      <c r="J116">
        <v>0</v>
      </c>
      <c r="K116">
        <v>-52931</v>
      </c>
    </row>
    <row r="117" spans="1:11" x14ac:dyDescent="0.25">
      <c r="B117">
        <v>0</v>
      </c>
      <c r="C117">
        <v>17299</v>
      </c>
      <c r="D117">
        <v>0</v>
      </c>
      <c r="E117">
        <v>12161</v>
      </c>
      <c r="F117">
        <v>-48997</v>
      </c>
      <c r="G117">
        <v>0</v>
      </c>
      <c r="H117">
        <v>-17990</v>
      </c>
      <c r="I117">
        <v>0</v>
      </c>
      <c r="J117">
        <v>3679</v>
      </c>
      <c r="K117">
        <v>-1867</v>
      </c>
    </row>
    <row r="118" spans="1:11" x14ac:dyDescent="0.25">
      <c r="B118">
        <v>-3770</v>
      </c>
      <c r="C118">
        <v>0</v>
      </c>
      <c r="D118">
        <v>0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12</v>
      </c>
    </row>
    <row r="119" spans="1:11" x14ac:dyDescent="0.25">
      <c r="B119">
        <v>0</v>
      </c>
      <c r="C119">
        <v>2123</v>
      </c>
      <c r="D119">
        <v>-1170</v>
      </c>
      <c r="E119">
        <v>-96</v>
      </c>
      <c r="F119">
        <v>787</v>
      </c>
      <c r="G119">
        <v>0</v>
      </c>
      <c r="H119">
        <v>0</v>
      </c>
      <c r="I119">
        <v>-13781</v>
      </c>
      <c r="J119">
        <v>0</v>
      </c>
      <c r="K119">
        <v>-4407</v>
      </c>
    </row>
    <row r="120" spans="1:11" x14ac:dyDescent="0.25">
      <c r="B120">
        <v>-1467</v>
      </c>
      <c r="C120">
        <v>-3097</v>
      </c>
      <c r="D120">
        <v>4563</v>
      </c>
      <c r="E120">
        <v>0</v>
      </c>
      <c r="F120">
        <v>-2383</v>
      </c>
      <c r="G120">
        <v>0</v>
      </c>
      <c r="H120">
        <v>1436</v>
      </c>
      <c r="I120">
        <v>0</v>
      </c>
      <c r="J120">
        <v>993</v>
      </c>
      <c r="K120">
        <v>327</v>
      </c>
    </row>
    <row r="121" spans="1:11" x14ac:dyDescent="0.25">
      <c r="B121">
        <v>457</v>
      </c>
      <c r="C121">
        <v>111</v>
      </c>
      <c r="D121">
        <v>0</v>
      </c>
      <c r="E121">
        <v>7931</v>
      </c>
      <c r="F121">
        <v>5999</v>
      </c>
      <c r="G121">
        <v>0</v>
      </c>
      <c r="H121">
        <v>-6707</v>
      </c>
      <c r="I121">
        <v>0</v>
      </c>
      <c r="J121">
        <v>-2345</v>
      </c>
      <c r="K121">
        <v>1027</v>
      </c>
    </row>
    <row r="122" spans="1:11" x14ac:dyDescent="0.25">
      <c r="B122">
        <v>-2370</v>
      </c>
      <c r="C122">
        <v>2468</v>
      </c>
      <c r="D122">
        <v>0</v>
      </c>
      <c r="E122">
        <v>3015</v>
      </c>
      <c r="F122">
        <v>16636</v>
      </c>
      <c r="G122">
        <v>5743</v>
      </c>
      <c r="H122">
        <v>0</v>
      </c>
      <c r="I122">
        <v>4801</v>
      </c>
      <c r="J122">
        <v>0</v>
      </c>
      <c r="K122">
        <v>3790</v>
      </c>
    </row>
    <row r="123" spans="1:11" x14ac:dyDescent="0.25">
      <c r="B123">
        <v>2110</v>
      </c>
      <c r="C123">
        <v>2212</v>
      </c>
      <c r="D123">
        <v>1577</v>
      </c>
      <c r="E123">
        <v>0</v>
      </c>
      <c r="F123">
        <v>-12785</v>
      </c>
      <c r="G123">
        <v>8906</v>
      </c>
      <c r="H123">
        <v>-36036</v>
      </c>
      <c r="I123">
        <v>1648</v>
      </c>
      <c r="J123">
        <v>0</v>
      </c>
      <c r="K123">
        <v>5131</v>
      </c>
    </row>
    <row r="124" spans="1:11" x14ac:dyDescent="0.25">
      <c r="B124">
        <v>0</v>
      </c>
      <c r="C124">
        <v>1292</v>
      </c>
      <c r="D124">
        <v>2647</v>
      </c>
      <c r="E124">
        <v>-486</v>
      </c>
      <c r="F124">
        <v>-20687</v>
      </c>
      <c r="G124">
        <v>0</v>
      </c>
      <c r="H124">
        <v>4142</v>
      </c>
      <c r="I124">
        <v>12841</v>
      </c>
      <c r="J124">
        <v>4254</v>
      </c>
      <c r="K124">
        <v>7097</v>
      </c>
    </row>
    <row r="125" spans="1:11" x14ac:dyDescent="0.25">
      <c r="B125">
        <v>1423</v>
      </c>
      <c r="C125">
        <v>0</v>
      </c>
      <c r="D125">
        <v>740</v>
      </c>
      <c r="E125">
        <v>0</v>
      </c>
      <c r="F125">
        <v>201</v>
      </c>
      <c r="G125">
        <v>6</v>
      </c>
      <c r="H125">
        <v>-17</v>
      </c>
      <c r="I125">
        <v>1896</v>
      </c>
      <c r="J125">
        <v>0</v>
      </c>
      <c r="K125">
        <v>-28</v>
      </c>
    </row>
    <row r="126" spans="1:11" x14ac:dyDescent="0.25">
      <c r="B126">
        <v>297</v>
      </c>
      <c r="C126">
        <v>70</v>
      </c>
      <c r="D126">
        <v>47</v>
      </c>
      <c r="E126">
        <v>138</v>
      </c>
      <c r="F126">
        <v>369</v>
      </c>
      <c r="G126">
        <v>0</v>
      </c>
      <c r="H126">
        <v>349</v>
      </c>
      <c r="I126">
        <v>0</v>
      </c>
      <c r="J126">
        <v>-430</v>
      </c>
      <c r="K126">
        <v>260</v>
      </c>
    </row>
    <row r="127" spans="1:11" x14ac:dyDescent="0.25">
      <c r="B127">
        <v>-182</v>
      </c>
      <c r="C127">
        <v>1325</v>
      </c>
      <c r="D127">
        <v>0</v>
      </c>
      <c r="E127">
        <v>1485</v>
      </c>
      <c r="F127">
        <v>919</v>
      </c>
      <c r="G127">
        <v>-77</v>
      </c>
      <c r="H127">
        <v>127</v>
      </c>
      <c r="I127">
        <v>675</v>
      </c>
      <c r="J127">
        <v>1851</v>
      </c>
      <c r="K127">
        <v>1917</v>
      </c>
    </row>
    <row r="128" spans="1:11" x14ac:dyDescent="0.25">
      <c r="B128">
        <v>0</v>
      </c>
      <c r="C128">
        <v>0</v>
      </c>
      <c r="D128">
        <v>0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</row>
    <row r="129" spans="2:11" x14ac:dyDescent="0.25">
      <c r="B129">
        <v>0</v>
      </c>
      <c r="C129">
        <v>0</v>
      </c>
      <c r="D129">
        <v>0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</row>
    <row r="130" spans="2:11" x14ac:dyDescent="0.25">
      <c r="B130">
        <v>0</v>
      </c>
      <c r="C130">
        <v>0</v>
      </c>
      <c r="D130">
        <v>0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</row>
    <row r="131" spans="2:11" x14ac:dyDescent="0.25">
      <c r="B131">
        <v>0</v>
      </c>
      <c r="C131">
        <v>0</v>
      </c>
      <c r="D131">
        <v>0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</row>
    <row r="132" spans="2:11" x14ac:dyDescent="0.25">
      <c r="B132">
        <v>0</v>
      </c>
      <c r="C132">
        <v>0</v>
      </c>
      <c r="D132">
        <v>0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</row>
    <row r="133" spans="2:11" x14ac:dyDescent="0.25">
      <c r="B133">
        <v>0</v>
      </c>
      <c r="C133">
        <v>0</v>
      </c>
      <c r="D133">
        <v>-25745</v>
      </c>
      <c r="E133">
        <v>0</v>
      </c>
      <c r="F133">
        <v>-3995</v>
      </c>
      <c r="G133">
        <v>-9915</v>
      </c>
      <c r="H133">
        <v>11169</v>
      </c>
      <c r="I133">
        <v>1403</v>
      </c>
      <c r="J133">
        <v>0</v>
      </c>
      <c r="K133">
        <v>5943</v>
      </c>
    </row>
    <row r="134" spans="2:11" x14ac:dyDescent="0.25">
      <c r="B134">
        <v>11815</v>
      </c>
      <c r="C134">
        <v>-521</v>
      </c>
      <c r="D134">
        <v>6114</v>
      </c>
      <c r="E134">
        <v>1908</v>
      </c>
      <c r="F134">
        <v>5400</v>
      </c>
      <c r="G134">
        <v>30</v>
      </c>
      <c r="H134">
        <v>512</v>
      </c>
      <c r="I134">
        <v>0</v>
      </c>
      <c r="J134">
        <v>0</v>
      </c>
      <c r="K134">
        <v>0</v>
      </c>
    </row>
    <row r="135" spans="2:11" x14ac:dyDescent="0.25">
      <c r="B135">
        <v>0</v>
      </c>
      <c r="C135">
        <v>804</v>
      </c>
      <c r="D135">
        <v>0</v>
      </c>
      <c r="E135">
        <v>767</v>
      </c>
      <c r="F135">
        <v>-2814</v>
      </c>
      <c r="G135">
        <v>3938</v>
      </c>
      <c r="H135">
        <v>-1258</v>
      </c>
      <c r="I135">
        <v>0</v>
      </c>
      <c r="J135">
        <v>1055</v>
      </c>
      <c r="K135">
        <v>1790</v>
      </c>
    </row>
    <row r="136" spans="2:11" x14ac:dyDescent="0.25">
      <c r="B136">
        <v>-83</v>
      </c>
      <c r="C136">
        <v>1429</v>
      </c>
      <c r="D136">
        <v>17</v>
      </c>
      <c r="E136">
        <v>401</v>
      </c>
      <c r="F136">
        <v>212</v>
      </c>
      <c r="G136">
        <v>-95</v>
      </c>
      <c r="H136">
        <v>0</v>
      </c>
      <c r="I136">
        <v>0</v>
      </c>
      <c r="J136">
        <v>0</v>
      </c>
      <c r="K136">
        <v>22685</v>
      </c>
    </row>
    <row r="137" spans="2:11" x14ac:dyDescent="0.25">
      <c r="B137">
        <v>0</v>
      </c>
      <c r="C137">
        <v>5156</v>
      </c>
      <c r="D137">
        <v>0</v>
      </c>
      <c r="E137">
        <v>-16450</v>
      </c>
      <c r="F137">
        <v>9661</v>
      </c>
      <c r="G137">
        <v>2451</v>
      </c>
      <c r="H137">
        <v>-3144</v>
      </c>
      <c r="I137">
        <v>0</v>
      </c>
      <c r="J137">
        <v>-1097</v>
      </c>
      <c r="K137">
        <v>-403</v>
      </c>
    </row>
    <row r="138" spans="2:11" x14ac:dyDescent="0.25">
      <c r="B138">
        <v>-709</v>
      </c>
      <c r="C138">
        <v>-928</v>
      </c>
      <c r="D138">
        <v>100</v>
      </c>
      <c r="E138">
        <v>675</v>
      </c>
      <c r="F138">
        <v>-12</v>
      </c>
      <c r="G138">
        <v>5</v>
      </c>
      <c r="H138">
        <v>0</v>
      </c>
      <c r="I138">
        <v>0</v>
      </c>
      <c r="J138">
        <v>0</v>
      </c>
      <c r="K138">
        <v>10932</v>
      </c>
    </row>
    <row r="139" spans="2:11" x14ac:dyDescent="0.25">
      <c r="B139">
        <v>-46754</v>
      </c>
      <c r="C139">
        <v>0</v>
      </c>
      <c r="D139">
        <v>4448</v>
      </c>
      <c r="E139">
        <v>0</v>
      </c>
      <c r="F139">
        <v>5950</v>
      </c>
      <c r="G139">
        <v>-16978</v>
      </c>
      <c r="H139">
        <v>13355</v>
      </c>
      <c r="I139">
        <v>-3566</v>
      </c>
      <c r="J139">
        <v>0</v>
      </c>
      <c r="K139">
        <v>244</v>
      </c>
    </row>
    <row r="140" spans="2:11" x14ac:dyDescent="0.25">
      <c r="B140">
        <v>-2658</v>
      </c>
      <c r="C140">
        <v>-1679</v>
      </c>
      <c r="D140">
        <v>-3276</v>
      </c>
      <c r="E140">
        <v>-1402</v>
      </c>
      <c r="F140">
        <v>-2354</v>
      </c>
      <c r="G140">
        <v>104</v>
      </c>
      <c r="H140">
        <v>189</v>
      </c>
      <c r="I140">
        <v>0</v>
      </c>
      <c r="J140">
        <v>0</v>
      </c>
      <c r="K140">
        <v>0</v>
      </c>
    </row>
    <row r="141" spans="2:11" x14ac:dyDescent="0.25">
      <c r="B141">
        <v>70942</v>
      </c>
      <c r="C141">
        <v>26409</v>
      </c>
      <c r="D141">
        <v>-26180</v>
      </c>
      <c r="E141">
        <v>0</v>
      </c>
      <c r="F141">
        <v>277</v>
      </c>
      <c r="G141">
        <v>0</v>
      </c>
      <c r="H141">
        <v>204</v>
      </c>
      <c r="I141">
        <v>211</v>
      </c>
      <c r="J141">
        <v>72</v>
      </c>
      <c r="K141">
        <v>-676</v>
      </c>
    </row>
    <row r="142" spans="2:11" x14ac:dyDescent="0.25">
      <c r="B142">
        <v>0</v>
      </c>
      <c r="C142">
        <v>-19</v>
      </c>
      <c r="D142">
        <v>32</v>
      </c>
      <c r="E142">
        <v>229</v>
      </c>
      <c r="F142">
        <v>-1083</v>
      </c>
      <c r="G142">
        <v>303</v>
      </c>
      <c r="H142">
        <v>1199</v>
      </c>
      <c r="I142">
        <v>225</v>
      </c>
      <c r="J142">
        <v>205</v>
      </c>
      <c r="K142">
        <v>0</v>
      </c>
    </row>
    <row r="143" spans="2:11" x14ac:dyDescent="0.25">
      <c r="B143">
        <v>0</v>
      </c>
      <c r="C143">
        <v>0</v>
      </c>
      <c r="D143">
        <v>2959</v>
      </c>
      <c r="E143">
        <v>1368</v>
      </c>
      <c r="F143">
        <v>5103</v>
      </c>
      <c r="G143">
        <v>-274</v>
      </c>
      <c r="H143">
        <v>0</v>
      </c>
      <c r="I143">
        <v>0</v>
      </c>
      <c r="J143">
        <v>0</v>
      </c>
      <c r="K143">
        <v>0</v>
      </c>
    </row>
    <row r="144" spans="2:11" x14ac:dyDescent="0.25">
      <c r="B144">
        <v>0</v>
      </c>
      <c r="C144">
        <v>0</v>
      </c>
      <c r="D144">
        <v>0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</row>
    <row r="145" spans="2:11" x14ac:dyDescent="0.25">
      <c r="B145">
        <v>0</v>
      </c>
      <c r="C145">
        <v>0</v>
      </c>
      <c r="D145">
        <v>0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</row>
    <row r="146" spans="2:11" x14ac:dyDescent="0.25">
      <c r="B146">
        <v>0</v>
      </c>
      <c r="C146">
        <v>-6973</v>
      </c>
      <c r="D146">
        <v>0</v>
      </c>
      <c r="E146">
        <v>-2659</v>
      </c>
      <c r="F146">
        <v>-275</v>
      </c>
      <c r="G146">
        <v>-2386</v>
      </c>
      <c r="H146">
        <v>613</v>
      </c>
      <c r="I146">
        <v>0</v>
      </c>
      <c r="J146">
        <v>4349</v>
      </c>
      <c r="K146">
        <v>2969</v>
      </c>
    </row>
    <row r="147" spans="2:11" x14ac:dyDescent="0.25">
      <c r="B147">
        <v>-6825</v>
      </c>
      <c r="C147">
        <v>-8742</v>
      </c>
      <c r="D147">
        <v>923</v>
      </c>
      <c r="E147">
        <v>-902</v>
      </c>
      <c r="F147">
        <v>623</v>
      </c>
      <c r="G147">
        <v>3668</v>
      </c>
      <c r="H147">
        <v>0</v>
      </c>
      <c r="I147">
        <v>0</v>
      </c>
      <c r="J147">
        <v>0</v>
      </c>
      <c r="K147">
        <v>1858</v>
      </c>
    </row>
    <row r="148" spans="2:11" x14ac:dyDescent="0.25">
      <c r="B148">
        <v>-78</v>
      </c>
      <c r="C148">
        <v>-77</v>
      </c>
      <c r="D148">
        <v>2</v>
      </c>
      <c r="E148">
        <v>85</v>
      </c>
      <c r="F148">
        <v>0</v>
      </c>
      <c r="G148">
        <v>0</v>
      </c>
      <c r="H148">
        <v>6778</v>
      </c>
      <c r="I148">
        <v>0</v>
      </c>
      <c r="J148">
        <v>1969</v>
      </c>
      <c r="K148">
        <v>-565</v>
      </c>
    </row>
    <row r="149" spans="2:11" x14ac:dyDescent="0.25">
      <c r="B149">
        <v>1117</v>
      </c>
      <c r="C149">
        <v>-3162</v>
      </c>
      <c r="D149">
        <v>0</v>
      </c>
      <c r="E149">
        <v>746</v>
      </c>
      <c r="F149">
        <v>-1885</v>
      </c>
      <c r="G149">
        <v>-4321</v>
      </c>
      <c r="H149">
        <v>-6150</v>
      </c>
      <c r="I149">
        <v>1376</v>
      </c>
      <c r="J149">
        <v>54</v>
      </c>
      <c r="K149">
        <v>839</v>
      </c>
    </row>
    <row r="150" spans="2:11" x14ac:dyDescent="0.25">
      <c r="B150">
        <v>1945</v>
      </c>
      <c r="C150">
        <v>0</v>
      </c>
      <c r="D150">
        <v>0</v>
      </c>
      <c r="E150">
        <v>0</v>
      </c>
      <c r="F150">
        <v>-1852</v>
      </c>
      <c r="G150">
        <v>19</v>
      </c>
      <c r="H150">
        <v>253</v>
      </c>
      <c r="I150">
        <v>729</v>
      </c>
      <c r="J150">
        <v>77</v>
      </c>
      <c r="K150">
        <v>0</v>
      </c>
    </row>
    <row r="151" spans="2:11" x14ac:dyDescent="0.25">
      <c r="B151">
        <v>44016</v>
      </c>
      <c r="C151">
        <v>0</v>
      </c>
      <c r="D151">
        <v>12500</v>
      </c>
      <c r="E151">
        <v>0</v>
      </c>
      <c r="F151">
        <v>-16713</v>
      </c>
      <c r="G151">
        <v>13388</v>
      </c>
      <c r="H151">
        <v>-1125</v>
      </c>
      <c r="I151">
        <v>-5790</v>
      </c>
      <c r="J151">
        <v>0</v>
      </c>
      <c r="K151">
        <v>-2766</v>
      </c>
    </row>
    <row r="152" spans="2:11" x14ac:dyDescent="0.25">
      <c r="B152">
        <v>-6421</v>
      </c>
      <c r="C152">
        <v>-3411</v>
      </c>
      <c r="D152">
        <v>-7342</v>
      </c>
      <c r="E152">
        <v>-2530</v>
      </c>
      <c r="F152">
        <v>-1077</v>
      </c>
      <c r="G152">
        <v>490</v>
      </c>
      <c r="H152">
        <v>749</v>
      </c>
      <c r="I152">
        <v>0</v>
      </c>
      <c r="J152">
        <v>0</v>
      </c>
      <c r="K152">
        <v>0</v>
      </c>
    </row>
    <row r="153" spans="2:11" x14ac:dyDescent="0.25">
      <c r="B153">
        <v>-4270</v>
      </c>
      <c r="C153">
        <v>-265</v>
      </c>
      <c r="D153">
        <v>4038</v>
      </c>
      <c r="E153">
        <v>-456</v>
      </c>
      <c r="F153">
        <v>48</v>
      </c>
      <c r="G153">
        <v>0</v>
      </c>
      <c r="H153">
        <v>31999</v>
      </c>
      <c r="I153">
        <v>-27420</v>
      </c>
      <c r="J153">
        <v>0</v>
      </c>
      <c r="K153">
        <v>23957</v>
      </c>
    </row>
    <row r="154" spans="2:11" x14ac:dyDescent="0.25">
      <c r="B154">
        <v>0</v>
      </c>
      <c r="C154">
        <v>11809</v>
      </c>
      <c r="D154">
        <v>-19719</v>
      </c>
      <c r="E154">
        <v>13965</v>
      </c>
      <c r="F154">
        <v>-4703</v>
      </c>
      <c r="G154">
        <v>0</v>
      </c>
      <c r="H154">
        <v>-6037</v>
      </c>
      <c r="I154">
        <v>-19224</v>
      </c>
      <c r="J154">
        <v>-7790</v>
      </c>
      <c r="K154">
        <v>-13618</v>
      </c>
    </row>
    <row r="155" spans="2:11" x14ac:dyDescent="0.25">
      <c r="B155">
        <v>-2453</v>
      </c>
      <c r="C155">
        <v>-6636</v>
      </c>
      <c r="D155">
        <v>19</v>
      </c>
      <c r="E155">
        <v>448</v>
      </c>
      <c r="F155">
        <v>0</v>
      </c>
      <c r="G155">
        <v>0</v>
      </c>
      <c r="H155">
        <v>0</v>
      </c>
      <c r="I155">
        <v>-6836</v>
      </c>
      <c r="J155">
        <v>333</v>
      </c>
      <c r="K155">
        <v>-79</v>
      </c>
    </row>
    <row r="156" spans="2:11" x14ac:dyDescent="0.25">
      <c r="B156">
        <v>5767</v>
      </c>
      <c r="C156">
        <v>6</v>
      </c>
      <c r="D156">
        <v>0</v>
      </c>
      <c r="E156">
        <v>23966</v>
      </c>
      <c r="F156">
        <v>24110</v>
      </c>
      <c r="G156">
        <v>-32835</v>
      </c>
      <c r="H156">
        <v>0</v>
      </c>
      <c r="I156">
        <v>27531</v>
      </c>
      <c r="J156">
        <v>0</v>
      </c>
      <c r="K156">
        <v>3106</v>
      </c>
    </row>
    <row r="157" spans="2:11" x14ac:dyDescent="0.25">
      <c r="B157">
        <v>11558</v>
      </c>
      <c r="C157">
        <v>-12598</v>
      </c>
      <c r="D157">
        <v>-4148</v>
      </c>
      <c r="E157">
        <v>0</v>
      </c>
      <c r="F157">
        <v>-3292</v>
      </c>
      <c r="G157">
        <v>-23281</v>
      </c>
      <c r="H157">
        <v>-5268</v>
      </c>
      <c r="I157">
        <v>-12579</v>
      </c>
      <c r="J157">
        <v>-2300</v>
      </c>
      <c r="K157">
        <v>-6461</v>
      </c>
    </row>
    <row r="158" spans="2:11" x14ac:dyDescent="0.25">
      <c r="B158">
        <v>612</v>
      </c>
      <c r="C158">
        <v>1751</v>
      </c>
      <c r="D158">
        <v>0</v>
      </c>
      <c r="E158">
        <v>0</v>
      </c>
      <c r="F158">
        <v>0</v>
      </c>
      <c r="G158">
        <v>-12352</v>
      </c>
      <c r="H158">
        <v>-958</v>
      </c>
      <c r="I158">
        <v>1127</v>
      </c>
      <c r="J158">
        <v>-345</v>
      </c>
      <c r="K158">
        <v>85</v>
      </c>
    </row>
    <row r="159" spans="2:11" x14ac:dyDescent="0.25">
      <c r="B159">
        <v>0</v>
      </c>
      <c r="C159">
        <v>42991</v>
      </c>
      <c r="D159">
        <v>19916</v>
      </c>
      <c r="E159">
        <v>29055</v>
      </c>
      <c r="F159">
        <v>-14581</v>
      </c>
      <c r="G159">
        <v>0</v>
      </c>
      <c r="H159">
        <v>1613</v>
      </c>
      <c r="I159">
        <v>0</v>
      </c>
      <c r="J159">
        <v>-313</v>
      </c>
      <c r="K159">
        <v>193</v>
      </c>
    </row>
    <row r="160" spans="2:11" x14ac:dyDescent="0.25">
      <c r="B160">
        <v>979</v>
      </c>
      <c r="C160">
        <v>-633</v>
      </c>
      <c r="D160">
        <v>0</v>
      </c>
      <c r="E160">
        <v>964</v>
      </c>
      <c r="F160">
        <v>238</v>
      </c>
      <c r="G160">
        <v>-543</v>
      </c>
      <c r="H160">
        <v>515</v>
      </c>
      <c r="I160">
        <v>1941</v>
      </c>
      <c r="J160">
        <v>1649</v>
      </c>
      <c r="K160">
        <v>-384</v>
      </c>
    </row>
    <row r="161" spans="2:11" x14ac:dyDescent="0.25">
      <c r="B161">
        <v>-671</v>
      </c>
      <c r="C161">
        <v>0</v>
      </c>
      <c r="D161">
        <v>0</v>
      </c>
      <c r="E161">
        <v>0</v>
      </c>
      <c r="F161">
        <v>-53</v>
      </c>
      <c r="G161">
        <v>85</v>
      </c>
      <c r="H161">
        <v>187</v>
      </c>
      <c r="I161">
        <v>32</v>
      </c>
      <c r="J161">
        <v>46</v>
      </c>
      <c r="K161">
        <v>0</v>
      </c>
    </row>
    <row r="162" spans="2:11" x14ac:dyDescent="0.25">
      <c r="B162">
        <v>471</v>
      </c>
      <c r="C162">
        <v>911</v>
      </c>
      <c r="D162">
        <v>2318</v>
      </c>
      <c r="E162">
        <v>-2593</v>
      </c>
      <c r="F162">
        <v>-466</v>
      </c>
      <c r="G162">
        <v>0</v>
      </c>
      <c r="H162">
        <v>3428</v>
      </c>
      <c r="I162">
        <v>0</v>
      </c>
      <c r="J162">
        <v>352</v>
      </c>
      <c r="K162">
        <v>-225</v>
      </c>
    </row>
    <row r="163" spans="2:11" x14ac:dyDescent="0.25">
      <c r="B163">
        <v>627</v>
      </c>
      <c r="C163">
        <v>-1185</v>
      </c>
      <c r="D163">
        <v>0</v>
      </c>
      <c r="E163">
        <v>-1178</v>
      </c>
      <c r="F163">
        <v>-14</v>
      </c>
      <c r="G163">
        <v>-1114</v>
      </c>
      <c r="H163">
        <v>-2739</v>
      </c>
      <c r="I163">
        <v>1114</v>
      </c>
      <c r="J163">
        <v>3047</v>
      </c>
      <c r="K163">
        <v>-1663</v>
      </c>
    </row>
    <row r="164" spans="2:11" x14ac:dyDescent="0.25">
      <c r="B164">
        <v>-2735</v>
      </c>
      <c r="C164">
        <v>0</v>
      </c>
      <c r="D164">
        <v>0</v>
      </c>
      <c r="E164">
        <v>0</v>
      </c>
      <c r="F164">
        <v>-899</v>
      </c>
      <c r="G164">
        <v>192</v>
      </c>
      <c r="H164">
        <v>25</v>
      </c>
      <c r="I164">
        <v>96</v>
      </c>
      <c r="J164">
        <v>289</v>
      </c>
      <c r="K164">
        <v>0</v>
      </c>
    </row>
    <row r="165" spans="2:11" x14ac:dyDescent="0.25">
      <c r="B165">
        <v>4981</v>
      </c>
      <c r="C165">
        <v>2092</v>
      </c>
      <c r="D165">
        <v>3793</v>
      </c>
      <c r="E165">
        <v>568</v>
      </c>
      <c r="F165">
        <v>556</v>
      </c>
      <c r="G165">
        <v>-43590</v>
      </c>
      <c r="H165">
        <v>0</v>
      </c>
      <c r="I165">
        <v>0</v>
      </c>
      <c r="J165">
        <v>0</v>
      </c>
      <c r="K165">
        <v>0</v>
      </c>
    </row>
    <row r="166" spans="2:11" x14ac:dyDescent="0.25">
      <c r="B166">
        <v>0</v>
      </c>
      <c r="C166">
        <v>0</v>
      </c>
      <c r="D166">
        <v>0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</row>
    <row r="167" spans="2:11" x14ac:dyDescent="0.25">
      <c r="B167">
        <v>0</v>
      </c>
      <c r="C167">
        <v>0</v>
      </c>
      <c r="D167">
        <v>0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</row>
    <row r="168" spans="2:11" x14ac:dyDescent="0.25">
      <c r="B168">
        <v>0</v>
      </c>
      <c r="C168">
        <v>0</v>
      </c>
      <c r="D168">
        <v>0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</row>
    <row r="169" spans="2:11" x14ac:dyDescent="0.25">
      <c r="B169">
        <v>0</v>
      </c>
      <c r="C169">
        <v>0</v>
      </c>
      <c r="D169">
        <v>0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</row>
    <row r="170" spans="2:11" x14ac:dyDescent="0.25">
      <c r="B170">
        <v>0</v>
      </c>
      <c r="C170">
        <v>0</v>
      </c>
      <c r="D170">
        <v>0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</row>
    <row r="171" spans="2:11" x14ac:dyDescent="0.25">
      <c r="B171">
        <v>0</v>
      </c>
      <c r="C171">
        <v>0</v>
      </c>
      <c r="D171">
        <v>0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</row>
    <row r="172" spans="2:11" x14ac:dyDescent="0.25">
      <c r="B172">
        <v>0</v>
      </c>
      <c r="C172">
        <v>0</v>
      </c>
      <c r="D172">
        <v>0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</row>
    <row r="173" spans="2:11" x14ac:dyDescent="0.25">
      <c r="B173">
        <v>0</v>
      </c>
      <c r="C173">
        <v>0</v>
      </c>
      <c r="D173">
        <v>0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</row>
    <row r="174" spans="2:11" x14ac:dyDescent="0.25">
      <c r="B174">
        <v>0</v>
      </c>
      <c r="C174">
        <v>0</v>
      </c>
      <c r="D174">
        <v>0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</row>
    <row r="175" spans="2:11" x14ac:dyDescent="0.25">
      <c r="B175">
        <v>0</v>
      </c>
      <c r="C175">
        <v>0</v>
      </c>
      <c r="D175">
        <v>0</v>
      </c>
      <c r="E175">
        <v>0</v>
      </c>
      <c r="F175">
        <v>0</v>
      </c>
      <c r="G175">
        <v>0</v>
      </c>
      <c r="H175">
        <v>-5826</v>
      </c>
      <c r="I175">
        <v>0</v>
      </c>
      <c r="J175">
        <v>-2592</v>
      </c>
      <c r="K175">
        <v>-126</v>
      </c>
    </row>
    <row r="176" spans="2:11" x14ac:dyDescent="0.25">
      <c r="B176">
        <v>-1394</v>
      </c>
      <c r="C176">
        <v>2806</v>
      </c>
      <c r="D176">
        <v>0</v>
      </c>
      <c r="E176">
        <v>2378</v>
      </c>
      <c r="F176">
        <v>2814</v>
      </c>
      <c r="G176">
        <v>-985</v>
      </c>
      <c r="H176">
        <v>-3692</v>
      </c>
      <c r="I176">
        <v>-604</v>
      </c>
      <c r="J176">
        <v>175</v>
      </c>
      <c r="K176">
        <v>1851</v>
      </c>
    </row>
    <row r="177" spans="2:11" x14ac:dyDescent="0.25">
      <c r="B177">
        <v>3946</v>
      </c>
      <c r="C177">
        <v>0</v>
      </c>
      <c r="D177">
        <v>0</v>
      </c>
      <c r="E177">
        <v>0</v>
      </c>
      <c r="F177">
        <v>1634</v>
      </c>
      <c r="G177">
        <v>-40</v>
      </c>
      <c r="H177">
        <v>-55</v>
      </c>
      <c r="I177">
        <v>-226</v>
      </c>
      <c r="J177">
        <v>61</v>
      </c>
      <c r="K177">
        <v>0</v>
      </c>
    </row>
    <row r="178" spans="2:11" x14ac:dyDescent="0.25">
      <c r="B178">
        <v>1276</v>
      </c>
      <c r="C178">
        <v>-58</v>
      </c>
      <c r="D178">
        <v>-292</v>
      </c>
      <c r="E178">
        <v>-1355</v>
      </c>
      <c r="F178">
        <v>-1540</v>
      </c>
      <c r="G178">
        <v>-83</v>
      </c>
      <c r="H178">
        <v>29</v>
      </c>
      <c r="I178">
        <v>0</v>
      </c>
      <c r="J178">
        <v>0</v>
      </c>
      <c r="K178">
        <v>0</v>
      </c>
    </row>
    <row r="179" spans="2:11" x14ac:dyDescent="0.25">
      <c r="B179">
        <v>0</v>
      </c>
      <c r="C179">
        <v>8070</v>
      </c>
      <c r="D179">
        <v>0</v>
      </c>
      <c r="E179">
        <v>2203</v>
      </c>
      <c r="F179">
        <v>-630</v>
      </c>
      <c r="G179">
        <v>1564</v>
      </c>
      <c r="H179">
        <v>-2120</v>
      </c>
      <c r="I179">
        <v>0</v>
      </c>
      <c r="J179">
        <v>987</v>
      </c>
      <c r="K179">
        <v>-1421</v>
      </c>
    </row>
    <row r="180" spans="2:11" x14ac:dyDescent="0.25">
      <c r="B180">
        <v>-461</v>
      </c>
      <c r="C180">
        <v>-2572</v>
      </c>
      <c r="D180">
        <v>-73</v>
      </c>
      <c r="E180">
        <v>236</v>
      </c>
      <c r="F180">
        <v>-640</v>
      </c>
      <c r="G180">
        <v>2267</v>
      </c>
      <c r="H180">
        <v>0</v>
      </c>
      <c r="I180">
        <v>0</v>
      </c>
      <c r="J180">
        <v>0</v>
      </c>
      <c r="K180">
        <v>-2058</v>
      </c>
    </row>
    <row r="181" spans="2:11" x14ac:dyDescent="0.25">
      <c r="B181">
        <v>47</v>
      </c>
      <c r="C181">
        <v>280</v>
      </c>
      <c r="D181">
        <v>658</v>
      </c>
      <c r="E181">
        <v>13</v>
      </c>
      <c r="F181">
        <v>0</v>
      </c>
      <c r="G181">
        <v>-227</v>
      </c>
      <c r="H181">
        <v>769</v>
      </c>
      <c r="I181">
        <v>994</v>
      </c>
      <c r="J181">
        <v>2450</v>
      </c>
      <c r="K181">
        <v>2431</v>
      </c>
    </row>
    <row r="182" spans="2:11" x14ac:dyDescent="0.25">
      <c r="B182">
        <v>74</v>
      </c>
      <c r="C182">
        <v>32</v>
      </c>
      <c r="D182">
        <v>0</v>
      </c>
      <c r="E182">
        <v>0</v>
      </c>
      <c r="F182">
        <v>0</v>
      </c>
      <c r="G182">
        <v>44392</v>
      </c>
      <c r="H182">
        <v>0</v>
      </c>
      <c r="I182">
        <v>13088</v>
      </c>
      <c r="J182">
        <v>0</v>
      </c>
      <c r="K182">
        <v>-19176</v>
      </c>
    </row>
    <row r="183" spans="2:11" x14ac:dyDescent="0.25">
      <c r="B183">
        <v>14886</v>
      </c>
      <c r="C183">
        <v>-967</v>
      </c>
      <c r="D183">
        <v>-5183</v>
      </c>
      <c r="E183">
        <v>0</v>
      </c>
      <c r="F183">
        <v>-3072</v>
      </c>
      <c r="G183">
        <v>-6866</v>
      </c>
      <c r="H183">
        <v>-1749</v>
      </c>
      <c r="I183">
        <v>-5722</v>
      </c>
      <c r="J183">
        <v>-2038</v>
      </c>
      <c r="K183">
        <v>-1496</v>
      </c>
    </row>
    <row r="184" spans="2:11" x14ac:dyDescent="0.25">
      <c r="B184">
        <v>1161</v>
      </c>
      <c r="C184">
        <v>942</v>
      </c>
      <c r="D184">
        <v>0</v>
      </c>
      <c r="E184">
        <v>0</v>
      </c>
      <c r="F184">
        <v>0</v>
      </c>
      <c r="G184">
        <v>-4392</v>
      </c>
      <c r="H184">
        <v>-301</v>
      </c>
      <c r="I184">
        <v>4533</v>
      </c>
      <c r="J184">
        <v>-630</v>
      </c>
      <c r="K184">
        <v>-3</v>
      </c>
    </row>
    <row r="185" spans="2:11" x14ac:dyDescent="0.25">
      <c r="B185">
        <v>0</v>
      </c>
      <c r="C185">
        <v>-295</v>
      </c>
      <c r="D185">
        <v>1052</v>
      </c>
      <c r="E185">
        <v>6545</v>
      </c>
      <c r="F185">
        <v>2547</v>
      </c>
      <c r="G185">
        <v>5789</v>
      </c>
      <c r="H185">
        <v>150</v>
      </c>
      <c r="I185">
        <v>165</v>
      </c>
      <c r="J185">
        <v>0</v>
      </c>
      <c r="K185">
        <v>0</v>
      </c>
    </row>
    <row r="186" spans="2:11" x14ac:dyDescent="0.25">
      <c r="B186">
        <v>0</v>
      </c>
      <c r="C186">
        <v>31939</v>
      </c>
      <c r="D186">
        <v>-22192</v>
      </c>
      <c r="E186">
        <v>0</v>
      </c>
      <c r="F186">
        <v>19125</v>
      </c>
      <c r="G186">
        <v>0</v>
      </c>
      <c r="H186">
        <v>9242</v>
      </c>
      <c r="I186">
        <v>-19786</v>
      </c>
      <c r="J186">
        <v>13441</v>
      </c>
      <c r="K186">
        <v>-4217</v>
      </c>
    </row>
    <row r="187" spans="2:11" x14ac:dyDescent="0.25">
      <c r="B187">
        <v>0</v>
      </c>
      <c r="C187">
        <v>-4391</v>
      </c>
      <c r="D187">
        <v>-13534</v>
      </c>
      <c r="E187">
        <v>-2731</v>
      </c>
      <c r="F187">
        <v>-8850</v>
      </c>
      <c r="G187">
        <v>-1448</v>
      </c>
      <c r="H187">
        <v>-3520</v>
      </c>
      <c r="I187">
        <v>41</v>
      </c>
      <c r="J187">
        <v>65</v>
      </c>
      <c r="K187">
        <v>0</v>
      </c>
    </row>
    <row r="188" spans="2:11" x14ac:dyDescent="0.25">
      <c r="B188">
        <v>0</v>
      </c>
      <c r="C188">
        <v>0</v>
      </c>
      <c r="D188">
        <v>-4709</v>
      </c>
      <c r="E188">
        <v>427</v>
      </c>
      <c r="F188">
        <v>-33</v>
      </c>
      <c r="G188">
        <v>5270</v>
      </c>
      <c r="H188">
        <v>-23</v>
      </c>
      <c r="I188">
        <v>0</v>
      </c>
      <c r="J188">
        <v>-1021</v>
      </c>
      <c r="K188">
        <v>1975</v>
      </c>
    </row>
    <row r="189" spans="2:11" x14ac:dyDescent="0.25">
      <c r="B189">
        <v>1810</v>
      </c>
      <c r="C189">
        <v>12422</v>
      </c>
      <c r="D189">
        <v>6305</v>
      </c>
      <c r="E189">
        <v>112</v>
      </c>
      <c r="F189">
        <v>661</v>
      </c>
      <c r="G189">
        <v>0</v>
      </c>
      <c r="H189">
        <v>0</v>
      </c>
      <c r="I189">
        <v>0</v>
      </c>
      <c r="J189">
        <v>18641</v>
      </c>
      <c r="K189">
        <v>21724</v>
      </c>
    </row>
    <row r="190" spans="2:11" x14ac:dyDescent="0.25">
      <c r="B190">
        <v>-35045</v>
      </c>
      <c r="C190">
        <v>0</v>
      </c>
      <c r="D190">
        <v>18837</v>
      </c>
      <c r="E190">
        <v>0</v>
      </c>
      <c r="F190">
        <v>3238</v>
      </c>
      <c r="G190">
        <v>7789</v>
      </c>
      <c r="H190">
        <v>-7981</v>
      </c>
      <c r="I190">
        <v>-1719</v>
      </c>
      <c r="J190">
        <v>0</v>
      </c>
      <c r="K190">
        <v>-3657</v>
      </c>
    </row>
    <row r="191" spans="2:11" x14ac:dyDescent="0.25">
      <c r="B191">
        <v>-15927</v>
      </c>
      <c r="C191">
        <v>-991</v>
      </c>
      <c r="D191">
        <v>-6821</v>
      </c>
      <c r="E191">
        <v>-743</v>
      </c>
      <c r="F191">
        <v>-3801</v>
      </c>
      <c r="G191">
        <v>942</v>
      </c>
      <c r="H191">
        <v>969</v>
      </c>
      <c r="I191">
        <v>0</v>
      </c>
      <c r="J191">
        <v>0</v>
      </c>
      <c r="K191">
        <v>0</v>
      </c>
    </row>
    <row r="192" spans="2:11" x14ac:dyDescent="0.25">
      <c r="B192">
        <v>-8392</v>
      </c>
      <c r="C192">
        <v>-658</v>
      </c>
      <c r="D192">
        <v>586</v>
      </c>
      <c r="E192">
        <v>-393</v>
      </c>
      <c r="F192">
        <v>56</v>
      </c>
      <c r="G192">
        <v>0</v>
      </c>
      <c r="H192">
        <v>-1274</v>
      </c>
      <c r="I192">
        <v>1571</v>
      </c>
      <c r="J192">
        <v>3522</v>
      </c>
      <c r="K192">
        <v>6075</v>
      </c>
    </row>
    <row r="193" spans="2:11" x14ac:dyDescent="0.25">
      <c r="B193">
        <v>10507</v>
      </c>
      <c r="C193">
        <v>36</v>
      </c>
      <c r="D193">
        <v>637</v>
      </c>
      <c r="E193">
        <v>0</v>
      </c>
      <c r="F193">
        <v>0</v>
      </c>
      <c r="G193">
        <v>0</v>
      </c>
      <c r="H193">
        <v>30649</v>
      </c>
      <c r="I193">
        <v>13518</v>
      </c>
      <c r="J193">
        <v>25591</v>
      </c>
      <c r="K193">
        <v>-30547</v>
      </c>
    </row>
    <row r="194" spans="2:11" x14ac:dyDescent="0.25">
      <c r="B194">
        <v>0</v>
      </c>
      <c r="C194">
        <v>2026</v>
      </c>
      <c r="D194">
        <v>0</v>
      </c>
      <c r="E194">
        <v>1621</v>
      </c>
      <c r="F194">
        <v>136</v>
      </c>
      <c r="G194">
        <v>195</v>
      </c>
      <c r="H194">
        <v>-698</v>
      </c>
      <c r="I194">
        <v>0</v>
      </c>
      <c r="J194">
        <v>716</v>
      </c>
      <c r="K194">
        <v>-432</v>
      </c>
    </row>
    <row r="195" spans="2:11" x14ac:dyDescent="0.25">
      <c r="B195">
        <v>-658</v>
      </c>
      <c r="C195">
        <v>-328</v>
      </c>
      <c r="D195">
        <v>1880</v>
      </c>
      <c r="E195">
        <v>2886</v>
      </c>
      <c r="F195">
        <v>-2757</v>
      </c>
      <c r="G195">
        <v>-4413</v>
      </c>
      <c r="H195">
        <v>0</v>
      </c>
      <c r="I195">
        <v>0</v>
      </c>
      <c r="J195">
        <v>0</v>
      </c>
      <c r="K195">
        <v>-281</v>
      </c>
    </row>
    <row r="196" spans="2:11" x14ac:dyDescent="0.25">
      <c r="B196">
        <v>-160</v>
      </c>
      <c r="C196">
        <v>96</v>
      </c>
      <c r="D196">
        <v>75</v>
      </c>
      <c r="E196">
        <v>-164</v>
      </c>
      <c r="F196">
        <v>0</v>
      </c>
      <c r="G196">
        <v>-399</v>
      </c>
      <c r="H196">
        <v>120</v>
      </c>
      <c r="I196">
        <v>-2</v>
      </c>
      <c r="J196">
        <v>255</v>
      </c>
      <c r="K196">
        <v>226</v>
      </c>
    </row>
    <row r="197" spans="2:11" x14ac:dyDescent="0.25">
      <c r="B197">
        <v>-38</v>
      </c>
      <c r="C197">
        <v>-1272</v>
      </c>
      <c r="D197">
        <v>0</v>
      </c>
      <c r="E197">
        <v>0</v>
      </c>
      <c r="F197">
        <v>0</v>
      </c>
      <c r="G197">
        <v>3114</v>
      </c>
      <c r="H197">
        <v>8046</v>
      </c>
      <c r="I197">
        <v>5212</v>
      </c>
      <c r="J197">
        <v>1176</v>
      </c>
      <c r="K197">
        <v>-1068</v>
      </c>
    </row>
    <row r="198" spans="2:11" x14ac:dyDescent="0.25">
      <c r="B198">
        <v>0</v>
      </c>
      <c r="C198">
        <v>549</v>
      </c>
      <c r="D198">
        <v>0</v>
      </c>
      <c r="E198">
        <v>-1294</v>
      </c>
      <c r="F198">
        <v>513</v>
      </c>
      <c r="G198">
        <v>254</v>
      </c>
      <c r="H198">
        <v>-447</v>
      </c>
      <c r="I198">
        <v>0</v>
      </c>
      <c r="J198">
        <v>-1584</v>
      </c>
      <c r="K198">
        <v>1674</v>
      </c>
    </row>
    <row r="199" spans="2:11" x14ac:dyDescent="0.25">
      <c r="B199">
        <v>-139</v>
      </c>
      <c r="C199">
        <v>-2</v>
      </c>
      <c r="D199">
        <v>661</v>
      </c>
      <c r="E199">
        <v>2496</v>
      </c>
      <c r="F199">
        <v>603</v>
      </c>
      <c r="G199">
        <v>-218</v>
      </c>
      <c r="H199">
        <v>0</v>
      </c>
      <c r="I199">
        <v>0</v>
      </c>
      <c r="J199">
        <v>0</v>
      </c>
      <c r="K199">
        <v>-144</v>
      </c>
    </row>
    <row r="200" spans="2:11" x14ac:dyDescent="0.25">
      <c r="B200">
        <v>480</v>
      </c>
      <c r="C200">
        <v>-240</v>
      </c>
      <c r="D200">
        <v>-420</v>
      </c>
      <c r="E200">
        <v>582</v>
      </c>
      <c r="F200">
        <v>0</v>
      </c>
      <c r="G200">
        <v>313</v>
      </c>
      <c r="H200">
        <v>-86</v>
      </c>
      <c r="I200">
        <v>50</v>
      </c>
      <c r="J200">
        <v>-263</v>
      </c>
      <c r="K200">
        <v>56</v>
      </c>
    </row>
    <row r="201" spans="2:11" x14ac:dyDescent="0.25">
      <c r="B201">
        <v>565</v>
      </c>
      <c r="C201">
        <v>4508</v>
      </c>
      <c r="D201">
        <v>0</v>
      </c>
      <c r="E201">
        <v>0</v>
      </c>
      <c r="F201">
        <v>0</v>
      </c>
      <c r="G201">
        <v>6287</v>
      </c>
      <c r="H201">
        <v>-6470</v>
      </c>
      <c r="I201">
        <v>-4197</v>
      </c>
      <c r="J201">
        <v>-3482</v>
      </c>
      <c r="K201">
        <v>807</v>
      </c>
    </row>
    <row r="202" spans="2:11" x14ac:dyDescent="0.25">
      <c r="B202">
        <v>-28159</v>
      </c>
      <c r="C202">
        <v>0</v>
      </c>
      <c r="D202">
        <v>-1285</v>
      </c>
      <c r="E202">
        <v>0</v>
      </c>
      <c r="F202">
        <v>-734</v>
      </c>
      <c r="G202">
        <v>-260</v>
      </c>
      <c r="H202">
        <v>67</v>
      </c>
      <c r="I202">
        <v>6311</v>
      </c>
      <c r="J202">
        <v>0</v>
      </c>
      <c r="K202">
        <v>1851</v>
      </c>
    </row>
    <row r="203" spans="2:11" x14ac:dyDescent="0.25">
      <c r="B203">
        <v>458</v>
      </c>
      <c r="C203">
        <v>-1406</v>
      </c>
      <c r="D203">
        <v>-853</v>
      </c>
      <c r="E203">
        <v>884</v>
      </c>
      <c r="F203">
        <v>442</v>
      </c>
      <c r="G203">
        <v>109</v>
      </c>
      <c r="H203">
        <v>3274</v>
      </c>
      <c r="I203">
        <v>0</v>
      </c>
      <c r="J203">
        <v>0</v>
      </c>
      <c r="K203">
        <v>0</v>
      </c>
    </row>
    <row r="204" spans="2:11" x14ac:dyDescent="0.25">
      <c r="B204">
        <v>429</v>
      </c>
      <c r="C204">
        <v>-62</v>
      </c>
      <c r="D204">
        <v>-24</v>
      </c>
      <c r="E204">
        <v>-138</v>
      </c>
      <c r="F204">
        <v>-16</v>
      </c>
      <c r="G204">
        <v>0</v>
      </c>
      <c r="H204">
        <v>463</v>
      </c>
      <c r="I204">
        <v>-20</v>
      </c>
      <c r="J204">
        <v>-182</v>
      </c>
      <c r="K204">
        <v>-276</v>
      </c>
    </row>
    <row r="205" spans="2:11" x14ac:dyDescent="0.25">
      <c r="B205">
        <v>-371</v>
      </c>
      <c r="C205">
        <v>-2</v>
      </c>
      <c r="D205">
        <v>-115</v>
      </c>
      <c r="E205">
        <v>0</v>
      </c>
      <c r="F205">
        <v>0</v>
      </c>
      <c r="G205">
        <v>0</v>
      </c>
      <c r="H205">
        <v>449</v>
      </c>
      <c r="I205">
        <v>-31</v>
      </c>
      <c r="J205">
        <v>-159</v>
      </c>
      <c r="K205">
        <v>-237</v>
      </c>
    </row>
    <row r="206" spans="2:11" x14ac:dyDescent="0.25">
      <c r="B206">
        <v>-270</v>
      </c>
      <c r="C206">
        <v>-83</v>
      </c>
      <c r="D206">
        <v>-92</v>
      </c>
      <c r="E206">
        <v>0</v>
      </c>
      <c r="F206">
        <v>6511</v>
      </c>
      <c r="G206">
        <v>0</v>
      </c>
      <c r="H206">
        <v>1106</v>
      </c>
      <c r="I206">
        <v>-422</v>
      </c>
      <c r="J206">
        <v>1619</v>
      </c>
      <c r="K206">
        <v>-5627</v>
      </c>
    </row>
    <row r="207" spans="2:11" x14ac:dyDescent="0.25">
      <c r="B207">
        <v>0</v>
      </c>
      <c r="C207">
        <v>102</v>
      </c>
      <c r="D207">
        <v>-2029</v>
      </c>
      <c r="E207">
        <v>-607</v>
      </c>
      <c r="F207">
        <v>-1621</v>
      </c>
      <c r="G207">
        <v>53</v>
      </c>
      <c r="H207">
        <v>-228</v>
      </c>
      <c r="I207">
        <v>3356</v>
      </c>
      <c r="J207">
        <v>2860</v>
      </c>
      <c r="K207">
        <v>0</v>
      </c>
    </row>
    <row r="208" spans="2:11" x14ac:dyDescent="0.25">
      <c r="B208">
        <v>0</v>
      </c>
      <c r="C208">
        <v>0</v>
      </c>
      <c r="D208">
        <v>-1646</v>
      </c>
      <c r="E208">
        <v>188</v>
      </c>
      <c r="F208">
        <v>278</v>
      </c>
      <c r="G208">
        <v>623</v>
      </c>
      <c r="H208">
        <v>146</v>
      </c>
      <c r="I208">
        <v>0</v>
      </c>
      <c r="J208">
        <v>-113</v>
      </c>
      <c r="K208">
        <v>698</v>
      </c>
    </row>
    <row r="209" spans="2:11" x14ac:dyDescent="0.25">
      <c r="B209">
        <v>1026</v>
      </c>
      <c r="C209">
        <v>2143</v>
      </c>
      <c r="D209">
        <v>2166</v>
      </c>
      <c r="E209">
        <v>148</v>
      </c>
      <c r="F209">
        <v>859</v>
      </c>
      <c r="G209">
        <v>0</v>
      </c>
      <c r="H209">
        <v>0</v>
      </c>
      <c r="I209">
        <v>0</v>
      </c>
      <c r="J209">
        <v>-166</v>
      </c>
      <c r="K209">
        <v>538</v>
      </c>
    </row>
    <row r="210" spans="2:11" x14ac:dyDescent="0.25">
      <c r="B210">
        <v>921</v>
      </c>
      <c r="C210">
        <v>1601</v>
      </c>
      <c r="D210">
        <v>1381</v>
      </c>
      <c r="E210">
        <v>-779</v>
      </c>
      <c r="F210">
        <v>1851</v>
      </c>
      <c r="G210">
        <v>50508</v>
      </c>
      <c r="H210">
        <v>0</v>
      </c>
      <c r="I210">
        <v>13621</v>
      </c>
      <c r="J210">
        <v>0</v>
      </c>
      <c r="K210">
        <v>-12738</v>
      </c>
    </row>
    <row r="211" spans="2:11" x14ac:dyDescent="0.25">
      <c r="B211">
        <v>10716</v>
      </c>
      <c r="C211">
        <v>157</v>
      </c>
      <c r="D211">
        <v>-14050</v>
      </c>
      <c r="E211">
        <v>0</v>
      </c>
      <c r="F211">
        <v>-4252</v>
      </c>
      <c r="G211">
        <v>-4731</v>
      </c>
      <c r="H211">
        <v>-79</v>
      </c>
      <c r="I211">
        <v>-2770</v>
      </c>
      <c r="J211">
        <v>-2567</v>
      </c>
      <c r="K211">
        <v>-42</v>
      </c>
    </row>
    <row r="212" spans="2:11" x14ac:dyDescent="0.25">
      <c r="B212">
        <v>-924</v>
      </c>
      <c r="C212">
        <v>426</v>
      </c>
      <c r="D212">
        <v>0</v>
      </c>
      <c r="E212">
        <v>0</v>
      </c>
      <c r="F212">
        <v>0</v>
      </c>
      <c r="G212">
        <v>-4081</v>
      </c>
      <c r="H212">
        <v>46</v>
      </c>
      <c r="I212">
        <v>3389</v>
      </c>
      <c r="J212">
        <v>-88</v>
      </c>
      <c r="K212">
        <v>156</v>
      </c>
    </row>
    <row r="213" spans="2:11" x14ac:dyDescent="0.25">
      <c r="B213">
        <v>0</v>
      </c>
      <c r="C213">
        <v>-699</v>
      </c>
      <c r="D213">
        <v>1044</v>
      </c>
      <c r="E213">
        <v>5258</v>
      </c>
      <c r="F213">
        <v>2738</v>
      </c>
      <c r="G213">
        <v>5103</v>
      </c>
      <c r="H213">
        <v>268</v>
      </c>
      <c r="I213">
        <v>1219</v>
      </c>
      <c r="J213">
        <v>0</v>
      </c>
      <c r="K213">
        <v>0</v>
      </c>
    </row>
    <row r="214" spans="2:11" x14ac:dyDescent="0.25">
      <c r="B214">
        <v>0</v>
      </c>
      <c r="C214">
        <v>-761</v>
      </c>
      <c r="D214">
        <v>955</v>
      </c>
      <c r="E214">
        <v>5508</v>
      </c>
      <c r="F214">
        <v>1901</v>
      </c>
      <c r="G214">
        <v>3187</v>
      </c>
      <c r="H214">
        <v>-628</v>
      </c>
      <c r="I214">
        <v>1963</v>
      </c>
      <c r="J214">
        <v>24050</v>
      </c>
      <c r="K214">
        <v>-23438</v>
      </c>
    </row>
    <row r="215" spans="2:11" x14ac:dyDescent="0.25">
      <c r="B215">
        <v>0</v>
      </c>
      <c r="C215">
        <v>14840</v>
      </c>
      <c r="D215">
        <v>0</v>
      </c>
      <c r="E215">
        <v>6882</v>
      </c>
      <c r="F215">
        <v>-14431</v>
      </c>
      <c r="G215">
        <v>9728</v>
      </c>
      <c r="H215">
        <v>-5655</v>
      </c>
      <c r="I215">
        <v>0</v>
      </c>
      <c r="J215">
        <v>-2637</v>
      </c>
      <c r="K215">
        <v>-7118</v>
      </c>
    </row>
    <row r="216" spans="2:11" x14ac:dyDescent="0.25">
      <c r="B216">
        <v>-3380</v>
      </c>
      <c r="C216">
        <v>-4026</v>
      </c>
      <c r="D216">
        <v>515</v>
      </c>
      <c r="E216">
        <v>-2837</v>
      </c>
      <c r="F216">
        <v>175</v>
      </c>
      <c r="G216">
        <v>-719</v>
      </c>
      <c r="H216">
        <v>0</v>
      </c>
      <c r="I216">
        <v>0</v>
      </c>
      <c r="J216">
        <v>0</v>
      </c>
      <c r="K216">
        <v>-3310</v>
      </c>
    </row>
    <row r="217" spans="2:11" x14ac:dyDescent="0.25">
      <c r="B217">
        <v>472</v>
      </c>
      <c r="C217">
        <v>-20</v>
      </c>
      <c r="D217">
        <v>3850</v>
      </c>
      <c r="E217">
        <v>6</v>
      </c>
      <c r="F217">
        <v>0</v>
      </c>
      <c r="G217">
        <v>-786</v>
      </c>
      <c r="H217">
        <v>1468</v>
      </c>
      <c r="I217">
        <v>1210</v>
      </c>
      <c r="J217">
        <v>8701</v>
      </c>
      <c r="K217">
        <v>4208</v>
      </c>
    </row>
    <row r="218" spans="2:11" x14ac:dyDescent="0.25">
      <c r="B218">
        <v>184</v>
      </c>
      <c r="C218">
        <v>812</v>
      </c>
      <c r="D218">
        <v>0</v>
      </c>
      <c r="E218">
        <v>0</v>
      </c>
      <c r="F218">
        <v>0</v>
      </c>
      <c r="G218">
        <v>-939</v>
      </c>
      <c r="H218">
        <v>1416</v>
      </c>
      <c r="I218">
        <v>1069</v>
      </c>
      <c r="J218">
        <v>7431</v>
      </c>
      <c r="K218">
        <v>2691</v>
      </c>
    </row>
    <row r="219" spans="2:11" x14ac:dyDescent="0.25">
      <c r="B219">
        <v>40</v>
      </c>
      <c r="C219">
        <v>374</v>
      </c>
      <c r="D219">
        <v>9476</v>
      </c>
      <c r="E219">
        <v>17524</v>
      </c>
      <c r="F219">
        <v>-42521</v>
      </c>
      <c r="G219">
        <v>0</v>
      </c>
      <c r="H219">
        <v>16519</v>
      </c>
      <c r="I219">
        <v>0</v>
      </c>
      <c r="J219">
        <v>2444</v>
      </c>
      <c r="K219">
        <v>7793</v>
      </c>
    </row>
    <row r="220" spans="2:11" x14ac:dyDescent="0.25">
      <c r="B220">
        <v>-13286</v>
      </c>
      <c r="C220">
        <v>2195</v>
      </c>
      <c r="D220">
        <v>0</v>
      </c>
      <c r="E220">
        <v>-4376</v>
      </c>
      <c r="F220">
        <v>-11063</v>
      </c>
      <c r="G220">
        <v>-1621</v>
      </c>
      <c r="H220">
        <v>-4226</v>
      </c>
      <c r="I220">
        <v>366</v>
      </c>
      <c r="J220">
        <v>-3086</v>
      </c>
      <c r="K220">
        <v>568</v>
      </c>
    </row>
    <row r="221" spans="2:11" x14ac:dyDescent="0.25">
      <c r="B221">
        <v>43</v>
      </c>
      <c r="C221">
        <v>0</v>
      </c>
      <c r="D221">
        <v>0</v>
      </c>
      <c r="E221">
        <v>0</v>
      </c>
      <c r="F221">
        <v>-8212</v>
      </c>
      <c r="G221">
        <v>-768</v>
      </c>
      <c r="H221">
        <v>275</v>
      </c>
      <c r="I221">
        <v>-962</v>
      </c>
      <c r="J221">
        <v>10</v>
      </c>
      <c r="K221">
        <v>0</v>
      </c>
    </row>
    <row r="222" spans="2:11" x14ac:dyDescent="0.25">
      <c r="B222">
        <v>-1115</v>
      </c>
      <c r="C222">
        <v>1243</v>
      </c>
      <c r="D222">
        <v>2904</v>
      </c>
      <c r="E222">
        <v>4790</v>
      </c>
      <c r="F222">
        <v>9705</v>
      </c>
      <c r="G222">
        <v>14</v>
      </c>
      <c r="H222">
        <v>664</v>
      </c>
      <c r="I222">
        <v>0</v>
      </c>
      <c r="J222">
        <v>0</v>
      </c>
      <c r="K222">
        <v>0</v>
      </c>
    </row>
    <row r="223" spans="2:11" x14ac:dyDescent="0.25">
      <c r="B223">
        <v>-996</v>
      </c>
      <c r="C223">
        <v>1309</v>
      </c>
      <c r="D223">
        <v>2992</v>
      </c>
      <c r="E223">
        <v>3211</v>
      </c>
      <c r="F223">
        <v>6581</v>
      </c>
      <c r="G223">
        <v>175</v>
      </c>
      <c r="H223">
        <v>181</v>
      </c>
      <c r="I223">
        <v>23083</v>
      </c>
      <c r="J223">
        <v>10950</v>
      </c>
      <c r="K223">
        <v>20277</v>
      </c>
    </row>
    <row r="224" spans="2:11" x14ac:dyDescent="0.25">
      <c r="B224">
        <v>-41855</v>
      </c>
      <c r="C224">
        <v>0</v>
      </c>
      <c r="D224">
        <v>2203</v>
      </c>
      <c r="E224">
        <v>0</v>
      </c>
      <c r="F224">
        <v>1492</v>
      </c>
      <c r="G224">
        <v>-1078</v>
      </c>
      <c r="H224">
        <v>917</v>
      </c>
      <c r="I224">
        <v>542</v>
      </c>
      <c r="J224">
        <v>0</v>
      </c>
      <c r="K224">
        <v>98</v>
      </c>
    </row>
    <row r="225" spans="2:11" x14ac:dyDescent="0.25">
      <c r="B225">
        <v>827</v>
      </c>
      <c r="C225">
        <v>-744</v>
      </c>
      <c r="D225">
        <v>95</v>
      </c>
      <c r="E225">
        <v>1490</v>
      </c>
      <c r="F225">
        <v>2587</v>
      </c>
      <c r="G225">
        <v>-4129</v>
      </c>
      <c r="H225">
        <v>-6550</v>
      </c>
      <c r="I225">
        <v>0</v>
      </c>
      <c r="J225">
        <v>0</v>
      </c>
      <c r="K225">
        <v>0</v>
      </c>
    </row>
    <row r="226" spans="2:11" x14ac:dyDescent="0.25">
      <c r="B226">
        <v>-356</v>
      </c>
      <c r="C226">
        <v>197</v>
      </c>
      <c r="D226">
        <v>-245</v>
      </c>
      <c r="E226">
        <v>42</v>
      </c>
      <c r="F226">
        <v>178</v>
      </c>
      <c r="G226">
        <v>0</v>
      </c>
      <c r="H226">
        <v>-267</v>
      </c>
      <c r="I226">
        <v>-30</v>
      </c>
      <c r="J226">
        <v>-223</v>
      </c>
      <c r="K226">
        <v>400</v>
      </c>
    </row>
    <row r="227" spans="2:11" x14ac:dyDescent="0.25">
      <c r="B227">
        <v>113</v>
      </c>
      <c r="C227">
        <v>320</v>
      </c>
      <c r="D227">
        <v>1771</v>
      </c>
      <c r="E227">
        <v>0</v>
      </c>
      <c r="F227">
        <v>0</v>
      </c>
      <c r="G227">
        <v>0</v>
      </c>
      <c r="H227">
        <v>-233</v>
      </c>
      <c r="I227">
        <v>-120</v>
      </c>
      <c r="J227">
        <v>-476</v>
      </c>
      <c r="K227">
        <v>269</v>
      </c>
    </row>
    <row r="228" spans="2:11" x14ac:dyDescent="0.25">
      <c r="B228">
        <v>84</v>
      </c>
      <c r="C228">
        <v>-644</v>
      </c>
      <c r="D228">
        <v>3347</v>
      </c>
      <c r="E228">
        <v>13379</v>
      </c>
      <c r="F228">
        <v>4506</v>
      </c>
      <c r="G228">
        <v>-1043</v>
      </c>
      <c r="H228">
        <v>-2684</v>
      </c>
      <c r="I228">
        <v>-1545</v>
      </c>
      <c r="J228">
        <v>0</v>
      </c>
      <c r="K228">
        <v>-5974</v>
      </c>
    </row>
    <row r="229" spans="2:11" x14ac:dyDescent="0.25">
      <c r="B229">
        <v>0</v>
      </c>
      <c r="C229">
        <v>-1972</v>
      </c>
      <c r="D229">
        <v>485</v>
      </c>
      <c r="E229">
        <v>-677</v>
      </c>
      <c r="F229">
        <v>-50</v>
      </c>
      <c r="G229">
        <v>0</v>
      </c>
      <c r="H229">
        <v>3278</v>
      </c>
      <c r="I229">
        <v>3293</v>
      </c>
      <c r="J229">
        <v>-4766</v>
      </c>
      <c r="K229">
        <v>-5796</v>
      </c>
    </row>
    <row r="230" spans="2:11" x14ac:dyDescent="0.25">
      <c r="B230">
        <v>2377</v>
      </c>
      <c r="C230">
        <v>1727</v>
      </c>
      <c r="D230">
        <v>160</v>
      </c>
      <c r="E230">
        <v>1122</v>
      </c>
      <c r="F230">
        <v>0</v>
      </c>
      <c r="G230">
        <v>0</v>
      </c>
      <c r="H230">
        <v>0</v>
      </c>
      <c r="I230">
        <v>2040</v>
      </c>
      <c r="J230">
        <v>-14</v>
      </c>
      <c r="K230">
        <v>-26</v>
      </c>
    </row>
    <row r="231" spans="2:11" x14ac:dyDescent="0.25">
      <c r="B231">
        <v>-219</v>
      </c>
      <c r="C231">
        <v>91</v>
      </c>
      <c r="D231">
        <v>0</v>
      </c>
      <c r="E231">
        <v>1645</v>
      </c>
      <c r="F231">
        <v>199</v>
      </c>
      <c r="G231">
        <v>-244</v>
      </c>
      <c r="H231">
        <v>-1476</v>
      </c>
      <c r="I231">
        <v>-1731</v>
      </c>
      <c r="J231">
        <v>9</v>
      </c>
      <c r="K231">
        <v>83</v>
      </c>
    </row>
    <row r="232" spans="2:11" x14ac:dyDescent="0.25">
      <c r="B232">
        <v>0</v>
      </c>
      <c r="C232">
        <v>0</v>
      </c>
      <c r="D232">
        <v>0</v>
      </c>
      <c r="E232">
        <v>886</v>
      </c>
      <c r="F232">
        <v>-299</v>
      </c>
      <c r="G232">
        <v>-472</v>
      </c>
      <c r="H232">
        <v>-1381</v>
      </c>
      <c r="I232">
        <v>-1467</v>
      </c>
      <c r="J232">
        <v>-88</v>
      </c>
      <c r="K232">
        <v>190</v>
      </c>
    </row>
    <row r="233" spans="2:11" x14ac:dyDescent="0.25">
      <c r="B233">
        <v>297</v>
      </c>
      <c r="C233">
        <v>-239</v>
      </c>
      <c r="D233">
        <v>-710</v>
      </c>
      <c r="E233">
        <v>-1008</v>
      </c>
      <c r="F233">
        <v>-1385</v>
      </c>
      <c r="G233">
        <v>-57</v>
      </c>
      <c r="H233">
        <v>0</v>
      </c>
      <c r="I233">
        <v>4716</v>
      </c>
      <c r="J233">
        <v>0</v>
      </c>
      <c r="K233">
        <v>1939</v>
      </c>
    </row>
    <row r="234" spans="2:11" x14ac:dyDescent="0.25">
      <c r="B234">
        <v>-752</v>
      </c>
      <c r="C234">
        <v>1610</v>
      </c>
      <c r="D234">
        <v>-1625</v>
      </c>
      <c r="E234">
        <v>0</v>
      </c>
      <c r="F234">
        <v>1226</v>
      </c>
      <c r="G234">
        <v>-203</v>
      </c>
      <c r="H234">
        <v>-3857</v>
      </c>
      <c r="I234">
        <v>-5039</v>
      </c>
      <c r="J234">
        <v>2797</v>
      </c>
      <c r="K234">
        <v>1354</v>
      </c>
    </row>
    <row r="235" spans="2:11" x14ac:dyDescent="0.25">
      <c r="B235">
        <v>-507</v>
      </c>
      <c r="C235">
        <v>844</v>
      </c>
      <c r="D235">
        <v>0</v>
      </c>
      <c r="E235">
        <v>0</v>
      </c>
      <c r="F235">
        <v>0</v>
      </c>
      <c r="G235">
        <v>-951</v>
      </c>
      <c r="H235">
        <v>40</v>
      </c>
      <c r="I235">
        <v>129</v>
      </c>
      <c r="J235">
        <v>529</v>
      </c>
      <c r="K235">
        <v>66</v>
      </c>
    </row>
    <row r="236" spans="2:11" x14ac:dyDescent="0.25">
      <c r="B236">
        <v>0</v>
      </c>
      <c r="C236">
        <v>457</v>
      </c>
      <c r="D236">
        <v>798</v>
      </c>
      <c r="E236">
        <v>650</v>
      </c>
      <c r="F236">
        <v>1733</v>
      </c>
      <c r="G236">
        <v>1433</v>
      </c>
      <c r="H236">
        <v>117</v>
      </c>
      <c r="I236">
        <v>217</v>
      </c>
      <c r="J236">
        <v>0</v>
      </c>
      <c r="K236">
        <v>0</v>
      </c>
    </row>
    <row r="237" spans="2:11" x14ac:dyDescent="0.25">
      <c r="B237">
        <v>0</v>
      </c>
      <c r="C237">
        <v>-4</v>
      </c>
      <c r="D237">
        <v>560</v>
      </c>
      <c r="E237">
        <v>517</v>
      </c>
      <c r="F237">
        <v>1263</v>
      </c>
      <c r="G237">
        <v>806</v>
      </c>
      <c r="H237">
        <v>312</v>
      </c>
      <c r="I237">
        <v>-273</v>
      </c>
      <c r="J237">
        <v>76</v>
      </c>
      <c r="K237">
        <v>348</v>
      </c>
    </row>
    <row r="238" spans="2:11" x14ac:dyDescent="0.25">
      <c r="B238">
        <v>419</v>
      </c>
      <c r="C238">
        <v>936</v>
      </c>
      <c r="D238">
        <v>607</v>
      </c>
      <c r="E238">
        <v>70</v>
      </c>
      <c r="F238">
        <v>65298</v>
      </c>
      <c r="G238">
        <v>0</v>
      </c>
      <c r="H238">
        <v>9911</v>
      </c>
      <c r="I238">
        <v>0</v>
      </c>
      <c r="J238">
        <v>-19120</v>
      </c>
      <c r="K238">
        <v>14558</v>
      </c>
    </row>
    <row r="239" spans="2:11" x14ac:dyDescent="0.25">
      <c r="B239">
        <v>-784</v>
      </c>
      <c r="C239">
        <v>-4832</v>
      </c>
      <c r="D239">
        <v>0</v>
      </c>
      <c r="E239">
        <v>-475</v>
      </c>
      <c r="F239">
        <v>-1650</v>
      </c>
      <c r="G239">
        <v>-3462</v>
      </c>
      <c r="H239">
        <v>-6588</v>
      </c>
      <c r="I239">
        <v>109</v>
      </c>
      <c r="J239">
        <v>436</v>
      </c>
      <c r="K239">
        <v>218</v>
      </c>
    </row>
    <row r="240" spans="2:11" x14ac:dyDescent="0.25">
      <c r="B240">
        <v>1186</v>
      </c>
      <c r="C240">
        <v>0</v>
      </c>
      <c r="D240">
        <v>0</v>
      </c>
      <c r="E240">
        <v>0</v>
      </c>
      <c r="F240">
        <v>-2829</v>
      </c>
      <c r="G240">
        <v>-157</v>
      </c>
      <c r="H240">
        <v>4273</v>
      </c>
      <c r="I240">
        <v>-859</v>
      </c>
      <c r="J240">
        <v>87</v>
      </c>
      <c r="K240">
        <v>0</v>
      </c>
    </row>
    <row r="241" spans="2:11" x14ac:dyDescent="0.25">
      <c r="B241">
        <v>470</v>
      </c>
      <c r="C241">
        <v>994</v>
      </c>
      <c r="D241">
        <v>5825</v>
      </c>
      <c r="E241">
        <v>954</v>
      </c>
      <c r="F241">
        <v>3872</v>
      </c>
      <c r="G241">
        <v>257</v>
      </c>
      <c r="H241">
        <v>598</v>
      </c>
      <c r="I241">
        <v>0</v>
      </c>
      <c r="J241">
        <v>0</v>
      </c>
      <c r="K241">
        <v>0</v>
      </c>
    </row>
    <row r="242" spans="2:11" x14ac:dyDescent="0.25">
      <c r="B242">
        <v>77</v>
      </c>
      <c r="C242">
        <v>741</v>
      </c>
      <c r="D242">
        <v>6237</v>
      </c>
      <c r="E242">
        <v>399</v>
      </c>
      <c r="F242">
        <v>2210</v>
      </c>
      <c r="G242">
        <v>-146</v>
      </c>
      <c r="H242">
        <v>547</v>
      </c>
      <c r="I242">
        <v>0</v>
      </c>
      <c r="J242">
        <v>835</v>
      </c>
      <c r="K242">
        <v>4897</v>
      </c>
    </row>
    <row r="243" spans="2:11" x14ac:dyDescent="0.25">
      <c r="B243">
        <v>324</v>
      </c>
      <c r="C243">
        <v>1805</v>
      </c>
      <c r="D243">
        <v>-71</v>
      </c>
      <c r="E243">
        <v>62861</v>
      </c>
      <c r="F243">
        <v>12752</v>
      </c>
      <c r="G243">
        <v>0</v>
      </c>
      <c r="H243">
        <v>24016</v>
      </c>
      <c r="I243">
        <v>0</v>
      </c>
      <c r="J243">
        <v>13414</v>
      </c>
      <c r="K243">
        <v>-24706</v>
      </c>
    </row>
    <row r="244" spans="2:11" x14ac:dyDescent="0.25">
      <c r="B244">
        <v>16193</v>
      </c>
      <c r="C244">
        <v>-4363</v>
      </c>
      <c r="D244">
        <v>0</v>
      </c>
      <c r="E244">
        <v>-3374</v>
      </c>
      <c r="F244">
        <v>-10532</v>
      </c>
      <c r="G244">
        <v>-4199</v>
      </c>
      <c r="H244">
        <v>-9165</v>
      </c>
      <c r="I244">
        <v>-2987</v>
      </c>
      <c r="J244">
        <v>-5766</v>
      </c>
      <c r="K244">
        <v>158</v>
      </c>
    </row>
    <row r="245" spans="2:11" x14ac:dyDescent="0.25">
      <c r="B245">
        <v>-257</v>
      </c>
      <c r="C245">
        <v>0</v>
      </c>
      <c r="D245">
        <v>0</v>
      </c>
      <c r="E245">
        <v>0</v>
      </c>
      <c r="F245">
        <v>-5542</v>
      </c>
      <c r="G245">
        <v>709</v>
      </c>
      <c r="H245">
        <v>-445</v>
      </c>
      <c r="I245">
        <v>6373</v>
      </c>
      <c r="J245">
        <v>-26</v>
      </c>
      <c r="K245">
        <v>0</v>
      </c>
    </row>
    <row r="246" spans="2:11" x14ac:dyDescent="0.25">
      <c r="B246">
        <v>-1042</v>
      </c>
      <c r="C246">
        <v>2436</v>
      </c>
      <c r="D246">
        <v>1632</v>
      </c>
      <c r="E246">
        <v>14454</v>
      </c>
      <c r="F246">
        <v>6881</v>
      </c>
      <c r="G246">
        <v>156</v>
      </c>
      <c r="H246">
        <v>1078</v>
      </c>
      <c r="I246">
        <v>0</v>
      </c>
      <c r="J246">
        <v>0</v>
      </c>
      <c r="K246">
        <v>0</v>
      </c>
    </row>
    <row r="247" spans="2:11" x14ac:dyDescent="0.25">
      <c r="B247">
        <v>-1290</v>
      </c>
      <c r="C247">
        <v>2406</v>
      </c>
      <c r="D247">
        <v>1337</v>
      </c>
      <c r="E247">
        <v>12263</v>
      </c>
      <c r="F247">
        <v>4384</v>
      </c>
      <c r="G247">
        <v>162</v>
      </c>
      <c r="H247">
        <v>26</v>
      </c>
      <c r="I247">
        <v>-282</v>
      </c>
      <c r="J247">
        <v>2067</v>
      </c>
      <c r="K247">
        <v>2007</v>
      </c>
    </row>
    <row r="248" spans="2:11" x14ac:dyDescent="0.25">
      <c r="B248">
        <v>8904</v>
      </c>
      <c r="C248">
        <v>3551</v>
      </c>
      <c r="D248">
        <v>640</v>
      </c>
      <c r="E248">
        <v>11946</v>
      </c>
      <c r="F248">
        <v>20318</v>
      </c>
      <c r="G248">
        <v>-29308</v>
      </c>
      <c r="H248">
        <v>0</v>
      </c>
      <c r="I248">
        <v>21646</v>
      </c>
      <c r="J248">
        <v>0</v>
      </c>
      <c r="K248">
        <v>2745</v>
      </c>
    </row>
    <row r="249" spans="2:11" x14ac:dyDescent="0.25">
      <c r="B249">
        <v>13795</v>
      </c>
      <c r="C249">
        <v>-19917</v>
      </c>
      <c r="D249">
        <v>-3548</v>
      </c>
      <c r="E249">
        <v>0</v>
      </c>
      <c r="F249">
        <v>-964</v>
      </c>
      <c r="G249">
        <v>-11528</v>
      </c>
      <c r="H249">
        <v>-3124</v>
      </c>
      <c r="I249">
        <v>-9113</v>
      </c>
      <c r="J249">
        <v>-1842</v>
      </c>
      <c r="K249">
        <v>-1507</v>
      </c>
    </row>
    <row r="250" spans="2:11" x14ac:dyDescent="0.25">
      <c r="B250">
        <v>236</v>
      </c>
      <c r="C250">
        <v>299</v>
      </c>
      <c r="D250">
        <v>0</v>
      </c>
      <c r="E250">
        <v>0</v>
      </c>
      <c r="F250">
        <v>0</v>
      </c>
      <c r="G250">
        <v>-10558</v>
      </c>
      <c r="H250">
        <v>-1007</v>
      </c>
      <c r="I250">
        <v>513</v>
      </c>
      <c r="J250">
        <v>-1723</v>
      </c>
      <c r="K250">
        <v>95</v>
      </c>
    </row>
    <row r="251" spans="2:11" x14ac:dyDescent="0.25">
      <c r="B251">
        <v>0</v>
      </c>
      <c r="C251">
        <v>-636</v>
      </c>
      <c r="D251">
        <v>2047</v>
      </c>
      <c r="E251">
        <v>4264</v>
      </c>
      <c r="F251">
        <v>5165</v>
      </c>
      <c r="G251">
        <v>12779</v>
      </c>
      <c r="H251">
        <v>24</v>
      </c>
      <c r="I251">
        <v>844</v>
      </c>
      <c r="J251">
        <v>0</v>
      </c>
      <c r="K251">
        <v>0</v>
      </c>
    </row>
    <row r="252" spans="2:11" x14ac:dyDescent="0.25">
      <c r="B252">
        <v>0</v>
      </c>
      <c r="C252">
        <v>-1057</v>
      </c>
      <c r="D252">
        <v>1894</v>
      </c>
      <c r="E252">
        <v>4189</v>
      </c>
      <c r="F252">
        <v>3067</v>
      </c>
      <c r="G252">
        <v>8387</v>
      </c>
      <c r="H252">
        <v>422</v>
      </c>
      <c r="I252">
        <v>-60</v>
      </c>
      <c r="J252">
        <v>-314</v>
      </c>
      <c r="K252">
        <v>1490</v>
      </c>
    </row>
    <row r="253" spans="2:11" x14ac:dyDescent="0.25">
      <c r="B253">
        <v>3750</v>
      </c>
      <c r="C253">
        <v>2116</v>
      </c>
      <c r="D253">
        <v>8546</v>
      </c>
      <c r="E253">
        <v>202</v>
      </c>
      <c r="F253">
        <v>35523</v>
      </c>
      <c r="G253">
        <v>22674</v>
      </c>
      <c r="H253">
        <v>35030</v>
      </c>
      <c r="I253">
        <v>-30194</v>
      </c>
      <c r="J253">
        <v>0</v>
      </c>
      <c r="K253">
        <v>2558</v>
      </c>
    </row>
    <row r="254" spans="2:11" x14ac:dyDescent="0.25">
      <c r="B254">
        <v>0</v>
      </c>
      <c r="C254">
        <v>416</v>
      </c>
      <c r="D254">
        <v>215</v>
      </c>
      <c r="E254">
        <v>681</v>
      </c>
      <c r="F254">
        <v>-171</v>
      </c>
      <c r="G254">
        <v>0</v>
      </c>
      <c r="H254">
        <v>126</v>
      </c>
      <c r="I254">
        <v>166</v>
      </c>
      <c r="J254">
        <v>-524</v>
      </c>
      <c r="K254">
        <v>824</v>
      </c>
    </row>
    <row r="255" spans="2:11" x14ac:dyDescent="0.25">
      <c r="B255">
        <v>2193</v>
      </c>
      <c r="C255">
        <v>355</v>
      </c>
      <c r="D255">
        <v>-72</v>
      </c>
      <c r="E255">
        <v>-446</v>
      </c>
      <c r="F255">
        <v>0</v>
      </c>
      <c r="G255">
        <v>0</v>
      </c>
      <c r="H255">
        <v>0</v>
      </c>
      <c r="I255">
        <v>-487</v>
      </c>
      <c r="J255">
        <v>55</v>
      </c>
      <c r="K255">
        <v>122</v>
      </c>
    </row>
    <row r="256" spans="2:11" x14ac:dyDescent="0.25">
      <c r="B256">
        <v>45</v>
      </c>
      <c r="C256">
        <v>14</v>
      </c>
      <c r="D256">
        <v>0</v>
      </c>
      <c r="E256">
        <v>-239</v>
      </c>
      <c r="F256">
        <v>121</v>
      </c>
      <c r="G256">
        <v>162</v>
      </c>
      <c r="H256">
        <v>358</v>
      </c>
      <c r="I256">
        <v>431</v>
      </c>
      <c r="J256">
        <v>108</v>
      </c>
      <c r="K256">
        <v>188</v>
      </c>
    </row>
    <row r="257" spans="2:11" x14ac:dyDescent="0.25">
      <c r="B257">
        <v>0</v>
      </c>
      <c r="C257">
        <v>0</v>
      </c>
      <c r="D257">
        <v>0</v>
      </c>
      <c r="E257">
        <v>-186</v>
      </c>
      <c r="F257">
        <v>155</v>
      </c>
      <c r="G257">
        <v>191</v>
      </c>
      <c r="H257">
        <v>318</v>
      </c>
      <c r="I257">
        <v>331</v>
      </c>
      <c r="J257">
        <v>35</v>
      </c>
      <c r="K257">
        <v>250</v>
      </c>
    </row>
    <row r="258" spans="2:11" x14ac:dyDescent="0.25">
      <c r="B258">
        <v>-15</v>
      </c>
      <c r="C258">
        <v>157</v>
      </c>
      <c r="D258">
        <v>253</v>
      </c>
      <c r="E258">
        <v>327</v>
      </c>
      <c r="F258">
        <v>327</v>
      </c>
      <c r="G258">
        <v>199</v>
      </c>
      <c r="H258">
        <v>3978</v>
      </c>
      <c r="I258">
        <v>298</v>
      </c>
      <c r="J258">
        <v>3049</v>
      </c>
      <c r="K258">
        <v>-3254</v>
      </c>
    </row>
    <row r="259" spans="2:11" x14ac:dyDescent="0.25">
      <c r="B259">
        <v>5768</v>
      </c>
      <c r="C259">
        <v>0</v>
      </c>
      <c r="D259">
        <v>166</v>
      </c>
      <c r="E259">
        <v>0</v>
      </c>
      <c r="F259">
        <v>-671</v>
      </c>
      <c r="G259">
        <v>896</v>
      </c>
      <c r="H259">
        <v>-1307</v>
      </c>
      <c r="I259">
        <v>-737</v>
      </c>
      <c r="J259">
        <v>0</v>
      </c>
      <c r="K259">
        <v>-111</v>
      </c>
    </row>
    <row r="260" spans="2:11" x14ac:dyDescent="0.25">
      <c r="B260">
        <v>-573</v>
      </c>
      <c r="C260">
        <v>30</v>
      </c>
      <c r="D260">
        <v>-1139</v>
      </c>
      <c r="E260">
        <v>-345</v>
      </c>
      <c r="F260">
        <v>1902</v>
      </c>
      <c r="G260">
        <v>560</v>
      </c>
      <c r="H260">
        <v>84</v>
      </c>
      <c r="I260">
        <v>0</v>
      </c>
      <c r="J260">
        <v>0</v>
      </c>
      <c r="K260">
        <v>0</v>
      </c>
    </row>
    <row r="261" spans="2:11" x14ac:dyDescent="0.25">
      <c r="B261">
        <v>-241</v>
      </c>
      <c r="C261">
        <v>-41</v>
      </c>
      <c r="D261">
        <v>74</v>
      </c>
      <c r="E261">
        <v>-181</v>
      </c>
      <c r="F261">
        <v>73</v>
      </c>
      <c r="G261">
        <v>0</v>
      </c>
      <c r="H261">
        <v>121</v>
      </c>
      <c r="I261">
        <v>76</v>
      </c>
      <c r="J261">
        <v>257</v>
      </c>
      <c r="K261">
        <v>3</v>
      </c>
    </row>
    <row r="262" spans="2:11" x14ac:dyDescent="0.25">
      <c r="B262">
        <v>413</v>
      </c>
      <c r="C262">
        <v>43</v>
      </c>
      <c r="D262">
        <v>371</v>
      </c>
      <c r="E262">
        <v>0</v>
      </c>
      <c r="F262">
        <v>0</v>
      </c>
      <c r="G262">
        <v>0</v>
      </c>
      <c r="H262">
        <v>94</v>
      </c>
      <c r="I262">
        <v>-10</v>
      </c>
      <c r="J262">
        <v>206</v>
      </c>
      <c r="K262">
        <v>-53</v>
      </c>
    </row>
    <row r="263" spans="2:11" x14ac:dyDescent="0.25">
      <c r="B263">
        <v>253</v>
      </c>
      <c r="C263">
        <v>-222</v>
      </c>
      <c r="D263">
        <v>750</v>
      </c>
      <c r="E263">
        <v>-8</v>
      </c>
      <c r="F263">
        <v>168</v>
      </c>
      <c r="G263">
        <v>317</v>
      </c>
      <c r="H263">
        <v>-34</v>
      </c>
      <c r="I263">
        <v>273</v>
      </c>
      <c r="J263">
        <v>214</v>
      </c>
      <c r="K263">
        <v>-4210</v>
      </c>
    </row>
    <row r="264" spans="2:11" x14ac:dyDescent="0.25">
      <c r="B264">
        <v>-5107</v>
      </c>
      <c r="C264">
        <v>-4741</v>
      </c>
      <c r="D264">
        <v>3477</v>
      </c>
      <c r="E264">
        <v>-5282</v>
      </c>
      <c r="F264">
        <v>-64210</v>
      </c>
      <c r="G264">
        <v>0</v>
      </c>
      <c r="H264">
        <v>990</v>
      </c>
      <c r="I264">
        <v>0</v>
      </c>
      <c r="J264">
        <v>962</v>
      </c>
      <c r="K264">
        <v>-732</v>
      </c>
    </row>
    <row r="265" spans="2:11" x14ac:dyDescent="0.25">
      <c r="B265">
        <v>1135</v>
      </c>
      <c r="C265">
        <v>-870</v>
      </c>
      <c r="D265">
        <v>0</v>
      </c>
      <c r="E265">
        <v>-935</v>
      </c>
      <c r="F265">
        <v>17</v>
      </c>
      <c r="G265">
        <v>-761</v>
      </c>
      <c r="H265">
        <v>987</v>
      </c>
      <c r="I265">
        <v>606</v>
      </c>
      <c r="J265">
        <v>2834</v>
      </c>
      <c r="K265">
        <v>-341</v>
      </c>
    </row>
    <row r="266" spans="2:11" x14ac:dyDescent="0.25">
      <c r="B266">
        <v>-267</v>
      </c>
      <c r="C266">
        <v>0</v>
      </c>
      <c r="D266">
        <v>0</v>
      </c>
      <c r="E266">
        <v>0</v>
      </c>
      <c r="F266">
        <v>26</v>
      </c>
      <c r="G266">
        <v>100</v>
      </c>
      <c r="H266">
        <v>-88</v>
      </c>
      <c r="I266">
        <v>93</v>
      </c>
      <c r="J266">
        <v>74</v>
      </c>
      <c r="K266">
        <v>0</v>
      </c>
    </row>
    <row r="267" spans="2:11" x14ac:dyDescent="0.25">
      <c r="B267">
        <v>-176</v>
      </c>
      <c r="C267">
        <v>27</v>
      </c>
      <c r="D267">
        <v>-109</v>
      </c>
      <c r="E267">
        <v>226</v>
      </c>
      <c r="F267">
        <v>-67</v>
      </c>
      <c r="G267">
        <v>114</v>
      </c>
      <c r="H267">
        <v>518</v>
      </c>
      <c r="I267">
        <v>0</v>
      </c>
      <c r="J267">
        <v>0</v>
      </c>
      <c r="K267">
        <v>0</v>
      </c>
    </row>
    <row r="268" spans="2:11" x14ac:dyDescent="0.25">
      <c r="B268">
        <v>-96</v>
      </c>
      <c r="C268">
        <v>3</v>
      </c>
      <c r="D268">
        <v>-186</v>
      </c>
      <c r="E268">
        <v>189</v>
      </c>
      <c r="F268">
        <v>-11</v>
      </c>
      <c r="G268">
        <v>-220</v>
      </c>
      <c r="H268">
        <v>1031</v>
      </c>
      <c r="I268">
        <v>-45</v>
      </c>
      <c r="J268">
        <v>203</v>
      </c>
      <c r="K268">
        <v>190</v>
      </c>
    </row>
    <row r="269" spans="2:11" x14ac:dyDescent="0.25">
      <c r="B269">
        <v>236</v>
      </c>
      <c r="C269">
        <v>-32</v>
      </c>
      <c r="D269">
        <v>436</v>
      </c>
      <c r="E269">
        <v>-729</v>
      </c>
      <c r="F269">
        <v>5346</v>
      </c>
      <c r="G269">
        <v>2414</v>
      </c>
      <c r="H269">
        <v>185</v>
      </c>
      <c r="I269">
        <v>1974</v>
      </c>
      <c r="J269">
        <v>-34476</v>
      </c>
      <c r="K269">
        <v>-23210</v>
      </c>
    </row>
    <row r="270" spans="2:11" x14ac:dyDescent="0.25"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</row>
    <row r="271" spans="2:11" x14ac:dyDescent="0.25"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</row>
    <row r="272" spans="2:11" x14ac:dyDescent="0.25"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</row>
    <row r="273" spans="2:11" x14ac:dyDescent="0.25"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</row>
    <row r="274" spans="2:11" x14ac:dyDescent="0.25"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</row>
    <row r="275" spans="2:11" x14ac:dyDescent="0.25"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  <c r="I275">
        <v>1522</v>
      </c>
      <c r="J275">
        <v>0</v>
      </c>
      <c r="K275">
        <v>274</v>
      </c>
    </row>
    <row r="276" spans="2:11" x14ac:dyDescent="0.25">
      <c r="B276">
        <v>268</v>
      </c>
      <c r="C276">
        <v>-122</v>
      </c>
      <c r="D276">
        <v>2191</v>
      </c>
      <c r="E276">
        <v>0</v>
      </c>
      <c r="F276">
        <v>-571</v>
      </c>
      <c r="G276">
        <v>-1551</v>
      </c>
      <c r="H276">
        <v>177</v>
      </c>
      <c r="I276">
        <v>409</v>
      </c>
      <c r="J276">
        <v>116</v>
      </c>
      <c r="K276">
        <v>133</v>
      </c>
    </row>
    <row r="277" spans="2:11" x14ac:dyDescent="0.25">
      <c r="B277">
        <v>-8728</v>
      </c>
      <c r="C277">
        <v>-9505</v>
      </c>
      <c r="D277">
        <v>0</v>
      </c>
      <c r="E277">
        <v>0</v>
      </c>
      <c r="F277">
        <v>0</v>
      </c>
      <c r="G277">
        <v>22</v>
      </c>
      <c r="H277">
        <v>-1454</v>
      </c>
      <c r="I277">
        <v>1688</v>
      </c>
      <c r="J277">
        <v>975</v>
      </c>
      <c r="K277">
        <v>-1721</v>
      </c>
    </row>
    <row r="278" spans="2:11" x14ac:dyDescent="0.25">
      <c r="B278">
        <v>0</v>
      </c>
      <c r="C278">
        <v>-1721</v>
      </c>
      <c r="D278">
        <v>61</v>
      </c>
      <c r="E278">
        <v>676</v>
      </c>
      <c r="F278">
        <v>652</v>
      </c>
      <c r="G278">
        <v>-539</v>
      </c>
      <c r="H278">
        <v>-1443</v>
      </c>
      <c r="I278">
        <v>-12868</v>
      </c>
      <c r="J278">
        <v>0</v>
      </c>
      <c r="K278">
        <v>0</v>
      </c>
    </row>
    <row r="279" spans="2:11" x14ac:dyDescent="0.25">
      <c r="B279">
        <v>0</v>
      </c>
      <c r="C279">
        <v>-2363</v>
      </c>
      <c r="D279">
        <v>1705</v>
      </c>
      <c r="E279">
        <v>2525</v>
      </c>
      <c r="F279">
        <v>2066</v>
      </c>
      <c r="G279">
        <v>-142</v>
      </c>
      <c r="H279">
        <v>12501</v>
      </c>
      <c r="I279">
        <v>-32333</v>
      </c>
      <c r="J279">
        <v>121</v>
      </c>
      <c r="K279">
        <v>-6177</v>
      </c>
    </row>
    <row r="280" spans="2:11" x14ac:dyDescent="0.25">
      <c r="B280">
        <v>-5242</v>
      </c>
      <c r="C280">
        <v>-1002</v>
      </c>
      <c r="D280">
        <v>-265</v>
      </c>
      <c r="E280">
        <v>-8910</v>
      </c>
      <c r="F280">
        <v>-789</v>
      </c>
      <c r="G280">
        <v>942</v>
      </c>
      <c r="H280">
        <v>-681</v>
      </c>
      <c r="I280">
        <v>-19</v>
      </c>
      <c r="J280">
        <v>318</v>
      </c>
      <c r="K280">
        <v>-569</v>
      </c>
    </row>
    <row r="281" spans="2:11" x14ac:dyDescent="0.25">
      <c r="B281">
        <v>-2172</v>
      </c>
      <c r="C281">
        <v>-2818</v>
      </c>
      <c r="D281">
        <v>0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</row>
    <row r="282" spans="2:11" x14ac:dyDescent="0.25"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</row>
    <row r="283" spans="2:11" x14ac:dyDescent="0.25"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</row>
    <row r="284" spans="2:11" x14ac:dyDescent="0.25"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</row>
    <row r="285" spans="2:11" x14ac:dyDescent="0.25"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</row>
    <row r="286" spans="2:11" x14ac:dyDescent="0.25"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</row>
    <row r="287" spans="2:11" x14ac:dyDescent="0.25">
      <c r="B287">
        <v>0</v>
      </c>
      <c r="C287">
        <v>0</v>
      </c>
      <c r="D287">
        <v>-624</v>
      </c>
      <c r="E287">
        <v>0</v>
      </c>
      <c r="F287">
        <v>330</v>
      </c>
      <c r="G287">
        <v>316</v>
      </c>
      <c r="H287">
        <v>-184</v>
      </c>
      <c r="I287">
        <v>929</v>
      </c>
      <c r="J287">
        <v>0</v>
      </c>
      <c r="K287">
        <v>-56</v>
      </c>
    </row>
    <row r="288" spans="2:11" x14ac:dyDescent="0.25">
      <c r="B288">
        <v>962</v>
      </c>
      <c r="C288">
        <v>106</v>
      </c>
      <c r="D288">
        <v>201</v>
      </c>
      <c r="E288">
        <v>-72</v>
      </c>
      <c r="F288">
        <v>-145</v>
      </c>
      <c r="G288">
        <v>-619</v>
      </c>
      <c r="H288">
        <v>-1350</v>
      </c>
      <c r="I288">
        <v>0</v>
      </c>
      <c r="J288">
        <v>0</v>
      </c>
      <c r="K288">
        <v>0</v>
      </c>
    </row>
    <row r="289" spans="2:11" x14ac:dyDescent="0.25">
      <c r="B289">
        <v>1562</v>
      </c>
      <c r="C289">
        <v>3229</v>
      </c>
      <c r="D289">
        <v>-316</v>
      </c>
      <c r="E289">
        <v>1554</v>
      </c>
      <c r="F289">
        <v>3678</v>
      </c>
      <c r="G289">
        <v>0</v>
      </c>
      <c r="H289">
        <v>-169</v>
      </c>
      <c r="I289">
        <v>-59</v>
      </c>
      <c r="J289">
        <v>-121</v>
      </c>
      <c r="K289">
        <v>-380</v>
      </c>
    </row>
    <row r="290" spans="2:11" x14ac:dyDescent="0.25">
      <c r="B290">
        <v>-481</v>
      </c>
      <c r="C290">
        <v>-226</v>
      </c>
      <c r="D290">
        <v>-1875</v>
      </c>
      <c r="E290">
        <v>0</v>
      </c>
      <c r="F290">
        <v>0</v>
      </c>
      <c r="G290">
        <v>0</v>
      </c>
      <c r="H290">
        <v>-257</v>
      </c>
      <c r="I290">
        <v>164</v>
      </c>
      <c r="J290">
        <v>127</v>
      </c>
      <c r="K290">
        <v>-111</v>
      </c>
    </row>
    <row r="291" spans="2:11" x14ac:dyDescent="0.25">
      <c r="B291">
        <v>-284</v>
      </c>
      <c r="C291">
        <v>1740</v>
      </c>
      <c r="D291">
        <v>-4585</v>
      </c>
      <c r="E291">
        <v>45</v>
      </c>
      <c r="F291">
        <v>-944</v>
      </c>
      <c r="G291">
        <v>-980</v>
      </c>
      <c r="H291">
        <v>-424</v>
      </c>
      <c r="I291">
        <v>-252</v>
      </c>
      <c r="J291">
        <v>-1299</v>
      </c>
      <c r="K291">
        <v>-36</v>
      </c>
    </row>
    <row r="292" spans="2:11" x14ac:dyDescent="0.25">
      <c r="B292">
        <v>95</v>
      </c>
      <c r="C292">
        <v>-251</v>
      </c>
      <c r="D292">
        <v>-408</v>
      </c>
      <c r="E292">
        <v>-195</v>
      </c>
      <c r="F292">
        <v>-100</v>
      </c>
      <c r="G292">
        <v>-321</v>
      </c>
      <c r="H292">
        <v>-415</v>
      </c>
      <c r="I292">
        <v>0</v>
      </c>
      <c r="J292">
        <v>14117</v>
      </c>
      <c r="K292">
        <v>0</v>
      </c>
    </row>
    <row r="293" spans="2:11" x14ac:dyDescent="0.25">
      <c r="B293">
        <v>0</v>
      </c>
      <c r="C293">
        <v>-286</v>
      </c>
      <c r="D293">
        <v>0</v>
      </c>
      <c r="E293">
        <v>32</v>
      </c>
      <c r="F293">
        <v>-487</v>
      </c>
      <c r="G293">
        <v>45</v>
      </c>
      <c r="H293">
        <v>-1080</v>
      </c>
      <c r="I293">
        <v>0</v>
      </c>
      <c r="J293">
        <v>-365</v>
      </c>
      <c r="K293">
        <v>-942</v>
      </c>
    </row>
    <row r="294" spans="2:11" x14ac:dyDescent="0.25">
      <c r="B294">
        <v>212</v>
      </c>
      <c r="C294">
        <v>303</v>
      </c>
      <c r="D294">
        <v>-553</v>
      </c>
      <c r="E294">
        <v>-805</v>
      </c>
      <c r="F294">
        <v>690</v>
      </c>
      <c r="G294">
        <v>-291</v>
      </c>
      <c r="H294">
        <v>0</v>
      </c>
      <c r="I294">
        <v>0</v>
      </c>
      <c r="J294">
        <v>0</v>
      </c>
      <c r="K294">
        <v>2965</v>
      </c>
    </row>
    <row r="295" spans="2:11" x14ac:dyDescent="0.25">
      <c r="B295">
        <v>1100</v>
      </c>
      <c r="C295">
        <v>-3640</v>
      </c>
      <c r="D295">
        <v>1319</v>
      </c>
      <c r="E295">
        <v>7789</v>
      </c>
      <c r="F295">
        <v>0</v>
      </c>
      <c r="G295">
        <v>127</v>
      </c>
      <c r="H295">
        <v>-77</v>
      </c>
      <c r="I295">
        <v>-107</v>
      </c>
      <c r="J295">
        <v>182</v>
      </c>
      <c r="K295">
        <v>293</v>
      </c>
    </row>
    <row r="296" spans="2:11" x14ac:dyDescent="0.25">
      <c r="B296">
        <v>259</v>
      </c>
      <c r="C296">
        <v>2414</v>
      </c>
      <c r="D296">
        <v>0</v>
      </c>
      <c r="E296">
        <v>0</v>
      </c>
      <c r="F296">
        <v>0</v>
      </c>
      <c r="G296">
        <v>264</v>
      </c>
      <c r="H296">
        <v>-356</v>
      </c>
      <c r="I296">
        <v>-446</v>
      </c>
      <c r="J296">
        <v>-127</v>
      </c>
      <c r="K296">
        <v>163</v>
      </c>
    </row>
    <row r="297" spans="2:11" x14ac:dyDescent="0.25">
      <c r="B297">
        <v>-2232</v>
      </c>
      <c r="C297">
        <v>5947</v>
      </c>
      <c r="D297">
        <v>-163</v>
      </c>
      <c r="E297">
        <v>1105</v>
      </c>
      <c r="F297">
        <v>1092</v>
      </c>
      <c r="G297">
        <v>378</v>
      </c>
      <c r="H297">
        <v>151</v>
      </c>
      <c r="I297">
        <v>1774</v>
      </c>
      <c r="J297">
        <v>1</v>
      </c>
      <c r="K297">
        <v>-247</v>
      </c>
    </row>
    <row r="298" spans="2:11" x14ac:dyDescent="0.25">
      <c r="B298">
        <v>42</v>
      </c>
      <c r="C298">
        <v>255</v>
      </c>
      <c r="D298">
        <v>8</v>
      </c>
      <c r="E298">
        <v>101</v>
      </c>
      <c r="F298">
        <v>387</v>
      </c>
      <c r="G298">
        <v>521</v>
      </c>
      <c r="H298">
        <v>0</v>
      </c>
      <c r="I298">
        <v>-18227</v>
      </c>
      <c r="J298">
        <v>0</v>
      </c>
      <c r="K298">
        <v>13449</v>
      </c>
    </row>
    <row r="299" spans="2:11" x14ac:dyDescent="0.25">
      <c r="B299">
        <v>0</v>
      </c>
      <c r="C299">
        <v>-61</v>
      </c>
      <c r="D299">
        <v>0</v>
      </c>
      <c r="E299">
        <v>-521</v>
      </c>
      <c r="F299">
        <v>18</v>
      </c>
      <c r="G299">
        <v>-166</v>
      </c>
      <c r="H299">
        <v>555</v>
      </c>
      <c r="I299">
        <v>0</v>
      </c>
      <c r="J299">
        <v>-180</v>
      </c>
      <c r="K299">
        <v>-695</v>
      </c>
    </row>
    <row r="300" spans="2:11" x14ac:dyDescent="0.25">
      <c r="B300">
        <v>15</v>
      </c>
      <c r="C300">
        <v>267</v>
      </c>
      <c r="D300">
        <v>69</v>
      </c>
      <c r="E300">
        <v>495</v>
      </c>
      <c r="F300">
        <v>-2773</v>
      </c>
      <c r="G300">
        <v>-3093</v>
      </c>
      <c r="H300">
        <v>0</v>
      </c>
      <c r="I300">
        <v>0</v>
      </c>
      <c r="J300">
        <v>0</v>
      </c>
      <c r="K300">
        <v>1765</v>
      </c>
    </row>
    <row r="301" spans="2:11" x14ac:dyDescent="0.25">
      <c r="B301">
        <v>872</v>
      </c>
      <c r="C301">
        <v>346</v>
      </c>
      <c r="D301">
        <v>1280</v>
      </c>
      <c r="E301">
        <v>7061</v>
      </c>
      <c r="F301">
        <v>0</v>
      </c>
      <c r="G301">
        <v>-508</v>
      </c>
      <c r="H301">
        <v>-25</v>
      </c>
      <c r="I301">
        <v>233</v>
      </c>
      <c r="J301">
        <v>123</v>
      </c>
      <c r="K301">
        <v>-298</v>
      </c>
    </row>
    <row r="302" spans="2:11" x14ac:dyDescent="0.25">
      <c r="B302">
        <v>-441</v>
      </c>
      <c r="C302">
        <v>-3973</v>
      </c>
      <c r="D302">
        <v>0</v>
      </c>
      <c r="E302">
        <v>0</v>
      </c>
      <c r="F302">
        <v>0</v>
      </c>
      <c r="G302">
        <v>-706</v>
      </c>
      <c r="H302">
        <v>478</v>
      </c>
      <c r="I302">
        <v>815</v>
      </c>
      <c r="J302">
        <v>605</v>
      </c>
      <c r="K302">
        <v>-138</v>
      </c>
    </row>
    <row r="303" spans="2:11" x14ac:dyDescent="0.25">
      <c r="B303">
        <v>3869</v>
      </c>
      <c r="C303">
        <v>-9980</v>
      </c>
      <c r="D303">
        <v>42</v>
      </c>
      <c r="E303">
        <v>-1944</v>
      </c>
      <c r="F303">
        <v>-1611</v>
      </c>
      <c r="G303">
        <v>-344</v>
      </c>
      <c r="H303">
        <v>-156</v>
      </c>
      <c r="I303">
        <v>-2745</v>
      </c>
      <c r="J303">
        <v>-217</v>
      </c>
      <c r="K303">
        <v>260</v>
      </c>
    </row>
    <row r="304" spans="2:11" x14ac:dyDescent="0.25">
      <c r="B304">
        <v>-173</v>
      </c>
      <c r="C304">
        <v>-98</v>
      </c>
      <c r="D304">
        <v>-16</v>
      </c>
      <c r="E304">
        <v>-187</v>
      </c>
      <c r="F304">
        <v>-657</v>
      </c>
      <c r="G304">
        <v>-864</v>
      </c>
      <c r="H304">
        <v>0</v>
      </c>
      <c r="I304">
        <v>30925</v>
      </c>
      <c r="J304">
        <v>0</v>
      </c>
      <c r="K304">
        <v>15393</v>
      </c>
    </row>
    <row r="305" spans="2:11" x14ac:dyDescent="0.25">
      <c r="B305">
        <v>36211</v>
      </c>
      <c r="C305">
        <v>0</v>
      </c>
      <c r="D305">
        <v>906</v>
      </c>
      <c r="E305">
        <v>0</v>
      </c>
      <c r="F305">
        <v>139</v>
      </c>
      <c r="G305">
        <v>-509</v>
      </c>
      <c r="H305">
        <v>446</v>
      </c>
      <c r="I305">
        <v>833</v>
      </c>
      <c r="J305">
        <v>0</v>
      </c>
      <c r="K305">
        <v>-460</v>
      </c>
    </row>
    <row r="306" spans="2:11" x14ac:dyDescent="0.25">
      <c r="B306">
        <v>-619</v>
      </c>
      <c r="C306">
        <v>-239</v>
      </c>
      <c r="D306">
        <v>5</v>
      </c>
      <c r="E306">
        <v>746</v>
      </c>
      <c r="F306">
        <v>-465</v>
      </c>
      <c r="G306">
        <v>-1718</v>
      </c>
      <c r="H306">
        <v>-1622</v>
      </c>
      <c r="I306">
        <v>0</v>
      </c>
      <c r="J306">
        <v>0</v>
      </c>
      <c r="K306">
        <v>0</v>
      </c>
    </row>
    <row r="307" spans="2:11" x14ac:dyDescent="0.25">
      <c r="B307">
        <v>-1437</v>
      </c>
      <c r="C307">
        <v>-134</v>
      </c>
      <c r="D307">
        <v>-578</v>
      </c>
      <c r="E307">
        <v>-876</v>
      </c>
      <c r="F307">
        <v>3487</v>
      </c>
      <c r="G307">
        <v>0</v>
      </c>
      <c r="H307">
        <v>-354</v>
      </c>
      <c r="I307">
        <v>53</v>
      </c>
      <c r="J307">
        <v>172</v>
      </c>
      <c r="K307">
        <v>482</v>
      </c>
    </row>
    <row r="308" spans="2:11" x14ac:dyDescent="0.25">
      <c r="B308">
        <v>85</v>
      </c>
      <c r="C308">
        <v>-235</v>
      </c>
      <c r="D308">
        <v>-2207</v>
      </c>
      <c r="E308">
        <v>0</v>
      </c>
      <c r="F308">
        <v>0</v>
      </c>
      <c r="G308">
        <v>0</v>
      </c>
      <c r="H308">
        <v>-453</v>
      </c>
      <c r="I308">
        <v>347</v>
      </c>
      <c r="J308">
        <v>508</v>
      </c>
      <c r="K308">
        <v>682</v>
      </c>
    </row>
    <row r="309" spans="2:11" x14ac:dyDescent="0.25">
      <c r="B309">
        <v>106</v>
      </c>
      <c r="C309">
        <v>2178</v>
      </c>
      <c r="D309">
        <v>-5609</v>
      </c>
      <c r="E309">
        <v>49</v>
      </c>
      <c r="F309">
        <v>-1049</v>
      </c>
      <c r="G309">
        <v>-888</v>
      </c>
      <c r="H309">
        <v>57</v>
      </c>
      <c r="I309">
        <v>89</v>
      </c>
      <c r="J309">
        <v>-1517</v>
      </c>
      <c r="K309">
        <v>-194</v>
      </c>
    </row>
    <row r="310" spans="2:11" x14ac:dyDescent="0.25">
      <c r="B310">
        <v>200</v>
      </c>
      <c r="C310">
        <v>-85</v>
      </c>
      <c r="D310">
        <v>365</v>
      </c>
      <c r="E310">
        <v>117</v>
      </c>
      <c r="F310">
        <v>-69</v>
      </c>
      <c r="G310">
        <v>-391</v>
      </c>
      <c r="H310">
        <v>-487</v>
      </c>
      <c r="I310">
        <v>0</v>
      </c>
      <c r="J310">
        <v>17388</v>
      </c>
      <c r="K310">
        <v>0</v>
      </c>
    </row>
    <row r="311" spans="2:11" x14ac:dyDescent="0.25">
      <c r="B311">
        <v>-2853</v>
      </c>
      <c r="C311">
        <v>25131</v>
      </c>
      <c r="D311">
        <v>32234</v>
      </c>
      <c r="E311">
        <v>0</v>
      </c>
      <c r="F311">
        <v>353</v>
      </c>
      <c r="G311">
        <v>0</v>
      </c>
      <c r="H311">
        <v>-544</v>
      </c>
      <c r="I311">
        <v>913</v>
      </c>
      <c r="J311">
        <v>-142</v>
      </c>
      <c r="K311">
        <v>363</v>
      </c>
    </row>
    <row r="312" spans="2:11" x14ac:dyDescent="0.25">
      <c r="B312">
        <v>0</v>
      </c>
      <c r="C312">
        <v>-358</v>
      </c>
      <c r="D312">
        <v>-737</v>
      </c>
      <c r="E312">
        <v>148</v>
      </c>
      <c r="F312">
        <v>71</v>
      </c>
      <c r="G312">
        <v>-360</v>
      </c>
      <c r="H312">
        <v>-68</v>
      </c>
      <c r="I312">
        <v>-2682</v>
      </c>
      <c r="J312">
        <v>-2735</v>
      </c>
      <c r="K312">
        <v>0</v>
      </c>
    </row>
    <row r="313" spans="2:11" x14ac:dyDescent="0.25">
      <c r="B313">
        <v>0</v>
      </c>
      <c r="C313">
        <v>0</v>
      </c>
      <c r="D313">
        <v>486</v>
      </c>
      <c r="E313">
        <v>2779</v>
      </c>
      <c r="F313">
        <v>-1266</v>
      </c>
      <c r="G313">
        <v>1074</v>
      </c>
      <c r="H313">
        <v>6351</v>
      </c>
      <c r="I313">
        <v>0</v>
      </c>
      <c r="J313">
        <v>-472</v>
      </c>
      <c r="K313">
        <v>-9</v>
      </c>
    </row>
    <row r="314" spans="2:11" x14ac:dyDescent="0.25">
      <c r="B314">
        <v>331</v>
      </c>
      <c r="C314">
        <v>53</v>
      </c>
      <c r="D314">
        <v>-44</v>
      </c>
      <c r="E314">
        <v>-370</v>
      </c>
      <c r="F314">
        <v>-3254</v>
      </c>
      <c r="G314">
        <v>0</v>
      </c>
      <c r="H314">
        <v>0</v>
      </c>
      <c r="I314">
        <v>0</v>
      </c>
      <c r="J314">
        <v>-630</v>
      </c>
      <c r="K314">
        <v>414</v>
      </c>
    </row>
    <row r="315" spans="2:11" x14ac:dyDescent="0.25">
      <c r="B315">
        <v>812</v>
      </c>
      <c r="C315">
        <v>394</v>
      </c>
      <c r="D315">
        <v>24</v>
      </c>
      <c r="E315">
        <v>3180</v>
      </c>
      <c r="F315">
        <v>-8193</v>
      </c>
      <c r="G315">
        <v>0</v>
      </c>
      <c r="H315">
        <v>-1586</v>
      </c>
      <c r="I315">
        <v>-1175</v>
      </c>
      <c r="J315">
        <v>-360</v>
      </c>
      <c r="K315">
        <v>-44</v>
      </c>
    </row>
    <row r="316" spans="2:11" x14ac:dyDescent="0.25">
      <c r="B316">
        <v>-2243</v>
      </c>
      <c r="C316">
        <v>-218</v>
      </c>
      <c r="D316">
        <v>213</v>
      </c>
      <c r="E316">
        <v>-25</v>
      </c>
      <c r="F316">
        <v>-190</v>
      </c>
      <c r="G316">
        <v>136</v>
      </c>
      <c r="H316">
        <v>-153</v>
      </c>
      <c r="I316">
        <v>-547</v>
      </c>
      <c r="J316">
        <v>-718</v>
      </c>
      <c r="K316">
        <v>0</v>
      </c>
    </row>
    <row r="317" spans="2:11" x14ac:dyDescent="0.25">
      <c r="B317">
        <v>25404</v>
      </c>
      <c r="C317">
        <v>0</v>
      </c>
      <c r="D317">
        <v>18531</v>
      </c>
      <c r="E317">
        <v>32029</v>
      </c>
      <c r="F317">
        <v>37305</v>
      </c>
      <c r="G317">
        <v>31708</v>
      </c>
      <c r="H317">
        <v>0</v>
      </c>
      <c r="I317">
        <v>383</v>
      </c>
      <c r="J317">
        <v>0</v>
      </c>
      <c r="K317">
        <v>-791</v>
      </c>
    </row>
    <row r="318" spans="2:11" x14ac:dyDescent="0.25">
      <c r="B318">
        <v>109</v>
      </c>
      <c r="C318">
        <v>24</v>
      </c>
      <c r="D318">
        <v>1054</v>
      </c>
      <c r="E318">
        <v>0</v>
      </c>
      <c r="F318">
        <v>-95</v>
      </c>
      <c r="G318">
        <v>-338</v>
      </c>
      <c r="H318">
        <v>253</v>
      </c>
      <c r="I318">
        <v>48</v>
      </c>
      <c r="J318">
        <v>-710</v>
      </c>
      <c r="K318">
        <v>-263</v>
      </c>
    </row>
    <row r="319" spans="2:11" x14ac:dyDescent="0.25">
      <c r="B319">
        <v>-2437</v>
      </c>
      <c r="C319">
        <v>-2875</v>
      </c>
      <c r="D319">
        <v>0</v>
      </c>
      <c r="E319">
        <v>0</v>
      </c>
      <c r="F319">
        <v>0</v>
      </c>
      <c r="G319">
        <v>530</v>
      </c>
      <c r="H319">
        <v>-111</v>
      </c>
      <c r="I319">
        <v>3797</v>
      </c>
      <c r="J319">
        <v>-334</v>
      </c>
      <c r="K319">
        <v>7360</v>
      </c>
    </row>
    <row r="320" spans="2:11" x14ac:dyDescent="0.25">
      <c r="B320">
        <v>0</v>
      </c>
      <c r="C320">
        <v>-465</v>
      </c>
      <c r="D320">
        <v>-6</v>
      </c>
      <c r="E320">
        <v>343</v>
      </c>
      <c r="F320">
        <v>232</v>
      </c>
      <c r="G320">
        <v>-167</v>
      </c>
      <c r="H320">
        <v>-416</v>
      </c>
      <c r="I320">
        <v>-3613</v>
      </c>
      <c r="J320">
        <v>0</v>
      </c>
      <c r="K320">
        <v>0</v>
      </c>
    </row>
    <row r="321" spans="2:11" x14ac:dyDescent="0.25">
      <c r="B321">
        <v>0</v>
      </c>
      <c r="C321">
        <v>-632</v>
      </c>
      <c r="D321">
        <v>468</v>
      </c>
      <c r="E321">
        <v>882</v>
      </c>
      <c r="F321">
        <v>638</v>
      </c>
      <c r="G321">
        <v>-69</v>
      </c>
      <c r="H321">
        <v>3481</v>
      </c>
      <c r="I321">
        <v>-9068</v>
      </c>
      <c r="J321">
        <v>60</v>
      </c>
      <c r="K321">
        <v>-1758</v>
      </c>
    </row>
    <row r="322" spans="2:11" x14ac:dyDescent="0.25">
      <c r="B322">
        <v>-1393</v>
      </c>
      <c r="C322">
        <v>-256</v>
      </c>
      <c r="D322">
        <v>-75</v>
      </c>
      <c r="E322">
        <v>-2502</v>
      </c>
      <c r="F322">
        <v>-232</v>
      </c>
      <c r="G322">
        <v>233</v>
      </c>
      <c r="H322">
        <v>-37</v>
      </c>
      <c r="I322">
        <v>70</v>
      </c>
      <c r="J322">
        <v>61</v>
      </c>
      <c r="K322">
        <v>-174</v>
      </c>
    </row>
    <row r="323" spans="2:11" x14ac:dyDescent="0.25">
      <c r="B323">
        <v>-609</v>
      </c>
      <c r="C323">
        <v>-810</v>
      </c>
      <c r="D323">
        <v>0</v>
      </c>
      <c r="E323">
        <v>28093</v>
      </c>
      <c r="F323">
        <v>0</v>
      </c>
      <c r="G323">
        <v>15443</v>
      </c>
      <c r="H323">
        <v>30337</v>
      </c>
      <c r="I323">
        <v>43431</v>
      </c>
      <c r="J323">
        <v>32392</v>
      </c>
      <c r="K323">
        <v>34892</v>
      </c>
    </row>
    <row r="324" spans="2:11" x14ac:dyDescent="0.25">
      <c r="B324">
        <v>0</v>
      </c>
      <c r="C324">
        <v>677</v>
      </c>
      <c r="D324">
        <v>0</v>
      </c>
      <c r="E324">
        <v>-1620</v>
      </c>
      <c r="F324">
        <v>914</v>
      </c>
      <c r="G324">
        <v>-208</v>
      </c>
      <c r="H324">
        <v>1049</v>
      </c>
      <c r="I324">
        <v>0</v>
      </c>
      <c r="J324">
        <v>-127</v>
      </c>
      <c r="K324">
        <v>-962</v>
      </c>
    </row>
    <row r="325" spans="2:11" x14ac:dyDescent="0.25">
      <c r="B325">
        <v>433</v>
      </c>
      <c r="C325">
        <v>423</v>
      </c>
      <c r="D325">
        <v>-875</v>
      </c>
      <c r="E325">
        <v>-789</v>
      </c>
      <c r="F325">
        <v>-3975</v>
      </c>
      <c r="G325">
        <v>-4367</v>
      </c>
      <c r="H325">
        <v>0</v>
      </c>
      <c r="I325">
        <v>0</v>
      </c>
      <c r="J325">
        <v>0</v>
      </c>
      <c r="K325">
        <v>1810</v>
      </c>
    </row>
    <row r="326" spans="2:11" x14ac:dyDescent="0.25">
      <c r="B326">
        <v>3032</v>
      </c>
      <c r="C326">
        <v>1007</v>
      </c>
      <c r="D326">
        <v>830</v>
      </c>
      <c r="E326">
        <v>22916</v>
      </c>
      <c r="F326">
        <v>0</v>
      </c>
      <c r="G326">
        <v>-799</v>
      </c>
      <c r="H326">
        <v>-13</v>
      </c>
      <c r="I326">
        <v>653</v>
      </c>
      <c r="J326">
        <v>256</v>
      </c>
      <c r="K326">
        <v>-154</v>
      </c>
    </row>
    <row r="327" spans="2:11" x14ac:dyDescent="0.25">
      <c r="B327">
        <v>-681</v>
      </c>
      <c r="C327">
        <v>-5959</v>
      </c>
      <c r="D327">
        <v>0</v>
      </c>
      <c r="E327">
        <v>0</v>
      </c>
      <c r="F327">
        <v>0</v>
      </c>
      <c r="G327">
        <v>-1069</v>
      </c>
      <c r="H327">
        <v>767</v>
      </c>
      <c r="I327">
        <v>1556</v>
      </c>
      <c r="J327">
        <v>915</v>
      </c>
      <c r="K327">
        <v>-27</v>
      </c>
    </row>
    <row r="328" spans="2:11" x14ac:dyDescent="0.25">
      <c r="B328">
        <v>5686</v>
      </c>
      <c r="C328">
        <v>-14879</v>
      </c>
      <c r="D328">
        <v>52</v>
      </c>
      <c r="E328">
        <v>-2837</v>
      </c>
      <c r="F328">
        <v>-2131</v>
      </c>
      <c r="G328">
        <v>-494</v>
      </c>
      <c r="H328">
        <v>-88</v>
      </c>
      <c r="I328">
        <v>-4155</v>
      </c>
      <c r="J328">
        <v>-407</v>
      </c>
      <c r="K328">
        <v>363</v>
      </c>
    </row>
    <row r="329" spans="2:11" x14ac:dyDescent="0.25">
      <c r="B329">
        <v>24</v>
      </c>
      <c r="C329">
        <v>-70</v>
      </c>
      <c r="D329">
        <v>176</v>
      </c>
      <c r="E329">
        <v>-280</v>
      </c>
      <c r="F329">
        <v>-1002</v>
      </c>
      <c r="G329">
        <v>-1337</v>
      </c>
      <c r="H329">
        <v>0</v>
      </c>
      <c r="I329">
        <v>46000</v>
      </c>
      <c r="J329">
        <v>0</v>
      </c>
      <c r="K329">
        <v>17787</v>
      </c>
    </row>
    <row r="330" spans="2:11" x14ac:dyDescent="0.25">
      <c r="B330">
        <v>13546</v>
      </c>
      <c r="C330">
        <v>35373</v>
      </c>
      <c r="D330">
        <v>18211</v>
      </c>
      <c r="E330">
        <v>31280</v>
      </c>
      <c r="F330">
        <v>34718</v>
      </c>
      <c r="G330">
        <v>0</v>
      </c>
      <c r="H330">
        <v>577</v>
      </c>
      <c r="I330">
        <v>0</v>
      </c>
      <c r="J330">
        <v>-239</v>
      </c>
      <c r="K330">
        <v>345</v>
      </c>
    </row>
    <row r="331" spans="2:11" x14ac:dyDescent="0.25">
      <c r="B331">
        <v>-335</v>
      </c>
      <c r="C331">
        <v>1373</v>
      </c>
      <c r="D331">
        <v>0</v>
      </c>
      <c r="E331">
        <v>-284</v>
      </c>
      <c r="F331">
        <v>-760</v>
      </c>
      <c r="G331">
        <v>93</v>
      </c>
      <c r="H331">
        <v>82</v>
      </c>
      <c r="I331">
        <v>-223</v>
      </c>
      <c r="J331">
        <v>-491</v>
      </c>
      <c r="K331">
        <v>-4620</v>
      </c>
    </row>
    <row r="332" spans="2:11" x14ac:dyDescent="0.25">
      <c r="B332">
        <v>-5195</v>
      </c>
      <c r="C332">
        <v>0</v>
      </c>
      <c r="D332">
        <v>0</v>
      </c>
      <c r="E332">
        <v>0</v>
      </c>
      <c r="F332">
        <v>1025</v>
      </c>
      <c r="G332">
        <v>857</v>
      </c>
      <c r="H332">
        <v>1659</v>
      </c>
      <c r="I332">
        <v>1758</v>
      </c>
      <c r="J332">
        <v>3091</v>
      </c>
      <c r="K332">
        <v>0</v>
      </c>
    </row>
    <row r="333" spans="2:11" x14ac:dyDescent="0.25">
      <c r="B333">
        <v>-884</v>
      </c>
      <c r="C333">
        <v>21</v>
      </c>
      <c r="D333">
        <v>421</v>
      </c>
      <c r="E333">
        <v>306</v>
      </c>
      <c r="F333">
        <v>-280</v>
      </c>
      <c r="G333">
        <v>-797</v>
      </c>
      <c r="H333">
        <v>-6976</v>
      </c>
      <c r="I333">
        <v>0</v>
      </c>
      <c r="J333">
        <v>0</v>
      </c>
      <c r="K333">
        <v>0</v>
      </c>
    </row>
    <row r="334" spans="2:11" x14ac:dyDescent="0.25">
      <c r="B334">
        <v>-1246</v>
      </c>
      <c r="C334">
        <v>902</v>
      </c>
      <c r="D334">
        <v>1425</v>
      </c>
      <c r="E334">
        <v>1064</v>
      </c>
      <c r="F334">
        <v>-85</v>
      </c>
      <c r="G334">
        <v>6726</v>
      </c>
      <c r="H334">
        <v>-17484</v>
      </c>
      <c r="I334">
        <v>70</v>
      </c>
      <c r="J334">
        <v>-3352</v>
      </c>
      <c r="K334">
        <v>-2813</v>
      </c>
    </row>
    <row r="335" spans="2:11" x14ac:dyDescent="0.25">
      <c r="B335">
        <v>-582</v>
      </c>
      <c r="C335">
        <v>-133</v>
      </c>
      <c r="D335">
        <v>-4841</v>
      </c>
      <c r="E335">
        <v>-412</v>
      </c>
      <c r="F335">
        <v>488</v>
      </c>
      <c r="G335">
        <v>-311</v>
      </c>
      <c r="H335">
        <v>-61</v>
      </c>
      <c r="I335">
        <v>190</v>
      </c>
      <c r="J335">
        <v>-322</v>
      </c>
      <c r="K335">
        <v>-1178</v>
      </c>
    </row>
    <row r="336" spans="2:11" x14ac:dyDescent="0.25">
      <c r="B336">
        <v>-1548</v>
      </c>
      <c r="C336">
        <v>0</v>
      </c>
      <c r="D336">
        <v>54037</v>
      </c>
      <c r="E336">
        <v>0</v>
      </c>
      <c r="F336">
        <v>17735</v>
      </c>
      <c r="G336">
        <v>9344</v>
      </c>
      <c r="H336">
        <v>37256</v>
      </c>
      <c r="I336">
        <v>23552</v>
      </c>
      <c r="J336">
        <v>31231</v>
      </c>
      <c r="K336">
        <v>33688</v>
      </c>
    </row>
    <row r="337" spans="2:11" x14ac:dyDescent="0.25">
      <c r="B337">
        <v>36120</v>
      </c>
      <c r="C337">
        <v>0</v>
      </c>
      <c r="D337">
        <v>430</v>
      </c>
      <c r="E337">
        <v>0</v>
      </c>
      <c r="F337">
        <v>-159</v>
      </c>
      <c r="G337">
        <v>-1012</v>
      </c>
      <c r="H337">
        <v>133</v>
      </c>
      <c r="I337">
        <v>554</v>
      </c>
      <c r="J337">
        <v>0</v>
      </c>
      <c r="K337">
        <v>-145</v>
      </c>
    </row>
    <row r="338" spans="2:11" x14ac:dyDescent="0.25">
      <c r="B338">
        <v>-378</v>
      </c>
      <c r="C338">
        <v>317</v>
      </c>
      <c r="D338">
        <v>-69</v>
      </c>
      <c r="E338">
        <v>-320</v>
      </c>
      <c r="F338">
        <v>1309</v>
      </c>
      <c r="G338">
        <v>-2585</v>
      </c>
      <c r="H338">
        <v>-3095</v>
      </c>
      <c r="I338">
        <v>0</v>
      </c>
      <c r="J338">
        <v>0</v>
      </c>
      <c r="K338">
        <v>0</v>
      </c>
    </row>
    <row r="339" spans="2:11" x14ac:dyDescent="0.25">
      <c r="B339">
        <v>2654</v>
      </c>
      <c r="C339">
        <v>2137</v>
      </c>
      <c r="D339">
        <v>2052</v>
      </c>
      <c r="E339">
        <v>1842</v>
      </c>
      <c r="F339">
        <v>28791</v>
      </c>
      <c r="G339">
        <v>0</v>
      </c>
      <c r="H339">
        <v>-495</v>
      </c>
      <c r="I339">
        <v>20</v>
      </c>
      <c r="J339">
        <v>199</v>
      </c>
      <c r="K339">
        <v>428</v>
      </c>
    </row>
    <row r="340" spans="2:11" x14ac:dyDescent="0.25">
      <c r="B340">
        <v>-283</v>
      </c>
      <c r="C340">
        <v>-413</v>
      </c>
      <c r="D340">
        <v>-3756</v>
      </c>
      <c r="E340">
        <v>0</v>
      </c>
      <c r="F340">
        <v>0</v>
      </c>
      <c r="G340">
        <v>0</v>
      </c>
      <c r="H340">
        <v>-672</v>
      </c>
      <c r="I340">
        <v>512</v>
      </c>
      <c r="J340">
        <v>745</v>
      </c>
      <c r="K340">
        <v>902</v>
      </c>
    </row>
    <row r="341" spans="2:11" x14ac:dyDescent="0.25">
      <c r="B341">
        <v>-134</v>
      </c>
      <c r="C341">
        <v>3740</v>
      </c>
      <c r="D341">
        <v>-9558</v>
      </c>
      <c r="E341">
        <v>57</v>
      </c>
      <c r="F341">
        <v>-1844</v>
      </c>
      <c r="G341">
        <v>-1575</v>
      </c>
      <c r="H341">
        <v>-109</v>
      </c>
      <c r="I341">
        <v>-115</v>
      </c>
      <c r="J341">
        <v>-2587</v>
      </c>
      <c r="K341">
        <v>-222</v>
      </c>
    </row>
    <row r="342" spans="2:11" x14ac:dyDescent="0.25">
      <c r="B342">
        <v>290</v>
      </c>
      <c r="C342">
        <v>-203</v>
      </c>
      <c r="D342">
        <v>303</v>
      </c>
      <c r="E342">
        <v>14</v>
      </c>
      <c r="F342">
        <v>-176</v>
      </c>
      <c r="G342">
        <v>-614</v>
      </c>
      <c r="H342">
        <v>-805</v>
      </c>
      <c r="I342">
        <v>0</v>
      </c>
      <c r="J342">
        <v>29722</v>
      </c>
      <c r="K342">
        <v>0</v>
      </c>
    </row>
    <row r="343" spans="2:11" x14ac:dyDescent="0.25">
      <c r="B343">
        <v>7917</v>
      </c>
      <c r="C343">
        <v>1742</v>
      </c>
      <c r="D343">
        <v>16366</v>
      </c>
      <c r="E343">
        <v>8747</v>
      </c>
      <c r="F343">
        <v>14016</v>
      </c>
      <c r="G343">
        <v>15670</v>
      </c>
      <c r="H343">
        <v>36483</v>
      </c>
      <c r="I343">
        <v>19852</v>
      </c>
      <c r="J343">
        <v>0</v>
      </c>
      <c r="K343">
        <v>779</v>
      </c>
    </row>
    <row r="344" spans="2:11" x14ac:dyDescent="0.25">
      <c r="B344">
        <v>0</v>
      </c>
      <c r="C344">
        <v>-175</v>
      </c>
      <c r="D344">
        <v>-116</v>
      </c>
      <c r="E344">
        <v>-160</v>
      </c>
      <c r="F344">
        <v>1485</v>
      </c>
      <c r="G344">
        <v>0</v>
      </c>
      <c r="H344">
        <v>445</v>
      </c>
      <c r="I344">
        <v>468</v>
      </c>
      <c r="J344">
        <v>-1</v>
      </c>
      <c r="K344">
        <v>-52</v>
      </c>
    </row>
    <row r="345" spans="2:11" x14ac:dyDescent="0.25">
      <c r="B345">
        <v>-232</v>
      </c>
      <c r="C345">
        <v>986</v>
      </c>
      <c r="D345">
        <v>-2065</v>
      </c>
      <c r="E345">
        <v>-1736</v>
      </c>
      <c r="F345">
        <v>0</v>
      </c>
      <c r="G345">
        <v>0</v>
      </c>
      <c r="H345">
        <v>0</v>
      </c>
      <c r="I345">
        <v>3405</v>
      </c>
      <c r="J345">
        <v>-2675</v>
      </c>
      <c r="K345">
        <v>1936</v>
      </c>
    </row>
    <row r="346" spans="2:11" x14ac:dyDescent="0.25">
      <c r="B346">
        <v>1036</v>
      </c>
      <c r="C346">
        <v>29790</v>
      </c>
      <c r="D346">
        <v>0</v>
      </c>
      <c r="E346">
        <v>-241</v>
      </c>
      <c r="F346">
        <v>24</v>
      </c>
      <c r="G346">
        <v>148</v>
      </c>
      <c r="H346">
        <v>144</v>
      </c>
      <c r="I346">
        <v>-86</v>
      </c>
      <c r="J346">
        <v>-193</v>
      </c>
      <c r="K346">
        <v>-1897</v>
      </c>
    </row>
    <row r="347" spans="2:11" x14ac:dyDescent="0.25">
      <c r="B347">
        <v>0</v>
      </c>
      <c r="C347">
        <v>0</v>
      </c>
      <c r="D347">
        <v>0</v>
      </c>
      <c r="E347">
        <v>-332</v>
      </c>
      <c r="F347">
        <v>306</v>
      </c>
      <c r="G347">
        <v>428</v>
      </c>
      <c r="H347">
        <v>392</v>
      </c>
      <c r="I347">
        <v>-37</v>
      </c>
      <c r="J347">
        <v>1980</v>
      </c>
      <c r="K347">
        <v>-4927</v>
      </c>
    </row>
    <row r="348" spans="2:11" x14ac:dyDescent="0.25">
      <c r="B348">
        <v>122</v>
      </c>
      <c r="C348">
        <v>-1020</v>
      </c>
      <c r="D348">
        <v>-890</v>
      </c>
      <c r="E348">
        <v>-120</v>
      </c>
      <c r="F348">
        <v>55</v>
      </c>
      <c r="G348">
        <v>-1254</v>
      </c>
      <c r="H348">
        <v>-101</v>
      </c>
      <c r="I348">
        <v>192</v>
      </c>
      <c r="J348">
        <v>-18</v>
      </c>
      <c r="K348">
        <v>132</v>
      </c>
    </row>
    <row r="349" spans="2:11" x14ac:dyDescent="0.25">
      <c r="B349">
        <v>154</v>
      </c>
      <c r="C349">
        <v>-71</v>
      </c>
      <c r="D349">
        <v>-319</v>
      </c>
      <c r="E349">
        <v>-413</v>
      </c>
      <c r="F349">
        <v>0</v>
      </c>
      <c r="G349">
        <v>15472</v>
      </c>
      <c r="H349">
        <v>0</v>
      </c>
      <c r="I349">
        <v>4964</v>
      </c>
      <c r="J349">
        <v>3310</v>
      </c>
      <c r="K349">
        <v>10571</v>
      </c>
    </row>
    <row r="350" spans="2:11" x14ac:dyDescent="0.25">
      <c r="B350">
        <v>5598</v>
      </c>
      <c r="C350">
        <v>9002</v>
      </c>
      <c r="D350">
        <v>10122</v>
      </c>
      <c r="E350">
        <v>25252</v>
      </c>
      <c r="F350">
        <v>11252</v>
      </c>
      <c r="G350">
        <v>30586</v>
      </c>
      <c r="H350">
        <v>0</v>
      </c>
      <c r="I350">
        <v>847</v>
      </c>
      <c r="J350">
        <v>0</v>
      </c>
      <c r="K350">
        <v>-1129</v>
      </c>
    </row>
    <row r="351" spans="2:11" x14ac:dyDescent="0.25">
      <c r="B351">
        <v>777</v>
      </c>
      <c r="C351">
        <v>-399</v>
      </c>
      <c r="D351">
        <v>861</v>
      </c>
      <c r="E351">
        <v>0</v>
      </c>
      <c r="F351">
        <v>-117</v>
      </c>
      <c r="G351">
        <v>-368</v>
      </c>
      <c r="H351">
        <v>-47</v>
      </c>
      <c r="I351">
        <v>395</v>
      </c>
      <c r="J351">
        <v>85</v>
      </c>
      <c r="K351">
        <v>1639</v>
      </c>
    </row>
    <row r="352" spans="2:11" x14ac:dyDescent="0.25">
      <c r="B352">
        <v>-4667</v>
      </c>
      <c r="C352">
        <v>-5127</v>
      </c>
      <c r="D352">
        <v>0</v>
      </c>
      <c r="E352">
        <v>0</v>
      </c>
      <c r="F352">
        <v>0</v>
      </c>
      <c r="G352">
        <v>2488</v>
      </c>
      <c r="H352">
        <v>1918</v>
      </c>
      <c r="I352">
        <v>2483</v>
      </c>
      <c r="J352">
        <v>552</v>
      </c>
      <c r="K352">
        <v>35886</v>
      </c>
    </row>
    <row r="353" spans="2:11" x14ac:dyDescent="0.25">
      <c r="B353">
        <v>0</v>
      </c>
      <c r="C353">
        <v>-885</v>
      </c>
      <c r="D353">
        <v>27</v>
      </c>
      <c r="E353">
        <v>572</v>
      </c>
      <c r="F353">
        <v>132</v>
      </c>
      <c r="G353">
        <v>-400</v>
      </c>
      <c r="H353">
        <v>-742</v>
      </c>
      <c r="I353">
        <v>-6870</v>
      </c>
      <c r="J353">
        <v>0</v>
      </c>
      <c r="K353">
        <v>0</v>
      </c>
    </row>
    <row r="354" spans="2:11" x14ac:dyDescent="0.25">
      <c r="B354">
        <v>0</v>
      </c>
      <c r="C354">
        <v>-1229</v>
      </c>
      <c r="D354">
        <v>907</v>
      </c>
      <c r="E354">
        <v>1588</v>
      </c>
      <c r="F354">
        <v>973</v>
      </c>
      <c r="G354">
        <v>-168</v>
      </c>
      <c r="H354">
        <v>6754</v>
      </c>
      <c r="I354">
        <v>-17335</v>
      </c>
      <c r="J354">
        <v>91</v>
      </c>
      <c r="K354">
        <v>-3335</v>
      </c>
    </row>
    <row r="355" spans="2:11" x14ac:dyDescent="0.25">
      <c r="B355">
        <v>-2659</v>
      </c>
      <c r="C355">
        <v>-634</v>
      </c>
      <c r="D355">
        <v>-182</v>
      </c>
      <c r="E355">
        <v>-4760</v>
      </c>
      <c r="F355">
        <v>-364</v>
      </c>
      <c r="G355">
        <v>518</v>
      </c>
      <c r="H355">
        <v>-97</v>
      </c>
      <c r="I355">
        <v>-209</v>
      </c>
      <c r="J355">
        <v>173</v>
      </c>
      <c r="K355">
        <v>-301</v>
      </c>
    </row>
    <row r="356" spans="2:11" x14ac:dyDescent="0.25">
      <c r="B356">
        <v>-1129</v>
      </c>
      <c r="C356">
        <v>-1485</v>
      </c>
      <c r="D356">
        <v>0</v>
      </c>
      <c r="E356">
        <v>53800</v>
      </c>
      <c r="F356">
        <v>0</v>
      </c>
      <c r="G356">
        <v>11431</v>
      </c>
      <c r="H356">
        <v>-2275</v>
      </c>
      <c r="I356">
        <v>24103</v>
      </c>
      <c r="J356">
        <v>13094</v>
      </c>
      <c r="K356">
        <v>20391</v>
      </c>
    </row>
    <row r="357" spans="2:11" x14ac:dyDescent="0.25">
      <c r="B357">
        <v>22690</v>
      </c>
      <c r="C357">
        <v>48344</v>
      </c>
      <c r="D357">
        <v>32966</v>
      </c>
      <c r="E357">
        <v>50821</v>
      </c>
      <c r="F357">
        <v>36566</v>
      </c>
      <c r="G357">
        <v>0</v>
      </c>
      <c r="H357">
        <v>-50</v>
      </c>
      <c r="I357">
        <v>0</v>
      </c>
      <c r="J357">
        <v>59</v>
      </c>
      <c r="K357">
        <v>-505</v>
      </c>
    </row>
    <row r="358" spans="2:11" x14ac:dyDescent="0.25">
      <c r="B358">
        <v>250</v>
      </c>
      <c r="C358">
        <v>991</v>
      </c>
      <c r="D358">
        <v>0</v>
      </c>
      <c r="E358">
        <v>-140</v>
      </c>
      <c r="F358">
        <v>15</v>
      </c>
      <c r="G358">
        <v>-267</v>
      </c>
      <c r="H358">
        <v>639</v>
      </c>
      <c r="I358">
        <v>596</v>
      </c>
      <c r="J358">
        <v>460</v>
      </c>
      <c r="K358">
        <v>-3165</v>
      </c>
    </row>
    <row r="359" spans="2:11" x14ac:dyDescent="0.25">
      <c r="B359">
        <v>-3332</v>
      </c>
      <c r="C359">
        <v>0</v>
      </c>
      <c r="D359">
        <v>0</v>
      </c>
      <c r="E359">
        <v>0</v>
      </c>
      <c r="F359">
        <v>3128</v>
      </c>
      <c r="G359">
        <v>3027</v>
      </c>
      <c r="H359">
        <v>-1690</v>
      </c>
      <c r="I359">
        <v>2650</v>
      </c>
      <c r="J359">
        <v>24007</v>
      </c>
      <c r="K359">
        <v>0</v>
      </c>
    </row>
    <row r="360" spans="2:11" x14ac:dyDescent="0.25">
      <c r="B360">
        <v>-565</v>
      </c>
      <c r="C360">
        <v>-30</v>
      </c>
      <c r="D360">
        <v>72</v>
      </c>
      <c r="E360">
        <v>87</v>
      </c>
      <c r="F360">
        <v>-571</v>
      </c>
      <c r="G360">
        <v>-488</v>
      </c>
      <c r="H360">
        <v>-4486</v>
      </c>
      <c r="I360">
        <v>0</v>
      </c>
      <c r="J360">
        <v>0</v>
      </c>
      <c r="K360">
        <v>0</v>
      </c>
    </row>
    <row r="361" spans="2:11" x14ac:dyDescent="0.25">
      <c r="B361">
        <v>-790</v>
      </c>
      <c r="C361">
        <v>542</v>
      </c>
      <c r="D361">
        <v>715</v>
      </c>
      <c r="E361">
        <v>657</v>
      </c>
      <c r="F361">
        <v>-307</v>
      </c>
      <c r="G361">
        <v>4364</v>
      </c>
      <c r="H361">
        <v>-11247</v>
      </c>
      <c r="I361">
        <v>74</v>
      </c>
      <c r="J361">
        <v>-2208</v>
      </c>
      <c r="K361">
        <v>-1986</v>
      </c>
    </row>
    <row r="362" spans="2:11" x14ac:dyDescent="0.25">
      <c r="B362">
        <v>-376</v>
      </c>
      <c r="C362">
        <v>-296</v>
      </c>
      <c r="D362">
        <v>-3078</v>
      </c>
      <c r="E362">
        <v>-226</v>
      </c>
      <c r="F362">
        <v>314</v>
      </c>
      <c r="G362">
        <v>-346</v>
      </c>
      <c r="H362">
        <v>-72</v>
      </c>
      <c r="I362">
        <v>-194</v>
      </c>
      <c r="J362">
        <v>-194</v>
      </c>
      <c r="K362">
        <v>-764</v>
      </c>
    </row>
    <row r="363" spans="2:11" x14ac:dyDescent="0.25">
      <c r="B363">
        <v>-965</v>
      </c>
      <c r="C363">
        <v>0</v>
      </c>
      <c r="D363">
        <v>34841</v>
      </c>
      <c r="E363">
        <v>0</v>
      </c>
      <c r="F363">
        <v>7632</v>
      </c>
      <c r="G363">
        <v>-906</v>
      </c>
      <c r="H363">
        <v>15998</v>
      </c>
      <c r="I363">
        <v>8661</v>
      </c>
      <c r="J363">
        <v>13594</v>
      </c>
      <c r="K363">
        <v>14949</v>
      </c>
    </row>
    <row r="364" spans="2:11" x14ac:dyDescent="0.25">
      <c r="B364">
        <v>32797</v>
      </c>
      <c r="C364">
        <v>21524</v>
      </c>
      <c r="D364">
        <v>33304</v>
      </c>
      <c r="E364">
        <v>24607</v>
      </c>
      <c r="F364">
        <v>38031</v>
      </c>
      <c r="G364">
        <v>0</v>
      </c>
      <c r="H364">
        <v>366</v>
      </c>
      <c r="I364">
        <v>0</v>
      </c>
      <c r="J364">
        <v>-285</v>
      </c>
      <c r="K364">
        <v>-15</v>
      </c>
    </row>
    <row r="365" spans="2:11" x14ac:dyDescent="0.25">
      <c r="B365">
        <v>-691</v>
      </c>
      <c r="C365">
        <v>1093</v>
      </c>
      <c r="D365">
        <v>0</v>
      </c>
      <c r="E365">
        <v>-135</v>
      </c>
      <c r="F365">
        <v>-255</v>
      </c>
      <c r="G365">
        <v>311</v>
      </c>
      <c r="H365">
        <v>995</v>
      </c>
      <c r="I365">
        <v>-59</v>
      </c>
      <c r="J365">
        <v>1531</v>
      </c>
      <c r="K365">
        <v>-4508</v>
      </c>
    </row>
    <row r="366" spans="2:11" x14ac:dyDescent="0.25">
      <c r="B366">
        <v>-5135</v>
      </c>
      <c r="C366">
        <v>0</v>
      </c>
      <c r="D366">
        <v>0</v>
      </c>
      <c r="E366">
        <v>0</v>
      </c>
      <c r="F366">
        <v>2373</v>
      </c>
      <c r="G366">
        <v>1942</v>
      </c>
      <c r="H366">
        <v>1330</v>
      </c>
      <c r="I366">
        <v>964</v>
      </c>
      <c r="J366">
        <v>29559</v>
      </c>
      <c r="K366">
        <v>0</v>
      </c>
    </row>
    <row r="367" spans="2:11" x14ac:dyDescent="0.25">
      <c r="B367">
        <v>-893</v>
      </c>
      <c r="C367">
        <v>-52</v>
      </c>
      <c r="D367">
        <v>260</v>
      </c>
      <c r="E367">
        <v>84</v>
      </c>
      <c r="F367">
        <v>-517</v>
      </c>
      <c r="G367">
        <v>-701</v>
      </c>
      <c r="H367">
        <v>-6396</v>
      </c>
      <c r="I367">
        <v>0</v>
      </c>
      <c r="J367">
        <v>0</v>
      </c>
      <c r="K367">
        <v>0</v>
      </c>
    </row>
    <row r="368" spans="2:11" x14ac:dyDescent="0.25">
      <c r="B368">
        <v>-1170</v>
      </c>
      <c r="C368">
        <v>799</v>
      </c>
      <c r="D368">
        <v>1192</v>
      </c>
      <c r="E368">
        <v>912</v>
      </c>
      <c r="F368">
        <v>-231</v>
      </c>
      <c r="G368">
        <v>6288</v>
      </c>
      <c r="H368">
        <v>-16111</v>
      </c>
      <c r="I368">
        <v>74</v>
      </c>
      <c r="J368">
        <v>-3154</v>
      </c>
      <c r="K368">
        <v>-2686</v>
      </c>
    </row>
    <row r="369" spans="2:11" x14ac:dyDescent="0.25">
      <c r="B369">
        <v>-579</v>
      </c>
      <c r="C369">
        <v>-182</v>
      </c>
      <c r="D369">
        <v>-4386</v>
      </c>
      <c r="E369">
        <v>-393</v>
      </c>
      <c r="F369">
        <v>424</v>
      </c>
      <c r="G369">
        <v>-379</v>
      </c>
      <c r="H369">
        <v>-168</v>
      </c>
      <c r="I369">
        <v>86</v>
      </c>
      <c r="J369">
        <v>-286</v>
      </c>
      <c r="K369">
        <v>-1057</v>
      </c>
    </row>
    <row r="370" spans="2:11" x14ac:dyDescent="0.25">
      <c r="B370">
        <v>-1374</v>
      </c>
      <c r="C370">
        <v>0</v>
      </c>
      <c r="D370">
        <v>50014</v>
      </c>
      <c r="E370">
        <v>0</v>
      </c>
      <c r="F370">
        <v>10632</v>
      </c>
      <c r="G370">
        <v>-2074</v>
      </c>
      <c r="H370">
        <v>22396</v>
      </c>
      <c r="I370">
        <v>12157</v>
      </c>
      <c r="J370">
        <v>18957</v>
      </c>
      <c r="K370">
        <v>21056</v>
      </c>
    </row>
    <row r="371" spans="2:11" x14ac:dyDescent="0.25">
      <c r="B371">
        <v>45163</v>
      </c>
      <c r="C371">
        <v>30636</v>
      </c>
      <c r="D371">
        <v>44878</v>
      </c>
      <c r="E371">
        <v>33057</v>
      </c>
      <c r="F371">
        <v>58268</v>
      </c>
      <c r="G371">
        <v>39102</v>
      </c>
      <c r="H371">
        <v>0</v>
      </c>
      <c r="I371">
        <v>231</v>
      </c>
      <c r="J371">
        <v>0</v>
      </c>
      <c r="K371">
        <v>-786</v>
      </c>
    </row>
    <row r="372" spans="2:11" x14ac:dyDescent="0.25">
      <c r="B372">
        <v>-23</v>
      </c>
      <c r="C372">
        <v>-134</v>
      </c>
      <c r="D372">
        <v>1196</v>
      </c>
      <c r="E372">
        <v>0</v>
      </c>
      <c r="F372">
        <v>278</v>
      </c>
      <c r="G372">
        <v>-136</v>
      </c>
      <c r="H372">
        <v>308</v>
      </c>
      <c r="I372">
        <v>1368</v>
      </c>
      <c r="J372">
        <v>-657</v>
      </c>
      <c r="K372">
        <v>1268</v>
      </c>
    </row>
    <row r="373" spans="2:11" x14ac:dyDescent="0.25">
      <c r="B373">
        <v>-4217</v>
      </c>
      <c r="C373">
        <v>-4735</v>
      </c>
      <c r="D373">
        <v>0</v>
      </c>
      <c r="E373">
        <v>0</v>
      </c>
      <c r="F373">
        <v>0</v>
      </c>
      <c r="G373">
        <v>2576</v>
      </c>
      <c r="H373">
        <v>3444</v>
      </c>
      <c r="I373">
        <v>411</v>
      </c>
      <c r="J373">
        <v>1327</v>
      </c>
      <c r="K373">
        <v>26046</v>
      </c>
    </row>
    <row r="374" spans="2:11" x14ac:dyDescent="0.25">
      <c r="B374">
        <v>0</v>
      </c>
      <c r="C374">
        <v>-871</v>
      </c>
      <c r="D374">
        <v>-72</v>
      </c>
      <c r="E374">
        <v>318</v>
      </c>
      <c r="F374">
        <v>35</v>
      </c>
      <c r="G374">
        <v>-674</v>
      </c>
      <c r="H374">
        <v>-706</v>
      </c>
      <c r="I374">
        <v>-6428</v>
      </c>
      <c r="J374">
        <v>0</v>
      </c>
      <c r="K374">
        <v>0</v>
      </c>
    </row>
    <row r="375" spans="2:11" x14ac:dyDescent="0.25">
      <c r="B375">
        <v>0</v>
      </c>
      <c r="C375">
        <v>-1134</v>
      </c>
      <c r="D375">
        <v>788</v>
      </c>
      <c r="E375">
        <v>1263</v>
      </c>
      <c r="F375">
        <v>875</v>
      </c>
      <c r="G375">
        <v>-351</v>
      </c>
      <c r="H375">
        <v>6224</v>
      </c>
      <c r="I375">
        <v>-16087</v>
      </c>
      <c r="J375">
        <v>96</v>
      </c>
      <c r="K375">
        <v>-3137</v>
      </c>
    </row>
    <row r="376" spans="2:11" x14ac:dyDescent="0.25">
      <c r="B376">
        <v>-2643</v>
      </c>
      <c r="C376">
        <v>-600</v>
      </c>
      <c r="D376">
        <v>-329</v>
      </c>
      <c r="E376">
        <v>-4431</v>
      </c>
      <c r="F376">
        <v>-389</v>
      </c>
      <c r="G376">
        <v>395</v>
      </c>
      <c r="H376">
        <v>-304</v>
      </c>
      <c r="I376">
        <v>-185</v>
      </c>
      <c r="J376">
        <v>-104</v>
      </c>
      <c r="K376">
        <v>-297</v>
      </c>
    </row>
    <row r="377" spans="2:11" x14ac:dyDescent="0.25">
      <c r="B377">
        <v>-1068</v>
      </c>
      <c r="C377">
        <v>-1381</v>
      </c>
      <c r="D377">
        <v>0</v>
      </c>
      <c r="E377">
        <v>49852</v>
      </c>
      <c r="F377">
        <v>0</v>
      </c>
      <c r="G377">
        <v>10412</v>
      </c>
      <c r="H377">
        <v>-2529</v>
      </c>
      <c r="I377">
        <v>21885</v>
      </c>
      <c r="J377">
        <v>11897</v>
      </c>
      <c r="K377">
        <v>18531</v>
      </c>
    </row>
    <row r="378" spans="2:11" x14ac:dyDescent="0.25">
      <c r="B378">
        <v>20525</v>
      </c>
      <c r="C378">
        <v>43482</v>
      </c>
      <c r="D378">
        <v>30321</v>
      </c>
      <c r="E378">
        <v>42756</v>
      </c>
      <c r="F378">
        <v>30782</v>
      </c>
      <c r="G378">
        <v>56983</v>
      </c>
      <c r="H378">
        <v>37175</v>
      </c>
      <c r="I378">
        <v>53612</v>
      </c>
      <c r="J378">
        <v>0</v>
      </c>
      <c r="K378">
        <v>354</v>
      </c>
    </row>
    <row r="379" spans="2:11" x14ac:dyDescent="0.25">
      <c r="B379">
        <v>0</v>
      </c>
      <c r="C379">
        <v>-981</v>
      </c>
      <c r="D379">
        <v>309</v>
      </c>
      <c r="E379">
        <v>-294</v>
      </c>
      <c r="F379">
        <v>1265</v>
      </c>
      <c r="G379">
        <v>0</v>
      </c>
      <c r="H379">
        <v>599</v>
      </c>
      <c r="I379">
        <v>-285</v>
      </c>
      <c r="J379">
        <v>148</v>
      </c>
      <c r="K379">
        <v>129</v>
      </c>
    </row>
    <row r="380" spans="2:11" x14ac:dyDescent="0.25">
      <c r="B380">
        <v>-251</v>
      </c>
      <c r="C380">
        <v>981</v>
      </c>
      <c r="D380">
        <v>-3756</v>
      </c>
      <c r="E380">
        <v>-3953</v>
      </c>
      <c r="F380">
        <v>0</v>
      </c>
      <c r="G380">
        <v>0</v>
      </c>
      <c r="H380">
        <v>0</v>
      </c>
      <c r="I380">
        <v>2972</v>
      </c>
      <c r="J380">
        <v>1373</v>
      </c>
      <c r="K380">
        <v>-908</v>
      </c>
    </row>
    <row r="381" spans="2:11" x14ac:dyDescent="0.25">
      <c r="B381">
        <v>2230</v>
      </c>
      <c r="C381">
        <v>28180</v>
      </c>
      <c r="D381">
        <v>0</v>
      </c>
      <c r="E381">
        <v>-634</v>
      </c>
      <c r="F381">
        <v>6</v>
      </c>
      <c r="G381">
        <v>404</v>
      </c>
      <c r="H381">
        <v>95</v>
      </c>
      <c r="I381">
        <v>-408</v>
      </c>
      <c r="J381">
        <v>-602</v>
      </c>
      <c r="K381">
        <v>-5516</v>
      </c>
    </row>
    <row r="382" spans="2:11" x14ac:dyDescent="0.25">
      <c r="B382">
        <v>0</v>
      </c>
      <c r="C382">
        <v>0</v>
      </c>
      <c r="D382">
        <v>0</v>
      </c>
      <c r="E382">
        <v>-921</v>
      </c>
      <c r="F382">
        <v>714</v>
      </c>
      <c r="G382">
        <v>1215</v>
      </c>
      <c r="H382">
        <v>783</v>
      </c>
      <c r="I382">
        <v>-208</v>
      </c>
      <c r="J382">
        <v>5376</v>
      </c>
      <c r="K382">
        <v>-13874</v>
      </c>
    </row>
    <row r="383" spans="2:11" x14ac:dyDescent="0.25">
      <c r="B383">
        <v>125</v>
      </c>
      <c r="C383">
        <v>-2699</v>
      </c>
      <c r="D383">
        <v>-2242</v>
      </c>
      <c r="E383">
        <v>-522</v>
      </c>
      <c r="F383">
        <v>-199</v>
      </c>
      <c r="G383">
        <v>-3821</v>
      </c>
      <c r="H383">
        <v>-254</v>
      </c>
      <c r="I383">
        <v>405</v>
      </c>
      <c r="J383">
        <v>-113</v>
      </c>
      <c r="K383">
        <v>-145</v>
      </c>
    </row>
    <row r="384" spans="2:11" x14ac:dyDescent="0.25">
      <c r="B384">
        <v>60</v>
      </c>
      <c r="C384">
        <v>-254</v>
      </c>
      <c r="D384">
        <v>-908</v>
      </c>
      <c r="E384">
        <v>-1210</v>
      </c>
      <c r="F384">
        <v>0</v>
      </c>
      <c r="G384">
        <v>42991</v>
      </c>
      <c r="H384">
        <v>0</v>
      </c>
      <c r="I384">
        <v>9200</v>
      </c>
      <c r="J384">
        <v>-905</v>
      </c>
      <c r="K384">
        <v>20377</v>
      </c>
    </row>
    <row r="385" spans="2:11" x14ac:dyDescent="0.25">
      <c r="B385">
        <v>11526</v>
      </c>
      <c r="C385">
        <v>16874</v>
      </c>
      <c r="D385">
        <v>18775</v>
      </c>
      <c r="E385">
        <v>31737</v>
      </c>
      <c r="F385">
        <v>26647</v>
      </c>
      <c r="G385">
        <v>37582</v>
      </c>
      <c r="H385">
        <v>27626</v>
      </c>
      <c r="I385">
        <v>49749</v>
      </c>
      <c r="J385">
        <v>31689</v>
      </c>
      <c r="K385">
        <v>44669</v>
      </c>
    </row>
    <row r="386" spans="2:11" x14ac:dyDescent="0.25">
      <c r="B386">
        <v>43786</v>
      </c>
      <c r="C386">
        <v>0</v>
      </c>
      <c r="D386">
        <v>625</v>
      </c>
      <c r="E386">
        <v>0</v>
      </c>
      <c r="F386">
        <v>48</v>
      </c>
      <c r="G386">
        <v>220</v>
      </c>
      <c r="H386">
        <v>-357</v>
      </c>
      <c r="I386">
        <v>1730</v>
      </c>
      <c r="J386">
        <v>0</v>
      </c>
      <c r="K386">
        <v>-143</v>
      </c>
    </row>
    <row r="387" spans="2:11" x14ac:dyDescent="0.25">
      <c r="B387">
        <v>-953</v>
      </c>
      <c r="C387">
        <v>257</v>
      </c>
      <c r="D387">
        <v>1223</v>
      </c>
      <c r="E387">
        <v>60</v>
      </c>
      <c r="F387">
        <v>381</v>
      </c>
      <c r="G387">
        <v>-5707</v>
      </c>
      <c r="H387">
        <v>-6327</v>
      </c>
      <c r="I387">
        <v>0</v>
      </c>
      <c r="J387">
        <v>0</v>
      </c>
      <c r="K387">
        <v>0</v>
      </c>
    </row>
    <row r="388" spans="2:11" x14ac:dyDescent="0.25">
      <c r="B388">
        <v>1121</v>
      </c>
      <c r="C388">
        <v>3050</v>
      </c>
      <c r="D388">
        <v>1298</v>
      </c>
      <c r="E388">
        <v>1226</v>
      </c>
      <c r="F388">
        <v>14566</v>
      </c>
      <c r="G388">
        <v>0</v>
      </c>
      <c r="H388">
        <v>-1200</v>
      </c>
      <c r="I388">
        <v>-44</v>
      </c>
      <c r="J388">
        <v>342</v>
      </c>
      <c r="K388">
        <v>210</v>
      </c>
    </row>
    <row r="389" spans="2:11" x14ac:dyDescent="0.25">
      <c r="B389">
        <v>-530</v>
      </c>
      <c r="C389">
        <v>-954</v>
      </c>
      <c r="D389">
        <v>-8575</v>
      </c>
      <c r="E389">
        <v>0</v>
      </c>
      <c r="F389">
        <v>0</v>
      </c>
      <c r="G389">
        <v>0</v>
      </c>
      <c r="H389">
        <v>-1574</v>
      </c>
      <c r="I389">
        <v>1081</v>
      </c>
      <c r="J389">
        <v>1587</v>
      </c>
      <c r="K389">
        <v>1220</v>
      </c>
    </row>
    <row r="390" spans="2:11" x14ac:dyDescent="0.25">
      <c r="B390">
        <v>-193</v>
      </c>
      <c r="C390">
        <v>8297</v>
      </c>
      <c r="D390">
        <v>-21465</v>
      </c>
      <c r="E390">
        <v>96</v>
      </c>
      <c r="F390">
        <v>-4147</v>
      </c>
      <c r="G390">
        <v>-3576</v>
      </c>
      <c r="H390">
        <v>-768</v>
      </c>
      <c r="I390">
        <v>-227</v>
      </c>
      <c r="J390">
        <v>-5916</v>
      </c>
      <c r="K390">
        <v>-557</v>
      </c>
    </row>
    <row r="391" spans="2:11" x14ac:dyDescent="0.25">
      <c r="B391">
        <v>561</v>
      </c>
      <c r="C391">
        <v>-541</v>
      </c>
      <c r="D391">
        <v>-199</v>
      </c>
      <c r="E391">
        <v>104</v>
      </c>
      <c r="F391">
        <v>-378</v>
      </c>
      <c r="G391">
        <v>-1444</v>
      </c>
      <c r="H391">
        <v>-1864</v>
      </c>
      <c r="I391">
        <v>0</v>
      </c>
      <c r="J391">
        <v>66392</v>
      </c>
      <c r="K391">
        <v>0</v>
      </c>
    </row>
    <row r="392" spans="2:11" x14ac:dyDescent="0.25">
      <c r="B392">
        <v>11233</v>
      </c>
      <c r="C392">
        <v>-8860</v>
      </c>
      <c r="D392">
        <v>23902</v>
      </c>
      <c r="E392">
        <v>13218</v>
      </c>
      <c r="F392">
        <v>19974</v>
      </c>
      <c r="G392">
        <v>22120</v>
      </c>
      <c r="H392">
        <v>41196</v>
      </c>
      <c r="I392">
        <v>37719</v>
      </c>
      <c r="J392">
        <v>34955</v>
      </c>
      <c r="K392">
        <v>22874</v>
      </c>
    </row>
    <row r="393" spans="2:11" x14ac:dyDescent="0.25">
      <c r="B393">
        <v>52265</v>
      </c>
      <c r="C393">
        <v>34778</v>
      </c>
      <c r="D393">
        <v>47860</v>
      </c>
      <c r="E393">
        <v>46836</v>
      </c>
      <c r="F393">
        <v>40707</v>
      </c>
      <c r="G393">
        <v>0</v>
      </c>
      <c r="H393">
        <v>0</v>
      </c>
      <c r="I393">
        <v>0</v>
      </c>
      <c r="J393">
        <v>0</v>
      </c>
      <c r="K393">
        <v>0</v>
      </c>
    </row>
    <row r="394" spans="2:11" x14ac:dyDescent="0.25"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</row>
    <row r="395" spans="2:11" x14ac:dyDescent="0.25"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</row>
    <row r="396" spans="2:11" x14ac:dyDescent="0.25"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</row>
    <row r="397" spans="2:11" x14ac:dyDescent="0.25"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</row>
    <row r="398" spans="2:11" x14ac:dyDescent="0.25"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</row>
    <row r="399" spans="2:11" x14ac:dyDescent="0.25"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</row>
    <row r="400" spans="2:11" x14ac:dyDescent="0.25"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</row>
    <row r="401" spans="2:11" x14ac:dyDescent="0.25">
      <c r="B401">
        <v>0</v>
      </c>
      <c r="C401">
        <v>234</v>
      </c>
      <c r="D401">
        <v>0</v>
      </c>
      <c r="E401">
        <v>-291</v>
      </c>
      <c r="F401">
        <v>280</v>
      </c>
      <c r="G401">
        <v>208</v>
      </c>
      <c r="H401">
        <v>547</v>
      </c>
      <c r="I401">
        <v>0</v>
      </c>
      <c r="J401">
        <v>111</v>
      </c>
      <c r="K401">
        <v>-326</v>
      </c>
    </row>
    <row r="402" spans="2:11" x14ac:dyDescent="0.25">
      <c r="B402">
        <v>426</v>
      </c>
      <c r="C402">
        <v>313</v>
      </c>
      <c r="D402">
        <v>291</v>
      </c>
      <c r="E402">
        <v>-13</v>
      </c>
      <c r="F402">
        <v>972</v>
      </c>
      <c r="G402">
        <v>864</v>
      </c>
      <c r="H402">
        <v>0</v>
      </c>
      <c r="I402">
        <v>0</v>
      </c>
      <c r="J402">
        <v>0</v>
      </c>
      <c r="K402">
        <v>-78</v>
      </c>
    </row>
    <row r="403" spans="2:11" x14ac:dyDescent="0.25">
      <c r="B403">
        <v>74</v>
      </c>
      <c r="C403">
        <v>-25</v>
      </c>
      <c r="D403">
        <v>-103</v>
      </c>
      <c r="E403">
        <v>94</v>
      </c>
      <c r="F403">
        <v>0</v>
      </c>
      <c r="G403">
        <v>1921</v>
      </c>
      <c r="H403">
        <v>82</v>
      </c>
      <c r="I403">
        <v>2316</v>
      </c>
      <c r="J403">
        <v>973</v>
      </c>
      <c r="K403">
        <v>260</v>
      </c>
    </row>
    <row r="404" spans="2:11" x14ac:dyDescent="0.25">
      <c r="B404">
        <v>-26969</v>
      </c>
      <c r="C404">
        <v>22843</v>
      </c>
      <c r="D404">
        <v>0</v>
      </c>
      <c r="E404">
        <v>0</v>
      </c>
      <c r="F404">
        <v>0</v>
      </c>
      <c r="G404">
        <v>121</v>
      </c>
      <c r="H404">
        <v>-88</v>
      </c>
      <c r="I404">
        <v>-46</v>
      </c>
      <c r="J404">
        <v>-108</v>
      </c>
      <c r="K404">
        <v>97</v>
      </c>
    </row>
    <row r="405" spans="2:11" x14ac:dyDescent="0.25">
      <c r="B405">
        <v>-718</v>
      </c>
      <c r="C405">
        <v>1814</v>
      </c>
      <c r="D405">
        <v>43</v>
      </c>
      <c r="E405">
        <v>351</v>
      </c>
      <c r="F405">
        <v>292</v>
      </c>
      <c r="G405">
        <v>36</v>
      </c>
      <c r="H405">
        <v>93</v>
      </c>
      <c r="I405">
        <v>470</v>
      </c>
      <c r="J405">
        <v>-20</v>
      </c>
      <c r="K405">
        <v>-76</v>
      </c>
    </row>
    <row r="406" spans="2:11" x14ac:dyDescent="0.25">
      <c r="B406">
        <v>94</v>
      </c>
      <c r="C406">
        <v>-31</v>
      </c>
      <c r="D406">
        <v>-8</v>
      </c>
      <c r="E406">
        <v>50</v>
      </c>
      <c r="F406">
        <v>119</v>
      </c>
      <c r="G406">
        <v>156</v>
      </c>
      <c r="H406">
        <v>0</v>
      </c>
      <c r="I406">
        <v>-5640</v>
      </c>
      <c r="J406">
        <v>0</v>
      </c>
      <c r="K406">
        <v>-799</v>
      </c>
    </row>
    <row r="407" spans="2:11" x14ac:dyDescent="0.25">
      <c r="B407">
        <v>1017</v>
      </c>
      <c r="C407">
        <v>-1744</v>
      </c>
      <c r="D407">
        <v>-973</v>
      </c>
      <c r="E407">
        <v>-1434</v>
      </c>
      <c r="F407">
        <v>-1583</v>
      </c>
      <c r="G407">
        <v>-2589</v>
      </c>
      <c r="H407">
        <v>-3049</v>
      </c>
      <c r="I407">
        <v>-1679</v>
      </c>
      <c r="J407">
        <v>-870</v>
      </c>
      <c r="K407">
        <v>-3033</v>
      </c>
    </row>
    <row r="408" spans="2:11" x14ac:dyDescent="0.25">
      <c r="B408">
        <v>-1966</v>
      </c>
      <c r="C408">
        <v>-2822</v>
      </c>
      <c r="D408">
        <v>-2809</v>
      </c>
      <c r="E408">
        <v>-2421</v>
      </c>
      <c r="F408">
        <v>-3739</v>
      </c>
      <c r="G408">
        <v>0</v>
      </c>
      <c r="H408">
        <v>0</v>
      </c>
      <c r="I408">
        <v>-32</v>
      </c>
      <c r="J408">
        <v>0</v>
      </c>
      <c r="K408">
        <v>-287</v>
      </c>
    </row>
    <row r="409" spans="2:11" x14ac:dyDescent="0.25">
      <c r="B409">
        <v>307</v>
      </c>
      <c r="C409">
        <v>-169</v>
      </c>
      <c r="D409">
        <v>454</v>
      </c>
      <c r="E409">
        <v>0</v>
      </c>
      <c r="F409">
        <v>-404</v>
      </c>
      <c r="G409">
        <v>-254</v>
      </c>
      <c r="H409">
        <v>630</v>
      </c>
      <c r="I409">
        <v>1975</v>
      </c>
      <c r="J409">
        <v>499</v>
      </c>
      <c r="K409">
        <v>-44</v>
      </c>
    </row>
    <row r="410" spans="2:11" x14ac:dyDescent="0.25">
      <c r="B410">
        <v>-1369</v>
      </c>
      <c r="C410">
        <v>-1508</v>
      </c>
      <c r="D410">
        <v>0</v>
      </c>
      <c r="E410">
        <v>0</v>
      </c>
      <c r="F410">
        <v>0</v>
      </c>
      <c r="G410">
        <v>134</v>
      </c>
      <c r="H410">
        <v>-293</v>
      </c>
      <c r="I410">
        <v>369</v>
      </c>
      <c r="J410">
        <v>92</v>
      </c>
      <c r="K410">
        <v>-376</v>
      </c>
    </row>
    <row r="411" spans="2:11" x14ac:dyDescent="0.25">
      <c r="B411">
        <v>0</v>
      </c>
      <c r="C411">
        <v>828</v>
      </c>
      <c r="D411">
        <v>1710</v>
      </c>
      <c r="E411">
        <v>317</v>
      </c>
      <c r="F411">
        <v>463</v>
      </c>
      <c r="G411">
        <v>182</v>
      </c>
      <c r="H411">
        <v>-1174</v>
      </c>
      <c r="I411">
        <v>-4831</v>
      </c>
      <c r="J411">
        <v>0</v>
      </c>
      <c r="K411">
        <v>0</v>
      </c>
    </row>
    <row r="412" spans="2:11" x14ac:dyDescent="0.25">
      <c r="B412">
        <v>0</v>
      </c>
      <c r="C412">
        <v>-547</v>
      </c>
      <c r="D412">
        <v>284</v>
      </c>
      <c r="E412">
        <v>464</v>
      </c>
      <c r="F412">
        <v>208</v>
      </c>
      <c r="G412">
        <v>-138</v>
      </c>
      <c r="H412">
        <v>2558</v>
      </c>
      <c r="I412">
        <v>-6734</v>
      </c>
      <c r="J412">
        <v>8</v>
      </c>
      <c r="K412">
        <v>-1301</v>
      </c>
    </row>
    <row r="413" spans="2:11" x14ac:dyDescent="0.25">
      <c r="B413">
        <v>-1116</v>
      </c>
      <c r="C413">
        <v>-339</v>
      </c>
      <c r="D413">
        <v>-132</v>
      </c>
      <c r="E413">
        <v>-1920</v>
      </c>
      <c r="F413">
        <v>-292</v>
      </c>
      <c r="G413">
        <v>68</v>
      </c>
      <c r="H413">
        <v>-245</v>
      </c>
      <c r="I413">
        <v>-298</v>
      </c>
      <c r="J413">
        <v>-147</v>
      </c>
      <c r="K413">
        <v>-103</v>
      </c>
    </row>
    <row r="414" spans="2:11" x14ac:dyDescent="0.25">
      <c r="B414">
        <v>-472</v>
      </c>
      <c r="C414">
        <v>-581</v>
      </c>
      <c r="D414">
        <v>0</v>
      </c>
      <c r="E414">
        <v>20756</v>
      </c>
      <c r="F414">
        <v>0</v>
      </c>
      <c r="G414">
        <v>2933</v>
      </c>
      <c r="H414">
        <v>-3783</v>
      </c>
      <c r="I414">
        <v>6423</v>
      </c>
      <c r="J414">
        <v>3610</v>
      </c>
      <c r="K414">
        <v>5271</v>
      </c>
    </row>
    <row r="415" spans="2:11" x14ac:dyDescent="0.25">
      <c r="B415">
        <v>5826</v>
      </c>
      <c r="C415">
        <v>9555</v>
      </c>
      <c r="D415">
        <v>11213</v>
      </c>
      <c r="E415">
        <v>6160</v>
      </c>
      <c r="F415">
        <v>3193</v>
      </c>
      <c r="G415">
        <v>11167</v>
      </c>
      <c r="H415">
        <v>7239</v>
      </c>
      <c r="I415">
        <v>10391</v>
      </c>
      <c r="J415">
        <v>10363</v>
      </c>
      <c r="K415">
        <v>8918</v>
      </c>
    </row>
    <row r="416" spans="2:11" x14ac:dyDescent="0.25">
      <c r="B416">
        <v>13799</v>
      </c>
      <c r="C416">
        <v>0</v>
      </c>
      <c r="D416">
        <v>5955</v>
      </c>
      <c r="E416">
        <v>0</v>
      </c>
      <c r="F416">
        <v>698</v>
      </c>
      <c r="G416">
        <v>0</v>
      </c>
      <c r="H416">
        <v>566</v>
      </c>
      <c r="I416">
        <v>-465</v>
      </c>
      <c r="J416">
        <v>481</v>
      </c>
      <c r="K416">
        <v>779</v>
      </c>
    </row>
    <row r="417" spans="2:11" x14ac:dyDescent="0.25">
      <c r="B417">
        <v>0</v>
      </c>
      <c r="C417">
        <v>-56</v>
      </c>
      <c r="D417">
        <v>-267</v>
      </c>
      <c r="E417">
        <v>1205</v>
      </c>
      <c r="F417">
        <v>608</v>
      </c>
      <c r="G417">
        <v>-1080</v>
      </c>
      <c r="H417">
        <v>544</v>
      </c>
      <c r="I417">
        <v>-3135</v>
      </c>
      <c r="J417">
        <v>-3603</v>
      </c>
      <c r="K417">
        <v>0</v>
      </c>
    </row>
    <row r="418" spans="2:11" x14ac:dyDescent="0.25">
      <c r="B418">
        <v>0</v>
      </c>
      <c r="C418">
        <v>0</v>
      </c>
      <c r="D418">
        <v>113</v>
      </c>
      <c r="E418">
        <v>-560</v>
      </c>
      <c r="F418">
        <v>625</v>
      </c>
      <c r="G418">
        <v>484</v>
      </c>
      <c r="H418">
        <v>-705</v>
      </c>
      <c r="I418">
        <v>0</v>
      </c>
      <c r="J418">
        <v>-1526</v>
      </c>
      <c r="K418">
        <v>1085</v>
      </c>
    </row>
    <row r="419" spans="2:11" x14ac:dyDescent="0.25">
      <c r="B419">
        <v>521</v>
      </c>
      <c r="C419">
        <v>-385</v>
      </c>
      <c r="D419">
        <v>-1569</v>
      </c>
      <c r="E419">
        <v>-657</v>
      </c>
      <c r="F419">
        <v>-1921</v>
      </c>
      <c r="G419">
        <v>0</v>
      </c>
      <c r="H419">
        <v>0</v>
      </c>
      <c r="I419">
        <v>0</v>
      </c>
      <c r="J419">
        <v>-975</v>
      </c>
      <c r="K419">
        <v>708</v>
      </c>
    </row>
    <row r="420" spans="2:11" x14ac:dyDescent="0.25">
      <c r="B420">
        <v>913</v>
      </c>
      <c r="C420">
        <v>887</v>
      </c>
      <c r="D420">
        <v>-173</v>
      </c>
      <c r="E420">
        <v>5106</v>
      </c>
      <c r="F420">
        <v>-13283</v>
      </c>
      <c r="G420">
        <v>35</v>
      </c>
      <c r="H420">
        <v>-2517</v>
      </c>
      <c r="I420">
        <v>-2210</v>
      </c>
      <c r="J420">
        <v>-392</v>
      </c>
      <c r="K420">
        <v>-243</v>
      </c>
    </row>
    <row r="421" spans="2:11" x14ac:dyDescent="0.25">
      <c r="B421">
        <v>-3695</v>
      </c>
      <c r="C421">
        <v>-394</v>
      </c>
      <c r="D421">
        <v>336</v>
      </c>
      <c r="E421">
        <v>-420</v>
      </c>
      <c r="F421">
        <v>69</v>
      </c>
      <c r="G421">
        <v>-42</v>
      </c>
      <c r="H421">
        <v>-250</v>
      </c>
      <c r="I421">
        <v>-894</v>
      </c>
      <c r="J421">
        <v>-1147</v>
      </c>
      <c r="K421">
        <v>0</v>
      </c>
    </row>
    <row r="422" spans="2:11" x14ac:dyDescent="0.25">
      <c r="B422">
        <v>41032</v>
      </c>
      <c r="C422">
        <v>0</v>
      </c>
      <c r="D422">
        <v>5800</v>
      </c>
      <c r="E422">
        <v>-7486</v>
      </c>
      <c r="F422">
        <v>12687</v>
      </c>
      <c r="G422">
        <v>7125</v>
      </c>
      <c r="H422">
        <v>10420</v>
      </c>
      <c r="I422">
        <v>11531</v>
      </c>
      <c r="J422">
        <v>18874</v>
      </c>
      <c r="K422">
        <v>22170</v>
      </c>
    </row>
    <row r="423" spans="2:11" x14ac:dyDescent="0.25">
      <c r="B423">
        <v>12206</v>
      </c>
      <c r="C423">
        <v>6351</v>
      </c>
      <c r="D423">
        <v>22075</v>
      </c>
      <c r="E423">
        <v>14295</v>
      </c>
      <c r="F423">
        <v>20529</v>
      </c>
      <c r="G423">
        <v>20471</v>
      </c>
      <c r="H423">
        <v>17643</v>
      </c>
      <c r="I423">
        <v>27246</v>
      </c>
      <c r="J423">
        <v>0</v>
      </c>
      <c r="K423">
        <v>10056</v>
      </c>
    </row>
    <row r="424" spans="2:11" x14ac:dyDescent="0.25">
      <c r="B424">
        <v>14848</v>
      </c>
      <c r="C424">
        <v>0</v>
      </c>
      <c r="D424">
        <v>-934</v>
      </c>
      <c r="E424">
        <v>0</v>
      </c>
      <c r="F424">
        <v>-365</v>
      </c>
      <c r="G424">
        <v>68</v>
      </c>
      <c r="H424">
        <v>-361</v>
      </c>
      <c r="I424">
        <v>469</v>
      </c>
      <c r="J424">
        <v>0</v>
      </c>
      <c r="K424">
        <v>797</v>
      </c>
    </row>
    <row r="425" spans="2:11" x14ac:dyDescent="0.25">
      <c r="B425">
        <v>989</v>
      </c>
      <c r="C425">
        <v>-198</v>
      </c>
      <c r="D425">
        <v>209</v>
      </c>
      <c r="E425">
        <v>-114</v>
      </c>
      <c r="F425">
        <v>-535</v>
      </c>
      <c r="G425">
        <v>-30</v>
      </c>
      <c r="H425">
        <v>188</v>
      </c>
      <c r="I425">
        <v>0</v>
      </c>
      <c r="J425">
        <v>0</v>
      </c>
      <c r="K425">
        <v>0</v>
      </c>
    </row>
    <row r="426" spans="2:11" x14ac:dyDescent="0.25">
      <c r="B426">
        <v>285</v>
      </c>
      <c r="C426">
        <v>33</v>
      </c>
      <c r="D426">
        <v>-55</v>
      </c>
      <c r="E426">
        <v>-87</v>
      </c>
      <c r="F426">
        <v>16</v>
      </c>
      <c r="G426">
        <v>0</v>
      </c>
      <c r="H426">
        <v>-3348</v>
      </c>
      <c r="I426">
        <v>-1829</v>
      </c>
      <c r="J426">
        <v>-346</v>
      </c>
      <c r="K426">
        <v>-1975</v>
      </c>
    </row>
    <row r="427" spans="2:11" x14ac:dyDescent="0.25">
      <c r="B427">
        <v>-1154</v>
      </c>
      <c r="C427">
        <v>7435</v>
      </c>
      <c r="D427">
        <v>-16001</v>
      </c>
      <c r="E427">
        <v>0</v>
      </c>
      <c r="F427">
        <v>0</v>
      </c>
      <c r="G427">
        <v>0</v>
      </c>
      <c r="H427">
        <v>138</v>
      </c>
      <c r="I427">
        <v>-96</v>
      </c>
      <c r="J427">
        <v>-175</v>
      </c>
      <c r="K427">
        <v>-338</v>
      </c>
    </row>
    <row r="428" spans="2:11" x14ac:dyDescent="0.25">
      <c r="B428">
        <v>-274</v>
      </c>
      <c r="C428">
        <v>-244</v>
      </c>
      <c r="D428">
        <v>536</v>
      </c>
      <c r="E428">
        <v>43</v>
      </c>
      <c r="F428">
        <v>25</v>
      </c>
      <c r="G428">
        <v>-79</v>
      </c>
      <c r="H428">
        <v>-180</v>
      </c>
      <c r="I428">
        <v>-197</v>
      </c>
      <c r="J428">
        <v>135</v>
      </c>
      <c r="K428">
        <v>115</v>
      </c>
    </row>
    <row r="429" spans="2:11" x14ac:dyDescent="0.25">
      <c r="B429">
        <v>-48</v>
      </c>
      <c r="C429">
        <v>-35</v>
      </c>
      <c r="D429">
        <v>-287</v>
      </c>
      <c r="E429">
        <v>-218</v>
      </c>
      <c r="F429">
        <v>-10</v>
      </c>
      <c r="G429">
        <v>19</v>
      </c>
      <c r="H429">
        <v>14</v>
      </c>
      <c r="I429">
        <v>0</v>
      </c>
      <c r="J429">
        <v>-1717</v>
      </c>
      <c r="K429">
        <v>0</v>
      </c>
    </row>
    <row r="430" spans="2:11" x14ac:dyDescent="0.25">
      <c r="B430">
        <v>-225</v>
      </c>
      <c r="C430">
        <v>302</v>
      </c>
      <c r="D430">
        <v>-531</v>
      </c>
      <c r="E430">
        <v>-306</v>
      </c>
      <c r="F430">
        <v>-439</v>
      </c>
      <c r="G430">
        <v>-476</v>
      </c>
      <c r="H430">
        <v>-782</v>
      </c>
      <c r="I430">
        <v>-920</v>
      </c>
      <c r="J430">
        <v>-517</v>
      </c>
      <c r="K430">
        <v>-258</v>
      </c>
    </row>
    <row r="431" spans="2:11" x14ac:dyDescent="0.25">
      <c r="B431">
        <v>-924</v>
      </c>
      <c r="C431">
        <v>-590</v>
      </c>
      <c r="D431">
        <v>-856</v>
      </c>
      <c r="E431">
        <v>-846</v>
      </c>
      <c r="F431">
        <v>-727</v>
      </c>
      <c r="G431">
        <v>-1136</v>
      </c>
      <c r="H431">
        <v>0</v>
      </c>
      <c r="I431">
        <v>16495</v>
      </c>
      <c r="J431">
        <v>8647</v>
      </c>
      <c r="K431">
        <v>15501</v>
      </c>
    </row>
    <row r="432" spans="2:11" x14ac:dyDescent="0.25">
      <c r="B432">
        <v>0</v>
      </c>
      <c r="C432">
        <v>477</v>
      </c>
      <c r="D432">
        <v>0</v>
      </c>
      <c r="E432">
        <v>-119</v>
      </c>
      <c r="F432">
        <v>308</v>
      </c>
      <c r="G432">
        <v>400</v>
      </c>
      <c r="H432">
        <v>1445</v>
      </c>
      <c r="I432">
        <v>0</v>
      </c>
      <c r="J432">
        <v>-212</v>
      </c>
      <c r="K432">
        <v>-373</v>
      </c>
    </row>
    <row r="433" spans="2:11" x14ac:dyDescent="0.25">
      <c r="B433">
        <v>-478</v>
      </c>
      <c r="C433">
        <v>537</v>
      </c>
      <c r="D433">
        <v>-256</v>
      </c>
      <c r="E433">
        <v>-838</v>
      </c>
      <c r="F433">
        <v>-2135</v>
      </c>
      <c r="G433">
        <v>-2245</v>
      </c>
      <c r="H433">
        <v>0</v>
      </c>
      <c r="I433">
        <v>0</v>
      </c>
      <c r="J433">
        <v>0</v>
      </c>
      <c r="K433">
        <v>22</v>
      </c>
    </row>
    <row r="434" spans="2:11" x14ac:dyDescent="0.25">
      <c r="B434">
        <v>-425</v>
      </c>
      <c r="C434">
        <v>558</v>
      </c>
      <c r="D434">
        <v>287</v>
      </c>
      <c r="E434">
        <v>-537</v>
      </c>
      <c r="F434">
        <v>0</v>
      </c>
      <c r="G434">
        <v>-2828</v>
      </c>
      <c r="H434">
        <v>670</v>
      </c>
      <c r="I434">
        <v>-389</v>
      </c>
      <c r="J434">
        <v>-801</v>
      </c>
      <c r="K434">
        <v>-1215</v>
      </c>
    </row>
    <row r="435" spans="2:11" x14ac:dyDescent="0.25">
      <c r="B435">
        <v>4766</v>
      </c>
      <c r="C435">
        <v>-11607</v>
      </c>
      <c r="D435">
        <v>0</v>
      </c>
      <c r="E435">
        <v>0</v>
      </c>
      <c r="F435">
        <v>0</v>
      </c>
      <c r="G435">
        <v>-683</v>
      </c>
      <c r="H435">
        <v>514</v>
      </c>
      <c r="I435">
        <v>822</v>
      </c>
      <c r="J435">
        <v>570</v>
      </c>
      <c r="K435">
        <v>-63</v>
      </c>
    </row>
    <row r="436" spans="2:11" x14ac:dyDescent="0.25">
      <c r="B436">
        <v>3700</v>
      </c>
      <c r="C436">
        <v>-9772</v>
      </c>
      <c r="D436">
        <v>92</v>
      </c>
      <c r="E436">
        <v>-1857</v>
      </c>
      <c r="F436">
        <v>-1606</v>
      </c>
      <c r="G436">
        <v>-341</v>
      </c>
      <c r="H436">
        <v>-113</v>
      </c>
      <c r="I436">
        <v>-2765</v>
      </c>
      <c r="J436">
        <v>-253</v>
      </c>
      <c r="K436">
        <v>265</v>
      </c>
    </row>
    <row r="437" spans="2:11" x14ac:dyDescent="0.25">
      <c r="B437">
        <v>-158</v>
      </c>
      <c r="C437">
        <v>-23</v>
      </c>
      <c r="D437">
        <v>6</v>
      </c>
      <c r="E437">
        <v>-175</v>
      </c>
      <c r="F437">
        <v>-682</v>
      </c>
      <c r="G437">
        <v>-869</v>
      </c>
      <c r="H437">
        <v>0</v>
      </c>
      <c r="I437">
        <v>30087</v>
      </c>
      <c r="J437">
        <v>0</v>
      </c>
      <c r="K437">
        <v>4260</v>
      </c>
    </row>
    <row r="438" spans="2:11" x14ac:dyDescent="0.25">
      <c r="B438">
        <v>-5501</v>
      </c>
      <c r="C438">
        <v>9296</v>
      </c>
      <c r="D438">
        <v>5234</v>
      </c>
      <c r="E438">
        <v>7644</v>
      </c>
      <c r="F438">
        <v>8459</v>
      </c>
      <c r="G438">
        <v>13853</v>
      </c>
      <c r="H438">
        <v>16264</v>
      </c>
      <c r="I438">
        <v>8922</v>
      </c>
      <c r="J438">
        <v>4650</v>
      </c>
      <c r="K438">
        <v>16175</v>
      </c>
    </row>
    <row r="439" spans="2:11" x14ac:dyDescent="0.25">
      <c r="B439">
        <v>10480</v>
      </c>
      <c r="C439">
        <v>15030</v>
      </c>
      <c r="D439">
        <v>14997</v>
      </c>
      <c r="E439">
        <v>12930</v>
      </c>
      <c r="F439">
        <v>19976</v>
      </c>
      <c r="G439">
        <v>0</v>
      </c>
      <c r="H439">
        <v>20750</v>
      </c>
      <c r="I439">
        <v>14597</v>
      </c>
      <c r="J439">
        <v>27166</v>
      </c>
      <c r="K439">
        <v>36400</v>
      </c>
    </row>
    <row r="440" spans="2:11" x14ac:dyDescent="0.25"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</row>
    <row r="441" spans="2:11" x14ac:dyDescent="0.25"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</row>
    <row r="442" spans="2:11" x14ac:dyDescent="0.25"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</row>
    <row r="443" spans="2:11" x14ac:dyDescent="0.25"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</row>
    <row r="444" spans="2:11" x14ac:dyDescent="0.25"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</row>
    <row r="445" spans="2:11" x14ac:dyDescent="0.25"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</row>
    <row r="446" spans="2:11" x14ac:dyDescent="0.25"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</row>
    <row r="447" spans="2:11" x14ac:dyDescent="0.25"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</row>
    <row r="448" spans="2:11" x14ac:dyDescent="0.25">
      <c r="B448">
        <v>0</v>
      </c>
      <c r="C448">
        <v>0</v>
      </c>
      <c r="D448">
        <v>587</v>
      </c>
      <c r="E448">
        <v>0</v>
      </c>
      <c r="F448">
        <v>-97</v>
      </c>
      <c r="G448">
        <v>-371</v>
      </c>
      <c r="H448">
        <v>55</v>
      </c>
      <c r="I448">
        <v>919</v>
      </c>
      <c r="J448">
        <v>0</v>
      </c>
      <c r="K448">
        <v>-582</v>
      </c>
    </row>
    <row r="449" spans="2:11" x14ac:dyDescent="0.25">
      <c r="B449">
        <v>-790</v>
      </c>
      <c r="C449">
        <v>30</v>
      </c>
      <c r="D449">
        <v>1616</v>
      </c>
      <c r="E449">
        <v>-185</v>
      </c>
      <c r="F449">
        <v>317</v>
      </c>
      <c r="G449">
        <v>-2949</v>
      </c>
      <c r="H449">
        <v>-3146</v>
      </c>
      <c r="I449">
        <v>0</v>
      </c>
      <c r="J449">
        <v>0</v>
      </c>
      <c r="K449">
        <v>0</v>
      </c>
    </row>
    <row r="450" spans="2:11" x14ac:dyDescent="0.25">
      <c r="B450">
        <v>20</v>
      </c>
      <c r="C450">
        <v>-483</v>
      </c>
      <c r="D450">
        <v>600</v>
      </c>
      <c r="E450">
        <v>398</v>
      </c>
      <c r="F450">
        <v>-612</v>
      </c>
      <c r="G450">
        <v>0</v>
      </c>
      <c r="H450">
        <v>-1167</v>
      </c>
      <c r="I450">
        <v>-173</v>
      </c>
      <c r="J450">
        <v>256</v>
      </c>
      <c r="K450">
        <v>400</v>
      </c>
    </row>
    <row r="451" spans="2:11" x14ac:dyDescent="0.25">
      <c r="B451">
        <v>-143</v>
      </c>
      <c r="C451">
        <v>2320</v>
      </c>
      <c r="D451">
        <v>-908</v>
      </c>
      <c r="E451">
        <v>0</v>
      </c>
      <c r="F451">
        <v>0</v>
      </c>
      <c r="G451">
        <v>0</v>
      </c>
      <c r="H451">
        <v>-879</v>
      </c>
      <c r="I451">
        <v>566</v>
      </c>
      <c r="J451">
        <v>864</v>
      </c>
      <c r="K451">
        <v>832</v>
      </c>
    </row>
    <row r="452" spans="2:11" x14ac:dyDescent="0.25">
      <c r="B452">
        <v>-66</v>
      </c>
      <c r="C452">
        <v>4293</v>
      </c>
      <c r="D452">
        <v>-11137</v>
      </c>
      <c r="E452">
        <v>44</v>
      </c>
      <c r="F452">
        <v>-2138</v>
      </c>
      <c r="G452">
        <v>-1803</v>
      </c>
      <c r="H452">
        <v>-247</v>
      </c>
      <c r="I452">
        <v>-63</v>
      </c>
      <c r="J452">
        <v>-3072</v>
      </c>
      <c r="K452">
        <v>-402</v>
      </c>
    </row>
    <row r="453" spans="2:11" x14ac:dyDescent="0.25">
      <c r="B453">
        <v>246</v>
      </c>
      <c r="C453">
        <v>-303</v>
      </c>
      <c r="D453">
        <v>117</v>
      </c>
      <c r="E453">
        <v>21</v>
      </c>
      <c r="F453">
        <v>-188</v>
      </c>
      <c r="G453">
        <v>-756</v>
      </c>
      <c r="H453">
        <v>-945</v>
      </c>
      <c r="I453">
        <v>0</v>
      </c>
      <c r="J453">
        <v>34483</v>
      </c>
      <c r="K453">
        <v>0</v>
      </c>
    </row>
    <row r="454" spans="2:11" x14ac:dyDescent="0.25">
      <c r="B454">
        <v>4857</v>
      </c>
      <c r="C454">
        <v>-6272</v>
      </c>
      <c r="D454">
        <v>10672</v>
      </c>
      <c r="E454">
        <v>6003</v>
      </c>
      <c r="F454">
        <v>8757</v>
      </c>
      <c r="G454">
        <v>9693</v>
      </c>
      <c r="H454">
        <v>15871</v>
      </c>
      <c r="I454">
        <v>18631</v>
      </c>
      <c r="J454">
        <v>10263</v>
      </c>
      <c r="K454">
        <v>5340</v>
      </c>
    </row>
    <row r="455" spans="2:11" x14ac:dyDescent="0.25">
      <c r="B455">
        <v>18560</v>
      </c>
      <c r="C455">
        <v>12023</v>
      </c>
      <c r="D455">
        <v>17265</v>
      </c>
      <c r="E455">
        <v>17216</v>
      </c>
      <c r="F455">
        <v>14829</v>
      </c>
      <c r="G455">
        <v>22909</v>
      </c>
      <c r="H455">
        <v>0</v>
      </c>
      <c r="I455">
        <v>7800</v>
      </c>
      <c r="J455">
        <v>11612</v>
      </c>
      <c r="K455">
        <v>22178</v>
      </c>
    </row>
    <row r="456" spans="2:11" x14ac:dyDescent="0.25">
      <c r="B456">
        <v>12640</v>
      </c>
      <c r="C456">
        <v>22982</v>
      </c>
      <c r="D456">
        <v>0</v>
      </c>
      <c r="E456">
        <v>0</v>
      </c>
      <c r="F456">
        <v>1834</v>
      </c>
      <c r="G456">
        <v>0</v>
      </c>
      <c r="H456">
        <v>292</v>
      </c>
      <c r="I456">
        <v>463</v>
      </c>
      <c r="J456">
        <v>169</v>
      </c>
      <c r="K456">
        <v>1518</v>
      </c>
    </row>
    <row r="457" spans="2:11" x14ac:dyDescent="0.25">
      <c r="B457">
        <v>0</v>
      </c>
      <c r="C457">
        <v>-276</v>
      </c>
      <c r="D457">
        <v>-1375</v>
      </c>
      <c r="E457">
        <v>377</v>
      </c>
      <c r="F457">
        <v>221</v>
      </c>
      <c r="G457">
        <v>301</v>
      </c>
      <c r="H457">
        <v>176</v>
      </c>
      <c r="I457">
        <v>-7320</v>
      </c>
      <c r="J457">
        <v>-7840</v>
      </c>
      <c r="K457">
        <v>0</v>
      </c>
    </row>
    <row r="458" spans="2:11" x14ac:dyDescent="0.25">
      <c r="B458">
        <v>0</v>
      </c>
      <c r="C458">
        <v>0</v>
      </c>
      <c r="D458">
        <v>-90</v>
      </c>
      <c r="E458">
        <v>-1187</v>
      </c>
      <c r="F458">
        <v>1434</v>
      </c>
      <c r="G458">
        <v>800</v>
      </c>
      <c r="H458">
        <v>-1408</v>
      </c>
      <c r="I458">
        <v>0</v>
      </c>
      <c r="J458">
        <v>56</v>
      </c>
      <c r="K458">
        <v>1054</v>
      </c>
    </row>
    <row r="459" spans="2:11" x14ac:dyDescent="0.25">
      <c r="B459">
        <v>2919</v>
      </c>
      <c r="C459">
        <v>917</v>
      </c>
      <c r="D459">
        <v>-332</v>
      </c>
      <c r="E459">
        <v>-1378</v>
      </c>
      <c r="F459">
        <v>3328</v>
      </c>
      <c r="G459">
        <v>0</v>
      </c>
      <c r="H459">
        <v>0</v>
      </c>
      <c r="I459">
        <v>0</v>
      </c>
      <c r="J459">
        <v>-1983</v>
      </c>
      <c r="K459">
        <v>1448</v>
      </c>
    </row>
    <row r="460" spans="2:11" x14ac:dyDescent="0.25">
      <c r="B460">
        <v>2154</v>
      </c>
      <c r="C460">
        <v>1741</v>
      </c>
      <c r="D460">
        <v>-30</v>
      </c>
      <c r="E460">
        <v>10298</v>
      </c>
      <c r="F460">
        <v>-26573</v>
      </c>
      <c r="G460">
        <v>81</v>
      </c>
      <c r="H460">
        <v>-5039</v>
      </c>
      <c r="I460">
        <v>-4212</v>
      </c>
      <c r="J460">
        <v>-785</v>
      </c>
      <c r="K460">
        <v>-175</v>
      </c>
    </row>
    <row r="461" spans="2:11" x14ac:dyDescent="0.25">
      <c r="B461">
        <v>-7305</v>
      </c>
      <c r="C461">
        <v>-672</v>
      </c>
      <c r="D461">
        <v>806</v>
      </c>
      <c r="E461">
        <v>-487</v>
      </c>
      <c r="F461">
        <v>33</v>
      </c>
      <c r="G461">
        <v>340</v>
      </c>
      <c r="H461">
        <v>-448</v>
      </c>
      <c r="I461">
        <v>-1786</v>
      </c>
      <c r="J461">
        <v>-2311</v>
      </c>
      <c r="K461">
        <v>0</v>
      </c>
    </row>
    <row r="462" spans="2:11" x14ac:dyDescent="0.25">
      <c r="B462">
        <v>82204</v>
      </c>
      <c r="C462">
        <v>0</v>
      </c>
      <c r="D462">
        <v>11601</v>
      </c>
      <c r="E462">
        <v>-14984</v>
      </c>
      <c r="F462">
        <v>25417</v>
      </c>
      <c r="G462">
        <v>14296</v>
      </c>
      <c r="H462">
        <v>20886</v>
      </c>
      <c r="I462">
        <v>23090</v>
      </c>
      <c r="J462">
        <v>37812</v>
      </c>
      <c r="K462">
        <v>44417</v>
      </c>
    </row>
    <row r="463" spans="2:11" x14ac:dyDescent="0.25">
      <c r="B463">
        <v>24427</v>
      </c>
      <c r="C463">
        <v>12718</v>
      </c>
      <c r="D463">
        <v>44225</v>
      </c>
      <c r="E463">
        <v>28636</v>
      </c>
      <c r="F463">
        <v>41107</v>
      </c>
      <c r="G463">
        <v>40973</v>
      </c>
      <c r="H463">
        <v>35337</v>
      </c>
      <c r="I463">
        <v>54573</v>
      </c>
      <c r="J463">
        <v>0</v>
      </c>
      <c r="K463">
        <v>11933</v>
      </c>
    </row>
    <row r="464" spans="2:11" x14ac:dyDescent="0.25">
      <c r="B464">
        <v>20144</v>
      </c>
      <c r="C464">
        <v>40219</v>
      </c>
      <c r="D464">
        <v>17346</v>
      </c>
      <c r="E464">
        <v>43368</v>
      </c>
      <c r="F464">
        <v>0</v>
      </c>
      <c r="G464">
        <v>34228</v>
      </c>
      <c r="H464">
        <v>0</v>
      </c>
      <c r="I464">
        <v>0</v>
      </c>
      <c r="J464">
        <v>0</v>
      </c>
      <c r="K464">
        <v>0</v>
      </c>
    </row>
    <row r="465" spans="2:11" x14ac:dyDescent="0.25">
      <c r="B465">
        <v>0</v>
      </c>
      <c r="C465">
        <v>0</v>
      </c>
      <c r="D465">
        <v>0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</row>
    <row r="466" spans="2:11" x14ac:dyDescent="0.25">
      <c r="B466">
        <v>0</v>
      </c>
      <c r="C466">
        <v>0</v>
      </c>
      <c r="D466">
        <v>0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</row>
    <row r="467" spans="2:11" x14ac:dyDescent="0.25">
      <c r="B467">
        <v>0</v>
      </c>
      <c r="C467">
        <v>0</v>
      </c>
      <c r="D467">
        <v>0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</row>
    <row r="468" spans="2:11" x14ac:dyDescent="0.25">
      <c r="B468">
        <v>0</v>
      </c>
      <c r="C468">
        <v>0</v>
      </c>
      <c r="D468">
        <v>0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</row>
    <row r="469" spans="2:11" x14ac:dyDescent="0.25">
      <c r="B469">
        <v>0</v>
      </c>
      <c r="C469">
        <v>0</v>
      </c>
      <c r="D469">
        <v>0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</row>
    <row r="470" spans="2:11" x14ac:dyDescent="0.25">
      <c r="B470">
        <v>0</v>
      </c>
      <c r="C470">
        <v>0</v>
      </c>
      <c r="D470">
        <v>0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</row>
    <row r="471" spans="2:11" x14ac:dyDescent="0.25">
      <c r="B471">
        <v>0</v>
      </c>
      <c r="C471">
        <v>0</v>
      </c>
      <c r="D471">
        <v>0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</row>
    <row r="472" spans="2:11" x14ac:dyDescent="0.25">
      <c r="B472">
        <v>0</v>
      </c>
      <c r="C472">
        <v>0</v>
      </c>
      <c r="D472">
        <v>0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</row>
    <row r="473" spans="2:11" x14ac:dyDescent="0.25">
      <c r="B473">
        <v>0</v>
      </c>
      <c r="C473">
        <v>440</v>
      </c>
      <c r="D473">
        <v>0</v>
      </c>
      <c r="E473">
        <v>-127</v>
      </c>
      <c r="F473">
        <v>-212</v>
      </c>
      <c r="G473">
        <v>147</v>
      </c>
      <c r="H473">
        <v>-417</v>
      </c>
      <c r="I473">
        <v>0</v>
      </c>
      <c r="J473">
        <v>-466</v>
      </c>
      <c r="K473">
        <v>-594</v>
      </c>
    </row>
    <row r="474" spans="2:11" x14ac:dyDescent="0.25">
      <c r="B474">
        <v>-23</v>
      </c>
      <c r="C474">
        <v>-48</v>
      </c>
      <c r="D474">
        <v>-61</v>
      </c>
      <c r="E474">
        <v>-145</v>
      </c>
      <c r="F474">
        <v>-1165</v>
      </c>
      <c r="G474">
        <v>-32</v>
      </c>
      <c r="H474">
        <v>0</v>
      </c>
      <c r="I474">
        <v>0</v>
      </c>
      <c r="J474">
        <v>0</v>
      </c>
      <c r="K474">
        <v>-63</v>
      </c>
    </row>
    <row r="475" spans="2:11" x14ac:dyDescent="0.25">
      <c r="B475">
        <v>-211</v>
      </c>
      <c r="C475">
        <v>305</v>
      </c>
      <c r="D475">
        <v>255</v>
      </c>
      <c r="E475">
        <v>-255</v>
      </c>
      <c r="F475">
        <v>0</v>
      </c>
      <c r="G475">
        <v>-229</v>
      </c>
      <c r="H475">
        <v>69</v>
      </c>
      <c r="I475">
        <v>215</v>
      </c>
      <c r="J475">
        <v>333</v>
      </c>
      <c r="K475">
        <v>68</v>
      </c>
    </row>
    <row r="476" spans="2:11" x14ac:dyDescent="0.25">
      <c r="B476">
        <v>-230</v>
      </c>
      <c r="C476">
        <v>-1958</v>
      </c>
      <c r="D476">
        <v>0</v>
      </c>
      <c r="E476">
        <v>0</v>
      </c>
      <c r="F476">
        <v>0</v>
      </c>
      <c r="G476">
        <v>-902</v>
      </c>
      <c r="H476">
        <v>415</v>
      </c>
      <c r="I476">
        <v>607</v>
      </c>
      <c r="J476">
        <v>33</v>
      </c>
      <c r="K476">
        <v>409</v>
      </c>
    </row>
    <row r="477" spans="2:11" x14ac:dyDescent="0.25">
      <c r="B477">
        <v>-359</v>
      </c>
      <c r="C477">
        <v>-8631</v>
      </c>
      <c r="D477">
        <v>8</v>
      </c>
      <c r="E477">
        <v>-823</v>
      </c>
      <c r="F477">
        <v>-619</v>
      </c>
      <c r="G477">
        <v>-8</v>
      </c>
      <c r="H477">
        <v>-4</v>
      </c>
      <c r="I477">
        <v>-1445</v>
      </c>
      <c r="J477">
        <v>-135</v>
      </c>
      <c r="K477">
        <v>157</v>
      </c>
    </row>
    <row r="478" spans="2:11" x14ac:dyDescent="0.25">
      <c r="B478">
        <v>-21</v>
      </c>
      <c r="C478">
        <v>199</v>
      </c>
      <c r="D478">
        <v>98</v>
      </c>
      <c r="E478">
        <v>-93</v>
      </c>
      <c r="F478">
        <v>-320</v>
      </c>
      <c r="G478">
        <v>-424</v>
      </c>
      <c r="H478">
        <v>0</v>
      </c>
      <c r="I478">
        <v>14816</v>
      </c>
      <c r="J478">
        <v>0</v>
      </c>
      <c r="K478">
        <v>2080</v>
      </c>
    </row>
    <row r="479" spans="2:11" x14ac:dyDescent="0.25">
      <c r="B479">
        <v>-2715</v>
      </c>
      <c r="C479">
        <v>4582</v>
      </c>
      <c r="D479">
        <v>2580</v>
      </c>
      <c r="E479">
        <v>3761</v>
      </c>
      <c r="F479">
        <v>4160</v>
      </c>
      <c r="G479">
        <v>6822</v>
      </c>
      <c r="H479">
        <v>8006</v>
      </c>
      <c r="I479">
        <v>4404</v>
      </c>
      <c r="J479">
        <v>2275</v>
      </c>
      <c r="K479">
        <v>7969</v>
      </c>
    </row>
    <row r="480" spans="2:11" x14ac:dyDescent="0.25">
      <c r="B480">
        <v>5159</v>
      </c>
      <c r="C480">
        <v>7401</v>
      </c>
      <c r="D480">
        <v>7383</v>
      </c>
      <c r="E480">
        <v>6366</v>
      </c>
      <c r="F480">
        <v>9832</v>
      </c>
      <c r="G480">
        <v>0</v>
      </c>
      <c r="H480">
        <v>-835</v>
      </c>
      <c r="I480">
        <v>3083</v>
      </c>
      <c r="J480">
        <v>6083</v>
      </c>
      <c r="K480">
        <v>-263</v>
      </c>
    </row>
    <row r="481" spans="2:11" x14ac:dyDescent="0.25">
      <c r="B481">
        <v>4463</v>
      </c>
      <c r="C481">
        <v>0</v>
      </c>
      <c r="D481">
        <v>5115</v>
      </c>
      <c r="E481">
        <v>12179</v>
      </c>
      <c r="F481">
        <v>0</v>
      </c>
      <c r="G481">
        <v>0</v>
      </c>
      <c r="H481">
        <v>851</v>
      </c>
      <c r="I481">
        <v>0</v>
      </c>
      <c r="J481">
        <v>-85</v>
      </c>
      <c r="K481">
        <v>485</v>
      </c>
    </row>
    <row r="482" spans="2:11" x14ac:dyDescent="0.25">
      <c r="B482">
        <v>-206</v>
      </c>
      <c r="C482">
        <v>1661</v>
      </c>
      <c r="D482">
        <v>0</v>
      </c>
      <c r="E482">
        <v>95</v>
      </c>
      <c r="F482">
        <v>-268</v>
      </c>
      <c r="G482">
        <v>171</v>
      </c>
      <c r="H482">
        <v>144</v>
      </c>
      <c r="I482">
        <v>25</v>
      </c>
      <c r="J482">
        <v>190</v>
      </c>
      <c r="K482">
        <v>-3366</v>
      </c>
    </row>
    <row r="483" spans="2:11" x14ac:dyDescent="0.25">
      <c r="B483">
        <v>-4174</v>
      </c>
      <c r="C483">
        <v>0</v>
      </c>
      <c r="D483">
        <v>0</v>
      </c>
      <c r="E483">
        <v>0</v>
      </c>
      <c r="F483">
        <v>-60</v>
      </c>
      <c r="G483">
        <v>-576</v>
      </c>
      <c r="H483">
        <v>700</v>
      </c>
      <c r="I483">
        <v>295</v>
      </c>
      <c r="J483">
        <v>-673</v>
      </c>
      <c r="K483">
        <v>0</v>
      </c>
    </row>
    <row r="484" spans="2:11" x14ac:dyDescent="0.25">
      <c r="B484">
        <v>-684</v>
      </c>
      <c r="C484">
        <v>12</v>
      </c>
      <c r="D484">
        <v>298</v>
      </c>
      <c r="E484">
        <v>152</v>
      </c>
      <c r="F484">
        <v>-194</v>
      </c>
      <c r="G484">
        <v>-551</v>
      </c>
      <c r="H484">
        <v>-4996</v>
      </c>
      <c r="I484">
        <v>0</v>
      </c>
      <c r="J484">
        <v>0</v>
      </c>
      <c r="K484">
        <v>0</v>
      </c>
    </row>
    <row r="485" spans="2:11" x14ac:dyDescent="0.25">
      <c r="B485">
        <v>1063</v>
      </c>
      <c r="C485">
        <v>2802</v>
      </c>
      <c r="D485">
        <v>1676</v>
      </c>
      <c r="E485">
        <v>1369</v>
      </c>
      <c r="F485">
        <v>24</v>
      </c>
      <c r="G485">
        <v>4659</v>
      </c>
      <c r="H485">
        <v>-4948</v>
      </c>
      <c r="I485">
        <v>94</v>
      </c>
      <c r="J485">
        <v>-2454</v>
      </c>
      <c r="K485">
        <v>-2095</v>
      </c>
    </row>
    <row r="486" spans="2:11" x14ac:dyDescent="0.25">
      <c r="B486">
        <v>-462</v>
      </c>
      <c r="C486">
        <v>-39</v>
      </c>
      <c r="D486">
        <v>-3425</v>
      </c>
      <c r="E486">
        <v>-307</v>
      </c>
      <c r="F486">
        <v>374</v>
      </c>
      <c r="G486">
        <v>-203</v>
      </c>
      <c r="H486">
        <v>-82</v>
      </c>
      <c r="I486">
        <v>194</v>
      </c>
      <c r="J486">
        <v>-210</v>
      </c>
      <c r="K486">
        <v>-846</v>
      </c>
    </row>
    <row r="487" spans="2:11" x14ac:dyDescent="0.25">
      <c r="B487">
        <v>-1102</v>
      </c>
      <c r="C487">
        <v>0</v>
      </c>
      <c r="D487">
        <v>39070</v>
      </c>
      <c r="E487">
        <v>0</v>
      </c>
      <c r="F487">
        <v>5522</v>
      </c>
      <c r="G487">
        <v>-7127</v>
      </c>
      <c r="H487">
        <v>12081</v>
      </c>
      <c r="I487">
        <v>6795</v>
      </c>
      <c r="J487">
        <v>9926</v>
      </c>
      <c r="K487">
        <v>10983</v>
      </c>
    </row>
    <row r="488" spans="2:11" x14ac:dyDescent="0.25">
      <c r="B488">
        <v>17975</v>
      </c>
      <c r="C488">
        <v>21114</v>
      </c>
      <c r="D488">
        <v>11614</v>
      </c>
      <c r="E488">
        <v>6066</v>
      </c>
      <c r="F488">
        <v>21027</v>
      </c>
      <c r="G488">
        <v>13613</v>
      </c>
      <c r="H488">
        <v>19546</v>
      </c>
      <c r="I488">
        <v>19483</v>
      </c>
      <c r="J488">
        <v>16807</v>
      </c>
      <c r="K488">
        <v>25942</v>
      </c>
    </row>
    <row r="489" spans="2:11" x14ac:dyDescent="0.25">
      <c r="B489">
        <v>0</v>
      </c>
      <c r="C489">
        <v>-2198</v>
      </c>
      <c r="D489">
        <v>8104</v>
      </c>
      <c r="E489">
        <v>16030</v>
      </c>
      <c r="F489">
        <v>-665</v>
      </c>
      <c r="G489">
        <v>11758</v>
      </c>
      <c r="H489">
        <v>0</v>
      </c>
      <c r="I489">
        <v>13470</v>
      </c>
      <c r="J489">
        <v>32118</v>
      </c>
      <c r="K489">
        <v>0</v>
      </c>
    </row>
    <row r="490" spans="2:11" x14ac:dyDescent="0.25">
      <c r="B490">
        <v>-42544</v>
      </c>
      <c r="C490">
        <v>0</v>
      </c>
      <c r="D490">
        <v>0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</row>
    <row r="491" spans="2:11" x14ac:dyDescent="0.25">
      <c r="B491">
        <v>0</v>
      </c>
      <c r="C491">
        <v>0</v>
      </c>
      <c r="D491">
        <v>0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</row>
    <row r="492" spans="2:11" x14ac:dyDescent="0.25">
      <c r="B492">
        <v>0</v>
      </c>
      <c r="C492">
        <v>0</v>
      </c>
      <c r="D492">
        <v>0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</row>
    <row r="493" spans="2:11" x14ac:dyDescent="0.25">
      <c r="B493">
        <v>0</v>
      </c>
      <c r="C493">
        <v>0</v>
      </c>
      <c r="D493">
        <v>0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</row>
    <row r="494" spans="2:11" x14ac:dyDescent="0.25">
      <c r="B494">
        <v>0</v>
      </c>
      <c r="C494">
        <v>0</v>
      </c>
      <c r="D494">
        <v>0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</row>
    <row r="495" spans="2:11" x14ac:dyDescent="0.25">
      <c r="B495">
        <v>0</v>
      </c>
      <c r="C495">
        <v>0</v>
      </c>
      <c r="D495">
        <v>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</row>
    <row r="496" spans="2:11" x14ac:dyDescent="0.25">
      <c r="B496">
        <v>0</v>
      </c>
      <c r="C496">
        <v>0</v>
      </c>
      <c r="D496">
        <v>0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</row>
    <row r="497" spans="2:11" x14ac:dyDescent="0.25">
      <c r="B497">
        <v>0</v>
      </c>
      <c r="C497">
        <v>0</v>
      </c>
      <c r="D497">
        <v>0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</row>
    <row r="498" spans="2:11" x14ac:dyDescent="0.25">
      <c r="B498">
        <v>0</v>
      </c>
      <c r="C498">
        <v>0</v>
      </c>
      <c r="D498">
        <v>0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804</v>
      </c>
    </row>
    <row r="499" spans="2:11" x14ac:dyDescent="0.25">
      <c r="B499">
        <v>0</v>
      </c>
      <c r="C499">
        <v>-24</v>
      </c>
      <c r="D499">
        <v>-5</v>
      </c>
      <c r="E499">
        <v>52</v>
      </c>
      <c r="F499">
        <v>843</v>
      </c>
      <c r="G499">
        <v>0</v>
      </c>
      <c r="H499">
        <v>-515</v>
      </c>
      <c r="I499">
        <v>-731</v>
      </c>
      <c r="J499">
        <v>-115</v>
      </c>
      <c r="K499">
        <v>167</v>
      </c>
    </row>
    <row r="500" spans="2:11" x14ac:dyDescent="0.25">
      <c r="B500">
        <v>-70</v>
      </c>
      <c r="C500">
        <v>46</v>
      </c>
      <c r="D500">
        <v>-3289</v>
      </c>
      <c r="E500">
        <v>-3263</v>
      </c>
      <c r="F500">
        <v>0</v>
      </c>
      <c r="G500">
        <v>0</v>
      </c>
      <c r="H500">
        <v>0</v>
      </c>
      <c r="I500">
        <v>-55</v>
      </c>
      <c r="J500">
        <v>-570</v>
      </c>
      <c r="K500">
        <v>704</v>
      </c>
    </row>
    <row r="501" spans="2:11" x14ac:dyDescent="0.25">
      <c r="B501">
        <v>433</v>
      </c>
      <c r="C501">
        <v>-678</v>
      </c>
      <c r="D501">
        <v>0</v>
      </c>
      <c r="E501">
        <v>-675</v>
      </c>
      <c r="F501">
        <v>51</v>
      </c>
      <c r="G501">
        <v>341</v>
      </c>
      <c r="H501">
        <v>400</v>
      </c>
      <c r="I501">
        <v>-121</v>
      </c>
      <c r="J501">
        <v>-573</v>
      </c>
      <c r="K501">
        <v>-5067</v>
      </c>
    </row>
    <row r="502" spans="2:11" x14ac:dyDescent="0.25">
      <c r="B502">
        <v>0</v>
      </c>
      <c r="C502">
        <v>0</v>
      </c>
      <c r="D502">
        <v>0</v>
      </c>
      <c r="E502">
        <v>-58</v>
      </c>
      <c r="F502">
        <v>683</v>
      </c>
      <c r="G502">
        <v>2245</v>
      </c>
      <c r="H502">
        <v>821</v>
      </c>
      <c r="I502">
        <v>475</v>
      </c>
      <c r="J502">
        <v>3402</v>
      </c>
      <c r="K502">
        <v>-8112</v>
      </c>
    </row>
    <row r="503" spans="2:11" x14ac:dyDescent="0.25">
      <c r="B503">
        <v>60</v>
      </c>
      <c r="C503">
        <v>-2396</v>
      </c>
      <c r="D503">
        <v>-1999</v>
      </c>
      <c r="E503">
        <v>-316</v>
      </c>
      <c r="F503">
        <v>-54</v>
      </c>
      <c r="G503">
        <v>-3540</v>
      </c>
      <c r="H503">
        <v>-328</v>
      </c>
      <c r="I503">
        <v>379</v>
      </c>
      <c r="J503">
        <v>-212</v>
      </c>
      <c r="K503">
        <v>123</v>
      </c>
    </row>
    <row r="504" spans="2:11" x14ac:dyDescent="0.25">
      <c r="B504">
        <v>169</v>
      </c>
      <c r="C504">
        <v>-225</v>
      </c>
      <c r="D504">
        <v>-852</v>
      </c>
      <c r="E504">
        <v>-1105</v>
      </c>
      <c r="F504">
        <v>0</v>
      </c>
      <c r="G504">
        <v>39298</v>
      </c>
      <c r="H504">
        <v>0</v>
      </c>
      <c r="I504">
        <v>5543</v>
      </c>
      <c r="J504">
        <v>-7170</v>
      </c>
      <c r="K504">
        <v>12153</v>
      </c>
    </row>
    <row r="505" spans="2:11" x14ac:dyDescent="0.25">
      <c r="B505">
        <v>6837</v>
      </c>
      <c r="C505">
        <v>9982</v>
      </c>
      <c r="D505">
        <v>11043</v>
      </c>
      <c r="E505">
        <v>18081</v>
      </c>
      <c r="F505">
        <v>21236</v>
      </c>
      <c r="G505">
        <v>11684</v>
      </c>
      <c r="H505">
        <v>6080</v>
      </c>
      <c r="I505">
        <v>21144</v>
      </c>
      <c r="J505">
        <v>13691</v>
      </c>
      <c r="K505">
        <v>19653</v>
      </c>
    </row>
    <row r="506" spans="2:11" x14ac:dyDescent="0.25">
      <c r="B506">
        <v>19593</v>
      </c>
      <c r="C506">
        <v>16896</v>
      </c>
      <c r="D506">
        <v>26090</v>
      </c>
      <c r="E506">
        <v>0</v>
      </c>
      <c r="F506">
        <v>-2215</v>
      </c>
      <c r="G506">
        <v>8158</v>
      </c>
      <c r="H506">
        <v>16127</v>
      </c>
      <c r="I506">
        <v>-679</v>
      </c>
      <c r="J506">
        <v>11829</v>
      </c>
      <c r="K506">
        <v>0</v>
      </c>
    </row>
    <row r="507" spans="2:11" x14ac:dyDescent="0.25">
      <c r="B507">
        <v>13557</v>
      </c>
      <c r="C507">
        <v>32303</v>
      </c>
      <c r="D507">
        <v>0</v>
      </c>
      <c r="E507">
        <v>13632</v>
      </c>
      <c r="F507">
        <v>16480</v>
      </c>
      <c r="G507">
        <v>0</v>
      </c>
      <c r="H507">
        <v>0</v>
      </c>
      <c r="I507">
        <v>0</v>
      </c>
      <c r="J507">
        <v>0</v>
      </c>
      <c r="K507">
        <v>0</v>
      </c>
    </row>
    <row r="508" spans="2:11" x14ac:dyDescent="0.25">
      <c r="B508">
        <v>0</v>
      </c>
      <c r="C508">
        <v>0</v>
      </c>
      <c r="D508">
        <v>0</v>
      </c>
      <c r="E508">
        <v>0</v>
      </c>
      <c r="F508">
        <v>0</v>
      </c>
      <c r="G508">
        <v>0</v>
      </c>
      <c r="H508">
        <v>0</v>
      </c>
      <c r="I508">
        <v>0</v>
      </c>
      <c r="J508">
        <v>0</v>
      </c>
      <c r="K508">
        <v>0</v>
      </c>
    </row>
    <row r="509" spans="2:11" x14ac:dyDescent="0.25">
      <c r="B509">
        <v>0</v>
      </c>
      <c r="C509">
        <v>0</v>
      </c>
      <c r="D509">
        <v>0</v>
      </c>
      <c r="E509">
        <v>0</v>
      </c>
      <c r="F509">
        <v>0</v>
      </c>
      <c r="G509">
        <v>0</v>
      </c>
      <c r="H509">
        <v>0</v>
      </c>
      <c r="I509">
        <v>0</v>
      </c>
      <c r="J509">
        <v>0</v>
      </c>
      <c r="K509">
        <v>0</v>
      </c>
    </row>
    <row r="510" spans="2:11" x14ac:dyDescent="0.25">
      <c r="B510">
        <v>0</v>
      </c>
      <c r="C510">
        <v>0</v>
      </c>
      <c r="D510">
        <v>0</v>
      </c>
      <c r="E510">
        <v>0</v>
      </c>
      <c r="F510">
        <v>0</v>
      </c>
      <c r="G510">
        <v>0</v>
      </c>
      <c r="H510">
        <v>0</v>
      </c>
      <c r="I510">
        <v>0</v>
      </c>
      <c r="J510">
        <v>0</v>
      </c>
      <c r="K510">
        <v>0</v>
      </c>
    </row>
    <row r="511" spans="2:11" x14ac:dyDescent="0.25">
      <c r="B511">
        <v>0</v>
      </c>
      <c r="C511">
        <v>0</v>
      </c>
      <c r="D511">
        <v>0</v>
      </c>
      <c r="E511">
        <v>0</v>
      </c>
      <c r="F511">
        <v>0</v>
      </c>
      <c r="G511">
        <v>0</v>
      </c>
      <c r="H511">
        <v>0</v>
      </c>
      <c r="I511">
        <v>0</v>
      </c>
      <c r="J511">
        <v>0</v>
      </c>
      <c r="K511">
        <v>0</v>
      </c>
    </row>
    <row r="512" spans="2:11" x14ac:dyDescent="0.25">
      <c r="B512">
        <v>0</v>
      </c>
      <c r="C512">
        <v>0</v>
      </c>
      <c r="D512">
        <v>0</v>
      </c>
      <c r="E512">
        <v>0</v>
      </c>
      <c r="F512">
        <v>0</v>
      </c>
      <c r="G512">
        <v>0</v>
      </c>
      <c r="H512">
        <v>0</v>
      </c>
      <c r="I512">
        <v>0</v>
      </c>
      <c r="J512">
        <v>0</v>
      </c>
      <c r="K512">
        <v>0</v>
      </c>
    </row>
    <row r="513" spans="2:11" x14ac:dyDescent="0.25">
      <c r="B513">
        <v>0</v>
      </c>
      <c r="C513">
        <v>0</v>
      </c>
      <c r="D513">
        <v>0</v>
      </c>
      <c r="E513">
        <v>0</v>
      </c>
      <c r="F513">
        <v>0</v>
      </c>
      <c r="G513">
        <v>0</v>
      </c>
      <c r="H513">
        <v>0</v>
      </c>
      <c r="I513">
        <v>0</v>
      </c>
      <c r="J513">
        <v>0</v>
      </c>
      <c r="K513">
        <v>0</v>
      </c>
    </row>
    <row r="514" spans="2:11" x14ac:dyDescent="0.25">
      <c r="B514">
        <v>0</v>
      </c>
      <c r="C514">
        <v>0</v>
      </c>
      <c r="D514">
        <v>0</v>
      </c>
      <c r="E514">
        <v>0</v>
      </c>
      <c r="F514">
        <v>0</v>
      </c>
      <c r="G514">
        <v>0</v>
      </c>
      <c r="H514">
        <v>0</v>
      </c>
      <c r="I514">
        <v>0</v>
      </c>
      <c r="J514">
        <v>0</v>
      </c>
      <c r="K514">
        <v>0</v>
      </c>
    </row>
    <row r="515" spans="2:11" x14ac:dyDescent="0.25">
      <c r="B515">
        <v>0</v>
      </c>
      <c r="C515">
        <v>0</v>
      </c>
      <c r="D515">
        <v>0</v>
      </c>
      <c r="E515">
        <v>0</v>
      </c>
      <c r="F515">
        <v>0</v>
      </c>
      <c r="G515">
        <v>0</v>
      </c>
      <c r="H515">
        <v>0</v>
      </c>
      <c r="I515">
        <v>0</v>
      </c>
      <c r="J515">
        <v>0</v>
      </c>
      <c r="K515">
        <v>0</v>
      </c>
    </row>
    <row r="516" spans="2:11" x14ac:dyDescent="0.25">
      <c r="B516">
        <v>0</v>
      </c>
      <c r="C516">
        <v>0</v>
      </c>
      <c r="D516">
        <v>0</v>
      </c>
      <c r="E516">
        <v>0</v>
      </c>
      <c r="F516">
        <v>0</v>
      </c>
      <c r="G516">
        <v>0</v>
      </c>
      <c r="H516">
        <v>0</v>
      </c>
      <c r="I516">
        <v>0</v>
      </c>
      <c r="J516">
        <v>0</v>
      </c>
      <c r="K516">
        <v>0</v>
      </c>
    </row>
    <row r="517" spans="2:11" x14ac:dyDescent="0.25">
      <c r="B517">
        <v>0</v>
      </c>
      <c r="C517">
        <v>0</v>
      </c>
      <c r="D517">
        <v>0</v>
      </c>
      <c r="E517">
        <v>0</v>
      </c>
      <c r="F517">
        <v>0</v>
      </c>
      <c r="G517">
        <v>0</v>
      </c>
      <c r="H517">
        <v>0</v>
      </c>
      <c r="I517">
        <v>0</v>
      </c>
      <c r="J517">
        <v>0</v>
      </c>
      <c r="K517">
        <v>0</v>
      </c>
    </row>
    <row r="518" spans="2:11" x14ac:dyDescent="0.25">
      <c r="B518">
        <v>0</v>
      </c>
      <c r="C518">
        <v>0</v>
      </c>
      <c r="D518">
        <v>0</v>
      </c>
      <c r="E518">
        <v>0</v>
      </c>
      <c r="F518">
        <v>0</v>
      </c>
      <c r="G518">
        <v>0</v>
      </c>
      <c r="H518">
        <v>0</v>
      </c>
      <c r="I518">
        <v>0</v>
      </c>
      <c r="J518">
        <v>0</v>
      </c>
      <c r="K518">
        <v>0</v>
      </c>
    </row>
    <row r="519" spans="2:11" x14ac:dyDescent="0.25">
      <c r="B519">
        <v>0</v>
      </c>
      <c r="C519">
        <v>0</v>
      </c>
      <c r="D519">
        <v>0</v>
      </c>
      <c r="E519">
        <v>0</v>
      </c>
      <c r="F519">
        <v>0</v>
      </c>
      <c r="G519">
        <v>0</v>
      </c>
      <c r="H519">
        <v>0</v>
      </c>
      <c r="I519">
        <v>0</v>
      </c>
      <c r="J519">
        <v>0</v>
      </c>
      <c r="K519">
        <v>0</v>
      </c>
    </row>
    <row r="520" spans="2:11" x14ac:dyDescent="0.25">
      <c r="B520">
        <v>0</v>
      </c>
      <c r="C520">
        <v>0</v>
      </c>
      <c r="D520">
        <v>0</v>
      </c>
      <c r="E520">
        <v>0</v>
      </c>
      <c r="F520">
        <v>0</v>
      </c>
      <c r="G520">
        <v>0</v>
      </c>
      <c r="H520">
        <v>0</v>
      </c>
      <c r="I520">
        <v>0</v>
      </c>
      <c r="J520">
        <v>0</v>
      </c>
      <c r="K520">
        <v>0</v>
      </c>
    </row>
    <row r="521" spans="2:11" x14ac:dyDescent="0.25">
      <c r="B521">
        <v>0</v>
      </c>
      <c r="C521">
        <v>0</v>
      </c>
      <c r="D521">
        <v>0</v>
      </c>
      <c r="E521">
        <v>0</v>
      </c>
      <c r="F521">
        <v>0</v>
      </c>
      <c r="G521">
        <v>0</v>
      </c>
      <c r="H521">
        <v>0</v>
      </c>
      <c r="I521">
        <v>0</v>
      </c>
      <c r="J521">
        <v>0</v>
      </c>
      <c r="K521">
        <v>0</v>
      </c>
    </row>
    <row r="522" spans="2:11" x14ac:dyDescent="0.25">
      <c r="B522">
        <v>0</v>
      </c>
      <c r="C522">
        <v>0</v>
      </c>
      <c r="D522">
        <v>0</v>
      </c>
      <c r="E522">
        <v>0</v>
      </c>
      <c r="F522">
        <v>0</v>
      </c>
      <c r="G522">
        <v>0</v>
      </c>
      <c r="H522">
        <v>0</v>
      </c>
      <c r="I522">
        <v>0</v>
      </c>
      <c r="J522">
        <v>0</v>
      </c>
      <c r="K522">
        <v>0</v>
      </c>
    </row>
    <row r="523" spans="2:11" x14ac:dyDescent="0.25">
      <c r="B523">
        <v>0</v>
      </c>
      <c r="C523">
        <v>0</v>
      </c>
      <c r="D523">
        <v>0</v>
      </c>
      <c r="E523">
        <v>0</v>
      </c>
      <c r="F523">
        <v>0</v>
      </c>
      <c r="G523">
        <v>0</v>
      </c>
      <c r="H523">
        <v>0</v>
      </c>
      <c r="I523">
        <v>0</v>
      </c>
      <c r="J523">
        <v>0</v>
      </c>
      <c r="K523">
        <v>0</v>
      </c>
    </row>
    <row r="524" spans="2:11" x14ac:dyDescent="0.25">
      <c r="B524">
        <v>0</v>
      </c>
      <c r="C524">
        <v>0</v>
      </c>
      <c r="D524">
        <v>0</v>
      </c>
      <c r="E524">
        <v>0</v>
      </c>
      <c r="F524">
        <v>0</v>
      </c>
      <c r="G524">
        <v>0</v>
      </c>
      <c r="H524">
        <v>0</v>
      </c>
      <c r="I524">
        <v>0</v>
      </c>
      <c r="J524">
        <v>0</v>
      </c>
      <c r="K524">
        <v>0</v>
      </c>
    </row>
    <row r="525" spans="2:11" x14ac:dyDescent="0.25">
      <c r="B525">
        <v>0</v>
      </c>
      <c r="C525">
        <v>0</v>
      </c>
      <c r="D525">
        <v>0</v>
      </c>
      <c r="E525">
        <v>0</v>
      </c>
      <c r="F525">
        <v>0</v>
      </c>
      <c r="G525">
        <v>0</v>
      </c>
      <c r="H525">
        <v>0</v>
      </c>
      <c r="I525">
        <v>0</v>
      </c>
      <c r="J525">
        <v>0</v>
      </c>
      <c r="K525">
        <v>0</v>
      </c>
    </row>
    <row r="526" spans="2:11" x14ac:dyDescent="0.25">
      <c r="B526">
        <v>0</v>
      </c>
      <c r="C526">
        <v>0</v>
      </c>
      <c r="D526">
        <v>0</v>
      </c>
      <c r="E526">
        <v>0</v>
      </c>
      <c r="F526">
        <v>0</v>
      </c>
      <c r="G526">
        <v>0</v>
      </c>
      <c r="H526">
        <v>0</v>
      </c>
      <c r="I526">
        <v>0</v>
      </c>
      <c r="J526">
        <v>0</v>
      </c>
      <c r="K526">
        <v>0</v>
      </c>
    </row>
    <row r="527" spans="2:11" x14ac:dyDescent="0.25">
      <c r="B527">
        <v>0</v>
      </c>
      <c r="C527">
        <v>0</v>
      </c>
      <c r="D527">
        <v>0</v>
      </c>
      <c r="E527">
        <v>0</v>
      </c>
      <c r="F527">
        <v>0</v>
      </c>
      <c r="G527">
        <v>0</v>
      </c>
      <c r="H527">
        <v>0</v>
      </c>
      <c r="I527">
        <v>0</v>
      </c>
      <c r="J527">
        <v>0</v>
      </c>
      <c r="K527">
        <v>0</v>
      </c>
    </row>
    <row r="528" spans="2:11" x14ac:dyDescent="0.25">
      <c r="B528">
        <v>0</v>
      </c>
      <c r="C528">
        <v>0</v>
      </c>
      <c r="D528">
        <v>0</v>
      </c>
      <c r="E528">
        <v>0</v>
      </c>
      <c r="F528">
        <v>0</v>
      </c>
      <c r="G528">
        <v>0</v>
      </c>
      <c r="H528">
        <v>0</v>
      </c>
      <c r="I528">
        <v>0</v>
      </c>
      <c r="J528">
        <v>0</v>
      </c>
      <c r="K528">
        <v>0</v>
      </c>
    </row>
    <row r="529" spans="2:11" x14ac:dyDescent="0.25">
      <c r="B529">
        <v>0</v>
      </c>
      <c r="C529">
        <v>0</v>
      </c>
      <c r="D529">
        <v>0</v>
      </c>
      <c r="E529">
        <v>0</v>
      </c>
      <c r="F529">
        <v>0</v>
      </c>
      <c r="G529">
        <v>0</v>
      </c>
      <c r="H529">
        <v>0</v>
      </c>
      <c r="I529">
        <v>0</v>
      </c>
      <c r="J529">
        <v>0</v>
      </c>
      <c r="K529">
        <v>0</v>
      </c>
    </row>
    <row r="530" spans="2:11" x14ac:dyDescent="0.25">
      <c r="B530">
        <v>0</v>
      </c>
      <c r="C530">
        <v>0</v>
      </c>
      <c r="D530">
        <v>0</v>
      </c>
      <c r="E530">
        <v>0</v>
      </c>
      <c r="F530">
        <v>0</v>
      </c>
      <c r="G530">
        <v>0</v>
      </c>
      <c r="H530">
        <v>0</v>
      </c>
      <c r="I530">
        <v>0</v>
      </c>
      <c r="J530">
        <v>0</v>
      </c>
      <c r="K530">
        <v>0</v>
      </c>
    </row>
    <row r="531" spans="2:11" x14ac:dyDescent="0.25">
      <c r="B531">
        <v>0</v>
      </c>
      <c r="C531">
        <v>0</v>
      </c>
      <c r="D531">
        <v>0</v>
      </c>
      <c r="E531">
        <v>0</v>
      </c>
      <c r="F531">
        <v>0</v>
      </c>
      <c r="G531">
        <v>0</v>
      </c>
      <c r="H531">
        <v>0</v>
      </c>
      <c r="I531">
        <v>0</v>
      </c>
      <c r="J531">
        <v>0</v>
      </c>
      <c r="K531">
        <v>0</v>
      </c>
    </row>
    <row r="532" spans="2:11" x14ac:dyDescent="0.25">
      <c r="B532">
        <v>0</v>
      </c>
      <c r="C532">
        <v>0</v>
      </c>
      <c r="D532">
        <v>0</v>
      </c>
      <c r="E532">
        <v>0</v>
      </c>
      <c r="F532">
        <v>0</v>
      </c>
      <c r="G532">
        <v>0</v>
      </c>
      <c r="H532">
        <v>0</v>
      </c>
      <c r="I532">
        <v>0</v>
      </c>
      <c r="J532">
        <v>0</v>
      </c>
      <c r="K532">
        <v>0</v>
      </c>
    </row>
    <row r="533" spans="2:11" x14ac:dyDescent="0.25">
      <c r="B533">
        <v>0</v>
      </c>
      <c r="C533">
        <v>0</v>
      </c>
      <c r="D533">
        <v>0</v>
      </c>
      <c r="E533">
        <v>0</v>
      </c>
      <c r="F533">
        <v>0</v>
      </c>
      <c r="G533">
        <v>0</v>
      </c>
      <c r="H533">
        <v>0</v>
      </c>
      <c r="I533">
        <v>0</v>
      </c>
      <c r="J533">
        <v>0</v>
      </c>
      <c r="K533">
        <v>0</v>
      </c>
    </row>
    <row r="534" spans="2:11" x14ac:dyDescent="0.25">
      <c r="B534">
        <v>0</v>
      </c>
      <c r="C534">
        <v>0</v>
      </c>
      <c r="D534">
        <v>0</v>
      </c>
      <c r="E534">
        <v>0</v>
      </c>
      <c r="F534">
        <v>0</v>
      </c>
      <c r="G534">
        <v>0</v>
      </c>
      <c r="H534">
        <v>0</v>
      </c>
      <c r="I534">
        <v>414</v>
      </c>
      <c r="J534">
        <v>0</v>
      </c>
      <c r="K534">
        <v>715</v>
      </c>
    </row>
    <row r="535" spans="2:11" x14ac:dyDescent="0.25">
      <c r="B535">
        <v>-463</v>
      </c>
      <c r="C535">
        <v>1023</v>
      </c>
      <c r="D535">
        <v>56</v>
      </c>
      <c r="E535">
        <v>0</v>
      </c>
      <c r="F535">
        <v>-184</v>
      </c>
      <c r="G535">
        <v>-476</v>
      </c>
      <c r="H535">
        <v>-126</v>
      </c>
      <c r="I535">
        <v>-110</v>
      </c>
      <c r="J535">
        <v>23</v>
      </c>
      <c r="K535">
        <v>-12</v>
      </c>
    </row>
    <row r="536" spans="2:11" x14ac:dyDescent="0.25">
      <c r="B536">
        <v>-3223</v>
      </c>
      <c r="C536">
        <v>-3753</v>
      </c>
      <c r="D536">
        <v>0</v>
      </c>
      <c r="E536">
        <v>0</v>
      </c>
      <c r="F536">
        <v>0</v>
      </c>
      <c r="G536">
        <v>221</v>
      </c>
      <c r="H536">
        <v>-478</v>
      </c>
      <c r="I536">
        <v>545</v>
      </c>
      <c r="J536">
        <v>493</v>
      </c>
      <c r="K536">
        <v>-617</v>
      </c>
    </row>
    <row r="537" spans="2:11" x14ac:dyDescent="0.25">
      <c r="B537">
        <v>0</v>
      </c>
      <c r="C537">
        <v>-604</v>
      </c>
      <c r="D537">
        <v>47</v>
      </c>
      <c r="E537">
        <v>138</v>
      </c>
      <c r="F537">
        <v>307</v>
      </c>
      <c r="G537">
        <v>-413</v>
      </c>
      <c r="H537">
        <v>-520</v>
      </c>
      <c r="I537">
        <v>-4654</v>
      </c>
      <c r="J537">
        <v>0</v>
      </c>
      <c r="K537">
        <v>0</v>
      </c>
    </row>
    <row r="538" spans="2:11" x14ac:dyDescent="0.25">
      <c r="B538">
        <v>0</v>
      </c>
      <c r="C538">
        <v>-878</v>
      </c>
      <c r="D538">
        <v>616</v>
      </c>
      <c r="E538">
        <v>777</v>
      </c>
      <c r="F538">
        <v>799</v>
      </c>
      <c r="G538">
        <v>-205</v>
      </c>
      <c r="H538">
        <v>4544</v>
      </c>
      <c r="I538">
        <v>-11716</v>
      </c>
      <c r="J538">
        <v>167</v>
      </c>
      <c r="K538">
        <v>673</v>
      </c>
    </row>
    <row r="539" spans="2:11" x14ac:dyDescent="0.25">
      <c r="B539">
        <v>241</v>
      </c>
      <c r="C539">
        <v>320</v>
      </c>
      <c r="D539">
        <v>309</v>
      </c>
      <c r="E539">
        <v>4153</v>
      </c>
      <c r="F539">
        <v>-245</v>
      </c>
      <c r="G539">
        <v>370</v>
      </c>
      <c r="H539">
        <v>-353</v>
      </c>
      <c r="I539">
        <v>75</v>
      </c>
      <c r="J539">
        <v>-149</v>
      </c>
      <c r="K539">
        <v>-211</v>
      </c>
    </row>
    <row r="540" spans="2:11" x14ac:dyDescent="0.25">
      <c r="B540">
        <v>-802</v>
      </c>
      <c r="C540">
        <v>-1007</v>
      </c>
      <c r="D540">
        <v>0</v>
      </c>
      <c r="E540">
        <v>36210</v>
      </c>
      <c r="F540">
        <v>0</v>
      </c>
      <c r="G540">
        <v>5117</v>
      </c>
      <c r="H540">
        <v>-6591</v>
      </c>
      <c r="I540">
        <v>11193</v>
      </c>
      <c r="J540">
        <v>6291</v>
      </c>
      <c r="K540">
        <v>9200</v>
      </c>
    </row>
    <row r="541" spans="2:11" x14ac:dyDescent="0.25">
      <c r="B541">
        <v>10164</v>
      </c>
      <c r="C541">
        <v>16644</v>
      </c>
      <c r="D541">
        <v>19563</v>
      </c>
      <c r="E541">
        <v>10754</v>
      </c>
      <c r="F541">
        <v>5585</v>
      </c>
      <c r="G541">
        <v>19468</v>
      </c>
      <c r="H541">
        <v>12617</v>
      </c>
      <c r="I541">
        <v>18096</v>
      </c>
      <c r="J541">
        <v>18040</v>
      </c>
      <c r="K541">
        <v>15553</v>
      </c>
    </row>
    <row r="542" spans="2:11" x14ac:dyDescent="0.25">
      <c r="B542">
        <v>24033</v>
      </c>
      <c r="C542">
        <v>0</v>
      </c>
      <c r="D542">
        <v>-2052</v>
      </c>
      <c r="E542">
        <v>7506</v>
      </c>
      <c r="F542">
        <v>14863</v>
      </c>
      <c r="G542">
        <v>-624</v>
      </c>
      <c r="H542">
        <v>10894</v>
      </c>
      <c r="I542">
        <v>0</v>
      </c>
      <c r="J542">
        <v>12476</v>
      </c>
      <c r="K542">
        <v>29770</v>
      </c>
    </row>
    <row r="543" spans="2:11" x14ac:dyDescent="0.25">
      <c r="B543">
        <v>0</v>
      </c>
      <c r="C543">
        <v>5365</v>
      </c>
      <c r="D543">
        <v>14139</v>
      </c>
      <c r="E543">
        <v>0</v>
      </c>
      <c r="F543">
        <v>14227</v>
      </c>
      <c r="G543">
        <v>0</v>
      </c>
      <c r="H543">
        <v>0</v>
      </c>
      <c r="I543">
        <v>0</v>
      </c>
      <c r="J543">
        <v>0</v>
      </c>
      <c r="K543">
        <v>-3131</v>
      </c>
    </row>
    <row r="544" spans="2:11" x14ac:dyDescent="0.25">
      <c r="B544">
        <v>0</v>
      </c>
      <c r="C544">
        <v>768</v>
      </c>
      <c r="D544">
        <v>-1405</v>
      </c>
      <c r="E544">
        <v>493</v>
      </c>
      <c r="F544">
        <v>903</v>
      </c>
      <c r="G544">
        <v>0</v>
      </c>
      <c r="H544">
        <v>1351</v>
      </c>
      <c r="I544">
        <v>2578</v>
      </c>
      <c r="J544">
        <v>2013</v>
      </c>
      <c r="K544">
        <v>-656</v>
      </c>
    </row>
    <row r="545" spans="2:11" x14ac:dyDescent="0.25">
      <c r="B545">
        <v>-4305</v>
      </c>
      <c r="C545">
        <v>-244</v>
      </c>
      <c r="D545">
        <v>-2140</v>
      </c>
      <c r="E545">
        <v>-1746</v>
      </c>
      <c r="F545">
        <v>0</v>
      </c>
      <c r="G545">
        <v>0</v>
      </c>
      <c r="H545">
        <v>0</v>
      </c>
      <c r="I545">
        <v>1036</v>
      </c>
      <c r="J545">
        <v>25</v>
      </c>
      <c r="K545">
        <v>-327</v>
      </c>
    </row>
    <row r="546" spans="2:11" x14ac:dyDescent="0.25">
      <c r="B546">
        <v>87</v>
      </c>
      <c r="C546">
        <v>-55</v>
      </c>
      <c r="D546">
        <v>0</v>
      </c>
      <c r="E546">
        <v>214</v>
      </c>
      <c r="F546">
        <v>-260</v>
      </c>
      <c r="G546">
        <v>-637</v>
      </c>
      <c r="H546">
        <v>-809</v>
      </c>
      <c r="I546">
        <v>-1411</v>
      </c>
      <c r="J546">
        <v>-140</v>
      </c>
      <c r="K546">
        <v>-369</v>
      </c>
    </row>
    <row r="547" spans="2:11" x14ac:dyDescent="0.25">
      <c r="B547">
        <v>0</v>
      </c>
      <c r="C547">
        <v>0</v>
      </c>
      <c r="D547">
        <v>0</v>
      </c>
      <c r="E547">
        <v>151</v>
      </c>
      <c r="F547">
        <v>-181</v>
      </c>
      <c r="G547">
        <v>-704</v>
      </c>
      <c r="H547">
        <v>-580</v>
      </c>
      <c r="I547">
        <v>-1003</v>
      </c>
      <c r="J547">
        <v>288</v>
      </c>
      <c r="K547">
        <v>-817</v>
      </c>
    </row>
    <row r="548" spans="2:11" x14ac:dyDescent="0.25">
      <c r="B548">
        <v>-7</v>
      </c>
      <c r="C548">
        <v>-473</v>
      </c>
      <c r="D548">
        <v>-748</v>
      </c>
      <c r="E548">
        <v>-522</v>
      </c>
      <c r="F548">
        <v>-927</v>
      </c>
      <c r="G548">
        <v>-125</v>
      </c>
      <c r="H548">
        <v>4256</v>
      </c>
      <c r="I548">
        <v>2093</v>
      </c>
      <c r="J548">
        <v>1264</v>
      </c>
      <c r="K548">
        <v>267</v>
      </c>
    </row>
    <row r="549" spans="2:11" x14ac:dyDescent="0.25">
      <c r="B549">
        <v>521</v>
      </c>
      <c r="C549">
        <v>-17253</v>
      </c>
      <c r="D549">
        <v>-13668</v>
      </c>
      <c r="E549">
        <v>17139</v>
      </c>
      <c r="F549">
        <v>0</v>
      </c>
      <c r="G549">
        <v>2603</v>
      </c>
      <c r="H549">
        <v>0</v>
      </c>
      <c r="I549">
        <v>424</v>
      </c>
      <c r="J549">
        <v>-448</v>
      </c>
      <c r="K549">
        <v>802</v>
      </c>
    </row>
    <row r="550" spans="2:11" x14ac:dyDescent="0.25">
      <c r="B550">
        <v>400</v>
      </c>
      <c r="C550">
        <v>673</v>
      </c>
      <c r="D550">
        <v>762</v>
      </c>
      <c r="E550">
        <v>1206</v>
      </c>
      <c r="F550">
        <v>1423</v>
      </c>
      <c r="G550">
        <v>789</v>
      </c>
      <c r="H550">
        <v>436</v>
      </c>
      <c r="I550">
        <v>1385</v>
      </c>
      <c r="J550">
        <v>913</v>
      </c>
      <c r="K550">
        <v>1316</v>
      </c>
    </row>
    <row r="551" spans="2:11" x14ac:dyDescent="0.25">
      <c r="B551">
        <v>1333</v>
      </c>
      <c r="C551">
        <v>1138</v>
      </c>
      <c r="D551">
        <v>1727</v>
      </c>
      <c r="E551">
        <v>0</v>
      </c>
      <c r="F551">
        <v>-196</v>
      </c>
      <c r="G551">
        <v>487</v>
      </c>
      <c r="H551">
        <v>1121</v>
      </c>
      <c r="I551">
        <v>16</v>
      </c>
      <c r="J551">
        <v>780</v>
      </c>
      <c r="K551">
        <v>0</v>
      </c>
    </row>
    <row r="552" spans="2:11" x14ac:dyDescent="0.25">
      <c r="B552">
        <v>869</v>
      </c>
      <c r="C552">
        <v>2122</v>
      </c>
      <c r="D552">
        <v>0</v>
      </c>
      <c r="E552">
        <v>344</v>
      </c>
      <c r="F552">
        <v>1028</v>
      </c>
      <c r="G552">
        <v>0</v>
      </c>
      <c r="H552">
        <v>1004</v>
      </c>
      <c r="I552">
        <v>0</v>
      </c>
      <c r="J552">
        <v>0</v>
      </c>
      <c r="K552">
        <v>0</v>
      </c>
    </row>
    <row r="553" spans="2:11" x14ac:dyDescent="0.25">
      <c r="B553">
        <v>977</v>
      </c>
      <c r="C553">
        <v>0</v>
      </c>
      <c r="D553">
        <v>0</v>
      </c>
      <c r="E553">
        <v>0</v>
      </c>
      <c r="F553">
        <v>0</v>
      </c>
      <c r="G553">
        <v>0</v>
      </c>
      <c r="H553">
        <v>0</v>
      </c>
      <c r="I553">
        <v>0</v>
      </c>
      <c r="J553">
        <v>0</v>
      </c>
      <c r="K553">
        <v>0</v>
      </c>
    </row>
    <row r="554" spans="2:11" x14ac:dyDescent="0.25">
      <c r="B554">
        <v>0</v>
      </c>
      <c r="C554">
        <v>0</v>
      </c>
      <c r="D554">
        <v>0</v>
      </c>
      <c r="E554">
        <v>0</v>
      </c>
      <c r="F554">
        <v>0</v>
      </c>
      <c r="G554">
        <v>0</v>
      </c>
      <c r="H554">
        <v>0</v>
      </c>
      <c r="I554">
        <v>0</v>
      </c>
      <c r="J554">
        <v>0</v>
      </c>
      <c r="K554">
        <v>0</v>
      </c>
    </row>
    <row r="555" spans="2:11" x14ac:dyDescent="0.25">
      <c r="B555">
        <v>0</v>
      </c>
      <c r="C555">
        <v>0</v>
      </c>
      <c r="D555">
        <v>0</v>
      </c>
      <c r="E555">
        <v>0</v>
      </c>
      <c r="F555">
        <v>0</v>
      </c>
      <c r="G555">
        <v>0</v>
      </c>
      <c r="H555">
        <v>0</v>
      </c>
      <c r="I555">
        <v>0</v>
      </c>
      <c r="J555">
        <v>0</v>
      </c>
      <c r="K555">
        <v>0</v>
      </c>
    </row>
    <row r="556" spans="2:11" x14ac:dyDescent="0.25">
      <c r="B556">
        <v>0</v>
      </c>
      <c r="C556">
        <v>0</v>
      </c>
      <c r="D556">
        <v>0</v>
      </c>
      <c r="E556">
        <v>0</v>
      </c>
      <c r="F556">
        <v>0</v>
      </c>
      <c r="G556">
        <v>0</v>
      </c>
      <c r="H556">
        <v>0</v>
      </c>
      <c r="I556">
        <v>0</v>
      </c>
      <c r="J556">
        <v>0</v>
      </c>
      <c r="K556">
        <v>0</v>
      </c>
    </row>
    <row r="557" spans="2:11" x14ac:dyDescent="0.25">
      <c r="B557">
        <v>0</v>
      </c>
      <c r="C557">
        <v>0</v>
      </c>
      <c r="D557">
        <v>0</v>
      </c>
      <c r="E557">
        <v>0</v>
      </c>
      <c r="F557">
        <v>0</v>
      </c>
      <c r="G557">
        <v>0</v>
      </c>
      <c r="H557">
        <v>0</v>
      </c>
      <c r="I557">
        <v>0</v>
      </c>
      <c r="J557">
        <v>0</v>
      </c>
      <c r="K557">
        <v>0</v>
      </c>
    </row>
    <row r="558" spans="2:11" x14ac:dyDescent="0.25">
      <c r="B558">
        <v>0</v>
      </c>
      <c r="C558">
        <v>0</v>
      </c>
      <c r="D558">
        <v>0</v>
      </c>
      <c r="E558">
        <v>0</v>
      </c>
      <c r="F558">
        <v>0</v>
      </c>
      <c r="G558">
        <v>0</v>
      </c>
      <c r="H558">
        <v>0</v>
      </c>
      <c r="I558">
        <v>0</v>
      </c>
      <c r="J558">
        <v>0</v>
      </c>
      <c r="K558">
        <v>0</v>
      </c>
    </row>
    <row r="559" spans="2:11" x14ac:dyDescent="0.25">
      <c r="B559">
        <v>0</v>
      </c>
      <c r="C559">
        <v>0</v>
      </c>
      <c r="D559">
        <v>0</v>
      </c>
      <c r="E559">
        <v>0</v>
      </c>
      <c r="F559">
        <v>0</v>
      </c>
      <c r="G559">
        <v>0</v>
      </c>
      <c r="H559">
        <v>0</v>
      </c>
      <c r="I559">
        <v>0</v>
      </c>
      <c r="J559">
        <v>0</v>
      </c>
      <c r="K559">
        <v>0</v>
      </c>
    </row>
    <row r="560" spans="2:11" x14ac:dyDescent="0.25">
      <c r="B560">
        <v>0</v>
      </c>
      <c r="C560">
        <v>0</v>
      </c>
      <c r="D560">
        <v>0</v>
      </c>
      <c r="E560">
        <v>0</v>
      </c>
      <c r="F560">
        <v>0</v>
      </c>
      <c r="G560">
        <v>0</v>
      </c>
      <c r="H560">
        <v>0</v>
      </c>
      <c r="I560">
        <v>0</v>
      </c>
      <c r="J560">
        <v>0</v>
      </c>
      <c r="K560">
        <v>0</v>
      </c>
    </row>
    <row r="561" spans="2:11" x14ac:dyDescent="0.25">
      <c r="B561">
        <v>0</v>
      </c>
      <c r="C561">
        <v>0</v>
      </c>
      <c r="D561">
        <v>0</v>
      </c>
      <c r="E561">
        <v>0</v>
      </c>
      <c r="F561">
        <v>0</v>
      </c>
      <c r="G561">
        <v>0</v>
      </c>
      <c r="H561">
        <v>0</v>
      </c>
      <c r="I561">
        <v>0</v>
      </c>
      <c r="J561">
        <v>0</v>
      </c>
      <c r="K561">
        <v>0</v>
      </c>
    </row>
    <row r="562" spans="2:11" x14ac:dyDescent="0.25">
      <c r="B562">
        <v>0</v>
      </c>
      <c r="C562">
        <v>0</v>
      </c>
      <c r="D562">
        <v>0</v>
      </c>
      <c r="E562">
        <v>0</v>
      </c>
      <c r="F562">
        <v>0</v>
      </c>
      <c r="G562">
        <v>0</v>
      </c>
      <c r="H562">
        <v>-1556</v>
      </c>
      <c r="I562">
        <v>0</v>
      </c>
      <c r="J562">
        <v>-104</v>
      </c>
      <c r="K562">
        <v>-933</v>
      </c>
    </row>
    <row r="563" spans="2:11" x14ac:dyDescent="0.25">
      <c r="B563">
        <v>-204</v>
      </c>
      <c r="C563">
        <v>1261</v>
      </c>
      <c r="D563">
        <v>0</v>
      </c>
      <c r="E563">
        <v>-563</v>
      </c>
      <c r="F563">
        <v>-1559</v>
      </c>
      <c r="G563">
        <v>379</v>
      </c>
      <c r="H563">
        <v>-497</v>
      </c>
      <c r="I563">
        <v>-666</v>
      </c>
      <c r="J563">
        <v>15</v>
      </c>
      <c r="K563">
        <v>-2890</v>
      </c>
    </row>
    <row r="564" spans="2:11" x14ac:dyDescent="0.25">
      <c r="B564">
        <v>-2403</v>
      </c>
      <c r="C564">
        <v>0</v>
      </c>
      <c r="D564">
        <v>0</v>
      </c>
      <c r="E564">
        <v>0</v>
      </c>
      <c r="F564">
        <v>427</v>
      </c>
      <c r="G564">
        <v>-538</v>
      </c>
      <c r="H564">
        <v>441</v>
      </c>
      <c r="I564">
        <v>431</v>
      </c>
      <c r="J564">
        <v>-590</v>
      </c>
      <c r="K564">
        <v>0</v>
      </c>
    </row>
    <row r="565" spans="2:11" x14ac:dyDescent="0.25">
      <c r="B565">
        <v>-425</v>
      </c>
      <c r="C565">
        <v>-76</v>
      </c>
      <c r="D565">
        <v>33</v>
      </c>
      <c r="E565">
        <v>215</v>
      </c>
      <c r="F565">
        <v>-483</v>
      </c>
      <c r="G565">
        <v>-554</v>
      </c>
      <c r="H565">
        <v>-4483</v>
      </c>
      <c r="I565">
        <v>0</v>
      </c>
      <c r="J565">
        <v>0</v>
      </c>
      <c r="K565">
        <v>0</v>
      </c>
    </row>
    <row r="566" spans="2:11" x14ac:dyDescent="0.25">
      <c r="B566">
        <v>-653</v>
      </c>
      <c r="C566">
        <v>455</v>
      </c>
      <c r="D566">
        <v>654</v>
      </c>
      <c r="E566">
        <v>728</v>
      </c>
      <c r="F566">
        <v>-255</v>
      </c>
      <c r="G566">
        <v>4194</v>
      </c>
      <c r="H566">
        <v>-11105</v>
      </c>
      <c r="I566">
        <v>105</v>
      </c>
      <c r="J566">
        <v>-2209</v>
      </c>
      <c r="K566">
        <v>-2065</v>
      </c>
    </row>
    <row r="567" spans="2:11" x14ac:dyDescent="0.25">
      <c r="B567">
        <v>-427</v>
      </c>
      <c r="C567">
        <v>-297</v>
      </c>
      <c r="D567">
        <v>-3166</v>
      </c>
      <c r="E567">
        <v>-2638</v>
      </c>
      <c r="F567">
        <v>-279</v>
      </c>
      <c r="G567">
        <v>-1274</v>
      </c>
      <c r="H567">
        <v>3273</v>
      </c>
      <c r="I567">
        <v>-3976</v>
      </c>
      <c r="J567">
        <v>-14043</v>
      </c>
      <c r="K567">
        <v>822</v>
      </c>
    </row>
    <row r="568" spans="2:11" x14ac:dyDescent="0.25">
      <c r="B568">
        <v>-827</v>
      </c>
      <c r="C568">
        <v>0</v>
      </c>
      <c r="D568">
        <v>34182</v>
      </c>
      <c r="E568">
        <v>0</v>
      </c>
      <c r="F568">
        <v>4822</v>
      </c>
      <c r="G568">
        <v>-6228</v>
      </c>
      <c r="H568">
        <v>10589</v>
      </c>
      <c r="I568">
        <v>5939</v>
      </c>
      <c r="J568">
        <v>8680</v>
      </c>
      <c r="K568">
        <v>9610</v>
      </c>
    </row>
    <row r="569" spans="2:11" x14ac:dyDescent="0.25">
      <c r="B569">
        <v>15728</v>
      </c>
      <c r="C569">
        <v>18475</v>
      </c>
      <c r="D569">
        <v>10182</v>
      </c>
      <c r="E569">
        <v>5276</v>
      </c>
      <c r="F569">
        <v>18387</v>
      </c>
      <c r="G569">
        <v>11917</v>
      </c>
      <c r="H569">
        <v>17103</v>
      </c>
      <c r="I569">
        <v>17050</v>
      </c>
      <c r="J569">
        <v>14705</v>
      </c>
      <c r="K569">
        <v>22698</v>
      </c>
    </row>
    <row r="570" spans="2:11" x14ac:dyDescent="0.25">
      <c r="B570">
        <v>0</v>
      </c>
      <c r="C570">
        <v>-1929</v>
      </c>
      <c r="D570">
        <v>7095</v>
      </c>
      <c r="E570">
        <v>14031</v>
      </c>
      <c r="F570">
        <v>-585</v>
      </c>
      <c r="G570">
        <v>10280</v>
      </c>
      <c r="H570">
        <v>0</v>
      </c>
      <c r="I570">
        <v>11794</v>
      </c>
      <c r="J570">
        <v>28083</v>
      </c>
      <c r="K570">
        <v>0</v>
      </c>
    </row>
    <row r="571" spans="2:11" x14ac:dyDescent="0.25">
      <c r="B571">
        <v>5081</v>
      </c>
      <c r="C571">
        <v>13340</v>
      </c>
      <c r="D571">
        <v>0</v>
      </c>
      <c r="E571">
        <v>13438</v>
      </c>
      <c r="F571">
        <v>0</v>
      </c>
      <c r="G571">
        <v>0</v>
      </c>
      <c r="H571">
        <v>0</v>
      </c>
      <c r="I571">
        <v>12373</v>
      </c>
      <c r="J571">
        <v>24451</v>
      </c>
      <c r="K571">
        <v>0</v>
      </c>
    </row>
    <row r="572" spans="2:11" x14ac:dyDescent="0.25">
      <c r="B572">
        <v>0</v>
      </c>
      <c r="C572">
        <v>-1489</v>
      </c>
      <c r="D572">
        <v>0</v>
      </c>
      <c r="E572">
        <v>-854</v>
      </c>
      <c r="F572">
        <v>218</v>
      </c>
      <c r="G572">
        <v>-577</v>
      </c>
      <c r="H572">
        <v>906</v>
      </c>
      <c r="I572">
        <v>0</v>
      </c>
      <c r="J572">
        <v>-543</v>
      </c>
      <c r="K572">
        <v>-787</v>
      </c>
    </row>
    <row r="573" spans="2:11" x14ac:dyDescent="0.25">
      <c r="B573">
        <v>-127</v>
      </c>
      <c r="C573">
        <v>551</v>
      </c>
      <c r="D573">
        <v>26</v>
      </c>
      <c r="E573">
        <v>219</v>
      </c>
      <c r="F573">
        <v>-2073</v>
      </c>
      <c r="G573">
        <v>-1893</v>
      </c>
      <c r="H573">
        <v>0</v>
      </c>
      <c r="I573">
        <v>0</v>
      </c>
      <c r="J573">
        <v>0</v>
      </c>
      <c r="K573">
        <v>409</v>
      </c>
    </row>
    <row r="574" spans="2:11" x14ac:dyDescent="0.25">
      <c r="B574">
        <v>-386</v>
      </c>
      <c r="C574">
        <v>411</v>
      </c>
      <c r="D574">
        <v>113</v>
      </c>
      <c r="E574">
        <v>-419</v>
      </c>
      <c r="F574">
        <v>0</v>
      </c>
      <c r="G574">
        <v>-327</v>
      </c>
      <c r="H574">
        <v>-129</v>
      </c>
      <c r="I574">
        <v>63</v>
      </c>
      <c r="J574">
        <v>-234</v>
      </c>
      <c r="K574">
        <v>-496</v>
      </c>
    </row>
    <row r="575" spans="2:11" x14ac:dyDescent="0.25">
      <c r="B575">
        <v>-372</v>
      </c>
      <c r="C575">
        <v>-3142</v>
      </c>
      <c r="D575">
        <v>0</v>
      </c>
      <c r="E575">
        <v>0</v>
      </c>
      <c r="F575">
        <v>0</v>
      </c>
      <c r="G575">
        <v>-467</v>
      </c>
      <c r="H575">
        <v>249</v>
      </c>
      <c r="I575">
        <v>522</v>
      </c>
      <c r="J575">
        <v>187</v>
      </c>
      <c r="K575">
        <v>-279</v>
      </c>
    </row>
    <row r="576" spans="2:11" x14ac:dyDescent="0.25">
      <c r="B576">
        <v>2932</v>
      </c>
      <c r="C576">
        <v>-7724</v>
      </c>
      <c r="D576">
        <v>71</v>
      </c>
      <c r="E576">
        <v>-1591</v>
      </c>
      <c r="F576">
        <v>-1401</v>
      </c>
      <c r="G576">
        <v>-502</v>
      </c>
      <c r="H576">
        <v>-263</v>
      </c>
      <c r="I576">
        <v>-2197</v>
      </c>
      <c r="J576">
        <v>-3633</v>
      </c>
      <c r="K576">
        <v>-833</v>
      </c>
    </row>
    <row r="577" spans="2:11" x14ac:dyDescent="0.25">
      <c r="B577">
        <v>251</v>
      </c>
      <c r="C577">
        <v>-3084</v>
      </c>
      <c r="D577">
        <v>-951</v>
      </c>
      <c r="E577">
        <v>-6752</v>
      </c>
      <c r="F577">
        <v>-3944</v>
      </c>
      <c r="G577">
        <v>3230</v>
      </c>
      <c r="H577">
        <v>0</v>
      </c>
      <c r="I577">
        <v>23847</v>
      </c>
      <c r="J577">
        <v>0</v>
      </c>
      <c r="K577">
        <v>3369</v>
      </c>
    </row>
    <row r="578" spans="2:11" x14ac:dyDescent="0.25">
      <c r="B578">
        <v>-4345</v>
      </c>
      <c r="C578">
        <v>7393</v>
      </c>
      <c r="D578">
        <v>4139</v>
      </c>
      <c r="E578">
        <v>6062</v>
      </c>
      <c r="F578">
        <v>6704</v>
      </c>
      <c r="G578">
        <v>10980</v>
      </c>
      <c r="H578">
        <v>12890</v>
      </c>
      <c r="I578">
        <v>7095</v>
      </c>
      <c r="J578">
        <v>3679</v>
      </c>
      <c r="K578">
        <v>12841</v>
      </c>
    </row>
    <row r="579" spans="2:11" x14ac:dyDescent="0.25">
      <c r="B579">
        <v>8320</v>
      </c>
      <c r="C579">
        <v>11943</v>
      </c>
      <c r="D579">
        <v>11907</v>
      </c>
      <c r="E579">
        <v>10264</v>
      </c>
      <c r="F579">
        <v>15845</v>
      </c>
      <c r="G579">
        <v>0</v>
      </c>
      <c r="H579">
        <v>-1342</v>
      </c>
      <c r="I579">
        <v>4969</v>
      </c>
      <c r="J579">
        <v>9779</v>
      </c>
      <c r="K579">
        <v>-402</v>
      </c>
    </row>
    <row r="580" spans="2:11" x14ac:dyDescent="0.25">
      <c r="B580">
        <v>7175</v>
      </c>
      <c r="C580">
        <v>0</v>
      </c>
      <c r="D580">
        <v>8237</v>
      </c>
      <c r="E580">
        <v>19590</v>
      </c>
      <c r="F580">
        <v>0</v>
      </c>
      <c r="G580">
        <v>3539</v>
      </c>
      <c r="H580">
        <v>9309</v>
      </c>
      <c r="I580">
        <v>0</v>
      </c>
      <c r="J580">
        <v>9373</v>
      </c>
      <c r="K580">
        <v>0</v>
      </c>
    </row>
    <row r="581" spans="2:11" x14ac:dyDescent="0.25">
      <c r="B581">
        <v>0</v>
      </c>
      <c r="C581">
        <v>0</v>
      </c>
      <c r="D581">
        <v>8626</v>
      </c>
      <c r="E581">
        <v>16833</v>
      </c>
      <c r="F581">
        <v>0</v>
      </c>
      <c r="G581">
        <v>28997</v>
      </c>
      <c r="H581">
        <v>0</v>
      </c>
      <c r="I581">
        <v>-224</v>
      </c>
      <c r="J581">
        <v>0</v>
      </c>
      <c r="K581">
        <v>-393</v>
      </c>
    </row>
    <row r="582" spans="2:11" x14ac:dyDescent="0.25">
      <c r="B582">
        <v>-657</v>
      </c>
      <c r="C582">
        <v>-505</v>
      </c>
      <c r="D582">
        <v>1327</v>
      </c>
      <c r="E582">
        <v>0</v>
      </c>
      <c r="F582">
        <v>146</v>
      </c>
      <c r="G582">
        <v>-2363</v>
      </c>
      <c r="H582">
        <v>383</v>
      </c>
      <c r="I582">
        <v>-458</v>
      </c>
      <c r="J582">
        <v>587</v>
      </c>
      <c r="K582">
        <v>-1145</v>
      </c>
    </row>
    <row r="583" spans="2:11" x14ac:dyDescent="0.25">
      <c r="B583">
        <v>-2646</v>
      </c>
      <c r="C583">
        <v>-2630</v>
      </c>
      <c r="D583">
        <v>0</v>
      </c>
      <c r="E583">
        <v>0</v>
      </c>
      <c r="F583">
        <v>0</v>
      </c>
      <c r="G583">
        <v>-9</v>
      </c>
      <c r="H583">
        <v>-578</v>
      </c>
      <c r="I583">
        <v>589</v>
      </c>
      <c r="J583">
        <v>485</v>
      </c>
      <c r="K583">
        <v>-633</v>
      </c>
    </row>
    <row r="584" spans="2:11" x14ac:dyDescent="0.25">
      <c r="B584">
        <v>0</v>
      </c>
      <c r="C584">
        <v>-531</v>
      </c>
      <c r="D584">
        <v>11</v>
      </c>
      <c r="E584">
        <v>257</v>
      </c>
      <c r="F584">
        <v>559</v>
      </c>
      <c r="G584">
        <v>41</v>
      </c>
      <c r="H584">
        <v>-548</v>
      </c>
      <c r="I584">
        <v>-4730</v>
      </c>
      <c r="J584">
        <v>0</v>
      </c>
      <c r="K584">
        <v>0</v>
      </c>
    </row>
    <row r="585" spans="2:11" x14ac:dyDescent="0.25">
      <c r="B585">
        <v>0</v>
      </c>
      <c r="C585">
        <v>-768</v>
      </c>
      <c r="D585">
        <v>586</v>
      </c>
      <c r="E585">
        <v>962</v>
      </c>
      <c r="F585">
        <v>1050</v>
      </c>
      <c r="G585">
        <v>107</v>
      </c>
      <c r="H585">
        <v>4439</v>
      </c>
      <c r="I585">
        <v>-11752</v>
      </c>
      <c r="J585">
        <v>109</v>
      </c>
      <c r="K585">
        <v>-2225</v>
      </c>
    </row>
    <row r="586" spans="2:11" x14ac:dyDescent="0.25">
      <c r="B586">
        <v>-1981</v>
      </c>
      <c r="C586">
        <v>-214</v>
      </c>
      <c r="D586">
        <v>54</v>
      </c>
      <c r="E586">
        <v>-3345</v>
      </c>
      <c r="F586">
        <v>-2895</v>
      </c>
      <c r="G586">
        <v>-171</v>
      </c>
      <c r="H586">
        <v>-608</v>
      </c>
      <c r="I586">
        <v>1204</v>
      </c>
      <c r="J586">
        <v>-5138</v>
      </c>
      <c r="K586">
        <v>350</v>
      </c>
    </row>
    <row r="587" spans="2:11" x14ac:dyDescent="0.25">
      <c r="B587">
        <v>-1732</v>
      </c>
      <c r="C587">
        <v>-15061</v>
      </c>
      <c r="D587">
        <v>0</v>
      </c>
      <c r="E587">
        <v>36091</v>
      </c>
      <c r="F587">
        <v>0</v>
      </c>
      <c r="G587">
        <v>5071</v>
      </c>
      <c r="H587">
        <v>-6570</v>
      </c>
      <c r="I587">
        <v>11175</v>
      </c>
      <c r="J587">
        <v>6295</v>
      </c>
      <c r="K587">
        <v>9158</v>
      </c>
    </row>
    <row r="588" spans="2:11" x14ac:dyDescent="0.25">
      <c r="B588">
        <v>10145</v>
      </c>
      <c r="C588">
        <v>16618</v>
      </c>
      <c r="D588">
        <v>19510</v>
      </c>
      <c r="E588">
        <v>10738</v>
      </c>
      <c r="F588">
        <v>5566</v>
      </c>
      <c r="G588">
        <v>19404</v>
      </c>
      <c r="H588">
        <v>12575</v>
      </c>
      <c r="I588">
        <v>18043</v>
      </c>
      <c r="J588">
        <v>17983</v>
      </c>
      <c r="K588">
        <v>15522</v>
      </c>
    </row>
    <row r="589" spans="2:11" x14ac:dyDescent="0.25">
      <c r="B589">
        <v>23964</v>
      </c>
      <c r="C589">
        <v>0</v>
      </c>
      <c r="D589">
        <v>-2019</v>
      </c>
      <c r="E589">
        <v>7503</v>
      </c>
      <c r="F589">
        <v>14795</v>
      </c>
      <c r="G589">
        <v>-622</v>
      </c>
      <c r="H589">
        <v>10855</v>
      </c>
      <c r="I589">
        <v>0</v>
      </c>
      <c r="J589">
        <v>12452</v>
      </c>
      <c r="K589">
        <v>29662</v>
      </c>
    </row>
    <row r="590" spans="2:11" x14ac:dyDescent="0.25">
      <c r="B590">
        <v>0</v>
      </c>
      <c r="C590">
        <v>5368</v>
      </c>
      <c r="D590">
        <v>14090</v>
      </c>
      <c r="E590">
        <v>0</v>
      </c>
      <c r="F590">
        <v>14188</v>
      </c>
      <c r="G590">
        <v>0</v>
      </c>
      <c r="H590">
        <v>0</v>
      </c>
      <c r="I590">
        <v>0</v>
      </c>
      <c r="J590">
        <v>13049</v>
      </c>
      <c r="K590">
        <v>4770</v>
      </c>
    </row>
    <row r="591" spans="2:11" x14ac:dyDescent="0.25">
      <c r="B591">
        <v>0</v>
      </c>
      <c r="C591">
        <v>47976</v>
      </c>
      <c r="D591">
        <v>31396</v>
      </c>
      <c r="E591">
        <v>0</v>
      </c>
      <c r="F591">
        <v>-1212</v>
      </c>
      <c r="G591">
        <v>0</v>
      </c>
      <c r="H591">
        <v>-842</v>
      </c>
      <c r="I591">
        <v>-999</v>
      </c>
      <c r="J591">
        <v>-2</v>
      </c>
      <c r="K591">
        <v>1811</v>
      </c>
    </row>
    <row r="592" spans="2:11" x14ac:dyDescent="0.25">
      <c r="B592">
        <v>0</v>
      </c>
      <c r="C592">
        <v>-385</v>
      </c>
      <c r="D592">
        <v>-1849</v>
      </c>
      <c r="E592">
        <v>831</v>
      </c>
      <c r="F592">
        <v>72</v>
      </c>
      <c r="G592">
        <v>-219</v>
      </c>
      <c r="H592">
        <v>-1043</v>
      </c>
      <c r="I592">
        <v>-3390</v>
      </c>
      <c r="J592">
        <v>-3029</v>
      </c>
      <c r="K592">
        <v>0</v>
      </c>
    </row>
    <row r="593" spans="2:11" x14ac:dyDescent="0.25">
      <c r="B593">
        <v>0</v>
      </c>
      <c r="C593">
        <v>0</v>
      </c>
      <c r="D593">
        <v>388</v>
      </c>
      <c r="E593">
        <v>-647</v>
      </c>
      <c r="F593">
        <v>713</v>
      </c>
      <c r="G593">
        <v>572</v>
      </c>
      <c r="H593">
        <v>-753</v>
      </c>
      <c r="I593">
        <v>0</v>
      </c>
      <c r="J593">
        <v>-637</v>
      </c>
      <c r="K593">
        <v>-109</v>
      </c>
    </row>
    <row r="594" spans="2:11" x14ac:dyDescent="0.25">
      <c r="B594">
        <v>184</v>
      </c>
      <c r="C594">
        <v>338</v>
      </c>
      <c r="D594">
        <v>-516</v>
      </c>
      <c r="E594">
        <v>-669</v>
      </c>
      <c r="F594">
        <v>-5607</v>
      </c>
      <c r="G594">
        <v>0</v>
      </c>
      <c r="H594">
        <v>0</v>
      </c>
      <c r="I594">
        <v>0</v>
      </c>
      <c r="J594">
        <v>-863</v>
      </c>
      <c r="K594">
        <v>600</v>
      </c>
    </row>
    <row r="595" spans="2:11" x14ac:dyDescent="0.25">
      <c r="B595">
        <v>1016</v>
      </c>
      <c r="C595">
        <v>1010</v>
      </c>
      <c r="D595">
        <v>-245</v>
      </c>
      <c r="E595">
        <v>5194</v>
      </c>
      <c r="F595">
        <v>-13827</v>
      </c>
      <c r="G595">
        <v>133</v>
      </c>
      <c r="H595">
        <v>-2710</v>
      </c>
      <c r="I595">
        <v>-2427</v>
      </c>
      <c r="J595">
        <v>-420</v>
      </c>
      <c r="K595">
        <v>-283</v>
      </c>
    </row>
    <row r="596" spans="2:11" x14ac:dyDescent="0.25">
      <c r="B596">
        <v>-3952</v>
      </c>
      <c r="C596">
        <v>-601</v>
      </c>
      <c r="D596">
        <v>482</v>
      </c>
      <c r="E596">
        <v>1772</v>
      </c>
      <c r="F596">
        <v>978</v>
      </c>
      <c r="G596">
        <v>-3570</v>
      </c>
      <c r="H596">
        <v>-270</v>
      </c>
      <c r="I596">
        <v>7793</v>
      </c>
      <c r="J596">
        <v>-33165</v>
      </c>
      <c r="K596">
        <v>0</v>
      </c>
    </row>
    <row r="597" spans="2:11" x14ac:dyDescent="0.25">
      <c r="B597">
        <v>42529</v>
      </c>
      <c r="C597">
        <v>0</v>
      </c>
      <c r="D597">
        <v>5992</v>
      </c>
      <c r="E597">
        <v>-7744</v>
      </c>
      <c r="F597">
        <v>13172</v>
      </c>
      <c r="G597">
        <v>7407</v>
      </c>
      <c r="H597">
        <v>10797</v>
      </c>
      <c r="I597">
        <v>11965</v>
      </c>
      <c r="J597">
        <v>19591</v>
      </c>
      <c r="K597">
        <v>22992</v>
      </c>
    </row>
    <row r="598" spans="2:11" x14ac:dyDescent="0.25">
      <c r="B598">
        <v>12659</v>
      </c>
      <c r="C598">
        <v>6563</v>
      </c>
      <c r="D598">
        <v>22872</v>
      </c>
      <c r="E598">
        <v>14827</v>
      </c>
      <c r="F598">
        <v>21272</v>
      </c>
      <c r="G598">
        <v>21213</v>
      </c>
      <c r="H598">
        <v>18296</v>
      </c>
      <c r="I598">
        <v>28244</v>
      </c>
      <c r="J598">
        <v>0</v>
      </c>
      <c r="K598">
        <v>-2385</v>
      </c>
    </row>
    <row r="599" spans="2:11" x14ac:dyDescent="0.25">
      <c r="B599">
        <v>8849</v>
      </c>
      <c r="C599">
        <v>17452</v>
      </c>
      <c r="D599">
        <v>-723</v>
      </c>
      <c r="E599">
        <v>12800</v>
      </c>
      <c r="F599">
        <v>0</v>
      </c>
      <c r="G599">
        <v>14683</v>
      </c>
      <c r="H599">
        <v>34945</v>
      </c>
      <c r="I599">
        <v>0</v>
      </c>
      <c r="J599">
        <v>6324</v>
      </c>
      <c r="K599">
        <v>16602</v>
      </c>
    </row>
    <row r="600" spans="2:11" x14ac:dyDescent="0.25">
      <c r="B600">
        <v>0</v>
      </c>
      <c r="C600">
        <v>16720</v>
      </c>
      <c r="D600">
        <v>0</v>
      </c>
      <c r="E600">
        <v>0</v>
      </c>
      <c r="F600">
        <v>0</v>
      </c>
      <c r="G600">
        <v>15384</v>
      </c>
      <c r="H600">
        <v>30247</v>
      </c>
      <c r="I600">
        <v>0</v>
      </c>
      <c r="J600">
        <v>59811</v>
      </c>
      <c r="K600">
        <v>38075</v>
      </c>
    </row>
    <row r="601" spans="2:11" x14ac:dyDescent="0.25">
      <c r="B601">
        <v>71499</v>
      </c>
      <c r="C601">
        <v>0</v>
      </c>
      <c r="D601">
        <v>0</v>
      </c>
      <c r="E601">
        <v>0</v>
      </c>
      <c r="F601">
        <v>0</v>
      </c>
      <c r="G601">
        <v>0</v>
      </c>
      <c r="H601">
        <v>0</v>
      </c>
      <c r="I601">
        <v>0</v>
      </c>
      <c r="J601">
        <v>0</v>
      </c>
      <c r="K601">
        <v>0</v>
      </c>
    </row>
    <row r="602" spans="2:11" x14ac:dyDescent="0.25">
      <c r="B602">
        <v>0</v>
      </c>
      <c r="C602">
        <v>0</v>
      </c>
      <c r="D602">
        <v>0</v>
      </c>
      <c r="E602">
        <v>0</v>
      </c>
      <c r="F602">
        <v>0</v>
      </c>
      <c r="G602">
        <v>0</v>
      </c>
      <c r="H602">
        <v>0</v>
      </c>
      <c r="I602">
        <v>0</v>
      </c>
      <c r="J602">
        <v>0</v>
      </c>
      <c r="K602">
        <v>0</v>
      </c>
    </row>
    <row r="603" spans="2:11" x14ac:dyDescent="0.25">
      <c r="B603">
        <v>0</v>
      </c>
      <c r="C603">
        <v>0</v>
      </c>
      <c r="D603">
        <v>0</v>
      </c>
      <c r="E603">
        <v>0</v>
      </c>
      <c r="F603">
        <v>0</v>
      </c>
      <c r="G603">
        <v>0</v>
      </c>
      <c r="H603">
        <v>0</v>
      </c>
      <c r="I603">
        <v>0</v>
      </c>
      <c r="J603">
        <v>0</v>
      </c>
      <c r="K603">
        <v>0</v>
      </c>
    </row>
    <row r="604" spans="2:11" x14ac:dyDescent="0.25">
      <c r="B604">
        <v>0</v>
      </c>
      <c r="C604">
        <v>0</v>
      </c>
      <c r="D604">
        <v>0</v>
      </c>
      <c r="E604">
        <v>0</v>
      </c>
      <c r="F604">
        <v>0</v>
      </c>
      <c r="G604">
        <v>0</v>
      </c>
      <c r="H604">
        <v>0</v>
      </c>
      <c r="I604">
        <v>0</v>
      </c>
      <c r="J604">
        <v>0</v>
      </c>
      <c r="K604">
        <v>0</v>
      </c>
    </row>
    <row r="605" spans="2:11" x14ac:dyDescent="0.25">
      <c r="B605">
        <v>0</v>
      </c>
      <c r="C605">
        <v>0</v>
      </c>
      <c r="D605">
        <v>0</v>
      </c>
      <c r="E605">
        <v>0</v>
      </c>
      <c r="F605">
        <v>0</v>
      </c>
      <c r="G605">
        <v>0</v>
      </c>
      <c r="H605">
        <v>0</v>
      </c>
      <c r="I605">
        <v>0</v>
      </c>
      <c r="J605">
        <v>0</v>
      </c>
      <c r="K605">
        <v>0</v>
      </c>
    </row>
    <row r="606" spans="2:11" x14ac:dyDescent="0.25">
      <c r="B606">
        <v>0</v>
      </c>
      <c r="C606">
        <v>0</v>
      </c>
      <c r="D606">
        <v>0</v>
      </c>
      <c r="E606">
        <v>0</v>
      </c>
      <c r="F606">
        <v>0</v>
      </c>
      <c r="G606">
        <v>0</v>
      </c>
      <c r="H606">
        <v>0</v>
      </c>
      <c r="I606">
        <v>0</v>
      </c>
      <c r="J606">
        <v>0</v>
      </c>
      <c r="K606">
        <v>0</v>
      </c>
    </row>
    <row r="607" spans="2:11" x14ac:dyDescent="0.25">
      <c r="B607">
        <v>0</v>
      </c>
      <c r="C607">
        <v>0</v>
      </c>
      <c r="D607">
        <v>0</v>
      </c>
      <c r="E607">
        <v>0</v>
      </c>
      <c r="F607">
        <v>0</v>
      </c>
      <c r="G607">
        <v>0</v>
      </c>
      <c r="H607">
        <v>0</v>
      </c>
      <c r="I607">
        <v>0</v>
      </c>
      <c r="J607">
        <v>0</v>
      </c>
      <c r="K607">
        <v>0</v>
      </c>
    </row>
    <row r="608" spans="2:11" x14ac:dyDescent="0.25"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</row>
    <row r="609" spans="2:11" x14ac:dyDescent="0.25"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</row>
    <row r="610" spans="2:11" x14ac:dyDescent="0.25"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</row>
    <row r="611" spans="2:11" x14ac:dyDescent="0.25">
      <c r="B611">
        <v>0</v>
      </c>
      <c r="C611">
        <v>76</v>
      </c>
      <c r="D611">
        <v>0</v>
      </c>
      <c r="E611">
        <v>245</v>
      </c>
      <c r="F611">
        <v>-388</v>
      </c>
      <c r="G611">
        <v>77</v>
      </c>
      <c r="H611">
        <v>562</v>
      </c>
      <c r="I611">
        <v>0</v>
      </c>
      <c r="J611">
        <v>-345</v>
      </c>
      <c r="K611">
        <v>-134</v>
      </c>
    </row>
    <row r="612" spans="2:11" x14ac:dyDescent="0.25">
      <c r="B612">
        <v>438</v>
      </c>
      <c r="C612">
        <v>-340</v>
      </c>
      <c r="D612">
        <v>-926</v>
      </c>
      <c r="E612">
        <v>-575</v>
      </c>
      <c r="F612">
        <v>-838</v>
      </c>
      <c r="G612">
        <v>-652</v>
      </c>
      <c r="H612">
        <v>0</v>
      </c>
      <c r="I612">
        <v>0</v>
      </c>
      <c r="J612">
        <v>0</v>
      </c>
      <c r="K612">
        <v>-43</v>
      </c>
    </row>
    <row r="613" spans="2:11" x14ac:dyDescent="0.25">
      <c r="B613">
        <v>-171</v>
      </c>
      <c r="C613">
        <v>144</v>
      </c>
      <c r="D613">
        <v>197</v>
      </c>
      <c r="E613">
        <v>-206</v>
      </c>
      <c r="F613">
        <v>0</v>
      </c>
      <c r="G613">
        <v>-173</v>
      </c>
      <c r="H613">
        <v>13</v>
      </c>
      <c r="I613">
        <v>64</v>
      </c>
      <c r="J613">
        <v>230</v>
      </c>
      <c r="K613">
        <v>-27</v>
      </c>
    </row>
    <row r="614" spans="2:11" x14ac:dyDescent="0.25">
      <c r="B614">
        <v>-207</v>
      </c>
      <c r="C614">
        <v>-1528</v>
      </c>
      <c r="D614">
        <v>0</v>
      </c>
      <c r="E614">
        <v>0</v>
      </c>
      <c r="F614">
        <v>0</v>
      </c>
      <c r="G614">
        <v>-236</v>
      </c>
      <c r="H614">
        <v>211</v>
      </c>
      <c r="I614">
        <v>270</v>
      </c>
      <c r="J614">
        <v>361</v>
      </c>
      <c r="K614">
        <v>2</v>
      </c>
    </row>
    <row r="615" spans="2:11" x14ac:dyDescent="0.25">
      <c r="B615">
        <v>1394</v>
      </c>
      <c r="C615">
        <v>-3779</v>
      </c>
      <c r="D615">
        <v>27</v>
      </c>
      <c r="E615">
        <v>-707</v>
      </c>
      <c r="F615">
        <v>-641</v>
      </c>
      <c r="G615">
        <v>-57</v>
      </c>
      <c r="H615">
        <v>-17</v>
      </c>
      <c r="I615">
        <v>-1097</v>
      </c>
      <c r="J615">
        <v>525</v>
      </c>
      <c r="K615">
        <v>456</v>
      </c>
    </row>
    <row r="616" spans="2:11" x14ac:dyDescent="0.25">
      <c r="B616">
        <v>635</v>
      </c>
      <c r="C616">
        <v>1078</v>
      </c>
      <c r="D616">
        <v>-27</v>
      </c>
      <c r="E616">
        <v>1388</v>
      </c>
      <c r="F616">
        <v>138</v>
      </c>
      <c r="G616">
        <v>-12231</v>
      </c>
      <c r="H616">
        <v>0</v>
      </c>
      <c r="I616">
        <v>11587</v>
      </c>
      <c r="J616">
        <v>0</v>
      </c>
      <c r="K616">
        <v>1641</v>
      </c>
    </row>
    <row r="617" spans="2:11" x14ac:dyDescent="0.25">
      <c r="B617">
        <v>-2115</v>
      </c>
      <c r="C617">
        <v>3578</v>
      </c>
      <c r="D617">
        <v>2014</v>
      </c>
      <c r="E617">
        <v>2942</v>
      </c>
      <c r="F617">
        <v>3264</v>
      </c>
      <c r="G617">
        <v>5338</v>
      </c>
      <c r="H617">
        <v>6267</v>
      </c>
      <c r="I617">
        <v>3444</v>
      </c>
      <c r="J617">
        <v>1791</v>
      </c>
      <c r="K617">
        <v>6221</v>
      </c>
    </row>
    <row r="618" spans="2:11" x14ac:dyDescent="0.25">
      <c r="B618">
        <v>4030</v>
      </c>
      <c r="C618">
        <v>5785</v>
      </c>
      <c r="D618">
        <v>5772</v>
      </c>
      <c r="E618">
        <v>4977</v>
      </c>
      <c r="F618">
        <v>7688</v>
      </c>
      <c r="G618">
        <v>0</v>
      </c>
      <c r="H618">
        <v>-656</v>
      </c>
      <c r="I618">
        <v>2398</v>
      </c>
      <c r="J618">
        <v>4766</v>
      </c>
      <c r="K618">
        <v>-197</v>
      </c>
    </row>
    <row r="619" spans="2:11" x14ac:dyDescent="0.25">
      <c r="B619">
        <v>3495</v>
      </c>
      <c r="C619">
        <v>0</v>
      </c>
      <c r="D619">
        <v>3994</v>
      </c>
      <c r="E619">
        <v>9520</v>
      </c>
      <c r="F619">
        <v>0</v>
      </c>
      <c r="G619">
        <v>1725</v>
      </c>
      <c r="H619">
        <v>4524</v>
      </c>
      <c r="I619">
        <v>0</v>
      </c>
      <c r="J619">
        <v>4558</v>
      </c>
      <c r="K619">
        <v>0</v>
      </c>
    </row>
    <row r="620" spans="2:11" x14ac:dyDescent="0.25">
      <c r="B620">
        <v>0</v>
      </c>
      <c r="C620">
        <v>0</v>
      </c>
      <c r="D620">
        <v>4195</v>
      </c>
      <c r="E620">
        <v>9366</v>
      </c>
      <c r="F620">
        <v>0</v>
      </c>
      <c r="G620">
        <v>20030</v>
      </c>
      <c r="H620">
        <v>12071</v>
      </c>
      <c r="I620">
        <v>19982</v>
      </c>
      <c r="J620">
        <v>32501</v>
      </c>
      <c r="K620">
        <v>0</v>
      </c>
    </row>
  </sheetData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>
    <tabColor rgb="FF00B050"/>
  </sheetPr>
  <dimension ref="B1:W104"/>
  <sheetViews>
    <sheetView tabSelected="1" workbookViewId="0">
      <selection activeCell="Q28" sqref="Q28"/>
    </sheetView>
  </sheetViews>
  <sheetFormatPr defaultRowHeight="15" x14ac:dyDescent="0.25"/>
  <cols>
    <col min="1" max="2" style="385" width="9.140625" collapsed="true"/>
    <col min="3" max="3" bestFit="true" customWidth="true" style="385" width="12.7109375" collapsed="true"/>
    <col min="4" max="4" customWidth="true" style="384" width="18.85546875" collapsed="true"/>
    <col min="5" max="5" customWidth="true" style="385" width="6.7109375" collapsed="true"/>
    <col min="6" max="6" customWidth="true" style="385" width="12.7109375" collapsed="true"/>
    <col min="7" max="8" customWidth="true" style="384" width="18.85546875" collapsed="true"/>
    <col min="9" max="9" customWidth="true" style="384" width="6.5703125" collapsed="true"/>
    <col min="10" max="10" customWidth="true" style="384" width="10.140625" collapsed="true"/>
    <col min="11" max="11" customWidth="true" style="384" width="9.85546875" collapsed="true"/>
    <col min="12" max="14" style="385" width="9.140625" collapsed="true"/>
    <col min="15" max="15" customWidth="true" style="385" width="13.0" collapsed="true"/>
    <col min="16" max="16" customWidth="true" style="387" width="19.5703125" collapsed="true"/>
    <col min="17" max="17" customWidth="true" style="423" width="19.5703125" collapsed="true"/>
    <col min="18" max="16384" style="385" width="9.140625" collapsed="true"/>
  </cols>
  <sheetData>
    <row r="1" spans="3:23" x14ac:dyDescent="0.25">
      <c r="C1" s="10" t="s">
        <v>40</v>
      </c>
      <c r="F1" s="10" t="s">
        <v>41</v>
      </c>
      <c r="N1" s="386" t="s">
        <v>268</v>
      </c>
      <c r="S1" s="386"/>
      <c r="T1" s="386" t="s">
        <v>268</v>
      </c>
      <c r="U1" s="410"/>
      <c r="V1" s="410"/>
      <c r="W1" s="410"/>
    </row>
    <row ht="15.75" r="2" spans="3:23" thickBot="1" x14ac:dyDescent="0.3">
      <c r="C2" s="386" t="s">
        <v>43</v>
      </c>
      <c r="M2" s="10" t="s">
        <v>91</v>
      </c>
      <c r="N2" s="10" t="s">
        <v>259</v>
      </c>
      <c r="O2" s="10" t="s">
        <v>260</v>
      </c>
      <c r="P2" s="461" t="s">
        <v>269</v>
      </c>
      <c r="Q2" s="462" t="s">
        <v>270</v>
      </c>
      <c r="T2" s="410"/>
      <c r="U2" s="386" t="s">
        <v>271</v>
      </c>
      <c r="V2"/>
      <c r="W2" s="410"/>
    </row>
    <row r="3" spans="3:23" x14ac:dyDescent="0.25">
      <c r="C3" s="388" t="s">
        <v>3</v>
      </c>
      <c r="D3" s="389" t="s">
        <v>44</v>
      </c>
      <c r="F3" s="388" t="s">
        <v>3</v>
      </c>
      <c r="G3" s="389" t="s">
        <v>44</v>
      </c>
      <c r="H3" s="434"/>
      <c r="I3" s="434"/>
      <c r="J3" s="434"/>
      <c r="K3" s="434"/>
      <c r="L3" s="390"/>
      <c r="M3" s="385" t="str">
        <f>VLOOKUP(N3,Coeff_Descr!$A:$D,3,FALSE)</f>
        <v>ALL</v>
      </c>
      <c r="N3" s="385">
        <f>OtherTourDestination!B11</f>
        <v>1</v>
      </c>
      <c r="O3" s="385" t="str">
        <f>OtherTourDestination!C11</f>
        <v>Beta00001</v>
      </c>
      <c r="P3" s="387">
        <f>OtherTourDestination!E11</f>
        <v>1</v>
      </c>
      <c r="Q3" s="426">
        <f>_xlfn.IFNA(VLOOKUP(N3,$B$43:$D$46,3,FALSE),P3)</f>
        <v>1</v>
      </c>
      <c r="T3">
        <v>1</v>
      </c>
      <c r="U3" s="383" t="s">
        <v>272</v>
      </c>
      <c r="V3"/>
      <c r="W3" s="410"/>
    </row>
    <row r="4" spans="3:23" x14ac:dyDescent="0.25">
      <c r="C4" s="391" t="s">
        <v>47</v>
      </c>
      <c r="D4" s="392">
        <f>TLFD!B11</f>
        <v>9973.1768341485003</v>
      </c>
      <c r="F4" s="391" t="s">
        <v>47</v>
      </c>
      <c r="G4" s="392">
        <f>TLFD!F11</f>
        <v>75856</v>
      </c>
      <c r="H4" s="392"/>
      <c r="I4" s="392"/>
      <c r="J4" s="392"/>
      <c r="K4" s="392"/>
      <c r="L4" s="393"/>
      <c r="M4" s="385" t="str">
        <f>VLOOKUP(N4,Coeff_Descr!$A:$D,3,FALSE)</f>
        <v>ALL</v>
      </c>
      <c r="N4" s="385">
        <f>OtherTourDestination!B12</f>
        <v>2</v>
      </c>
      <c r="O4" s="385" t="str">
        <f>OtherTourDestination!C12</f>
        <v>Beta00002</v>
      </c>
      <c r="P4" s="387">
        <f>OtherTourDestination!E12</f>
        <v>11.7146172749</v>
      </c>
      <c r="Q4" s="426">
        <f>_xlfn.IFNA(VLOOKUP(N4,$B$43:$D$46,3,FALSE),P4)</f>
        <v>11.7146172749</v>
      </c>
      <c r="T4">
        <v>2</v>
      </c>
      <c r="U4" s="383" t="s">
        <v>273</v>
      </c>
      <c r="V4"/>
      <c r="W4" s="410"/>
    </row>
    <row r="5" spans="3:23" x14ac:dyDescent="0.25">
      <c r="C5" s="394" t="s">
        <v>50</v>
      </c>
      <c r="D5" s="395">
        <f>TLFD!B12+TLFD!B13+(TLFD!B14/2)</f>
        <v>87577.9958138738</v>
      </c>
      <c r="F5" s="394" t="s">
        <v>50</v>
      </c>
      <c r="G5" s="395">
        <f>TLFD!F12+TLFD!F13+(TLFD!F14/2)</f>
        <v>90255.5</v>
      </c>
      <c r="H5" s="395"/>
      <c r="I5" s="395"/>
      <c r="J5" s="395"/>
      <c r="K5" s="395"/>
      <c r="L5" s="393"/>
      <c r="M5" s="385" t="str">
        <f>VLOOKUP(N5,Coeff_Descr!$A:$D,3,FALSE)</f>
        <v>ALL</v>
      </c>
      <c r="N5" s="385">
        <f>OtherTourDestination!B13</f>
        <v>3</v>
      </c>
      <c r="O5" s="385" t="str">
        <f>OtherTourDestination!C13</f>
        <v>Beta00003</v>
      </c>
      <c r="P5" s="387">
        <f>OtherTourDestination!E13</f>
        <v>-0.2117</v>
      </c>
      <c r="Q5" s="426">
        <f ref="Q5:Q68" si="0" t="shared">_xlfn.IFNA(VLOOKUP(N5,$B$43:$D$46,3,FALSE),P5)</f>
        <v>-0.2117</v>
      </c>
      <c r="T5">
        <v>3</v>
      </c>
      <c r="U5" s="410" t="s">
        <v>274</v>
      </c>
      <c r="V5" s="410"/>
      <c r="W5" s="410"/>
    </row>
    <row r="6" spans="3:23" x14ac:dyDescent="0.25">
      <c r="C6" s="394" t="s">
        <v>53</v>
      </c>
      <c r="D6" s="395">
        <f>(TLFD!B14/2)+SUM(TLFD!B15:B20)</f>
        <v>389536.76642350428</v>
      </c>
      <c r="F6" s="394" t="s">
        <v>53</v>
      </c>
      <c r="G6" s="395">
        <f>(TLFD!F14/2)+SUM(TLFD!F15:F20)</f>
        <v>280815.5</v>
      </c>
      <c r="H6" s="395"/>
      <c r="I6" s="395"/>
      <c r="J6" s="395"/>
      <c r="K6" s="395"/>
      <c r="L6" s="396"/>
      <c r="M6" s="385" t="str">
        <f>VLOOKUP(N6,Coeff_Descr!$A:$D,3,FALSE)</f>
        <v>ALL</v>
      </c>
      <c r="N6" s="385">
        <f>OtherTourDestination!B14</f>
        <v>4</v>
      </c>
      <c r="O6" s="385" t="str">
        <f>OtherTourDestination!C14</f>
        <v>Beta00004</v>
      </c>
      <c r="P6" s="387">
        <f>OtherTourDestination!E14</f>
        <v>0.27120783067900001</v>
      </c>
      <c r="Q6" s="426">
        <f si="0" t="shared"/>
        <v>0.27120783067900001</v>
      </c>
      <c r="T6">
        <v>4</v>
      </c>
      <c r="U6" s="410" t="s">
        <v>275</v>
      </c>
      <c r="V6" s="410"/>
      <c r="W6" s="410"/>
    </row>
    <row r="7" spans="3:23" x14ac:dyDescent="0.25">
      <c r="C7" s="397" t="s">
        <v>56</v>
      </c>
      <c r="D7" s="398">
        <f>SUM(TLFD!B21:B101)</f>
        <v>146376.2964230061</v>
      </c>
      <c r="F7" s="397" t="s">
        <v>56</v>
      </c>
      <c r="G7" s="398">
        <f>SUM(TLFD!F21:F101)</f>
        <v>146802</v>
      </c>
      <c r="H7" s="435"/>
      <c r="I7" s="435"/>
      <c r="J7" s="435"/>
      <c r="K7" s="435"/>
      <c r="L7" s="399"/>
      <c r="M7" s="385" t="str">
        <f>VLOOKUP(N7,Coeff_Descr!$A:$D,3,FALSE)</f>
        <v>ALL</v>
      </c>
      <c r="N7" s="385">
        <f>OtherTourDestination!B15</f>
        <v>5</v>
      </c>
      <c r="O7" s="385" t="str">
        <f>OtherTourDestination!C15</f>
        <v>Beta00005</v>
      </c>
      <c r="P7" s="387">
        <f>OtherTourDestination!E15</f>
        <v>-0.34490013167299999</v>
      </c>
      <c r="Q7" s="426">
        <f si="0" t="shared"/>
        <v>-0.34490013167299999</v>
      </c>
      <c r="T7" s="410">
        <v>5</v>
      </c>
      <c r="U7" s="410" t="s">
        <v>276</v>
      </c>
      <c r="V7" s="410"/>
      <c r="W7" s="410"/>
    </row>
    <row ht="15.75" r="8" spans="3:23" thickBot="1" x14ac:dyDescent="0.3">
      <c r="C8" s="400" t="s">
        <v>4</v>
      </c>
      <c r="D8" s="401">
        <f>SUM(D4:D7)</f>
        <v>633464.23549453262</v>
      </c>
      <c r="E8" s="402"/>
      <c r="F8" s="400" t="s">
        <v>4</v>
      </c>
      <c r="G8" s="401">
        <f>SUM(G4:G7)</f>
        <v>593729</v>
      </c>
      <c r="H8" s="436"/>
      <c r="I8" s="436"/>
      <c r="J8" s="436" t="s">
        <v>254</v>
      </c>
      <c r="K8" s="438">
        <v>1</v>
      </c>
      <c r="M8" s="385" t="str">
        <f>VLOOKUP(N8,Coeff_Descr!$A:$D,3,FALSE)</f>
        <v>ALL</v>
      </c>
      <c r="N8" s="385">
        <f>OtherTourDestination!B16</f>
        <v>6</v>
      </c>
      <c r="O8" s="385" t="str">
        <f>OtherTourDestination!C16</f>
        <v>Beta00006</v>
      </c>
      <c r="P8" s="387">
        <f>OtherTourDestination!E16</f>
        <v>-8.2865473150899996E-2</v>
      </c>
      <c r="Q8" s="426">
        <f si="0" t="shared"/>
        <v>-8.2865473150899996E-2</v>
      </c>
      <c r="T8" s="410"/>
      <c r="U8" s="410"/>
      <c r="V8" s="410"/>
      <c r="W8" s="410"/>
    </row>
    <row r="9" spans="3:23" x14ac:dyDescent="0.25">
      <c r="M9" s="385" t="str">
        <f>VLOOKUP(N9,Coeff_Descr!$A:$D,3,FALSE)</f>
        <v>ALL</v>
      </c>
      <c r="N9" s="385">
        <f>OtherTourDestination!B17</f>
        <v>7</v>
      </c>
      <c r="O9" s="385" t="str">
        <f>OtherTourDestination!C17</f>
        <v>Beta00007</v>
      </c>
      <c r="P9" s="387">
        <f>OtherTourDestination!E17</f>
        <v>-3.9895313632499998</v>
      </c>
      <c r="Q9" s="426">
        <f si="0" t="shared"/>
        <v>-3.9895313632499998</v>
      </c>
      <c r="T9" s="410"/>
      <c r="U9" s="463" t="s">
        <v>277</v>
      </c>
      <c r="V9" s="410"/>
      <c r="W9" s="410"/>
    </row>
    <row ht="15.75" r="10" spans="3:23" thickBot="1" x14ac:dyDescent="0.3">
      <c r="C10" s="403" t="s">
        <v>63</v>
      </c>
      <c r="I10" s="439" t="s">
        <v>255</v>
      </c>
      <c r="J10" s="440"/>
      <c r="K10" s="440"/>
      <c r="L10" s="390"/>
      <c r="M10" s="385" t="str">
        <f>VLOOKUP(N10,Coeff_Descr!$A:$D,3,FALSE)</f>
        <v>ALL</v>
      </c>
      <c r="N10" s="385">
        <f>OtherTourDestination!B18</f>
        <v>8</v>
      </c>
      <c r="O10" s="385" t="str">
        <f>OtherTourDestination!C18</f>
        <v>Beta00008</v>
      </c>
      <c r="P10" s="387">
        <f>OtherTourDestination!E18</f>
        <v>6.9400000000000003E-2</v>
      </c>
      <c r="Q10" s="426">
        <f si="0" t="shared"/>
        <v>6.9400000000000003E-2</v>
      </c>
      <c r="T10" s="410">
        <v>1</v>
      </c>
      <c r="U10" s="383" t="s">
        <v>272</v>
      </c>
      <c r="V10" s="410"/>
      <c r="W10" s="410"/>
    </row>
    <row r="11" spans="3:23" x14ac:dyDescent="0.25">
      <c r="C11" s="388" t="s">
        <v>3</v>
      </c>
      <c r="D11" s="389" t="s">
        <v>44</v>
      </c>
      <c r="F11" s="388" t="s">
        <v>3</v>
      </c>
      <c r="G11" s="389" t="s">
        <v>44</v>
      </c>
      <c r="H11" s="434"/>
      <c r="I11" s="389" t="s">
        <v>256</v>
      </c>
      <c r="J11" s="389" t="s">
        <v>257</v>
      </c>
      <c r="K11" s="389" t="s">
        <v>258</v>
      </c>
      <c r="L11" s="404"/>
      <c r="M11" s="385" t="str">
        <f>VLOOKUP(N11,Coeff_Descr!$A:$D,3,FALSE)</f>
        <v>ALL</v>
      </c>
      <c r="N11" s="385">
        <f>OtherTourDestination!B19</f>
        <v>9</v>
      </c>
      <c r="O11" s="385" t="str">
        <f>OtherTourDestination!C19</f>
        <v>Beta00009</v>
      </c>
      <c r="P11" s="387">
        <f>OtherTourDestination!E19</f>
        <v>-9.5820044919499997E-2</v>
      </c>
      <c r="Q11" s="426">
        <f si="0" t="shared"/>
        <v>-9.5820044919499997E-2</v>
      </c>
      <c r="T11" s="410">
        <v>2</v>
      </c>
      <c r="U11" s="410" t="s">
        <v>278</v>
      </c>
      <c r="V11" s="410"/>
      <c r="W11" s="410"/>
    </row>
    <row r="12" spans="3:23" x14ac:dyDescent="0.25">
      <c r="C12" s="391" t="s">
        <v>47</v>
      </c>
      <c r="D12" s="405">
        <f>D4/D$8</f>
        <v>1.5743867254577749E-2</v>
      </c>
      <c r="F12" s="391" t="s">
        <v>47</v>
      </c>
      <c r="G12" s="405">
        <f>G4/G$8</f>
        <v>0.12776199242415312</v>
      </c>
      <c r="H12" s="405"/>
      <c r="I12" s="441">
        <f>D12/G12</f>
        <v>0.12322809746352552</v>
      </c>
      <c r="J12" s="442">
        <f>LN(I12)</f>
        <v>-2.0937181900580013</v>
      </c>
      <c r="K12" s="442">
        <f>K8*J12</f>
        <v>-2.0937181900580013</v>
      </c>
      <c r="L12" s="404"/>
      <c r="M12" s="385" t="str">
        <f>VLOOKUP(N12,Coeff_Descr!$A:$D,3,FALSE)</f>
        <v>ALL</v>
      </c>
      <c r="N12" s="385">
        <f>OtherTourDestination!B20</f>
        <v>10</v>
      </c>
      <c r="O12" s="385" t="str">
        <f>OtherTourDestination!C20</f>
        <v>Beta00010</v>
      </c>
      <c r="P12" s="387">
        <f>OtherTourDestination!E20</f>
        <v>0.517563261484</v>
      </c>
      <c r="Q12" s="426">
        <f si="0" t="shared"/>
        <v>0.517563261484</v>
      </c>
      <c r="T12" s="410">
        <v>3</v>
      </c>
      <c r="U12" s="410" t="s">
        <v>279</v>
      </c>
      <c r="V12" s="410"/>
      <c r="W12" s="410"/>
    </row>
    <row r="13" spans="3:23" x14ac:dyDescent="0.25">
      <c r="C13" s="394" t="s">
        <v>50</v>
      </c>
      <c r="D13" s="406">
        <f ref="D13:D16" si="1" t="shared">D5/D$8</f>
        <v>0.13825247094731946</v>
      </c>
      <c r="F13" s="394" t="s">
        <v>50</v>
      </c>
      <c r="G13" s="406">
        <f ref="G13:G16" si="2" t="shared">G5/G$8</f>
        <v>0.15201463967567694</v>
      </c>
      <c r="H13" s="406"/>
      <c r="I13" s="441">
        <f ref="I13:I15" si="3" t="shared">D13/G13</f>
        <v>0.90946813571561891</v>
      </c>
      <c r="J13" s="442">
        <f ref="J13:J15" si="4" t="shared">LN(I13)</f>
        <v>-9.4895316584791209E-2</v>
      </c>
      <c r="K13" s="442">
        <f>K8*(J13-J12)</f>
        <v>1.9988228734732101</v>
      </c>
      <c r="L13" s="404"/>
      <c r="M13" s="385" t="str">
        <f>VLOOKUP(N13,Coeff_Descr!$A:$D,3,FALSE)</f>
        <v>ALL</v>
      </c>
      <c r="N13" s="385">
        <f>OtherTourDestination!B21</f>
        <v>11</v>
      </c>
      <c r="O13" s="385" t="str">
        <f>OtherTourDestination!C21</f>
        <v>Beta00011</v>
      </c>
      <c r="P13" s="387">
        <f>OtherTourDestination!E21</f>
        <v>-0.80352358260699996</v>
      </c>
      <c r="Q13" s="426">
        <f si="0" t="shared"/>
        <v>-0.80352358260699996</v>
      </c>
      <c r="T13" s="410">
        <v>4</v>
      </c>
      <c r="U13" s="410" t="s">
        <v>280</v>
      </c>
      <c r="V13" s="410"/>
      <c r="W13" s="410"/>
    </row>
    <row r="14" spans="3:23" x14ac:dyDescent="0.25">
      <c r="C14" s="394" t="s">
        <v>53</v>
      </c>
      <c r="D14" s="406">
        <f si="1" t="shared"/>
        <v>0.61493095363055639</v>
      </c>
      <c r="F14" s="394" t="s">
        <v>53</v>
      </c>
      <c r="G14" s="406">
        <f si="2" t="shared"/>
        <v>0.47296914922464628</v>
      </c>
      <c r="H14" s="406"/>
      <c r="I14" s="441">
        <f si="3" t="shared"/>
        <v>1.3001502415932047</v>
      </c>
      <c r="J14" s="442">
        <f si="4" t="shared"/>
        <v>0.26247982824605165</v>
      </c>
      <c r="K14" s="442">
        <f>K8*(J14-J13-J12)</f>
        <v>2.451093334888844</v>
      </c>
      <c r="L14" s="407"/>
      <c r="M14" s="385" t="str">
        <f>VLOOKUP(N14,Coeff_Descr!$A:$D,3,FALSE)</f>
        <v>ALL</v>
      </c>
      <c r="N14" s="385">
        <f>OtherTourDestination!B22</f>
        <v>12</v>
      </c>
      <c r="O14" s="385" t="str">
        <f>OtherTourDestination!C22</f>
        <v>Beta00012</v>
      </c>
      <c r="P14" s="387">
        <f>OtherTourDestination!E22</f>
        <v>-0.80534348065299999</v>
      </c>
      <c r="Q14" s="426">
        <f si="0" t="shared"/>
        <v>-0.80534348065299999</v>
      </c>
      <c r="T14" s="410">
        <v>5</v>
      </c>
      <c r="U14" s="383" t="s">
        <v>281</v>
      </c>
      <c r="V14" s="410"/>
      <c r="W14" s="410"/>
    </row>
    <row ht="15.75" r="15" spans="3:23" thickBot="1" x14ac:dyDescent="0.3">
      <c r="C15" s="397" t="s">
        <v>56</v>
      </c>
      <c r="D15" s="406">
        <f si="1" t="shared"/>
        <v>0.23107270816754652</v>
      </c>
      <c r="F15" s="397" t="s">
        <v>56</v>
      </c>
      <c r="G15" s="406">
        <f si="2" t="shared"/>
        <v>0.24725421867552369</v>
      </c>
      <c r="H15" s="406"/>
      <c r="I15" s="443">
        <f si="3" t="shared"/>
        <v>0.93455516919121828</v>
      </c>
      <c r="J15" s="444">
        <f si="4" t="shared"/>
        <v>-6.768461777641066E-2</v>
      </c>
      <c r="K15" s="444">
        <f>K8*(J15-J14-J13-J12)</f>
        <v>1.8584490606203303</v>
      </c>
      <c r="M15" s="385" t="str">
        <f>VLOOKUP(N15,Coeff_Descr!$A:$D,3,FALSE)</f>
        <v>ALL</v>
      </c>
      <c r="N15" s="385">
        <f>OtherTourDestination!B23</f>
        <v>13</v>
      </c>
      <c r="O15" s="385" t="str">
        <f>OtherTourDestination!C23</f>
        <v>Beta00013</v>
      </c>
      <c r="P15" s="387">
        <f>OtherTourDestination!E23</f>
        <v>-0.51977799879300002</v>
      </c>
      <c r="Q15" s="426">
        <f si="0" t="shared"/>
        <v>-0.51977799879300002</v>
      </c>
      <c r="T15" s="410">
        <v>6</v>
      </c>
      <c r="U15" s="410" t="s">
        <v>282</v>
      </c>
      <c r="V15" s="410"/>
      <c r="W15" s="410"/>
    </row>
    <row ht="15.75" r="16" spans="3:23" thickBot="1" x14ac:dyDescent="0.3">
      <c r="C16" s="400" t="s">
        <v>4</v>
      </c>
      <c r="D16" s="408">
        <f si="1" t="shared"/>
        <v>1</v>
      </c>
      <c r="E16" s="402"/>
      <c r="F16" s="400" t="s">
        <v>4</v>
      </c>
      <c r="G16" s="408">
        <f si="2" t="shared"/>
        <v>1</v>
      </c>
      <c r="H16" s="437"/>
      <c r="I16" s="441"/>
      <c r="J16" s="441"/>
      <c r="K16" s="441"/>
      <c r="M16" s="385" t="str">
        <f>VLOOKUP(N16,Coeff_Descr!$A:$D,3,FALSE)</f>
        <v>ALL</v>
      </c>
      <c r="N16" s="385">
        <f>OtherTourDestination!B24</f>
        <v>14</v>
      </c>
      <c r="O16" s="385" t="str">
        <f>OtherTourDestination!C24</f>
        <v>Beta00014</v>
      </c>
      <c r="P16" s="387">
        <f>OtherTourDestination!E24</f>
        <v>-0.27562686954600002</v>
      </c>
      <c r="Q16" s="426">
        <f si="0" t="shared"/>
        <v>-0.27562686954600002</v>
      </c>
      <c r="T16" s="410">
        <v>7</v>
      </c>
      <c r="U16" s="410" t="s">
        <v>275</v>
      </c>
      <c r="V16" s="410"/>
      <c r="W16" s="410"/>
    </row>
    <row r="17" spans="2:23" x14ac:dyDescent="0.25">
      <c r="M17" s="385" t="str">
        <f>VLOOKUP(N17,Coeff_Descr!$A:$D,3,FALSE)</f>
        <v>ALL</v>
      </c>
      <c r="N17" s="385">
        <f>OtherTourDestination!B25</f>
        <v>15</v>
      </c>
      <c r="O17" s="385" t="str">
        <f>OtherTourDestination!C25</f>
        <v>Beta00015</v>
      </c>
      <c r="P17" s="387">
        <f>OtherTourDestination!E25</f>
        <v>-0.55245424085299999</v>
      </c>
      <c r="Q17" s="426">
        <f si="0" t="shared"/>
        <v>-0.55245424085299999</v>
      </c>
      <c r="T17" s="410">
        <v>8</v>
      </c>
      <c r="U17" s="410" t="s">
        <v>283</v>
      </c>
      <c r="V17" s="410"/>
      <c r="W17" s="410"/>
    </row>
    <row r="18" spans="2:23" x14ac:dyDescent="0.25">
      <c r="I18" s="445"/>
      <c r="J18" s="445"/>
      <c r="K18" s="442"/>
      <c r="M18" s="385" t="str">
        <f>VLOOKUP(N18,Coeff_Descr!$A:$D,3,FALSE)</f>
        <v>ALL</v>
      </c>
      <c r="N18" s="385">
        <f>OtherTourDestination!B26</f>
        <v>16</v>
      </c>
      <c r="O18" s="385" t="str">
        <f>OtherTourDestination!C26</f>
        <v>Beta00016</v>
      </c>
      <c r="P18" s="387">
        <f>OtherTourDestination!E26</f>
        <v>-0.493022087256</v>
      </c>
      <c r="Q18" s="426">
        <f si="0" t="shared"/>
        <v>-0.493022087256</v>
      </c>
    </row>
    <row r="19" spans="2:23" x14ac:dyDescent="0.25">
      <c r="C19" s="409" t="s">
        <v>82</v>
      </c>
      <c r="I19" s="445"/>
      <c r="J19" s="445"/>
      <c r="K19" s="442"/>
      <c r="M19" s="385" t="str">
        <f>VLOOKUP(N19,Coeff_Descr!$A:$D,3,FALSE)</f>
        <v>ALL</v>
      </c>
      <c r="N19" s="385">
        <f>OtherTourDestination!B27</f>
        <v>17</v>
      </c>
      <c r="O19" s="385" t="str">
        <f>OtherTourDestination!C27</f>
        <v>Beta00017</v>
      </c>
      <c r="P19" s="387">
        <f>OtherTourDestination!E27</f>
        <v>0</v>
      </c>
      <c r="Q19" s="426">
        <f si="0" t="shared"/>
        <v>0</v>
      </c>
    </row>
    <row r="20" spans="2:23" x14ac:dyDescent="0.25">
      <c r="C20" s="409" t="s">
        <v>85</v>
      </c>
      <c r="I20" s="445"/>
      <c r="J20" s="445"/>
      <c r="K20" s="442"/>
      <c r="M20" s="385" t="str">
        <f>VLOOKUP(N20,Coeff_Descr!$A:$D,3,FALSE)</f>
        <v>ALL</v>
      </c>
      <c r="N20" s="385">
        <f>OtherTourDestination!B28</f>
        <v>18</v>
      </c>
      <c r="O20" s="385" t="str">
        <f>OtherTourDestination!C28</f>
        <v>Beta00018</v>
      </c>
      <c r="P20" s="387">
        <f>OtherTourDestination!E28</f>
        <v>0</v>
      </c>
      <c r="Q20" s="426">
        <f si="0" t="shared"/>
        <v>0</v>
      </c>
    </row>
    <row ht="15.75" r="21" spans="2:23" thickBot="1" x14ac:dyDescent="0.3">
      <c r="C21" s="410"/>
      <c r="I21" s="445"/>
      <c r="J21" s="445"/>
      <c r="K21" s="442"/>
      <c r="M21" s="385" t="str">
        <f>VLOOKUP(N21,Coeff_Descr!$A:$D,3,FALSE)</f>
        <v>ALL</v>
      </c>
      <c r="N21" s="385">
        <f>OtherTourDestination!B29</f>
        <v>19</v>
      </c>
      <c r="O21" s="385" t="str">
        <f>OtherTourDestination!C29</f>
        <v>Beta00019</v>
      </c>
      <c r="P21" s="387">
        <f>OtherTourDestination!E29</f>
        <v>0</v>
      </c>
      <c r="Q21" s="426">
        <f si="0" t="shared"/>
        <v>0</v>
      </c>
    </row>
    <row r="22" spans="2:23" x14ac:dyDescent="0.25">
      <c r="B22" s="447" t="s">
        <v>259</v>
      </c>
      <c r="C22" s="411" t="s">
        <v>91</v>
      </c>
      <c r="D22" s="412"/>
      <c r="M22" s="385" t="str">
        <f>VLOOKUP(N22,Coeff_Descr!$A:$D,3,FALSE)</f>
        <v>ESCORT</v>
      </c>
      <c r="N22" s="385">
        <f>OtherTourDestination!B30</f>
        <v>20</v>
      </c>
      <c r="O22" s="385" t="str">
        <f>OtherTourDestination!C30</f>
        <v>Beta00020</v>
      </c>
      <c r="P22" s="387">
        <f>OtherTourDestination!E30</f>
        <v>0.63771148688699997</v>
      </c>
      <c r="Q22" s="426">
        <f si="0" t="shared"/>
        <v>0.63771148688699997</v>
      </c>
    </row>
    <row r="23" spans="2:23" x14ac:dyDescent="0.25">
      <c r="B23" s="448">
        <v>27</v>
      </c>
      <c r="C23" s="391" t="s">
        <v>47</v>
      </c>
      <c r="D23" s="465">
        <f>VLOOKUP($B23,$N:$P,3,FALSE)</f>
        <v>-14.8384910501</v>
      </c>
      <c r="I23" s="446"/>
      <c r="J23" s="446"/>
      <c r="K23" s="446"/>
      <c r="M23" s="385" t="str">
        <f>VLOOKUP(N23,Coeff_Descr!$A:$D,3,FALSE)</f>
        <v>ESCORT</v>
      </c>
      <c r="N23" s="385">
        <f>OtherTourDestination!B31</f>
        <v>21</v>
      </c>
      <c r="O23" s="385" t="str">
        <f>OtherTourDestination!C31</f>
        <v>Beta00021</v>
      </c>
      <c r="P23" s="387">
        <f>OtherTourDestination!E31</f>
        <v>-12.0946718381</v>
      </c>
      <c r="Q23" s="426">
        <f si="0" t="shared"/>
        <v>-12.0946718381</v>
      </c>
    </row>
    <row r="24" spans="2:23" x14ac:dyDescent="0.25">
      <c r="B24" s="448">
        <v>28</v>
      </c>
      <c r="C24" s="394" t="s">
        <v>50</v>
      </c>
      <c r="D24" s="465">
        <f ref="D24:D26" si="5" t="shared">VLOOKUP($B24,$N:$P,3,FALSE)</f>
        <v>-5.1880432348000003</v>
      </c>
      <c r="M24" s="385" t="str">
        <f>VLOOKUP(N24,Coeff_Descr!$A:$D,3,FALSE)</f>
        <v>ESCORT</v>
      </c>
      <c r="N24" s="385">
        <f>OtherTourDestination!B32</f>
        <v>22</v>
      </c>
      <c r="O24" s="385" t="str">
        <f>OtherTourDestination!C32</f>
        <v>Beta00022</v>
      </c>
      <c r="P24" s="387">
        <f>OtherTourDestination!E32</f>
        <v>-4.03623745316</v>
      </c>
      <c r="Q24" s="426">
        <f si="0" t="shared"/>
        <v>-4.03623745316</v>
      </c>
    </row>
    <row r="25" spans="2:23" x14ac:dyDescent="0.25">
      <c r="B25" s="448">
        <v>29</v>
      </c>
      <c r="C25" s="394" t="s">
        <v>53</v>
      </c>
      <c r="D25" s="465">
        <f si="5" t="shared"/>
        <v>-2.6156308707</v>
      </c>
      <c r="M25" s="385" t="str">
        <f>VLOOKUP(N25,Coeff_Descr!$A:$D,3,FALSE)</f>
        <v>ESCORT</v>
      </c>
      <c r="N25" s="385">
        <f>OtherTourDestination!B33</f>
        <v>23</v>
      </c>
      <c r="O25" s="385" t="str">
        <f>OtherTourDestination!C33</f>
        <v>Beta00023</v>
      </c>
      <c r="P25" s="387">
        <f>OtherTourDestination!E33</f>
        <v>-2.16371815818</v>
      </c>
      <c r="Q25" s="426">
        <f si="0" t="shared"/>
        <v>-2.16371815818</v>
      </c>
    </row>
    <row ht="15.75" r="26" spans="2:23" thickBot="1" x14ac:dyDescent="0.3">
      <c r="B26" s="449">
        <v>30</v>
      </c>
      <c r="C26" s="414" t="s">
        <v>56</v>
      </c>
      <c r="D26" s="466">
        <f si="5" t="shared"/>
        <v>-0.91046169190000004</v>
      </c>
      <c r="M26" s="385" t="str">
        <f>VLOOKUP(N26,Coeff_Descr!$A:$D,3,FALSE)</f>
        <v>ESCORT</v>
      </c>
      <c r="N26" s="385">
        <f>OtherTourDestination!B34</f>
        <v>24</v>
      </c>
      <c r="O26" s="385" t="str">
        <f>OtherTourDestination!C34</f>
        <v>Beta00024</v>
      </c>
      <c r="P26" s="387">
        <f>OtherTourDestination!E34</f>
        <v>0.10429329553199999</v>
      </c>
      <c r="Q26" s="426">
        <f si="0" t="shared"/>
        <v>0.10429329553199999</v>
      </c>
    </row>
    <row r="27" spans="2:23" x14ac:dyDescent="0.25">
      <c r="C27" s="410"/>
      <c r="D27" s="416"/>
      <c r="M27" s="385" t="str">
        <f>VLOOKUP(N27,Coeff_Descr!$A:$D,3,FALSE)</f>
        <v>ESCORT</v>
      </c>
      <c r="N27" s="385">
        <f>OtherTourDestination!B35</f>
        <v>25</v>
      </c>
      <c r="O27" s="385" t="str">
        <f>OtherTourDestination!C35</f>
        <v>Beta00025</v>
      </c>
      <c r="P27" s="387">
        <f>OtherTourDestination!E35</f>
        <v>0</v>
      </c>
      <c r="Q27" s="426">
        <f si="0" t="shared"/>
        <v>0</v>
      </c>
    </row>
    <row r="28" spans="2:23" x14ac:dyDescent="0.25">
      <c r="C28" s="410"/>
      <c r="D28" s="416"/>
      <c r="M28" s="385" t="str">
        <f>VLOOKUP(N28,Coeff_Descr!$A:$D,3,FALSE)</f>
        <v>PERSBUS/MED</v>
      </c>
      <c r="N28" s="385">
        <f>OtherTourDestination!B36</f>
        <v>26</v>
      </c>
      <c r="O28" s="385" t="str">
        <f>OtherTourDestination!C36</f>
        <v>Beta00026</v>
      </c>
      <c r="P28" s="387">
        <f>OtherTourDestination!E36</f>
        <v>0.417326479157</v>
      </c>
      <c r="Q28" s="426">
        <f si="0" t="shared"/>
        <v>0.417326479157</v>
      </c>
    </row>
    <row r="29" spans="2:23" x14ac:dyDescent="0.25">
      <c r="C29" s="409" t="s">
        <v>82</v>
      </c>
      <c r="D29" s="417"/>
      <c r="M29" s="385" t="str">
        <f>VLOOKUP(N29,Coeff_Descr!$A:$D,3,FALSE)</f>
        <v>PERSBUS/MED</v>
      </c>
      <c r="N29" s="427">
        <f>OtherTourDestination!B37</f>
        <v>27</v>
      </c>
      <c r="O29" s="427" t="str">
        <f>OtherTourDestination!C37</f>
        <v>Beta00027</v>
      </c>
      <c r="P29" s="428">
        <f>OtherTourDestination!E37</f>
        <v>-14.8384910501</v>
      </c>
      <c r="Q29" s="429">
        <f si="0" t="shared"/>
        <v>-16.932209240158002</v>
      </c>
      <c r="R29" s="385" t="str">
        <f>VLOOKUP(N29,Coeff_Descr!$A$2:$E$104,4,FALSE)</f>
        <v>distanceFromOrigin4</v>
      </c>
    </row>
    <row r="30" spans="2:23" x14ac:dyDescent="0.25">
      <c r="C30" s="409" t="s">
        <v>107</v>
      </c>
      <c r="D30" s="417"/>
      <c r="M30" s="385" t="str">
        <f>VLOOKUP(N30,Coeff_Descr!$A:$D,3,FALSE)</f>
        <v>PERSBUS/MED</v>
      </c>
      <c r="N30" s="427">
        <f>OtherTourDestination!B38</f>
        <v>28</v>
      </c>
      <c r="O30" s="427" t="str">
        <f>OtherTourDestination!C38</f>
        <v>Beta00028</v>
      </c>
      <c r="P30" s="428">
        <f>OtherTourDestination!E38</f>
        <v>-5.1880432348000003</v>
      </c>
      <c r="Q30" s="429">
        <f si="0" t="shared"/>
        <v>-3.1892203613267904</v>
      </c>
      <c r="R30" s="385" t="str">
        <f>VLOOKUP(N30,Coeff_Descr!$A$2:$E$104,4,FALSE)</f>
        <v>distanceFromOrigin8</v>
      </c>
    </row>
    <row ht="15.75" r="31" spans="2:23" thickBot="1" x14ac:dyDescent="0.3">
      <c r="C31" s="410"/>
      <c r="D31" s="416"/>
      <c r="M31" s="385" t="str">
        <f>VLOOKUP(N31,Coeff_Descr!$A:$D,3,FALSE)</f>
        <v>PERSBUS/MED</v>
      </c>
      <c r="N31" s="427">
        <f>OtherTourDestination!B39</f>
        <v>29</v>
      </c>
      <c r="O31" s="427" t="str">
        <f>OtherTourDestination!C39</f>
        <v>Beta00029</v>
      </c>
      <c r="P31" s="428">
        <f>OtherTourDestination!E39</f>
        <v>-2.6156308707</v>
      </c>
      <c r="Q31" s="429">
        <f si="0" t="shared"/>
        <v>-0.16453753581115604</v>
      </c>
      <c r="R31" s="385" t="str">
        <f>VLOOKUP(N31,Coeff_Descr!$A$2:$E$104,4,FALSE)</f>
        <v>distanceFromOrigin9</v>
      </c>
    </row>
    <row r="32" spans="2:23" x14ac:dyDescent="0.25">
      <c r="B32" s="447" t="s">
        <v>259</v>
      </c>
      <c r="C32" s="411" t="s">
        <v>91</v>
      </c>
      <c r="D32" s="412"/>
      <c r="M32" s="385" t="str">
        <f>VLOOKUP(N32,Coeff_Descr!$A:$D,3,FALSE)</f>
        <v>PERSBUS/MED</v>
      </c>
      <c r="N32" s="427">
        <f>OtherTourDestination!B40</f>
        <v>30</v>
      </c>
      <c r="O32" s="427" t="str">
        <f>OtherTourDestination!C40</f>
        <v>Beta00030</v>
      </c>
      <c r="P32" s="428">
        <f>OtherTourDestination!E40</f>
        <v>-0.91046169190000004</v>
      </c>
      <c r="Q32" s="429">
        <f si="0" t="shared"/>
        <v>0.94798736872033029</v>
      </c>
      <c r="R32" s="385" t="str">
        <f>VLOOKUP(N32,Coeff_Descr!$A$2:$E$104,4,FALSE)</f>
        <v>distanceFromOrigin3</v>
      </c>
    </row>
    <row r="33" spans="2:17" x14ac:dyDescent="0.25">
      <c r="B33" s="448">
        <f>B23</f>
        <v>27</v>
      </c>
      <c r="C33" s="391" t="s">
        <v>47</v>
      </c>
      <c r="D33" s="467">
        <f>K12</f>
        <v>-2.0937181900580013</v>
      </c>
      <c r="M33" s="385" t="str">
        <f>VLOOKUP(N33,Coeff_Descr!$A:$D,3,FALSE)</f>
        <v>PERSBUS/MED</v>
      </c>
      <c r="N33" s="385">
        <f>OtherTourDestination!B41</f>
        <v>31</v>
      </c>
      <c r="O33" s="385" t="str">
        <f>OtherTourDestination!C41</f>
        <v>Beta00031</v>
      </c>
      <c r="P33" s="387">
        <f>OtherTourDestination!E41</f>
        <v>5.7553461640599997E-2</v>
      </c>
      <c r="Q33" s="426">
        <f si="0" t="shared"/>
        <v>5.7553461640599997E-2</v>
      </c>
    </row>
    <row r="34" spans="2:17" x14ac:dyDescent="0.25">
      <c r="B34" s="448">
        <f ref="B34:B36" si="6" t="shared">B24</f>
        <v>28</v>
      </c>
      <c r="C34" s="394" t="s">
        <v>50</v>
      </c>
      <c r="D34" s="468">
        <f ref="D34:D36" si="7" t="shared">K13</f>
        <v>1.9988228734732101</v>
      </c>
      <c r="M34" s="385" t="str">
        <f>VLOOKUP(N34,Coeff_Descr!$A:$D,3,FALSE)</f>
        <v>PERSBUS/MED</v>
      </c>
      <c r="N34" s="385">
        <f>OtherTourDestination!B42</f>
        <v>32</v>
      </c>
      <c r="O34" s="385" t="str">
        <f>OtherTourDestination!C42</f>
        <v>Beta00032</v>
      </c>
      <c r="P34" s="387">
        <f>OtherTourDestination!E42</f>
        <v>0.237798002151</v>
      </c>
      <c r="Q34" s="426">
        <f si="0" t="shared"/>
        <v>0.237798002151</v>
      </c>
    </row>
    <row r="35" spans="2:17" x14ac:dyDescent="0.25">
      <c r="B35" s="448">
        <f si="6" t="shared"/>
        <v>29</v>
      </c>
      <c r="C35" s="394" t="s">
        <v>53</v>
      </c>
      <c r="D35" s="468">
        <f si="7" t="shared"/>
        <v>2.451093334888844</v>
      </c>
      <c r="G35" s="418"/>
      <c r="H35" s="418"/>
      <c r="I35" s="418"/>
      <c r="J35" s="418"/>
      <c r="K35" s="418"/>
      <c r="M35" s="385" t="str">
        <f>VLOOKUP(N35,Coeff_Descr!$A:$D,3,FALSE)</f>
        <v>PERSBUS/MED</v>
      </c>
      <c r="N35" s="385">
        <f>OtherTourDestination!B43</f>
        <v>33</v>
      </c>
      <c r="O35" s="385" t="str">
        <f>OtherTourDestination!C43</f>
        <v>Beta00033</v>
      </c>
      <c r="P35" s="387">
        <f>OtherTourDestination!E43</f>
        <v>0</v>
      </c>
      <c r="Q35" s="426">
        <f si="0" t="shared"/>
        <v>0</v>
      </c>
    </row>
    <row ht="15.75" r="36" spans="2:17" thickBot="1" x14ac:dyDescent="0.3">
      <c r="B36" s="450">
        <f si="6" t="shared"/>
        <v>30</v>
      </c>
      <c r="C36" s="414" t="s">
        <v>56</v>
      </c>
      <c r="D36" s="415">
        <f si="7" t="shared"/>
        <v>1.8584490606203303</v>
      </c>
      <c r="G36" s="419"/>
      <c r="H36" s="419"/>
      <c r="I36" s="419"/>
      <c r="J36" s="419"/>
      <c r="K36" s="419"/>
      <c r="M36" s="385" t="str">
        <f>VLOOKUP(N36,Coeff_Descr!$A:$D,3,FALSE)</f>
        <v>PERSBUS/MED</v>
      </c>
      <c r="N36" s="385">
        <f>OtherTourDestination!B44</f>
        <v>34</v>
      </c>
      <c r="O36" s="385" t="str">
        <f>OtherTourDestination!C44</f>
        <v>Beta00034</v>
      </c>
      <c r="P36" s="387">
        <f>OtherTourDestination!E44</f>
        <v>0</v>
      </c>
      <c r="Q36" s="426">
        <f si="0" t="shared"/>
        <v>0</v>
      </c>
    </row>
    <row ht="15.75" r="37" spans="2:17" thickTop="1" x14ac:dyDescent="0.25">
      <c r="C37" s="410"/>
      <c r="D37" s="413"/>
      <c r="M37" s="385" t="str">
        <f>VLOOKUP(N37,Coeff_Descr!$A:$D,3,FALSE)</f>
        <v>PERSBUS/MED</v>
      </c>
      <c r="N37" s="385">
        <f>OtherTourDestination!B45</f>
        <v>35</v>
      </c>
      <c r="O37" s="385" t="str">
        <f>OtherTourDestination!C45</f>
        <v>Beta00035</v>
      </c>
      <c r="P37" s="387">
        <f>OtherTourDestination!E45</f>
        <v>0</v>
      </c>
      <c r="Q37" s="426">
        <f si="0" t="shared"/>
        <v>0</v>
      </c>
    </row>
    <row r="38" spans="2:17" x14ac:dyDescent="0.25">
      <c r="C38" s="410"/>
      <c r="D38" s="413"/>
      <c r="M38" s="385" t="str">
        <f>VLOOKUP(N38,Coeff_Descr!$A:$D,3,FALSE)</f>
        <v>SHOP</v>
      </c>
      <c r="N38" s="385">
        <f>OtherTourDestination!B46</f>
        <v>36</v>
      </c>
      <c r="O38" s="385" t="str">
        <f>OtherTourDestination!C46</f>
        <v>Beta00036</v>
      </c>
      <c r="P38" s="387">
        <f>OtherTourDestination!E46</f>
        <v>0.61259135262599995</v>
      </c>
      <c r="Q38" s="426">
        <f si="0" t="shared"/>
        <v>0.61259135262599995</v>
      </c>
    </row>
    <row r="39" spans="2:17" x14ac:dyDescent="0.25">
      <c r="C39" s="409" t="s">
        <v>82</v>
      </c>
      <c r="D39" s="420"/>
      <c r="M39" s="385" t="str">
        <f>VLOOKUP(N39,Coeff_Descr!$A:$D,3,FALSE)</f>
        <v>SHOP</v>
      </c>
      <c r="N39" s="422">
        <f>OtherTourDestination!B47</f>
        <v>37</v>
      </c>
      <c r="O39" s="422" t="str">
        <f>OtherTourDestination!C47</f>
        <v>Beta00037</v>
      </c>
      <c r="P39" s="464">
        <f>OtherTourDestination!E47</f>
        <v>-20.810228388700001</v>
      </c>
      <c r="Q39" s="426">
        <f si="0" t="shared"/>
        <v>-20.810228388700001</v>
      </c>
    </row>
    <row r="40" spans="2:17" x14ac:dyDescent="0.25">
      <c r="C40" s="409" t="s">
        <v>125</v>
      </c>
      <c r="D40" s="420"/>
      <c r="M40" s="385" t="str">
        <f>VLOOKUP(N40,Coeff_Descr!$A:$D,3,FALSE)</f>
        <v>SHOP</v>
      </c>
      <c r="N40" s="422">
        <f>OtherTourDestination!B48</f>
        <v>38</v>
      </c>
      <c r="O40" s="422" t="str">
        <f>OtherTourDestination!C48</f>
        <v>Beta00038</v>
      </c>
      <c r="P40" s="464">
        <f>OtherTourDestination!E48</f>
        <v>-7.1836373472300004</v>
      </c>
      <c r="Q40" s="426">
        <f si="0" t="shared"/>
        <v>-7.1836373472300004</v>
      </c>
    </row>
    <row ht="15.75" r="41" spans="2:17" thickBot="1" x14ac:dyDescent="0.3">
      <c r="B41" s="451"/>
      <c r="C41" s="410"/>
      <c r="D41" s="413"/>
      <c r="M41" s="385" t="str">
        <f>VLOOKUP(N41,Coeff_Descr!$A:$D,3,FALSE)</f>
        <v>SHOP</v>
      </c>
      <c r="N41" s="422">
        <f>OtherTourDestination!B49</f>
        <v>39</v>
      </c>
      <c r="O41" s="422" t="str">
        <f>OtherTourDestination!C49</f>
        <v>Beta00039</v>
      </c>
      <c r="P41" s="464">
        <f>OtherTourDestination!E49</f>
        <v>-3.6600975390500001</v>
      </c>
      <c r="Q41" s="426">
        <f si="0" t="shared"/>
        <v>-3.6600975390500001</v>
      </c>
    </row>
    <row r="42" spans="2:17" x14ac:dyDescent="0.25">
      <c r="B42" s="447" t="s">
        <v>259</v>
      </c>
      <c r="C42" s="411" t="s">
        <v>91</v>
      </c>
      <c r="D42" s="421"/>
      <c r="M42" s="385" t="str">
        <f>VLOOKUP(N42,Coeff_Descr!$A:$D,3,FALSE)</f>
        <v>SHOP</v>
      </c>
      <c r="N42" s="422">
        <f>OtherTourDestination!B50</f>
        <v>40</v>
      </c>
      <c r="O42" s="422" t="str">
        <f>OtherTourDestination!C50</f>
        <v>Beta00040</v>
      </c>
      <c r="P42" s="464">
        <f>OtherTourDestination!E50</f>
        <v>-1.3605457273599999</v>
      </c>
      <c r="Q42" s="426">
        <f si="0" t="shared"/>
        <v>-1.3605457273599999</v>
      </c>
    </row>
    <row r="43" spans="2:17" x14ac:dyDescent="0.25">
      <c r="B43" s="448">
        <f>B33</f>
        <v>27</v>
      </c>
      <c r="C43" s="391" t="s">
        <v>47</v>
      </c>
      <c r="D43" s="469">
        <f>D23+D33</f>
        <v>-16.932209240158002</v>
      </c>
      <c r="M43" s="385" t="str">
        <f>VLOOKUP(N43,Coeff_Descr!$A:$D,3,FALSE)</f>
        <v>SHOP</v>
      </c>
      <c r="N43" s="385">
        <f>OtherTourDestination!B51</f>
        <v>41</v>
      </c>
      <c r="O43" s="385" t="str">
        <f>OtherTourDestination!C51</f>
        <v>Beta00041</v>
      </c>
      <c r="P43" s="387">
        <f>OtherTourDestination!E51</f>
        <v>-0.22141031751900001</v>
      </c>
      <c r="Q43" s="426">
        <f si="0" t="shared"/>
        <v>-0.22141031751900001</v>
      </c>
    </row>
    <row r="44" spans="2:17" x14ac:dyDescent="0.25">
      <c r="B44" s="448">
        <f ref="B44:B46" si="8" t="shared">B34</f>
        <v>28</v>
      </c>
      <c r="C44" s="394" t="s">
        <v>50</v>
      </c>
      <c r="D44" s="469">
        <f ref="D44:D46" si="9" t="shared">D24+D34</f>
        <v>-3.1892203613267904</v>
      </c>
      <c r="M44" s="385" t="str">
        <f>VLOOKUP(N44,Coeff_Descr!$A:$D,3,FALSE)</f>
        <v>SHOP</v>
      </c>
      <c r="N44" s="385">
        <f>OtherTourDestination!B52</f>
        <v>42</v>
      </c>
      <c r="O44" s="385" t="str">
        <f>OtherTourDestination!C52</f>
        <v>Beta00042</v>
      </c>
      <c r="P44" s="387">
        <f>OtherTourDestination!E52</f>
        <v>0.64228876129599999</v>
      </c>
      <c r="Q44" s="426">
        <f si="0" t="shared"/>
        <v>0.64228876129599999</v>
      </c>
    </row>
    <row r="45" spans="2:17" x14ac:dyDescent="0.25">
      <c r="B45" s="448">
        <f si="8" t="shared"/>
        <v>29</v>
      </c>
      <c r="C45" s="394" t="s">
        <v>53</v>
      </c>
      <c r="D45" s="469">
        <f si="9" t="shared"/>
        <v>-0.16453753581115604</v>
      </c>
      <c r="M45" s="385" t="str">
        <f>VLOOKUP(N45,Coeff_Descr!$A:$D,3,FALSE)</f>
        <v>MEAL</v>
      </c>
      <c r="N45" s="385">
        <f>OtherTourDestination!B53</f>
        <v>43</v>
      </c>
      <c r="O45" s="385" t="str">
        <f>OtherTourDestination!C53</f>
        <v>Beta00043</v>
      </c>
      <c r="P45" s="387">
        <f>OtherTourDestination!E53</f>
        <v>0.74588429254199995</v>
      </c>
      <c r="Q45" s="426">
        <f si="0" t="shared"/>
        <v>0.74588429254199995</v>
      </c>
    </row>
    <row ht="15.75" r="46" spans="2:17" thickBot="1" x14ac:dyDescent="0.3">
      <c r="B46" s="450">
        <f si="8" t="shared"/>
        <v>30</v>
      </c>
      <c r="C46" s="414" t="s">
        <v>56</v>
      </c>
      <c r="D46" s="470">
        <f si="9" t="shared"/>
        <v>0.94798736872033029</v>
      </c>
      <c r="M46" s="385" t="str">
        <f>VLOOKUP(N46,Coeff_Descr!$A:$D,3,FALSE)</f>
        <v>MEAL</v>
      </c>
      <c r="N46" s="385">
        <f>OtherTourDestination!B54</f>
        <v>44</v>
      </c>
      <c r="O46" s="385" t="str">
        <f>OtherTourDestination!C54</f>
        <v>Beta00044</v>
      </c>
      <c r="P46" s="387">
        <f>OtherTourDestination!E54</f>
        <v>-32.156094092099998</v>
      </c>
      <c r="Q46" s="426">
        <f si="0" t="shared"/>
        <v>-32.156094092099998</v>
      </c>
    </row>
    <row ht="15.75" r="47" spans="2:17" thickTop="1" x14ac:dyDescent="0.25">
      <c r="M47" s="385" t="str">
        <f>VLOOKUP(N47,Coeff_Descr!$A:$D,3,FALSE)</f>
        <v>MEAL</v>
      </c>
      <c r="N47" s="385">
        <f>OtherTourDestination!B55</f>
        <v>45</v>
      </c>
      <c r="O47" s="385" t="str">
        <f>OtherTourDestination!C55</f>
        <v>Beta00045</v>
      </c>
      <c r="P47" s="387">
        <f>OtherTourDestination!E55</f>
        <v>-7.5551873767200002</v>
      </c>
      <c r="Q47" s="426">
        <f si="0" t="shared"/>
        <v>-7.5551873767200002</v>
      </c>
    </row>
    <row r="48" spans="2:17" x14ac:dyDescent="0.25">
      <c r="M48" s="385" t="str">
        <f>VLOOKUP(N48,Coeff_Descr!$A:$D,3,FALSE)</f>
        <v>MEAL</v>
      </c>
      <c r="N48" s="385">
        <f>OtherTourDestination!B56</f>
        <v>46</v>
      </c>
      <c r="O48" s="385" t="str">
        <f>OtherTourDestination!C56</f>
        <v>Beta00046</v>
      </c>
      <c r="P48" s="387">
        <f>OtherTourDestination!E56</f>
        <v>-3.4784098231399998</v>
      </c>
      <c r="Q48" s="426">
        <f si="0" t="shared"/>
        <v>-3.4784098231399998</v>
      </c>
    </row>
    <row r="49" spans="13:17" x14ac:dyDescent="0.25">
      <c r="M49" s="385" t="str">
        <f>VLOOKUP(N49,Coeff_Descr!$A:$D,3,FALSE)</f>
        <v>MEAL</v>
      </c>
      <c r="N49" s="385">
        <f>OtherTourDestination!B57</f>
        <v>47</v>
      </c>
      <c r="O49" s="385" t="str">
        <f>OtherTourDestination!C57</f>
        <v>Beta00047</v>
      </c>
      <c r="P49" s="387">
        <f>OtherTourDestination!E57</f>
        <v>-0.79171784712299997</v>
      </c>
      <c r="Q49" s="426">
        <f si="0" t="shared"/>
        <v>-0.79171784712299997</v>
      </c>
    </row>
    <row r="50" spans="13:17" x14ac:dyDescent="0.25">
      <c r="M50" s="385" t="str">
        <f>VLOOKUP(N50,Coeff_Descr!$A:$D,3,FALSE)</f>
        <v>MEAL</v>
      </c>
      <c r="N50" s="385">
        <f>OtherTourDestination!B58</f>
        <v>48</v>
      </c>
      <c r="O50" s="385" t="str">
        <f>OtherTourDestination!C58</f>
        <v>Beta00048</v>
      </c>
      <c r="P50" s="387">
        <f>OtherTourDestination!E58</f>
        <v>0.65760260093900003</v>
      </c>
      <c r="Q50" s="426">
        <f si="0" t="shared"/>
        <v>0.65760260093900003</v>
      </c>
    </row>
    <row r="51" spans="13:17" x14ac:dyDescent="0.25">
      <c r="M51" s="385" t="str">
        <f>VLOOKUP(N51,Coeff_Descr!$A:$D,3,FALSE)</f>
        <v>SOCREC</v>
      </c>
      <c r="N51" s="385">
        <f>OtherTourDestination!B59</f>
        <v>49</v>
      </c>
      <c r="O51" s="385" t="str">
        <f>OtherTourDestination!C59</f>
        <v>Beta00049</v>
      </c>
      <c r="P51" s="387">
        <f>OtherTourDestination!E59</f>
        <v>0.201576719663</v>
      </c>
      <c r="Q51" s="426">
        <f si="0" t="shared"/>
        <v>0.201576719663</v>
      </c>
    </row>
    <row r="52" spans="13:17" x14ac:dyDescent="0.25">
      <c r="M52" s="385" t="str">
        <f>VLOOKUP(N52,Coeff_Descr!$A:$D,3,FALSE)</f>
        <v>SOCREC</v>
      </c>
      <c r="N52" s="422">
        <f>OtherTourDestination!B60</f>
        <v>50</v>
      </c>
      <c r="O52" s="422" t="str">
        <f>OtherTourDestination!C60</f>
        <v>Beta00050</v>
      </c>
      <c r="P52" s="464">
        <f>OtherTourDestination!E60</f>
        <v>-28.552058518999999</v>
      </c>
      <c r="Q52" s="426">
        <f si="0" t="shared"/>
        <v>-28.552058518999999</v>
      </c>
    </row>
    <row r="53" spans="13:17" x14ac:dyDescent="0.25">
      <c r="M53" s="385" t="str">
        <f>VLOOKUP(N53,Coeff_Descr!$A:$D,3,FALSE)</f>
        <v>SOCREC</v>
      </c>
      <c r="N53" s="422">
        <f>OtherTourDestination!B61</f>
        <v>51</v>
      </c>
      <c r="O53" s="422" t="str">
        <f>OtherTourDestination!C61</f>
        <v>Beta00051</v>
      </c>
      <c r="P53" s="464">
        <f>OtherTourDestination!E61</f>
        <v>-7.25833529236</v>
      </c>
      <c r="Q53" s="426">
        <f si="0" t="shared"/>
        <v>-7.25833529236</v>
      </c>
    </row>
    <row r="54" spans="13:17" x14ac:dyDescent="0.25">
      <c r="M54" s="385" t="str">
        <f>VLOOKUP(N54,Coeff_Descr!$A:$D,3,FALSE)</f>
        <v>SOCREC</v>
      </c>
      <c r="N54" s="422">
        <f>OtherTourDestination!B62</f>
        <v>52</v>
      </c>
      <c r="O54" s="422" t="str">
        <f>OtherTourDestination!C62</f>
        <v>Beta00052</v>
      </c>
      <c r="P54" s="464">
        <f>OtherTourDestination!E62</f>
        <v>-2.64524710889</v>
      </c>
      <c r="Q54" s="426">
        <f si="0" t="shared"/>
        <v>-2.64524710889</v>
      </c>
    </row>
    <row r="55" spans="13:17" x14ac:dyDescent="0.25">
      <c r="M55" s="385" t="str">
        <f>VLOOKUP(N55,Coeff_Descr!$A:$D,3,FALSE)</f>
        <v>SOCREC</v>
      </c>
      <c r="N55" s="422">
        <f>OtherTourDestination!B63</f>
        <v>53</v>
      </c>
      <c r="O55" s="422" t="str">
        <f>OtherTourDestination!C63</f>
        <v>Beta00053</v>
      </c>
      <c r="P55" s="464">
        <f>OtherTourDestination!E63</f>
        <v>-0.76461618005800003</v>
      </c>
      <c r="Q55" s="426">
        <f si="0" t="shared"/>
        <v>-0.76461618005800003</v>
      </c>
    </row>
    <row r="56" spans="13:17" x14ac:dyDescent="0.25">
      <c r="M56" s="385" t="str">
        <f>VLOOKUP(N56,Coeff_Descr!$A:$D,3,FALSE)</f>
        <v>SOCREC</v>
      </c>
      <c r="N56" s="385">
        <f>OtherTourDestination!B64</f>
        <v>54</v>
      </c>
      <c r="O56" s="385" t="str">
        <f>OtherTourDestination!C64</f>
        <v>Beta00054</v>
      </c>
      <c r="P56" s="387">
        <f>OtherTourDestination!E64</f>
        <v>0.20818008309700001</v>
      </c>
      <c r="Q56" s="426">
        <f si="0" t="shared"/>
        <v>0.20818008309700001</v>
      </c>
    </row>
    <row r="57" spans="13:17" x14ac:dyDescent="0.25">
      <c r="M57" s="385" t="str">
        <f>VLOOKUP(N57,Coeff_Descr!$A:$D,3,FALSE)</f>
        <v>SOCREC</v>
      </c>
      <c r="N57" s="385">
        <f>OtherTourDestination!B65</f>
        <v>55</v>
      </c>
      <c r="O57" s="385" t="str">
        <f>OtherTourDestination!C65</f>
        <v>Beta00055</v>
      </c>
      <c r="P57" s="387">
        <f>OtherTourDestination!E65</f>
        <v>0.42522231451499998</v>
      </c>
      <c r="Q57" s="426">
        <f si="0" t="shared"/>
        <v>0.42522231451499998</v>
      </c>
    </row>
    <row r="58" spans="13:17" x14ac:dyDescent="0.25">
      <c r="M58" s="385" t="str">
        <f>VLOOKUP(N58,Coeff_Descr!$A:$D,3,FALSE)</f>
        <v>SOCREC</v>
      </c>
      <c r="N58" s="385">
        <f>OtherTourDestination!B66</f>
        <v>56</v>
      </c>
      <c r="O58" s="385" t="str">
        <f>OtherTourDestination!C66</f>
        <v>Beta00056</v>
      </c>
      <c r="P58" s="387">
        <f>OtherTourDestination!E66</f>
        <v>-0.743588483327</v>
      </c>
      <c r="Q58" s="426">
        <f si="0" t="shared"/>
        <v>-0.743588483327</v>
      </c>
    </row>
    <row r="59" spans="13:17" x14ac:dyDescent="0.25">
      <c r="M59" s="385" t="str">
        <f>VLOOKUP(N59,Coeff_Descr!$A:$D,3,FALSE)</f>
        <v>SOCREC</v>
      </c>
      <c r="N59" s="385">
        <f>OtherTourDestination!B67</f>
        <v>57</v>
      </c>
      <c r="O59" s="385" t="str">
        <f>OtherTourDestination!C67</f>
        <v>Beta00057</v>
      </c>
      <c r="P59" s="387">
        <f>OtherTourDestination!E67</f>
        <v>6.2100000000000002E-2</v>
      </c>
      <c r="Q59" s="426">
        <f si="0" t="shared"/>
        <v>6.2100000000000002E-2</v>
      </c>
    </row>
    <row r="60" spans="13:17" x14ac:dyDescent="0.25">
      <c r="M60" s="385">
        <f>VLOOKUP(N60,Coeff_Descr!$A:$D,3,FALSE)</f>
        <v>0</v>
      </c>
      <c r="N60" s="385">
        <f>OtherTourDestination!B68</f>
        <v>118</v>
      </c>
      <c r="O60" s="385" t="str">
        <f>OtherTourDestination!C68</f>
        <v>Beta00118</v>
      </c>
      <c r="P60" s="387">
        <f>OtherTourDestination!E68</f>
        <v>-3</v>
      </c>
      <c r="Q60" s="426">
        <f si="0" t="shared"/>
        <v>-3</v>
      </c>
    </row>
    <row r="61" spans="13:17" x14ac:dyDescent="0.25">
      <c r="M61" s="385" t="str">
        <f>VLOOKUP(N61,Coeff_Descr!$A:$D,3,FALSE)</f>
        <v>ESCORT</v>
      </c>
      <c r="N61" s="385">
        <f>OtherTourDestination!B69</f>
        <v>70</v>
      </c>
      <c r="O61" s="385" t="str">
        <f>OtherTourDestination!C69</f>
        <v>LSM_0070</v>
      </c>
      <c r="P61" s="387">
        <f>OtherTourDestination!E69</f>
        <v>0.29394695214400002</v>
      </c>
      <c r="Q61" s="426">
        <f si="0" t="shared"/>
        <v>0.29394695214400002</v>
      </c>
    </row>
    <row r="62" spans="13:17" x14ac:dyDescent="0.25">
      <c r="M62" s="385" t="str">
        <f>VLOOKUP(N62,Coeff_Descr!$A:$D,3,FALSE)</f>
        <v>ESCORT</v>
      </c>
      <c r="N62" s="385">
        <f>OtherTourDestination!B70</f>
        <v>71</v>
      </c>
      <c r="O62" s="385" t="str">
        <f>OtherTourDestination!C70</f>
        <v>Gamma071</v>
      </c>
      <c r="P62" s="387">
        <f>OtherTourDestination!E70</f>
        <v>0</v>
      </c>
      <c r="Q62" s="426">
        <f si="0" t="shared"/>
        <v>0</v>
      </c>
    </row>
    <row r="63" spans="13:17" x14ac:dyDescent="0.25">
      <c r="M63" s="385" t="str">
        <f>VLOOKUP(N63,Coeff_Descr!$A:$D,3,FALSE)</f>
        <v>ESCORT</v>
      </c>
      <c r="N63" s="385">
        <f>OtherTourDestination!B71</f>
        <v>72</v>
      </c>
      <c r="O63" s="385" t="str">
        <f>OtherTourDestination!C71</f>
        <v>Gamma072</v>
      </c>
      <c r="P63" s="387">
        <f>OtherTourDestination!E71</f>
        <v>-6.2798471793299999</v>
      </c>
      <c r="Q63" s="426">
        <f si="0" t="shared"/>
        <v>-6.2798471793299999</v>
      </c>
    </row>
    <row r="64" spans="13:17" x14ac:dyDescent="0.25">
      <c r="M64" s="385" t="str">
        <f>VLOOKUP(N64,Coeff_Descr!$A:$D,3,FALSE)</f>
        <v>ESCORT</v>
      </c>
      <c r="N64" s="385">
        <f>OtherTourDestination!B72</f>
        <v>73</v>
      </c>
      <c r="O64" s="385" t="str">
        <f>OtherTourDestination!C72</f>
        <v>Gamma073</v>
      </c>
      <c r="P64" s="387">
        <f>OtherTourDestination!E72</f>
        <v>3.2962256518299999</v>
      </c>
      <c r="Q64" s="426">
        <f si="0" t="shared"/>
        <v>3.2962256518299999</v>
      </c>
    </row>
    <row r="65" spans="13:17" x14ac:dyDescent="0.25">
      <c r="M65" s="385" t="str">
        <f>VLOOKUP(N65,Coeff_Descr!$A:$D,3,FALSE)</f>
        <v>ESCORT</v>
      </c>
      <c r="N65" s="385">
        <f>OtherTourDestination!B73</f>
        <v>74</v>
      </c>
      <c r="O65" s="385" t="str">
        <f>OtherTourDestination!C73</f>
        <v>Gamma074</v>
      </c>
      <c r="P65" s="387">
        <f>OtherTourDestination!E73</f>
        <v>-5.4150639062700003</v>
      </c>
      <c r="Q65" s="426">
        <f si="0" t="shared"/>
        <v>-5.4150639062700003</v>
      </c>
    </row>
    <row r="66" spans="13:17" x14ac:dyDescent="0.25">
      <c r="M66" s="385" t="str">
        <f>VLOOKUP(N66,Coeff_Descr!$A:$D,3,FALSE)</f>
        <v>ESCORT</v>
      </c>
      <c r="N66" s="385">
        <f>OtherTourDestination!B74</f>
        <v>75</v>
      </c>
      <c r="O66" s="385" t="str">
        <f>OtherTourDestination!C74</f>
        <v>Gamma075</v>
      </c>
      <c r="P66" s="387">
        <f>OtherTourDestination!E74</f>
        <v>-5.94820877094</v>
      </c>
      <c r="Q66" s="426">
        <f si="0" t="shared"/>
        <v>-5.94820877094</v>
      </c>
    </row>
    <row r="67" spans="13:17" x14ac:dyDescent="0.25">
      <c r="M67" s="385" t="str">
        <f>VLOOKUP(N67,Coeff_Descr!$A:$D,3,FALSE)</f>
        <v>ESCORT</v>
      </c>
      <c r="N67" s="385">
        <f>OtherTourDestination!B75</f>
        <v>76</v>
      </c>
      <c r="O67" s="385" t="str">
        <f>OtherTourDestination!C75</f>
        <v>Gamma076</v>
      </c>
      <c r="P67" s="387">
        <f>OtherTourDestination!E75</f>
        <v>-4.8479831726300002</v>
      </c>
      <c r="Q67" s="426">
        <f si="0" t="shared"/>
        <v>-4.8479831726300002</v>
      </c>
    </row>
    <row r="68" spans="13:17" x14ac:dyDescent="0.25">
      <c r="M68" s="385" t="str">
        <f>VLOOKUP(N68,Coeff_Descr!$A:$D,3,FALSE)</f>
        <v>ESCORT</v>
      </c>
      <c r="N68" s="385">
        <f>OtherTourDestination!B76</f>
        <v>77</v>
      </c>
      <c r="O68" s="385" t="str">
        <f>OtherTourDestination!C76</f>
        <v>Gamma077</v>
      </c>
      <c r="P68" s="387">
        <f>OtherTourDestination!E76</f>
        <v>-5.4883496585599998</v>
      </c>
      <c r="Q68" s="426">
        <f si="0" t="shared"/>
        <v>-5.4883496585599998</v>
      </c>
    </row>
    <row r="69" spans="13:17" x14ac:dyDescent="0.25">
      <c r="M69" s="385" t="str">
        <f>VLOOKUP(N69,Coeff_Descr!$A:$D,3,FALSE)</f>
        <v>ESCORT</v>
      </c>
      <c r="N69" s="385">
        <f>OtherTourDestination!B77</f>
        <v>78</v>
      </c>
      <c r="O69" s="385" t="str">
        <f>OtherTourDestination!C77</f>
        <v>Gamma078</v>
      </c>
      <c r="P69" s="387">
        <f>OtherTourDestination!E77</f>
        <v>-6.9308352438999998</v>
      </c>
      <c r="Q69" s="426">
        <f ref="Q69:Q104" si="10" t="shared">_xlfn.IFNA(VLOOKUP(N69,$B$43:$D$46,3,FALSE),P69)</f>
        <v>-6.9308352438999998</v>
      </c>
    </row>
    <row r="70" spans="13:17" x14ac:dyDescent="0.25">
      <c r="M70" s="385" t="str">
        <f>VLOOKUP(N70,Coeff_Descr!$A:$D,3,FALSE)</f>
        <v>ESCORT</v>
      </c>
      <c r="N70" s="385">
        <f>OtherTourDestination!B78</f>
        <v>79</v>
      </c>
      <c r="O70" s="385" t="str">
        <f>OtherTourDestination!C78</f>
        <v>Gamma079</v>
      </c>
      <c r="P70" s="387">
        <f>OtherTourDestination!E78</f>
        <v>-22.404820174200001</v>
      </c>
      <c r="Q70" s="426">
        <f si="10" t="shared"/>
        <v>-22.404820174200001</v>
      </c>
    </row>
    <row r="71" spans="13:17" x14ac:dyDescent="0.25">
      <c r="M71" s="385" t="str">
        <f>VLOOKUP(N71,Coeff_Descr!$A:$D,3,FALSE)</f>
        <v>ESCORT</v>
      </c>
      <c r="N71" s="385">
        <f>OtherTourDestination!B79</f>
        <v>80</v>
      </c>
      <c r="O71" s="385" t="str">
        <f>OtherTourDestination!C79</f>
        <v>Gamma080</v>
      </c>
      <c r="P71" s="387">
        <f>OtherTourDestination!E79</f>
        <v>-2.8929233973800002</v>
      </c>
      <c r="Q71" s="426">
        <f si="10" t="shared"/>
        <v>-2.8929233973800002</v>
      </c>
    </row>
    <row r="72" spans="13:17" x14ac:dyDescent="0.25">
      <c r="M72" s="385" t="str">
        <f>VLOOKUP(N72,Coeff_Descr!$A:$D,3,FALSE)</f>
        <v>ESCORT</v>
      </c>
      <c r="N72" s="385">
        <f>OtherTourDestination!B80</f>
        <v>81</v>
      </c>
      <c r="O72" s="385" t="str">
        <f>OtherTourDestination!C80</f>
        <v>Gamma081</v>
      </c>
      <c r="P72" s="387">
        <f>OtherTourDestination!E80</f>
        <v>-2.5610724948299999</v>
      </c>
      <c r="Q72" s="426">
        <f si="10" t="shared"/>
        <v>-2.5610724948299999</v>
      </c>
    </row>
    <row r="73" spans="13:17" x14ac:dyDescent="0.25">
      <c r="M73" s="385" t="str">
        <f>VLOOKUP(N73,Coeff_Descr!$A:$D,3,FALSE)</f>
        <v>ESCORT</v>
      </c>
      <c r="N73" s="385">
        <f>OtherTourDestination!B81</f>
        <v>82</v>
      </c>
      <c r="O73" s="385" t="str">
        <f>OtherTourDestination!C81</f>
        <v>Gamma082</v>
      </c>
      <c r="P73" s="387">
        <f>OtherTourDestination!E81</f>
        <v>-6.7871010869299999</v>
      </c>
      <c r="Q73" s="426">
        <f si="10" t="shared"/>
        <v>-6.7871010869299999</v>
      </c>
    </row>
    <row r="74" spans="13:17" x14ac:dyDescent="0.25">
      <c r="M74" s="385" t="str">
        <f>VLOOKUP(N74,Coeff_Descr!$A:$D,3,FALSE)</f>
        <v>ESCORT</v>
      </c>
      <c r="N74" s="385">
        <f>OtherTourDestination!B82</f>
        <v>83</v>
      </c>
      <c r="O74" s="385" t="str">
        <f>OtherTourDestination!C82</f>
        <v>Gamma083</v>
      </c>
      <c r="P74" s="387">
        <f>OtherTourDestination!E82</f>
        <v>-7.1983706387300002</v>
      </c>
      <c r="Q74" s="426">
        <f si="10" t="shared"/>
        <v>-7.1983706387300002</v>
      </c>
    </row>
    <row r="75" spans="13:17" x14ac:dyDescent="0.25">
      <c r="M75" s="385" t="str">
        <f>VLOOKUP(N75,Coeff_Descr!$A:$D,3,FALSE)</f>
        <v>ESCORT</v>
      </c>
      <c r="N75" s="385">
        <f>OtherTourDestination!B83</f>
        <v>84</v>
      </c>
      <c r="O75" s="385" t="str">
        <f>OtherTourDestination!C83</f>
        <v>Gamma084</v>
      </c>
      <c r="P75" s="387">
        <f>OtherTourDestination!E83</f>
        <v>-6.5584328775399996</v>
      </c>
      <c r="Q75" s="426">
        <f si="10" t="shared"/>
        <v>-6.5584328775399996</v>
      </c>
    </row>
    <row r="76" spans="13:17" x14ac:dyDescent="0.25">
      <c r="M76" s="385" t="str">
        <f>VLOOKUP(N76,Coeff_Descr!$A:$D,3,FALSE)</f>
        <v>ESCORT</v>
      </c>
      <c r="N76" s="385">
        <f>OtherTourDestination!B84</f>
        <v>85</v>
      </c>
      <c r="O76" s="385" t="str">
        <f>OtherTourDestination!C84</f>
        <v>Gamma085</v>
      </c>
      <c r="P76" s="387">
        <f>OtherTourDestination!E84</f>
        <v>-7.3832576457999997</v>
      </c>
      <c r="Q76" s="426">
        <f si="10" t="shared"/>
        <v>-7.3832576457999997</v>
      </c>
    </row>
    <row r="77" spans="13:17" x14ac:dyDescent="0.25">
      <c r="M77" s="385" t="str">
        <f>VLOOKUP(N77,Coeff_Descr!$A:$D,3,FALSE)</f>
        <v>ESCORT</v>
      </c>
      <c r="N77" s="385">
        <f>OtherTourDestination!B85</f>
        <v>86</v>
      </c>
      <c r="O77" s="385" t="str">
        <f>OtherTourDestination!C85</f>
        <v>Gamma086</v>
      </c>
      <c r="P77" s="387">
        <f>OtherTourDestination!E85</f>
        <v>-8.5452246906399996</v>
      </c>
      <c r="Q77" s="426">
        <f si="10" t="shared"/>
        <v>-8.5452246906399996</v>
      </c>
    </row>
    <row r="78" spans="13:17" x14ac:dyDescent="0.25">
      <c r="M78" s="385" t="str">
        <f>VLOOKUP(N78,Coeff_Descr!$A:$D,3,FALSE)</f>
        <v>ESCORT</v>
      </c>
      <c r="N78" s="385">
        <f>OtherTourDestination!B86</f>
        <v>87</v>
      </c>
      <c r="O78" s="385" t="str">
        <f>OtherTourDestination!C86</f>
        <v>Gamma087</v>
      </c>
      <c r="P78" s="387">
        <f>OtherTourDestination!E86</f>
        <v>-24.633851965200002</v>
      </c>
      <c r="Q78" s="426">
        <f si="10" t="shared"/>
        <v>-24.633851965200002</v>
      </c>
    </row>
    <row r="79" spans="13:17" x14ac:dyDescent="0.25">
      <c r="M79" s="385" t="str">
        <f>VLOOKUP(N79,Coeff_Descr!$A:$D,3,FALSE)</f>
        <v>ESCORT</v>
      </c>
      <c r="N79" s="385">
        <f>OtherTourDestination!B87</f>
        <v>88</v>
      </c>
      <c r="O79" s="385" t="str">
        <f>OtherTourDestination!C87</f>
        <v>Gamma088</v>
      </c>
      <c r="P79" s="387">
        <f>OtherTourDestination!E87</f>
        <v>0</v>
      </c>
      <c r="Q79" s="426">
        <f si="10" t="shared"/>
        <v>0</v>
      </c>
    </row>
    <row r="80" spans="13:17" x14ac:dyDescent="0.25">
      <c r="M80" s="385" t="str">
        <f>VLOOKUP(N80,Coeff_Descr!$A:$D,3,FALSE)</f>
        <v>PERSBUS/MED</v>
      </c>
      <c r="N80" s="385">
        <f>OtherTourDestination!B88</f>
        <v>89</v>
      </c>
      <c r="O80" s="385" t="str">
        <f>OtherTourDestination!C88</f>
        <v>Gamma089</v>
      </c>
      <c r="P80" s="387">
        <f>OtherTourDestination!E88</f>
        <v>-0.55009338373399996</v>
      </c>
      <c r="Q80" s="426">
        <f si="10" t="shared"/>
        <v>-0.55009338373399996</v>
      </c>
    </row>
    <row r="81" spans="13:17" x14ac:dyDescent="0.25">
      <c r="M81" s="385" t="str">
        <f>VLOOKUP(N81,Coeff_Descr!$A:$D,3,FALSE)</f>
        <v>PERSBUS/MED</v>
      </c>
      <c r="N81" s="385">
        <f>OtherTourDestination!B89</f>
        <v>90</v>
      </c>
      <c r="O81" s="385" t="str">
        <f>OtherTourDestination!C89</f>
        <v>Gamma090</v>
      </c>
      <c r="P81" s="387">
        <f>OtherTourDestination!E89</f>
        <v>-9.9117567037699992</v>
      </c>
      <c r="Q81" s="426">
        <f si="10" t="shared"/>
        <v>-9.9117567037699992</v>
      </c>
    </row>
    <row r="82" spans="13:17" x14ac:dyDescent="0.25">
      <c r="M82" s="385" t="str">
        <f>VLOOKUP(N82,Coeff_Descr!$A:$D,3,FALSE)</f>
        <v>PERSBUS/MED</v>
      </c>
      <c r="N82" s="385">
        <f>OtherTourDestination!B90</f>
        <v>91</v>
      </c>
      <c r="O82" s="385" t="str">
        <f>OtherTourDestination!C90</f>
        <v>Gamma091</v>
      </c>
      <c r="P82" s="387">
        <f>OtherTourDestination!E90</f>
        <v>-9.3194311560499994</v>
      </c>
      <c r="Q82" s="426">
        <f si="10" t="shared"/>
        <v>-9.3194311560499994</v>
      </c>
    </row>
    <row r="83" spans="13:17" x14ac:dyDescent="0.25">
      <c r="M83" s="385" t="str">
        <f>VLOOKUP(N83,Coeff_Descr!$A:$D,3,FALSE)</f>
        <v>PERSBUS/MED</v>
      </c>
      <c r="N83" s="385">
        <f>OtherTourDestination!B91</f>
        <v>92</v>
      </c>
      <c r="O83" s="385" t="str">
        <f>OtherTourDestination!C91</f>
        <v>Gamma092</v>
      </c>
      <c r="P83" s="387">
        <f>OtherTourDestination!E91</f>
        <v>-0.20086270196799999</v>
      </c>
      <c r="Q83" s="426">
        <f si="10" t="shared"/>
        <v>-0.20086270196799999</v>
      </c>
    </row>
    <row r="84" spans="13:17" x14ac:dyDescent="0.25">
      <c r="M84" s="385" t="str">
        <f>VLOOKUP(N84,Coeff_Descr!$A:$D,3,FALSE)</f>
        <v>PERSBUS/MED</v>
      </c>
      <c r="N84" s="385">
        <f>OtherTourDestination!B92</f>
        <v>93</v>
      </c>
      <c r="O84" s="385" t="str">
        <f>OtherTourDestination!C92</f>
        <v>Gamma093</v>
      </c>
      <c r="P84" s="387">
        <f>OtherTourDestination!E92</f>
        <v>-2.1843835309699999</v>
      </c>
      <c r="Q84" s="426">
        <f si="10" t="shared"/>
        <v>-2.1843835309699999</v>
      </c>
    </row>
    <row r="85" spans="13:17" x14ac:dyDescent="0.25">
      <c r="M85" s="385" t="str">
        <f>VLOOKUP(N85,Coeff_Descr!$A:$D,3,FALSE)</f>
        <v>PERSBUS/MED</v>
      </c>
      <c r="N85" s="385">
        <f>OtherTourDestination!B93</f>
        <v>94</v>
      </c>
      <c r="O85" s="385" t="str">
        <f>OtherTourDestination!C93</f>
        <v>Gamma094</v>
      </c>
      <c r="P85" s="387">
        <f>OtherTourDestination!E93</f>
        <v>0</v>
      </c>
      <c r="Q85" s="426">
        <f si="10" t="shared"/>
        <v>0</v>
      </c>
    </row>
    <row r="86" spans="13:17" x14ac:dyDescent="0.25">
      <c r="M86" s="385" t="str">
        <f>VLOOKUP(N86,Coeff_Descr!$A:$D,3,FALSE)</f>
        <v>PERSBUS/MED</v>
      </c>
      <c r="N86" s="385">
        <f>OtherTourDestination!B94</f>
        <v>95</v>
      </c>
      <c r="O86" s="385" t="str">
        <f>OtherTourDestination!C94</f>
        <v>Gamma095</v>
      </c>
      <c r="P86" s="387">
        <f>OtherTourDestination!E94</f>
        <v>-9.9476357147400005</v>
      </c>
      <c r="Q86" s="426">
        <f si="10" t="shared"/>
        <v>-9.9476357147400005</v>
      </c>
    </row>
    <row r="87" spans="13:17" x14ac:dyDescent="0.25">
      <c r="M87" s="385" t="str">
        <f>VLOOKUP(N87,Coeff_Descr!$A:$D,3,FALSE)</f>
        <v>PERSBUS/MED</v>
      </c>
      <c r="N87" s="385">
        <f>OtherTourDestination!B95</f>
        <v>96</v>
      </c>
      <c r="O87" s="385" t="str">
        <f>OtherTourDestination!C95</f>
        <v>Gamma096</v>
      </c>
      <c r="P87" s="387">
        <f>OtherTourDestination!E95</f>
        <v>-12.800107987600001</v>
      </c>
      <c r="Q87" s="426">
        <f si="10" t="shared"/>
        <v>-12.800107987600001</v>
      </c>
    </row>
    <row r="88" spans="13:17" x14ac:dyDescent="0.25">
      <c r="M88" s="385" t="str">
        <f>VLOOKUP(N88,Coeff_Descr!$A:$D,3,FALSE)</f>
        <v>PERSBUS/MED</v>
      </c>
      <c r="N88" s="385">
        <f>OtherTourDestination!B96</f>
        <v>97</v>
      </c>
      <c r="O88" s="385" t="str">
        <f>OtherTourDestination!C96</f>
        <v>Gamma097</v>
      </c>
      <c r="P88" s="387">
        <f>OtherTourDestination!E96</f>
        <v>-30</v>
      </c>
      <c r="Q88" s="426">
        <f si="10" t="shared"/>
        <v>-30</v>
      </c>
    </row>
    <row r="89" spans="13:17" x14ac:dyDescent="0.25">
      <c r="M89" s="385" t="str">
        <f>VLOOKUP(N89,Coeff_Descr!$A:$D,3,FALSE)</f>
        <v>SHOP</v>
      </c>
      <c r="N89" s="385">
        <f>OtherTourDestination!B97</f>
        <v>98</v>
      </c>
      <c r="O89" s="385" t="str">
        <f>OtherTourDestination!C97</f>
        <v>Gamma098</v>
      </c>
      <c r="P89" s="387">
        <f>OtherTourDestination!E97</f>
        <v>-21.699928591700001</v>
      </c>
      <c r="Q89" s="426">
        <f si="10" t="shared"/>
        <v>-21.699928591700001</v>
      </c>
    </row>
    <row r="90" spans="13:17" x14ac:dyDescent="0.25">
      <c r="M90" s="385" t="str">
        <f>VLOOKUP(N90,Coeff_Descr!$A:$D,3,FALSE)</f>
        <v>SHOP</v>
      </c>
      <c r="N90" s="385">
        <f>OtherTourDestination!B98</f>
        <v>99</v>
      </c>
      <c r="O90" s="385" t="str">
        <f>OtherTourDestination!C98</f>
        <v>Gamma099</v>
      </c>
      <c r="P90" s="387">
        <f>OtherTourDestination!E98</f>
        <v>-17.700475093400001</v>
      </c>
      <c r="Q90" s="426">
        <f si="10" t="shared"/>
        <v>-17.700475093400001</v>
      </c>
    </row>
    <row r="91" spans="13:17" x14ac:dyDescent="0.25">
      <c r="M91" s="385" t="str">
        <f>VLOOKUP(N91,Coeff_Descr!$A:$D,3,FALSE)</f>
        <v>SHOP</v>
      </c>
      <c r="N91" s="385">
        <f>OtherTourDestination!B99</f>
        <v>100</v>
      </c>
      <c r="O91" s="385" t="str">
        <f>OtherTourDestination!C99</f>
        <v>Gamma100</v>
      </c>
      <c r="P91" s="387">
        <f>OtherTourDestination!E99</f>
        <v>-0.7</v>
      </c>
      <c r="Q91" s="426">
        <f si="10" t="shared"/>
        <v>-0.7</v>
      </c>
    </row>
    <row r="92" spans="13:17" x14ac:dyDescent="0.25">
      <c r="M92" s="385" t="str">
        <f>VLOOKUP(N92,Coeff_Descr!$A:$D,3,FALSE)</f>
        <v>SHOP</v>
      </c>
      <c r="N92" s="385">
        <f>OtherTourDestination!B100</f>
        <v>101</v>
      </c>
      <c r="O92" s="385" t="str">
        <f>OtherTourDestination!C100</f>
        <v>Gamma101</v>
      </c>
      <c r="P92" s="387">
        <f>OtherTourDestination!E100</f>
        <v>-17.8758745875</v>
      </c>
      <c r="Q92" s="426">
        <f si="10" t="shared"/>
        <v>-17.8758745875</v>
      </c>
    </row>
    <row r="93" spans="13:17" x14ac:dyDescent="0.25">
      <c r="M93" s="385" t="str">
        <f>VLOOKUP(N93,Coeff_Descr!$A:$D,3,FALSE)</f>
        <v>MEAL</v>
      </c>
      <c r="N93" s="385">
        <f>OtherTourDestination!B101</f>
        <v>102</v>
      </c>
      <c r="O93" s="385" t="str">
        <f>OtherTourDestination!C101</f>
        <v>Gamma102</v>
      </c>
      <c r="P93" s="387">
        <f>OtherTourDestination!E101</f>
        <v>0</v>
      </c>
      <c r="Q93" s="426">
        <f si="10" t="shared"/>
        <v>0</v>
      </c>
    </row>
    <row r="94" spans="13:17" x14ac:dyDescent="0.25">
      <c r="M94" s="385" t="str">
        <f>VLOOKUP(N94,Coeff_Descr!$A:$D,3,FALSE)</f>
        <v>MEAL</v>
      </c>
      <c r="N94" s="385">
        <f>OtherTourDestination!B102</f>
        <v>103</v>
      </c>
      <c r="O94" s="385" t="str">
        <f>OtherTourDestination!C102</f>
        <v>Gamma103</v>
      </c>
      <c r="P94" s="387">
        <f>OtherTourDestination!E102</f>
        <v>5</v>
      </c>
      <c r="Q94" s="426">
        <f si="10" t="shared"/>
        <v>5</v>
      </c>
    </row>
    <row r="95" spans="13:17" x14ac:dyDescent="0.25">
      <c r="M95" s="385" t="str">
        <f>VLOOKUP(N95,Coeff_Descr!$A:$D,3,FALSE)</f>
        <v>MEAL</v>
      </c>
      <c r="N95" s="385">
        <f>OtherTourDestination!B103</f>
        <v>104</v>
      </c>
      <c r="O95" s="385" t="str">
        <f>OtherTourDestination!C103</f>
        <v>Gamma104</v>
      </c>
      <c r="P95" s="387">
        <f>OtherTourDestination!E103</f>
        <v>-30</v>
      </c>
      <c r="Q95" s="426">
        <f si="10" t="shared"/>
        <v>-30</v>
      </c>
    </row>
    <row r="96" spans="13:17" x14ac:dyDescent="0.25">
      <c r="M96" s="385" t="str">
        <f>VLOOKUP(N96,Coeff_Descr!$A:$D,3,FALSE)</f>
        <v>MEAL</v>
      </c>
      <c r="N96" s="385">
        <f>OtherTourDestination!B104</f>
        <v>105</v>
      </c>
      <c r="O96" s="385" t="str">
        <f>OtherTourDestination!C104</f>
        <v>Gamma105</v>
      </c>
      <c r="P96" s="387">
        <f>OtherTourDestination!E104</f>
        <v>-24.158093970700001</v>
      </c>
      <c r="Q96" s="426">
        <f si="10" t="shared"/>
        <v>-24.158093970700001</v>
      </c>
    </row>
    <row r="97" spans="13:17" x14ac:dyDescent="0.25">
      <c r="M97" s="385" t="str">
        <f>VLOOKUP(N97,Coeff_Descr!$A:$D,3,FALSE)</f>
        <v>SOCREC</v>
      </c>
      <c r="N97" s="385">
        <f>OtherTourDestination!B105</f>
        <v>106</v>
      </c>
      <c r="O97" s="385" t="str">
        <f>OtherTourDestination!C105</f>
        <v>Gamma106</v>
      </c>
      <c r="P97" s="387">
        <f>OtherTourDestination!E105</f>
        <v>-9.5803170794600003</v>
      </c>
      <c r="Q97" s="426">
        <f si="10" t="shared"/>
        <v>-9.5803170794600003</v>
      </c>
    </row>
    <row r="98" spans="13:17" x14ac:dyDescent="0.25">
      <c r="M98" s="385" t="str">
        <f>VLOOKUP(N98,Coeff_Descr!$A:$D,3,FALSE)</f>
        <v>SOCREC</v>
      </c>
      <c r="N98" s="385">
        <f>OtherTourDestination!B106</f>
        <v>107</v>
      </c>
      <c r="O98" s="385" t="str">
        <f>OtherTourDestination!C106</f>
        <v>Gamma107</v>
      </c>
      <c r="P98" s="387">
        <f>OtherTourDestination!E106</f>
        <v>0</v>
      </c>
      <c r="Q98" s="426">
        <f si="10" t="shared"/>
        <v>0</v>
      </c>
    </row>
    <row r="99" spans="13:17" x14ac:dyDescent="0.25">
      <c r="M99" s="385" t="str">
        <f>VLOOKUP(N99,Coeff_Descr!$A:$D,3,FALSE)</f>
        <v>SOCREC</v>
      </c>
      <c r="N99" s="385">
        <f>OtherTourDestination!B107</f>
        <v>108</v>
      </c>
      <c r="O99" s="385" t="str">
        <f>OtherTourDestination!C107</f>
        <v>Gamma108</v>
      </c>
      <c r="P99" s="387">
        <f>OtherTourDestination!E107</f>
        <v>-15.671349338700001</v>
      </c>
      <c r="Q99" s="426">
        <f si="10" t="shared"/>
        <v>-15.671349338700001</v>
      </c>
    </row>
    <row r="100" spans="13:17" x14ac:dyDescent="0.25">
      <c r="M100" s="385" t="str">
        <f>VLOOKUP(N100,Coeff_Descr!$A:$D,3,FALSE)</f>
        <v>SOCREC</v>
      </c>
      <c r="N100" s="385">
        <f>OtherTourDestination!B108</f>
        <v>109</v>
      </c>
      <c r="O100" s="385" t="str">
        <f>OtherTourDestination!C108</f>
        <v>Gamma109</v>
      </c>
      <c r="P100" s="387">
        <f>OtherTourDestination!E108</f>
        <v>-18.208541213899998</v>
      </c>
      <c r="Q100" s="426">
        <f si="10" t="shared"/>
        <v>-18.208541213899998</v>
      </c>
    </row>
    <row r="101" spans="13:17" x14ac:dyDescent="0.25">
      <c r="M101" s="385" t="str">
        <f>VLOOKUP(N101,Coeff_Descr!$A:$D,3,FALSE)</f>
        <v>SOCREC</v>
      </c>
      <c r="N101" s="385">
        <f>OtherTourDestination!B109</f>
        <v>110</v>
      </c>
      <c r="O101" s="385" t="str">
        <f>OtherTourDestination!C109</f>
        <v>Gamma110</v>
      </c>
      <c r="P101" s="387">
        <f>OtherTourDestination!E109</f>
        <v>-11.2471450075</v>
      </c>
      <c r="Q101" s="426">
        <f si="10" t="shared"/>
        <v>-11.2471450075</v>
      </c>
    </row>
    <row r="102" spans="13:17" x14ac:dyDescent="0.25">
      <c r="M102" s="385" t="str">
        <f>VLOOKUP(N102,Coeff_Descr!$A:$D,3,FALSE)</f>
        <v>SOCREC</v>
      </c>
      <c r="N102" s="385">
        <f>OtherTourDestination!B110</f>
        <v>111</v>
      </c>
      <c r="O102" s="385" t="str">
        <f>OtherTourDestination!C110</f>
        <v>Gamma111</v>
      </c>
      <c r="P102" s="387">
        <f>OtherTourDestination!E110</f>
        <v>-10.0807778908</v>
      </c>
      <c r="Q102" s="426">
        <f si="10" t="shared"/>
        <v>-10.0807778908</v>
      </c>
    </row>
    <row r="103" spans="13:17" x14ac:dyDescent="0.25">
      <c r="M103" s="385" t="str">
        <f>VLOOKUP(N103,Coeff_Descr!$A:$D,3,FALSE)</f>
        <v>SOCREC</v>
      </c>
      <c r="N103" s="385">
        <f>OtherTourDestination!B111</f>
        <v>112</v>
      </c>
      <c r="O103" s="385" t="str">
        <f>OtherTourDestination!C111</f>
        <v>Gamma112</v>
      </c>
      <c r="P103" s="387">
        <f>OtherTourDestination!E111</f>
        <v>-5.6623999999999999</v>
      </c>
      <c r="Q103" s="426">
        <f si="10" t="shared"/>
        <v>-5.6623999999999999</v>
      </c>
    </row>
    <row r="104" spans="13:17" x14ac:dyDescent="0.25">
      <c r="M104" s="385" t="str">
        <f>VLOOKUP(N104,Coeff_Descr!$A:$D,3,FALSE)</f>
        <v>SOCREC</v>
      </c>
      <c r="N104" s="385">
        <f>OtherTourDestination!B112</f>
        <v>113</v>
      </c>
      <c r="O104" s="385" t="str">
        <f>OtherTourDestination!C112</f>
        <v>Gamma113</v>
      </c>
      <c r="P104" s="387">
        <f>OtherTourDestination!E112</f>
        <v>-12.0597581892</v>
      </c>
      <c r="Q104" s="426">
        <f si="10" t="shared"/>
        <v>-12.0597581892</v>
      </c>
    </row>
  </sheetData>
  <pageMargins bottom="0.75" footer="0.3" header="0.3" left="0.7" right="0.7" top="0.75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7</vt:i4>
      </vt:variant>
      <vt:variant>
        <vt:lpstr>Named Ranges</vt:lpstr>
      </vt:variant>
      <vt:variant>
        <vt:i4>15</vt:i4>
      </vt:variant>
    </vt:vector>
  </HeadingPairs>
  <TitlesOfParts>
    <vt:vector baseType="lpstr" size="22">
      <vt:lpstr>TLFD</vt:lpstr>
      <vt:lpstr>TDFD</vt:lpstr>
      <vt:lpstr>County_Flow</vt:lpstr>
      <vt:lpstr>Documentation</vt:lpstr>
      <vt:lpstr>Coeff_Descr</vt:lpstr>
      <vt:lpstr>OtherTourDestination</vt:lpstr>
      <vt:lpstr>Calibration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Dong, Hu</cp:lastModifiedBy>
  <dcterms:modified xsi:type="dcterms:W3CDTF">2017-10-26T15:42:39Z</dcterms:modified>
</cp:coreProperties>
</file>