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outbkr\output\"/>
    </mc:Choice>
  </mc:AlternateContent>
  <xr:revisionPtr revIDLastSave="0" documentId="13_ncr:1_{C2BF1EC4-5BCB-4D78-A810-2ADD2C6255A0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M93" i="6" s="1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M85" i="6" s="1"/>
  <c r="P84" i="6"/>
  <c r="O84" i="6"/>
  <c r="N84" i="6"/>
  <c r="M84" i="6" s="1"/>
  <c r="P83" i="6"/>
  <c r="O83" i="6"/>
  <c r="N83" i="6"/>
  <c r="M83" i="6" s="1"/>
  <c r="P82" i="6"/>
  <c r="O82" i="6"/>
  <c r="N82" i="6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M55" i="6" s="1"/>
  <c r="P54" i="6"/>
  <c r="O54" i="6"/>
  <c r="N54" i="6"/>
  <c r="P53" i="6"/>
  <c r="O53" i="6"/>
  <c r="N53" i="6"/>
  <c r="M53" i="6" s="1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M47" i="6" s="1"/>
  <c r="P46" i="6"/>
  <c r="O46" i="6"/>
  <c r="N46" i="6"/>
  <c r="M46" i="6" s="1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P41" i="6"/>
  <c r="O41" i="6"/>
  <c r="N41" i="6"/>
  <c r="M41" i="6" s="1"/>
  <c r="P40" i="6"/>
  <c r="O40" i="6"/>
  <c r="N40" i="6"/>
  <c r="P39" i="6"/>
  <c r="O39" i="6"/>
  <c r="N39" i="6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M35" i="6" s="1"/>
  <c r="P34" i="6"/>
  <c r="O34" i="6"/>
  <c r="N34" i="6"/>
  <c r="M34" i="6" s="1"/>
  <c r="P33" i="6"/>
  <c r="O33" i="6"/>
  <c r="N33" i="6"/>
  <c r="M33" i="6" s="1"/>
  <c r="P32" i="6"/>
  <c r="O32" i="6"/>
  <c r="N32" i="6"/>
  <c r="R32" i="6" s="1"/>
  <c r="P31" i="6"/>
  <c r="O31" i="6"/>
  <c r="N31" i="6"/>
  <c r="M31" i="6" s="1"/>
  <c r="P30" i="6"/>
  <c r="O30" i="6"/>
  <c r="N30" i="6"/>
  <c r="R30" i="6" s="1"/>
  <c r="P29" i="6"/>
  <c r="O29" i="6"/>
  <c r="N29" i="6"/>
  <c r="R29" i="6" s="1"/>
  <c r="P28" i="6"/>
  <c r="O28" i="6"/>
  <c r="N28" i="6"/>
  <c r="M28" i="6" s="1"/>
  <c r="P27" i="6"/>
  <c r="O27" i="6"/>
  <c r="N27" i="6"/>
  <c r="M27" i="6" s="1"/>
  <c r="P26" i="6"/>
  <c r="O26" i="6"/>
  <c r="N26" i="6"/>
  <c r="M26" i="6" s="1"/>
  <c r="P25" i="6"/>
  <c r="O25" i="6"/>
  <c r="N25" i="6"/>
  <c r="P24" i="6"/>
  <c r="O24" i="6"/>
  <c r="N24" i="6"/>
  <c r="M24" i="6" s="1"/>
  <c r="P23" i="6"/>
  <c r="O23" i="6"/>
  <c r="N23" i="6"/>
  <c r="M23" i="6" s="1"/>
  <c r="P22" i="6"/>
  <c r="O22" i="6"/>
  <c r="N22" i="6"/>
  <c r="M22" i="6" s="1"/>
  <c r="P21" i="6"/>
  <c r="O21" i="6"/>
  <c r="N21" i="6"/>
  <c r="M21" i="6" s="1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M12" i="6" s="1"/>
  <c r="P11" i="6"/>
  <c r="O11" i="6"/>
  <c r="N11" i="6"/>
  <c r="M11" i="6" s="1"/>
  <c r="P10" i="6"/>
  <c r="O10" i="6"/>
  <c r="N10" i="6"/>
  <c r="M10" i="6" s="1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M5" i="6" s="1"/>
  <c r="P4" i="6"/>
  <c r="O4" i="6"/>
  <c r="N4" i="6"/>
  <c r="M4" i="6" s="1"/>
  <c r="P3" i="6"/>
  <c r="O3" i="6"/>
  <c r="N3" i="6"/>
  <c r="M3" i="6" s="1"/>
  <c r="B36" i="6"/>
  <c r="B46" i="6" s="1"/>
  <c r="B35" i="6"/>
  <c r="B45" i="6" s="1"/>
  <c r="B34" i="6"/>
  <c r="B44" i="6" s="1"/>
  <c r="B33" i="6"/>
  <c r="B43" i="6" s="1"/>
  <c r="M30" i="6" l="1"/>
  <c r="M32" i="6"/>
  <c r="D26" i="6"/>
  <c r="R31" i="6"/>
  <c r="D23" i="6"/>
  <c r="D24" i="6"/>
  <c r="D25" i="6"/>
  <c r="Q53" i="6"/>
  <c r="M29" i="6"/>
  <c r="M42" i="6"/>
  <c r="M39" i="6"/>
  <c r="Q95" i="6"/>
  <c r="Q99" i="6"/>
  <c r="Q22" i="6"/>
  <c r="Q93" i="6"/>
  <c r="Q16" i="6"/>
  <c r="Q63" i="6"/>
  <c r="Q9" i="6"/>
  <c r="Q54" i="6"/>
  <c r="Q66" i="6"/>
  <c r="Q55" i="6"/>
  <c r="Q74" i="6"/>
  <c r="Q19" i="6"/>
  <c r="Q75" i="6"/>
  <c r="Q60" i="6"/>
  <c r="Q77" i="6"/>
  <c r="Q17" i="6"/>
  <c r="Q78" i="6"/>
  <c r="Q23" i="6"/>
  <c r="Q79" i="6"/>
  <c r="Q28" i="6"/>
  <c r="Q12" i="6"/>
  <c r="Q21" i="6"/>
  <c r="Q26" i="6"/>
  <c r="Q80" i="6"/>
  <c r="Q46" i="6"/>
  <c r="Q56" i="6"/>
  <c r="Q20" i="6"/>
  <c r="Q27" i="6"/>
  <c r="Q84" i="6"/>
  <c r="Q18" i="6"/>
  <c r="Q85" i="6"/>
  <c r="Q61" i="6"/>
  <c r="Q15" i="6"/>
  <c r="Q86" i="6"/>
  <c r="Q44" i="6"/>
  <c r="Q87" i="6"/>
  <c r="Q59" i="6"/>
  <c r="Q45" i="6"/>
  <c r="Q88" i="6"/>
  <c r="Q11" i="6"/>
  <c r="Q13" i="6"/>
  <c r="Q14" i="6"/>
  <c r="Q47" i="6"/>
  <c r="Q89" i="6"/>
  <c r="Q48" i="6"/>
  <c r="Q91" i="6"/>
  <c r="Q50" i="6"/>
  <c r="Q8" i="6"/>
  <c r="Q62" i="6"/>
  <c r="Q104" i="6"/>
  <c r="Q49" i="6"/>
  <c r="Q81" i="6"/>
  <c r="Q90" i="6"/>
  <c r="Q25" i="6"/>
  <c r="Q64" i="6"/>
  <c r="Q92" i="6"/>
  <c r="Q82" i="6"/>
  <c r="Q65" i="6"/>
  <c r="Q94" i="6"/>
  <c r="Q33" i="6"/>
  <c r="Q67" i="6"/>
  <c r="Q96" i="6"/>
  <c r="Q34" i="6"/>
  <c r="Q68" i="6"/>
  <c r="Q97" i="6"/>
  <c r="Q57" i="6"/>
  <c r="Q83" i="6"/>
  <c r="Q3" i="6"/>
  <c r="Q35" i="6"/>
  <c r="Q69" i="6"/>
  <c r="Q98" i="6"/>
  <c r="Q51" i="6"/>
  <c r="Q4" i="6"/>
  <c r="Q36" i="6"/>
  <c r="Q70" i="6"/>
  <c r="Q101" i="6"/>
  <c r="Q5" i="6"/>
  <c r="Q37" i="6"/>
  <c r="Q71" i="6"/>
  <c r="Q102" i="6"/>
  <c r="Q6" i="6"/>
  <c r="Q38" i="6"/>
  <c r="Q72" i="6"/>
  <c r="Q103" i="6"/>
  <c r="Q58" i="6"/>
  <c r="Q7" i="6"/>
  <c r="Q43" i="6"/>
  <c r="Q73" i="6"/>
  <c r="M40" i="6"/>
  <c r="M82" i="6"/>
  <c r="M25" i="6"/>
  <c r="M54" i="6"/>
  <c r="Q24" i="6"/>
  <c r="Q52" i="6"/>
  <c r="Q76" i="6"/>
  <c r="Q100" i="6"/>
  <c r="Q10" i="6"/>
  <c r="D5" i="6" l="1"/>
  <c r="G7" i="6"/>
  <c r="D7" i="6"/>
  <c r="G6" i="6"/>
  <c r="D6" i="6"/>
  <c r="G5" i="6"/>
  <c r="G4" i="6"/>
  <c r="D4" i="6"/>
  <c r="G8" i="6" l="1"/>
  <c r="G16" i="6" s="1"/>
  <c r="D8" i="6"/>
  <c r="H15" i="1"/>
  <c r="J13" i="1"/>
  <c r="G13" i="6" l="1"/>
  <c r="G14" i="6"/>
  <c r="G15" i="6"/>
  <c r="G12" i="6"/>
  <c r="D13" i="6"/>
  <c r="D16" i="6"/>
  <c r="D12" i="6"/>
  <c r="D15" i="6"/>
  <c r="D14" i="6"/>
  <c r="S15" i="1"/>
  <c r="U13" i="1"/>
  <c r="I15" i="6" l="1"/>
  <c r="J15" i="6" s="1"/>
  <c r="I13" i="6"/>
  <c r="J13" i="6" s="1"/>
  <c r="I14" i="6"/>
  <c r="J14" i="6" s="1"/>
  <c r="I12" i="6"/>
  <c r="J12" i="6" s="1"/>
  <c r="K12" i="6" s="1"/>
  <c r="D33" i="6" s="1"/>
  <c r="D43" i="6" s="1"/>
  <c r="D26" i="1"/>
  <c r="E26" i="1"/>
  <c r="F26" i="1"/>
  <c r="G26" i="1"/>
  <c r="H26" i="1"/>
  <c r="B26" i="1"/>
  <c r="C26" i="1"/>
  <c r="S28" i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Q39" i="6" l="1"/>
  <c r="Q29" i="6"/>
  <c r="K13" i="6"/>
  <c r="D34" i="6" s="1"/>
  <c r="D44" i="6" s="1"/>
  <c r="K15" i="6"/>
  <c r="D36" i="6" s="1"/>
  <c r="D46" i="6" s="1"/>
  <c r="Q32" i="6" s="1"/>
  <c r="Q42" i="6"/>
  <c r="K14" i="6"/>
  <c r="D35" i="6" s="1"/>
  <c r="D45" i="6" s="1"/>
  <c r="Q40" i="6"/>
  <c r="Q30" i="6"/>
  <c r="Q41" i="6"/>
  <c r="Q31" i="6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O21" i="1"/>
  <c r="P21" i="1"/>
  <c r="Q21" i="1"/>
  <c r="R21" i="1"/>
  <c r="O22" i="1"/>
  <c r="P22" i="1"/>
  <c r="Q22" i="1"/>
  <c r="R22" i="1"/>
  <c r="O23" i="1"/>
  <c r="P23" i="1"/>
  <c r="Q23" i="1"/>
  <c r="R23" i="1"/>
  <c r="O24" i="1"/>
  <c r="P24" i="1"/>
  <c r="Q24" i="1"/>
  <c r="R24" i="1"/>
  <c r="O25" i="1"/>
  <c r="P25" i="1"/>
  <c r="Q25" i="1"/>
  <c r="R25" i="1"/>
  <c r="Q20" i="1"/>
  <c r="R20" i="1"/>
  <c r="E23" i="1"/>
  <c r="F23" i="1"/>
  <c r="G23" i="1"/>
  <c r="E24" i="1"/>
  <c r="F24" i="1"/>
  <c r="G24" i="1"/>
  <c r="E25" i="1"/>
  <c r="F25" i="1"/>
  <c r="G25" i="1"/>
  <c r="U23" i="1" l="1"/>
  <c r="U24" i="1"/>
  <c r="U25" i="1"/>
  <c r="M23" i="1"/>
  <c r="N23" i="1"/>
  <c r="M24" i="1"/>
  <c r="N24" i="1"/>
  <c r="M25" i="1"/>
  <c r="N25" i="1"/>
  <c r="B23" i="1"/>
  <c r="C23" i="1"/>
  <c r="D23" i="1"/>
  <c r="B24" i="1"/>
  <c r="C24" i="1"/>
  <c r="D24" i="1"/>
  <c r="B25" i="1"/>
  <c r="C25" i="1"/>
  <c r="D25" i="1"/>
  <c r="U7" i="1"/>
  <c r="M15" i="1"/>
  <c r="C15" i="1"/>
  <c r="D15" i="1"/>
  <c r="E15" i="1"/>
  <c r="I15" i="1"/>
  <c r="B15" i="1"/>
  <c r="J8" i="1"/>
  <c r="J9" i="1"/>
  <c r="J14" i="1"/>
  <c r="J7" i="1"/>
  <c r="H20" i="1" l="1"/>
  <c r="J23" i="1"/>
  <c r="J24" i="1"/>
  <c r="J25" i="1"/>
  <c r="F20" i="1"/>
  <c r="G20" i="1"/>
  <c r="J15" i="1"/>
  <c r="N15" i="1"/>
  <c r="N28" i="1" s="1"/>
  <c r="O15" i="1"/>
  <c r="O28" i="1" s="1"/>
  <c r="P15" i="1"/>
  <c r="T15" i="1"/>
  <c r="M28" i="1"/>
  <c r="U8" i="1"/>
  <c r="H21" i="1" s="1"/>
  <c r="U9" i="1"/>
  <c r="H22" i="1" s="1"/>
  <c r="U14" i="1"/>
  <c r="D20" i="1"/>
  <c r="P28" i="1"/>
  <c r="N22" i="1"/>
  <c r="M22" i="1"/>
  <c r="N21" i="1"/>
  <c r="M21" i="1"/>
  <c r="P20" i="1"/>
  <c r="O20" i="1"/>
  <c r="N20" i="1"/>
  <c r="M20" i="1"/>
  <c r="I28" i="1"/>
  <c r="J27" i="1"/>
  <c r="F102" i="4"/>
  <c r="G101" i="4" s="1"/>
  <c r="B102" i="4"/>
  <c r="C102" i="4" s="1"/>
  <c r="F102" i="3"/>
  <c r="G101" i="3" s="1"/>
  <c r="B102" i="3"/>
  <c r="C13" i="3" s="1"/>
  <c r="H28" i="1" l="1"/>
  <c r="U22" i="1"/>
  <c r="F22" i="1"/>
  <c r="G22" i="1"/>
  <c r="E22" i="1"/>
  <c r="C21" i="1"/>
  <c r="E21" i="1"/>
  <c r="F21" i="1"/>
  <c r="F28" i="1" s="1"/>
  <c r="G21" i="1"/>
  <c r="G28" i="1" s="1"/>
  <c r="C11" i="4"/>
  <c r="C25" i="4"/>
  <c r="C49" i="4"/>
  <c r="C81" i="4"/>
  <c r="C41" i="4"/>
  <c r="C17" i="4"/>
  <c r="C97" i="4"/>
  <c r="C19" i="4"/>
  <c r="C73" i="4"/>
  <c r="C33" i="4"/>
  <c r="C65" i="4"/>
  <c r="C15" i="4"/>
  <c r="C27" i="4"/>
  <c r="C57" i="4"/>
  <c r="C89" i="4"/>
  <c r="B22" i="1"/>
  <c r="B21" i="1"/>
  <c r="U21" i="1"/>
  <c r="G30" i="4"/>
  <c r="C20" i="1"/>
  <c r="G46" i="4"/>
  <c r="G62" i="4"/>
  <c r="C35" i="4"/>
  <c r="C43" i="4"/>
  <c r="C51" i="4"/>
  <c r="C59" i="4"/>
  <c r="C67" i="4"/>
  <c r="C75" i="4"/>
  <c r="C83" i="4"/>
  <c r="C91" i="4"/>
  <c r="C101" i="4"/>
  <c r="U15" i="1"/>
  <c r="U28" i="1" s="1"/>
  <c r="C31" i="4"/>
  <c r="C47" i="4"/>
  <c r="C63" i="4"/>
  <c r="C79" i="4"/>
  <c r="C87" i="4"/>
  <c r="C95" i="4"/>
  <c r="G94" i="4"/>
  <c r="C23" i="4"/>
  <c r="C39" i="4"/>
  <c r="C55" i="4"/>
  <c r="C71" i="4"/>
  <c r="C13" i="4"/>
  <c r="C21" i="4"/>
  <c r="C29" i="4"/>
  <c r="C37" i="4"/>
  <c r="C45" i="4"/>
  <c r="C53" i="4"/>
  <c r="C61" i="4"/>
  <c r="C69" i="4"/>
  <c r="C77" i="4"/>
  <c r="C85" i="4"/>
  <c r="C93" i="4"/>
  <c r="G14" i="4"/>
  <c r="G78" i="4"/>
  <c r="D21" i="1"/>
  <c r="D22" i="1"/>
  <c r="C22" i="1"/>
  <c r="B20" i="1"/>
  <c r="U20" i="1"/>
  <c r="E20" i="1"/>
  <c r="C99" i="4"/>
  <c r="G22" i="4"/>
  <c r="G38" i="4"/>
  <c r="G54" i="4"/>
  <c r="G70" i="4"/>
  <c r="G86" i="4"/>
  <c r="G102" i="4"/>
  <c r="G18" i="4"/>
  <c r="G34" i="4"/>
  <c r="G50" i="4"/>
  <c r="G66" i="4"/>
  <c r="G82" i="4"/>
  <c r="G98" i="4"/>
  <c r="G26" i="4"/>
  <c r="G42" i="4"/>
  <c r="G58" i="4"/>
  <c r="G74" i="4"/>
  <c r="G90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02" i="3"/>
  <c r="C98" i="3"/>
  <c r="C92" i="3"/>
  <c r="C82" i="3"/>
  <c r="C28" i="3"/>
  <c r="C11" i="3"/>
  <c r="C100" i="3"/>
  <c r="C96" i="3"/>
  <c r="C94" i="3"/>
  <c r="C90" i="3"/>
  <c r="C88" i="3"/>
  <c r="C86" i="3"/>
  <c r="C84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S35" i="1" l="1"/>
  <c r="S37" i="1"/>
  <c r="M39" i="1"/>
  <c r="S34" i="1"/>
  <c r="N39" i="1"/>
  <c r="P39" i="1"/>
  <c r="S36" i="1"/>
  <c r="S38" i="1"/>
  <c r="S39" i="1"/>
  <c r="S33" i="1"/>
  <c r="O39" i="1"/>
  <c r="R39" i="1"/>
  <c r="Q39" i="1"/>
  <c r="P41" i="1"/>
  <c r="U39" i="1"/>
  <c r="S41" i="1"/>
  <c r="R41" i="1"/>
  <c r="Q41" i="1"/>
  <c r="R38" i="1"/>
  <c r="Q38" i="1"/>
  <c r="Q33" i="1"/>
  <c r="R33" i="1"/>
  <c r="P36" i="1"/>
  <c r="O34" i="1"/>
  <c r="O37" i="1"/>
  <c r="R34" i="1"/>
  <c r="Q36" i="1"/>
  <c r="O36" i="1"/>
  <c r="P37" i="1"/>
  <c r="R35" i="1"/>
  <c r="Q37" i="1"/>
  <c r="Q34" i="1"/>
  <c r="P35" i="1"/>
  <c r="O35" i="1"/>
  <c r="Q35" i="1"/>
  <c r="P38" i="1"/>
  <c r="R37" i="1"/>
  <c r="O38" i="1"/>
  <c r="P34" i="1"/>
  <c r="R36" i="1"/>
  <c r="P33" i="1"/>
  <c r="U41" i="1"/>
  <c r="U36" i="1"/>
  <c r="U37" i="1"/>
  <c r="U38" i="1"/>
  <c r="M36" i="1"/>
  <c r="N36" i="1"/>
  <c r="M37" i="1"/>
  <c r="N37" i="1"/>
  <c r="M38" i="1"/>
  <c r="N38" i="1"/>
  <c r="U35" i="1"/>
  <c r="M41" i="1"/>
  <c r="O41" i="1"/>
  <c r="U33" i="1"/>
  <c r="J22" i="1"/>
  <c r="B28" i="1"/>
  <c r="T41" i="1"/>
  <c r="N34" i="1"/>
  <c r="N41" i="1"/>
  <c r="M34" i="1"/>
  <c r="C28" i="1"/>
  <c r="J21" i="1"/>
  <c r="E28" i="1"/>
  <c r="U34" i="1"/>
  <c r="N33" i="1"/>
  <c r="M33" i="1"/>
  <c r="N35" i="1"/>
  <c r="M35" i="1"/>
  <c r="O33" i="1"/>
  <c r="D28" i="1"/>
  <c r="J20" i="1"/>
  <c r="J28" i="1" l="1"/>
  <c r="G39" i="1" l="1"/>
  <c r="AC39" i="1" s="1"/>
  <c r="F39" i="1"/>
  <c r="AB39" i="1" s="1"/>
  <c r="C39" i="1"/>
  <c r="Y39" i="1" s="1"/>
  <c r="B39" i="1"/>
  <c r="X39" i="1" s="1"/>
  <c r="E39" i="1"/>
  <c r="AA39" i="1" s="1"/>
  <c r="D39" i="1"/>
  <c r="Z39" i="1" s="1"/>
  <c r="H39" i="1"/>
  <c r="AD39" i="1" s="1"/>
  <c r="H36" i="1"/>
  <c r="AD36" i="1" s="1"/>
  <c r="H38" i="1"/>
  <c r="AD38" i="1" s="1"/>
  <c r="H37" i="1"/>
  <c r="AD37" i="1" s="1"/>
  <c r="H33" i="1"/>
  <c r="AD33" i="1" s="1"/>
  <c r="H35" i="1"/>
  <c r="AD35" i="1" s="1"/>
  <c r="H34" i="1"/>
  <c r="AD34" i="1" s="1"/>
  <c r="J39" i="1"/>
  <c r="AF39" i="1" s="1"/>
  <c r="H41" i="1"/>
  <c r="AD41" i="1" s="1"/>
  <c r="F41" i="1"/>
  <c r="AB41" i="1" s="1"/>
  <c r="G41" i="1"/>
  <c r="AC41" i="1" s="1"/>
  <c r="E37" i="1"/>
  <c r="AA37" i="1" s="1"/>
  <c r="G36" i="1"/>
  <c r="AC36" i="1" s="1"/>
  <c r="F36" i="1"/>
  <c r="AB36" i="1" s="1"/>
  <c r="G37" i="1"/>
  <c r="AC37" i="1" s="1"/>
  <c r="F38" i="1"/>
  <c r="AB38" i="1" s="1"/>
  <c r="F37" i="1"/>
  <c r="AB37" i="1" s="1"/>
  <c r="E36" i="1"/>
  <c r="AA36" i="1" s="1"/>
  <c r="E38" i="1"/>
  <c r="AA38" i="1" s="1"/>
  <c r="G38" i="1"/>
  <c r="AC38" i="1" s="1"/>
  <c r="G33" i="1"/>
  <c r="AC33" i="1" s="1"/>
  <c r="F33" i="1"/>
  <c r="AB33" i="1" s="1"/>
  <c r="F34" i="1"/>
  <c r="AB34" i="1" s="1"/>
  <c r="E35" i="1"/>
  <c r="AA35" i="1" s="1"/>
  <c r="E34" i="1"/>
  <c r="AA34" i="1" s="1"/>
  <c r="F35" i="1"/>
  <c r="AB35" i="1" s="1"/>
  <c r="G35" i="1"/>
  <c r="AC35" i="1" s="1"/>
  <c r="G34" i="1"/>
  <c r="AC34" i="1" s="1"/>
  <c r="J33" i="1"/>
  <c r="AF33" i="1" s="1"/>
  <c r="J37" i="1"/>
  <c r="AF37" i="1" s="1"/>
  <c r="C37" i="1"/>
  <c r="Y37" i="1" s="1"/>
  <c r="D38" i="1"/>
  <c r="Z38" i="1" s="1"/>
  <c r="C36" i="1"/>
  <c r="Y36" i="1" s="1"/>
  <c r="D37" i="1"/>
  <c r="Z37" i="1" s="1"/>
  <c r="C38" i="1"/>
  <c r="Y38" i="1" s="1"/>
  <c r="B38" i="1"/>
  <c r="X38" i="1" s="1"/>
  <c r="B36" i="1"/>
  <c r="X36" i="1" s="1"/>
  <c r="D36" i="1"/>
  <c r="Z36" i="1" s="1"/>
  <c r="B37" i="1"/>
  <c r="X37" i="1" s="1"/>
  <c r="J38" i="1"/>
  <c r="AF38" i="1" s="1"/>
  <c r="J36" i="1"/>
  <c r="AF36" i="1" s="1"/>
  <c r="J41" i="1"/>
  <c r="AF41" i="1" s="1"/>
  <c r="C33" i="1"/>
  <c r="Y33" i="1" s="1"/>
  <c r="C41" i="1"/>
  <c r="Y41" i="1" s="1"/>
  <c r="B34" i="1"/>
  <c r="X34" i="1" s="1"/>
  <c r="E41" i="1"/>
  <c r="AA41" i="1" s="1"/>
  <c r="E33" i="1"/>
  <c r="AA33" i="1" s="1"/>
  <c r="D41" i="1"/>
  <c r="Z41" i="1" s="1"/>
  <c r="D34" i="1"/>
  <c r="Z34" i="1" s="1"/>
  <c r="I41" i="1"/>
  <c r="AE41" i="1" s="1"/>
  <c r="J35" i="1"/>
  <c r="AF35" i="1" s="1"/>
  <c r="D33" i="1"/>
  <c r="Z33" i="1" s="1"/>
  <c r="J34" i="1"/>
  <c r="AF34" i="1" s="1"/>
  <c r="B35" i="1"/>
  <c r="X35" i="1" s="1"/>
  <c r="D35" i="1"/>
  <c r="Z35" i="1" s="1"/>
  <c r="B33" i="1"/>
  <c r="X33" i="1" s="1"/>
  <c r="C34" i="1"/>
  <c r="Y34" i="1" s="1"/>
  <c r="C35" i="1"/>
  <c r="Y35" i="1" s="1"/>
  <c r="B41" i="1"/>
  <c r="X41" i="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<sst xmlns="http://schemas.openxmlformats.org/spreadsheetml/2006/main" count="716" uniqueCount="284">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</sst>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47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2" fillId="0" borderId="0" xfId="8" applyNumberFormat="1" applyFont="1" applyAlignment="1"/>
    <xf numFmtId="169" fontId="0" fillId="0" borderId="0" xfId="8" applyNumberFormat="1" applyFont="1"/>
    <xf numFmtId="169" fontId="0" fillId="0" borderId="3" xfId="8" applyNumberFormat="1" applyFont="1" applyBorder="1"/>
    <xf numFmtId="169" fontId="0" fillId="0" borderId="1" xfId="8" applyNumberFormat="1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70" fontId="0" fillId="5" borderId="0" xfId="0" applyNumberFormat="1" applyFont="1" applyFill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1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1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0" fontId="5" fillId="6" borderId="6" xfId="0" applyFont="1" applyFill="1" applyBorder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0" xfId="0" applyFont="1" applyFill="1" applyBorder="1"/>
    <xf numFmtId="0" fontId="7" fillId="6" borderId="10" xfId="0" applyFont="1" applyFill="1" applyBorder="1"/>
    <xf numFmtId="0" fontId="7" fillId="6" borderId="11" xfId="0" applyFont="1" applyFill="1" applyBorder="1"/>
    <xf numFmtId="0" fontId="7" fillId="6" borderId="3" xfId="0" applyFont="1" applyFill="1" applyBorder="1"/>
    <xf numFmtId="0" fontId="7" fillId="6" borderId="12" xfId="0" applyFont="1" applyFill="1" applyBorder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8" fillId="0" borderId="0" xfId="0" applyFont="1"/>
    <xf numFmtId="166" fontId="0" fillId="0" borderId="0" xfId="0" applyNumberFormat="1" applyFont="1" applyFill="1"/>
    <xf numFmtId="166" fontId="7" fillId="7" borderId="0" xfId="0" applyNumberFormat="1" applyFont="1" applyFill="1" applyAlignment="1">
      <alignment horizontal="right"/>
    </xf>
    <xf numFmtId="166" fontId="7" fillId="7" borderId="1" xfId="0" applyNumberFormat="1" applyFont="1" applyFill="1" applyBorder="1" applyAlignment="1">
      <alignment horizontal="right"/>
    </xf>
    <xf numFmtId="166" fontId="7" fillId="0" borderId="7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1.5743867254577746E-2</c:v>
                </c:pt>
                <c:pt idx="1">
                  <c:v>2.628891273546323E-2</c:v>
                </c:pt>
                <c:pt idx="2">
                  <c:v>6.4482591842063577E-2</c:v>
                </c:pt>
                <c:pt idx="3">
                  <c:v>9.4961932739585239E-2</c:v>
                </c:pt>
                <c:pt idx="4">
                  <c:v>0.17194008781012191</c:v>
                </c:pt>
                <c:pt idx="5">
                  <c:v>0.11551751501430732</c:v>
                </c:pt>
                <c:pt idx="6">
                  <c:v>0.11739642847421469</c:v>
                </c:pt>
                <c:pt idx="7">
                  <c:v>7.6313625983678954E-2</c:v>
                </c:pt>
                <c:pt idx="8">
                  <c:v>4.9890486631045589E-2</c:v>
                </c:pt>
                <c:pt idx="9">
                  <c:v>3.6391843347395203E-2</c:v>
                </c:pt>
                <c:pt idx="10">
                  <c:v>5.7770487779162785E-2</c:v>
                </c:pt>
                <c:pt idx="11">
                  <c:v>2.631944850567431E-2</c:v>
                </c:pt>
                <c:pt idx="12">
                  <c:v>1.8200785337901065E-2</c:v>
                </c:pt>
                <c:pt idx="13">
                  <c:v>1.0963526003815793E-2</c:v>
                </c:pt>
                <c:pt idx="14">
                  <c:v>3.5902950951784696E-3</c:v>
                </c:pt>
                <c:pt idx="15">
                  <c:v>5.4461572893835068E-3</c:v>
                </c:pt>
                <c:pt idx="16">
                  <c:v>1.8850874242926162E-2</c:v>
                </c:pt>
                <c:pt idx="17">
                  <c:v>6.5402059729058803E-3</c:v>
                </c:pt>
                <c:pt idx="18">
                  <c:v>5.8110090816323127E-3</c:v>
                </c:pt>
                <c:pt idx="19">
                  <c:v>1.1280321782208448E-2</c:v>
                </c:pt>
                <c:pt idx="20">
                  <c:v>8.0619961502381883E-3</c:v>
                </c:pt>
                <c:pt idx="21">
                  <c:v>9.0434185983171295E-3</c:v>
                </c:pt>
                <c:pt idx="22">
                  <c:v>8.7300721408975733E-3</c:v>
                </c:pt>
                <c:pt idx="23">
                  <c:v>7.7204114700666626E-3</c:v>
                </c:pt>
                <c:pt idx="24">
                  <c:v>1.0921044552150896E-3</c:v>
                </c:pt>
                <c:pt idx="25">
                  <c:v>1.4203812406766341E-3</c:v>
                </c:pt>
                <c:pt idx="26">
                  <c:v>1.5691832713554657E-3</c:v>
                </c:pt>
                <c:pt idx="27">
                  <c:v>3.263208436246186E-3</c:v>
                </c:pt>
                <c:pt idx="28">
                  <c:v>4.5885413498850743E-4</c:v>
                </c:pt>
                <c:pt idx="29">
                  <c:v>1.1230111595955123E-3</c:v>
                </c:pt>
                <c:pt idx="30">
                  <c:v>2.2139861767938823E-3</c:v>
                </c:pt>
                <c:pt idx="31">
                  <c:v>2.4320021890064485E-3</c:v>
                </c:pt>
                <c:pt idx="32">
                  <c:v>0</c:v>
                </c:pt>
                <c:pt idx="33">
                  <c:v>6.3632127897531314E-4</c:v>
                </c:pt>
                <c:pt idx="34">
                  <c:v>1.1602944886654829E-3</c:v>
                </c:pt>
                <c:pt idx="35">
                  <c:v>1.3877052011006343E-3</c:v>
                </c:pt>
                <c:pt idx="36">
                  <c:v>2.4047233788988665E-4</c:v>
                </c:pt>
                <c:pt idx="37">
                  <c:v>0</c:v>
                </c:pt>
                <c:pt idx="38">
                  <c:v>7.2517906183192046E-6</c:v>
                </c:pt>
                <c:pt idx="39">
                  <c:v>1.2708358441728445E-4</c:v>
                </c:pt>
                <c:pt idx="40">
                  <c:v>1.0074440942893736E-2</c:v>
                </c:pt>
                <c:pt idx="41">
                  <c:v>1.9244629151135737E-3</c:v>
                </c:pt>
                <c:pt idx="42">
                  <c:v>0</c:v>
                </c:pt>
                <c:pt idx="43">
                  <c:v>0</c:v>
                </c:pt>
                <c:pt idx="44">
                  <c:v>1.2226184812523397E-4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3.3764575590920792E-4</c:v>
                </c:pt>
                <c:pt idx="49">
                  <c:v>0</c:v>
                </c:pt>
                <c:pt idx="50">
                  <c:v>7.172736962431425E-4</c:v>
                </c:pt>
                <c:pt idx="51">
                  <c:v>1.4953407173942584E-4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1.2119102166859835E-3</c:v>
                </c:pt>
                <c:pt idx="57">
                  <c:v>4.7980473381377381E-4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0.14190454351487247</c:v>
                </c:pt>
                <c:pt idx="1">
                  <c:v>9.4877896549577151E-2</c:v>
                </c:pt>
                <c:pt idx="2">
                  <c:v>5.7242304088540759E-2</c:v>
                </c:pt>
                <c:pt idx="3">
                  <c:v>3.2502706913753857E-2</c:v>
                </c:pt>
                <c:pt idx="4">
                  <c:v>0.1642022235417214</c:v>
                </c:pt>
                <c:pt idx="5">
                  <c:v>9.2880930722749763E-2</c:v>
                </c:pt>
                <c:pt idx="6">
                  <c:v>8.0401033258972299E-2</c:v>
                </c:pt>
                <c:pt idx="7">
                  <c:v>5.8706239493150333E-2</c:v>
                </c:pt>
                <c:pt idx="8">
                  <c:v>4.3196724672322967E-2</c:v>
                </c:pt>
                <c:pt idx="9">
                  <c:v>3.0672787657991887E-2</c:v>
                </c:pt>
                <c:pt idx="10">
                  <c:v>1.6730473394796348E-2</c:v>
                </c:pt>
                <c:pt idx="11">
                  <c:v>2.2690998771448399E-2</c:v>
                </c:pt>
                <c:pt idx="12">
                  <c:v>1.5366765932826019E-2</c:v>
                </c:pt>
                <c:pt idx="13">
                  <c:v>2.1451816935181375E-2</c:v>
                </c:pt>
                <c:pt idx="14">
                  <c:v>1.2990148808122716E-2</c:v>
                </c:pt>
                <c:pt idx="15">
                  <c:v>1.9260469643841524E-2</c:v>
                </c:pt>
                <c:pt idx="16">
                  <c:v>1.1302978440362096E-2</c:v>
                </c:pt>
                <c:pt idx="17">
                  <c:v>1.1050889978572481E-2</c:v>
                </c:pt>
                <c:pt idx="18">
                  <c:v>9.3834614783014098E-3</c:v>
                </c:pt>
                <c:pt idx="19">
                  <c:v>6.7760163644895437E-3</c:v>
                </c:pt>
                <c:pt idx="20">
                  <c:v>6.8155000994686403E-3</c:v>
                </c:pt>
                <c:pt idx="21">
                  <c:v>5.5672066320525924E-3</c:v>
                </c:pt>
                <c:pt idx="22">
                  <c:v>4.6135225717882635E-3</c:v>
                </c:pt>
                <c:pt idx="23">
                  <c:v>4.3523224788496262E-3</c:v>
                </c:pt>
                <c:pt idx="24">
                  <c:v>4.373582951530678E-3</c:v>
                </c:pt>
                <c:pt idx="25">
                  <c:v>4.1063084378260258E-3</c:v>
                </c:pt>
                <c:pt idx="26">
                  <c:v>5.5292415022649994E-3</c:v>
                </c:pt>
                <c:pt idx="27">
                  <c:v>2.7744916848772738E-3</c:v>
                </c:pt>
                <c:pt idx="28">
                  <c:v>2.5588497476837476E-3</c:v>
                </c:pt>
                <c:pt idx="29">
                  <c:v>2.3401706001072134E-3</c:v>
                </c:pt>
                <c:pt idx="30">
                  <c:v>2.3553566520222507E-3</c:v>
                </c:pt>
                <c:pt idx="31">
                  <c:v>1.5261982174612262E-3</c:v>
                </c:pt>
                <c:pt idx="32">
                  <c:v>1.3439655944807814E-3</c:v>
                </c:pt>
                <c:pt idx="33">
                  <c:v>9.1723753566823947E-4</c:v>
                </c:pt>
                <c:pt idx="34">
                  <c:v>1.0508747925205657E-3</c:v>
                </c:pt>
                <c:pt idx="35">
                  <c:v>6.9248396732569072E-4</c:v>
                </c:pt>
                <c:pt idx="36">
                  <c:v>1.1025073690316917E-3</c:v>
                </c:pt>
                <c:pt idx="37">
                  <c:v>6.65149073878624E-4</c:v>
                </c:pt>
                <c:pt idx="38">
                  <c:v>7.6082120094335751E-4</c:v>
                </c:pt>
                <c:pt idx="39">
                  <c:v>4.9962110800471987E-4</c:v>
                </c:pt>
                <c:pt idx="40">
                  <c:v>4.2824666400404556E-4</c:v>
                </c:pt>
                <c:pt idx="41">
                  <c:v>3.1890709021577859E-4</c:v>
                </c:pt>
                <c:pt idx="42">
                  <c:v>3.3713035251382308E-4</c:v>
                </c:pt>
                <c:pt idx="43">
                  <c:v>1.4730470357585964E-4</c:v>
                </c:pt>
                <c:pt idx="44">
                  <c:v>2.0045588527848942E-4</c:v>
                </c:pt>
                <c:pt idx="45">
                  <c:v>1.7160238663991898E-4</c:v>
                </c:pt>
                <c:pt idx="46">
                  <c:v>1.9741867489548199E-4</c:v>
                </c:pt>
                <c:pt idx="47">
                  <c:v>1.0326515302225212E-4</c:v>
                </c:pt>
                <c:pt idx="48">
                  <c:v>7.8967469958192795E-5</c:v>
                </c:pt>
                <c:pt idx="49">
                  <c:v>9.7190732256237291E-5</c:v>
                </c:pt>
                <c:pt idx="50">
                  <c:v>8.656049591571134E-5</c:v>
                </c:pt>
                <c:pt idx="51">
                  <c:v>5.3151181702629769E-5</c:v>
                </c:pt>
                <c:pt idx="52">
                  <c:v>3.7965129787592694E-5</c:v>
                </c:pt>
                <c:pt idx="53">
                  <c:v>2.1260472681051909E-5</c:v>
                </c:pt>
                <c:pt idx="54">
                  <c:v>4.7076760936614935E-5</c:v>
                </c:pt>
                <c:pt idx="55">
                  <c:v>3.7965129787592694E-5</c:v>
                </c:pt>
                <c:pt idx="56">
                  <c:v>2.1260472681051909E-5</c:v>
                </c:pt>
                <c:pt idx="57">
                  <c:v>1.5186051915037077E-5</c:v>
                </c:pt>
                <c:pt idx="58">
                  <c:v>1.8223262298044492E-5</c:v>
                </c:pt>
                <c:pt idx="59">
                  <c:v>7.5930259575185383E-6</c:v>
                </c:pt>
                <c:pt idx="60">
                  <c:v>4.555815574511123E-6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3637880"/>
        <c:axId val="343636704"/>
      </c:lineChart>
      <c:catAx>
        <c:axId val="343637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3636704"/>
        <c:crosses val="autoZero"/>
        <c:auto val="1"/>
        <c:lblAlgn val="ctr"/>
        <c:lblOffset val="100"/>
        <c:tickLblSkip val="10"/>
        <c:noMultiLvlLbl val="0"/>
      </c:catAx>
      <c:valAx>
        <c:axId val="3436367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363788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8.3233246069193542E-4</c:v>
                </c:pt>
                <c:pt idx="4">
                  <c:v>1.3996526412851488E-3</c:v>
                </c:pt>
                <c:pt idx="5">
                  <c:v>1.3511882152600666E-2</c:v>
                </c:pt>
                <c:pt idx="6">
                  <c:v>6.2716581451719372E-3</c:v>
                </c:pt>
                <c:pt idx="7">
                  <c:v>6.5708884551980758E-3</c:v>
                </c:pt>
                <c:pt idx="8">
                  <c:v>6.587292784897586E-3</c:v>
                </c:pt>
                <c:pt idx="9">
                  <c:v>6.8590733501956349E-3</c:v>
                </c:pt>
                <c:pt idx="10">
                  <c:v>0</c:v>
                </c:pt>
                <c:pt idx="11">
                  <c:v>1.021101979781908E-2</c:v>
                </c:pt>
                <c:pt idx="12">
                  <c:v>1.998781091357648E-2</c:v>
                </c:pt>
                <c:pt idx="13">
                  <c:v>4.1606708923963051E-2</c:v>
                </c:pt>
                <c:pt idx="14">
                  <c:v>2.199889844019659E-2</c:v>
                </c:pt>
                <c:pt idx="15">
                  <c:v>9.1701118881915723E-3</c:v>
                </c:pt>
                <c:pt idx="16">
                  <c:v>3.7326683517737567E-2</c:v>
                </c:pt>
                <c:pt idx="17">
                  <c:v>2.1263980458690407E-2</c:v>
                </c:pt>
                <c:pt idx="18">
                  <c:v>7.1942219770740543E-2</c:v>
                </c:pt>
                <c:pt idx="19">
                  <c:v>4.5108628604058142E-2</c:v>
                </c:pt>
                <c:pt idx="20">
                  <c:v>6.2408261890903406E-2</c:v>
                </c:pt>
                <c:pt idx="21">
                  <c:v>5.9529528147071485E-2</c:v>
                </c:pt>
                <c:pt idx="22">
                  <c:v>5.601939498671394E-2</c:v>
                </c:pt>
                <c:pt idx="23">
                  <c:v>4.4219584199365218E-2</c:v>
                </c:pt>
                <c:pt idx="24">
                  <c:v>5.9295003554007721E-2</c:v>
                </c:pt>
                <c:pt idx="25">
                  <c:v>1.5504976124218259E-2</c:v>
                </c:pt>
                <c:pt idx="26">
                  <c:v>7.2243896159591453E-2</c:v>
                </c:pt>
                <c:pt idx="27">
                  <c:v>1.2589693298978412E-2</c:v>
                </c:pt>
                <c:pt idx="28">
                  <c:v>1.9270318164443492E-2</c:v>
                </c:pt>
                <c:pt idx="29">
                  <c:v>2.4506529068825996E-2</c:v>
                </c:pt>
                <c:pt idx="30">
                  <c:v>9.2933772736574806E-3</c:v>
                </c:pt>
                <c:pt idx="31">
                  <c:v>1.7715922749936778E-2</c:v>
                </c:pt>
                <c:pt idx="32">
                  <c:v>7.5155322744353903E-3</c:v>
                </c:pt>
                <c:pt idx="33">
                  <c:v>1.8406628737974644E-2</c:v>
                </c:pt>
                <c:pt idx="34">
                  <c:v>1.3095230417903043E-2</c:v>
                </c:pt>
                <c:pt idx="35">
                  <c:v>1.329440813519343E-2</c:v>
                </c:pt>
                <c:pt idx="36">
                  <c:v>2.0305087406644945E-3</c:v>
                </c:pt>
                <c:pt idx="37">
                  <c:v>1.8451178967698139E-2</c:v>
                </c:pt>
                <c:pt idx="38">
                  <c:v>1.4349468789904642E-2</c:v>
                </c:pt>
                <c:pt idx="39">
                  <c:v>7.8584260499886815E-3</c:v>
                </c:pt>
                <c:pt idx="40">
                  <c:v>1.3402899552058893E-2</c:v>
                </c:pt>
                <c:pt idx="41">
                  <c:v>1.7469829575609108E-2</c:v>
                </c:pt>
                <c:pt idx="42">
                  <c:v>8.3158166336739711E-4</c:v>
                </c:pt>
                <c:pt idx="43">
                  <c:v>8.6442057906633966E-4</c:v>
                </c:pt>
                <c:pt idx="44">
                  <c:v>1.9226436444753504E-3</c:v>
                </c:pt>
                <c:pt idx="45">
                  <c:v>5.019860685533075E-2</c:v>
                </c:pt>
                <c:pt idx="46">
                  <c:v>4.5020742691109904E-3</c:v>
                </c:pt>
                <c:pt idx="47">
                  <c:v>0</c:v>
                </c:pt>
                <c:pt idx="48">
                  <c:v>8.263740000622625E-5</c:v>
                </c:pt>
                <c:pt idx="49">
                  <c:v>3.3798771829928815E-4</c:v>
                </c:pt>
                <c:pt idx="50">
                  <c:v>2.7900285494385328E-3</c:v>
                </c:pt>
                <c:pt idx="51">
                  <c:v>4.4213644852317372E-4</c:v>
                </c:pt>
                <c:pt idx="52">
                  <c:v>0</c:v>
                </c:pt>
                <c:pt idx="53">
                  <c:v>0</c:v>
                </c:pt>
                <c:pt idx="54">
                  <c:v>5.1582827564354301E-4</c:v>
                </c:pt>
                <c:pt idx="55">
                  <c:v>0</c:v>
                </c:pt>
                <c:pt idx="56">
                  <c:v>3.6755592230717116E-4</c:v>
                </c:pt>
                <c:pt idx="57">
                  <c:v>3.0847574037790575E-3</c:v>
                </c:pt>
                <c:pt idx="58">
                  <c:v>3.4739024801424536E-3</c:v>
                </c:pt>
                <c:pt idx="59">
                  <c:v>1.5353476317944305E-4</c:v>
                </c:pt>
                <c:pt idx="60">
                  <c:v>3.1347740047083352E-3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1.9700865149377599E-2</c:v>
                </c:pt>
                <c:pt idx="1">
                  <c:v>2.9719103597727559E-2</c:v>
                </c:pt>
                <c:pt idx="2">
                  <c:v>3.3980309765086966E-2</c:v>
                </c:pt>
                <c:pt idx="3">
                  <c:v>3.2399441760731604E-2</c:v>
                </c:pt>
                <c:pt idx="4">
                  <c:v>2.9012952183678335E-2</c:v>
                </c:pt>
                <c:pt idx="5">
                  <c:v>2.5796546388073483E-2</c:v>
                </c:pt>
                <c:pt idx="6">
                  <c:v>2.3169359406772068E-2</c:v>
                </c:pt>
                <c:pt idx="7">
                  <c:v>2.068036549789749E-2</c:v>
                </c:pt>
                <c:pt idx="8">
                  <c:v>1.8391827474301403E-2</c:v>
                </c:pt>
                <c:pt idx="9">
                  <c:v>1.621111041930208E-2</c:v>
                </c:pt>
                <c:pt idx="10">
                  <c:v>1.4399414425838156E-2</c:v>
                </c:pt>
                <c:pt idx="11">
                  <c:v>1.2889920865483471E-2</c:v>
                </c:pt>
                <c:pt idx="12">
                  <c:v>1.1599106452705319E-2</c:v>
                </c:pt>
                <c:pt idx="13">
                  <c:v>9.7874104592413965E-3</c:v>
                </c:pt>
                <c:pt idx="14">
                  <c:v>9.7843732488583877E-3</c:v>
                </c:pt>
                <c:pt idx="15">
                  <c:v>8.2612122417801692E-3</c:v>
                </c:pt>
                <c:pt idx="16">
                  <c:v>7.8648562867977018E-3</c:v>
                </c:pt>
                <c:pt idx="17">
                  <c:v>7.4912794096877898E-3</c:v>
                </c:pt>
                <c:pt idx="18">
                  <c:v>0.11479592224133978</c:v>
                </c:pt>
                <c:pt idx="19">
                  <c:v>3.6950701519668214E-2</c:v>
                </c:pt>
                <c:pt idx="20">
                  <c:v>4.2059289383886686E-2</c:v>
                </c:pt>
                <c:pt idx="21">
                  <c:v>4.6961346942060653E-2</c:v>
                </c:pt>
                <c:pt idx="22">
                  <c:v>4.6426797914651353E-2</c:v>
                </c:pt>
                <c:pt idx="23">
                  <c:v>3.4662163496072131E-2</c:v>
                </c:pt>
                <c:pt idx="24">
                  <c:v>2.9362231377724188E-2</c:v>
                </c:pt>
                <c:pt idx="25">
                  <c:v>3.3568767758189455E-2</c:v>
                </c:pt>
                <c:pt idx="26">
                  <c:v>2.2856526737322306E-2</c:v>
                </c:pt>
                <c:pt idx="27">
                  <c:v>1.9438146451247459E-2</c:v>
                </c:pt>
                <c:pt idx="28">
                  <c:v>1.9921062902145636E-2</c:v>
                </c:pt>
                <c:pt idx="29">
                  <c:v>1.7858797052083604E-2</c:v>
                </c:pt>
                <c:pt idx="30">
                  <c:v>2.6498141986548197E-2</c:v>
                </c:pt>
                <c:pt idx="31">
                  <c:v>1.5848163778532692E-2</c:v>
                </c:pt>
                <c:pt idx="32">
                  <c:v>1.5801087017596079E-2</c:v>
                </c:pt>
                <c:pt idx="33">
                  <c:v>1.84723135494511E-2</c:v>
                </c:pt>
                <c:pt idx="34">
                  <c:v>1.2000018223262299E-2</c:v>
                </c:pt>
                <c:pt idx="35">
                  <c:v>9.9817919237538705E-3</c:v>
                </c:pt>
                <c:pt idx="36">
                  <c:v>9.0235520479150302E-3</c:v>
                </c:pt>
                <c:pt idx="37">
                  <c:v>8.7076821680822595E-3</c:v>
                </c:pt>
                <c:pt idx="38">
                  <c:v>1.1737299525132156E-2</c:v>
                </c:pt>
                <c:pt idx="39">
                  <c:v>7.3804212307080194E-3</c:v>
                </c:pt>
                <c:pt idx="40">
                  <c:v>7.2801932880687745E-3</c:v>
                </c:pt>
                <c:pt idx="41">
                  <c:v>6.7031233152973655E-3</c:v>
                </c:pt>
                <c:pt idx="42">
                  <c:v>5.4305321648172589E-3</c:v>
                </c:pt>
                <c:pt idx="43">
                  <c:v>4.809422641492242E-3</c:v>
                </c:pt>
                <c:pt idx="44">
                  <c:v>4.7517156442151015E-3</c:v>
                </c:pt>
                <c:pt idx="45">
                  <c:v>3.8785176591004692E-3</c:v>
                </c:pt>
                <c:pt idx="46">
                  <c:v>3.9711525757821957E-3</c:v>
                </c:pt>
                <c:pt idx="47">
                  <c:v>4.144273567613618E-3</c:v>
                </c:pt>
                <c:pt idx="48">
                  <c:v>2.9233149936446373E-3</c:v>
                </c:pt>
                <c:pt idx="49">
                  <c:v>3.2467778994349269E-3</c:v>
                </c:pt>
                <c:pt idx="50">
                  <c:v>2.2900566287875914E-3</c:v>
                </c:pt>
                <c:pt idx="51">
                  <c:v>1.8526983336345233E-3</c:v>
                </c:pt>
                <c:pt idx="52">
                  <c:v>2.2627217353405242E-3</c:v>
                </c:pt>
                <c:pt idx="53">
                  <c:v>1.8223262298044491E-3</c:v>
                </c:pt>
                <c:pt idx="54">
                  <c:v>1.6249075549089672E-3</c:v>
                </c:pt>
                <c:pt idx="55">
                  <c:v>1.3971167761834111E-3</c:v>
                </c:pt>
                <c:pt idx="56">
                  <c:v>1.5201237966952113E-3</c:v>
                </c:pt>
                <c:pt idx="57">
                  <c:v>1.1009887638401882E-3</c:v>
                </c:pt>
                <c:pt idx="58">
                  <c:v>8.291584345610244E-4</c:v>
                </c:pt>
                <c:pt idx="59">
                  <c:v>8.0182354111395769E-4</c:v>
                </c:pt>
                <c:pt idx="60">
                  <c:v>7.4867235941132788E-4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3638664"/>
        <c:axId val="343638272"/>
      </c:lineChart>
      <c:catAx>
        <c:axId val="343638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3638272"/>
        <c:crosses val="autoZero"/>
        <c:auto val="1"/>
        <c:lblAlgn val="ctr"/>
        <c:lblOffset val="100"/>
        <c:tickLblSkip val="10"/>
        <c:noMultiLvlLbl val="0"/>
      </c:catAx>
      <c:valAx>
        <c:axId val="343638272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363866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topLeftCell="E1" workbookViewId="0">
      <selection activeCell="T10" sqref="T10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6" max="6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4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8" t="n">
        <v>9973.1768341485</v>
      </c>
      <c r="C11" s="11">
        <f>B11/B$102</f>
        <v>1.5743867254577746E-2</v>
      </c>
      <c r="E11" s="20">
        <v>0</v>
      </c>
      <c r="F11" s="110" t="n">
        <v>93547.0</v>
      </c>
      <c r="G11" s="11">
        <f>F11/F$102</f>
        <v>0.14190454351487247</v>
      </c>
      <c r="K11" s="8" t="n">
        <v>7.667280534292302</v>
      </c>
      <c r="L11" s="8" t="n">
        <v>6.893998826040228</v>
      </c>
    </row>
    <row r="12" spans="1:12" x14ac:dyDescent="0.45">
      <c r="A12">
        <v>1</v>
      </c>
      <c r="B12" s="8" t="n">
        <v>16653.0860079527</v>
      </c>
      <c r="C12" s="11">
        <f>B12/B$102</f>
        <v>2.628891273546323E-2</v>
      </c>
      <c r="E12" s="21">
        <v>1</v>
      </c>
      <c r="F12" s="111" t="n">
        <v>62805.0</v>
      </c>
      <c r="G12" s="11">
        <f>F12/F$102</f>
        <v>9.4877896549577151E-2</v>
      </c>
      <c r="K12" s="8"/>
      <c r="L12" s="380"/>
    </row>
    <row r="13" spans="1:12" x14ac:dyDescent="0.45">
      <c r="A13">
        <v>2</v>
      </c>
      <c r="B13" s="8" t="n">
        <v>40847.4157439388</v>
      </c>
      <c r="C13" s="11">
        <f t="shared" ref="C13:C76" si="0">B13/B$102</f>
        <v>6.4482591842063577E-2</v>
      </c>
      <c r="E13" s="22">
        <v>2</v>
      </c>
      <c r="F13" s="112" t="n">
        <v>37914.0</v>
      </c>
      <c r="G13" s="11">
        <f t="shared" ref="G13:G76" si="1">F13/F$102</f>
        <v>5.7242304088540759E-2</v>
      </c>
    </row>
    <row r="14" spans="1:12" x14ac:dyDescent="0.45">
      <c r="A14">
        <v>3</v>
      </c>
      <c r="B14" s="8" t="n">
        <v>60154.9881239646</v>
      </c>
      <c r="C14" s="11">
        <f t="shared" si="0"/>
        <v>9.4961932739585239E-2</v>
      </c>
      <c r="E14" s="23">
        <v>3</v>
      </c>
      <c r="F14" s="113" t="n">
        <v>21208.0</v>
      </c>
      <c r="G14" s="11">
        <f t="shared" si="1"/>
        <v>3.2502706913753857E-2</v>
      </c>
    </row>
    <row r="15" spans="1:12" x14ac:dyDescent="0.45">
      <c r="A15">
        <v>4</v>
      </c>
      <c r="B15" s="8" t="n">
        <v>108917.8962755017</v>
      </c>
      <c r="C15" s="11">
        <f t="shared" si="0"/>
        <v>0.17194008781012191</v>
      </c>
      <c r="E15" s="24">
        <v>4</v>
      </c>
      <c r="F15" s="114" t="n">
        <v>108027.0</v>
      </c>
      <c r="G15" s="11">
        <f t="shared" si="1"/>
        <v>0.1642022235417214</v>
      </c>
    </row>
    <row r="16" spans="1:12" x14ac:dyDescent="0.45">
      <c r="A16">
        <v>5</v>
      </c>
      <c r="B16" s="8" t="n">
        <v>73176.2143347664</v>
      </c>
      <c r="C16" s="11">
        <f t="shared" si="0"/>
        <v>0.11551751501430732</v>
      </c>
      <c r="E16" s="25">
        <v>5</v>
      </c>
      <c r="F16" s="115" t="n">
        <v>61957.0</v>
      </c>
      <c r="G16" s="11">
        <f t="shared" si="1"/>
        <v>9.2880930722749763E-2</v>
      </c>
    </row>
    <row r="17" spans="1:7" x14ac:dyDescent="0.45">
      <c r="A17">
        <v>6</v>
      </c>
      <c r="B17" s="8" t="n">
        <v>74366.438813207</v>
      </c>
      <c r="C17" s="11">
        <f t="shared" si="0"/>
        <v>0.11739642847421469</v>
      </c>
      <c r="E17" s="26">
        <v>6</v>
      </c>
      <c r="F17" s="116" t="n">
        <v>54227.0</v>
      </c>
      <c r="G17" s="11">
        <f t="shared" si="1"/>
        <v>8.0401033258972299E-2</v>
      </c>
    </row>
    <row r="18" spans="1:7" x14ac:dyDescent="0.45">
      <c r="A18">
        <v>7</v>
      </c>
      <c r="B18" s="8" t="n">
        <v>48341.9527415669</v>
      </c>
      <c r="C18" s="11">
        <f t="shared" si="0"/>
        <v>7.6313625983678954E-2</v>
      </c>
      <c r="E18" s="27">
        <v>7</v>
      </c>
      <c r="F18" s="117" t="n">
        <v>26979.0</v>
      </c>
      <c r="G18" s="11">
        <f t="shared" si="1"/>
        <v>5.8706239493150333E-2</v>
      </c>
    </row>
    <row r="19" spans="1:7" x14ac:dyDescent="0.45">
      <c r="A19">
        <v>8</v>
      </c>
      <c r="B19" s="8" t="n">
        <v>31603.8389721855</v>
      </c>
      <c r="C19" s="11">
        <f t="shared" si="0"/>
        <v>4.9890486631045589E-2</v>
      </c>
      <c r="E19" s="28">
        <v>8</v>
      </c>
      <c r="F19" s="118" t="n">
        <v>40390.0</v>
      </c>
      <c r="G19" s="11">
        <f t="shared" si="1"/>
        <v>4.3196724672322967E-2</v>
      </c>
    </row>
    <row r="20" spans="1:7" x14ac:dyDescent="0.45">
      <c r="A20">
        <v>9</v>
      </c>
      <c r="B20" s="8" t="n">
        <v>23052.931224294498</v>
      </c>
      <c r="C20" s="11">
        <f t="shared" si="0"/>
        <v>3.6391843347395203E-2</v>
      </c>
      <c r="E20" s="29">
        <v>9</v>
      </c>
      <c r="F20" s="119" t="n">
        <v>17659.0</v>
      </c>
      <c r="G20" s="11">
        <f t="shared" si="1"/>
        <v>3.0672787657991887E-2</v>
      </c>
    </row>
    <row r="21" spans="1:7" x14ac:dyDescent="0.45">
      <c r="A21">
        <v>10</v>
      </c>
      <c r="B21" s="8" t="n">
        <v>36595.5378751736</v>
      </c>
      <c r="C21" s="11">
        <f t="shared" si="0"/>
        <v>5.7770487779162785E-2</v>
      </c>
      <c r="E21" s="30">
        <v>10</v>
      </c>
      <c r="F21" s="120" t="n">
        <v>10159.0</v>
      </c>
      <c r="G21" s="11">
        <f t="shared" si="1"/>
        <v>1.6730473394796348E-2</v>
      </c>
    </row>
    <row r="22" spans="1:7" x14ac:dyDescent="0.45">
      <c r="A22">
        <v>11</v>
      </c>
      <c r="B22" s="8" t="n">
        <v>16672.4293262847</v>
      </c>
      <c r="C22" s="11">
        <f t="shared" si="0"/>
        <v>2.631944850567431E-2</v>
      </c>
      <c r="E22" s="31">
        <v>11</v>
      </c>
      <c r="F22" s="121" t="n">
        <v>14819.0</v>
      </c>
      <c r="G22" s="11">
        <f t="shared" si="1"/>
        <v>2.2690998771448399E-2</v>
      </c>
    </row>
    <row r="23" spans="1:7" x14ac:dyDescent="0.45">
      <c r="A23">
        <v>12</v>
      </c>
      <c r="B23" s="8" t="n">
        <v>11529.5465694736</v>
      </c>
      <c r="C23" s="11">
        <f t="shared" si="0"/>
        <v>1.8200785337901065E-2</v>
      </c>
      <c r="E23" s="32">
        <v>12</v>
      </c>
      <c r="F23" s="122" t="n">
        <v>10723.0</v>
      </c>
      <c r="G23" s="11">
        <f t="shared" si="1"/>
        <v>1.5366765932826019E-2</v>
      </c>
    </row>
    <row r="24" spans="1:7" x14ac:dyDescent="0.45">
      <c r="A24">
        <v>13</v>
      </c>
      <c r="B24" s="8" t="n">
        <v>6945.0016183316</v>
      </c>
      <c r="C24" s="11">
        <f t="shared" si="0"/>
        <v>1.0963526003815793E-2</v>
      </c>
      <c r="E24" s="33">
        <v>13</v>
      </c>
      <c r="F24" s="123" t="n">
        <v>14260.0</v>
      </c>
      <c r="G24" s="11">
        <f t="shared" si="1"/>
        <v>2.1451816935181375E-2</v>
      </c>
    </row>
    <row r="25" spans="1:7" x14ac:dyDescent="0.45">
      <c r="A25">
        <v>14</v>
      </c>
      <c r="B25" s="8" t="n">
        <v>2274.323537667</v>
      </c>
      <c r="C25" s="11">
        <f t="shared" si="0"/>
        <v>3.5902950951784696E-3</v>
      </c>
      <c r="E25" s="34">
        <v>14</v>
      </c>
      <c r="F25" s="124" t="n">
        <v>7469.0</v>
      </c>
      <c r="G25" s="11">
        <f t="shared" si="1"/>
        <v>1.2990148808122716E-2</v>
      </c>
    </row>
    <row r="26" spans="1:7" x14ac:dyDescent="0.45">
      <c r="A26">
        <v>15</v>
      </c>
      <c r="B26" s="8" t="n">
        <v>3449.9458637023</v>
      </c>
      <c r="C26" s="11">
        <f t="shared" si="0"/>
        <v>5.4461572893835068E-3</v>
      </c>
      <c r="E26" s="35">
        <v>15</v>
      </c>
      <c r="F26" s="125" t="n">
        <v>14720.0</v>
      </c>
      <c r="G26" s="11">
        <f t="shared" si="1"/>
        <v>1.9260469643841524E-2</v>
      </c>
    </row>
    <row r="27" spans="1:7" x14ac:dyDescent="0.45">
      <c r="A27">
        <v>16</v>
      </c>
      <c r="B27" s="8" t="n">
        <v>11941.3546406988</v>
      </c>
      <c r="C27" s="11">
        <f t="shared" si="0"/>
        <v>1.8850874242926162E-2</v>
      </c>
      <c r="E27" s="36">
        <v>16</v>
      </c>
      <c r="F27" s="126" t="n">
        <v>7196.0</v>
      </c>
      <c r="G27" s="11">
        <f t="shared" si="1"/>
        <v>1.1302978440362096E-2</v>
      </c>
    </row>
    <row r="28" spans="1:7" x14ac:dyDescent="0.45">
      <c r="A28">
        <v>17</v>
      </c>
      <c r="B28" s="8" t="n">
        <v>4142.9865766036</v>
      </c>
      <c r="C28" s="11">
        <f t="shared" si="0"/>
        <v>6.5402059729058803E-3</v>
      </c>
      <c r="E28" s="37">
        <v>17</v>
      </c>
      <c r="F28" s="127" t="n">
        <v>7539.0</v>
      </c>
      <c r="G28" s="11">
        <f t="shared" si="1"/>
        <v>1.1050889978572481E-2</v>
      </c>
    </row>
    <row r="29" spans="1:7" x14ac:dyDescent="0.45">
      <c r="A29">
        <v>18</v>
      </c>
      <c r="B29" s="8" t="n">
        <v>3681.066425348</v>
      </c>
      <c r="C29" s="11">
        <f t="shared" si="0"/>
        <v>5.8110090816323127E-3</v>
      </c>
      <c r="E29" s="38">
        <v>18</v>
      </c>
      <c r="F29" s="128" t="n">
        <v>5940.0</v>
      </c>
      <c r="G29" s="11">
        <f t="shared" si="1"/>
        <v>9.3834614783014098E-3</v>
      </c>
    </row>
    <row r="30" spans="1:7" x14ac:dyDescent="0.45">
      <c r="A30">
        <v>19</v>
      </c>
      <c r="B30" s="8" t="n">
        <v>7145.680413899</v>
      </c>
      <c r="C30" s="11">
        <f t="shared" si="0"/>
        <v>1.1280321782208448E-2</v>
      </c>
      <c r="E30" s="39">
        <v>19</v>
      </c>
      <c r="F30" s="129" t="n">
        <v>4167.0</v>
      </c>
      <c r="G30" s="11">
        <f t="shared" si="1"/>
        <v>6.7760163644895437E-3</v>
      </c>
    </row>
    <row r="31" spans="1:7" x14ac:dyDescent="0.45">
      <c r="A31">
        <v>20</v>
      </c>
      <c r="B31" s="8" t="n">
        <v>5106.9862278705</v>
      </c>
      <c r="C31" s="11">
        <f t="shared" si="0"/>
        <v>8.0619961502381883E-3</v>
      </c>
      <c r="E31" s="40">
        <v>20</v>
      </c>
      <c r="F31" s="130" t="n">
        <v>3932.0</v>
      </c>
      <c r="G31" s="11">
        <f t="shared" si="1"/>
        <v>6.8155000994686403E-3</v>
      </c>
    </row>
    <row r="32" spans="1:7" x14ac:dyDescent="0.45">
      <c r="A32">
        <v>21</v>
      </c>
      <c r="B32" s="8" t="n">
        <v>5728.68224864</v>
      </c>
      <c r="C32" s="11">
        <f t="shared" si="0"/>
        <v>9.0434185983171295E-3</v>
      </c>
      <c r="E32" s="41">
        <v>21</v>
      </c>
      <c r="F32" s="131" t="n">
        <v>4489.0</v>
      </c>
      <c r="G32" s="11">
        <f t="shared" si="1"/>
        <v>5.5672066320525924E-3</v>
      </c>
    </row>
    <row r="33" spans="1:7" x14ac:dyDescent="0.45">
      <c r="A33">
        <v>22</v>
      </c>
      <c r="B33" s="8" t="n">
        <v>5530.1884745458</v>
      </c>
      <c r="C33" s="11">
        <f t="shared" si="0"/>
        <v>8.7300721408975733E-3</v>
      </c>
      <c r="E33" s="42">
        <v>22</v>
      </c>
      <c r="F33" s="132" t="n">
        <v>2943.0</v>
      </c>
      <c r="G33" s="11">
        <f t="shared" si="1"/>
        <v>4.6135225717882635E-3</v>
      </c>
    </row>
    <row r="34" spans="1:7" x14ac:dyDescent="0.45">
      <c r="A34">
        <v>23</v>
      </c>
      <c r="B34" s="8" t="n">
        <v>4890.604549589</v>
      </c>
      <c r="C34" s="11">
        <f t="shared" si="0"/>
        <v>7.7204114700666626E-3</v>
      </c>
      <c r="E34" s="43">
        <v>23</v>
      </c>
      <c r="F34" s="133" t="n">
        <v>2544.0</v>
      </c>
      <c r="G34" s="11">
        <f t="shared" si="1"/>
        <v>4.3523224788496262E-3</v>
      </c>
    </row>
    <row r="35" spans="1:7" x14ac:dyDescent="0.45">
      <c r="A35">
        <v>24</v>
      </c>
      <c r="B35" s="8" t="n">
        <v>691.809113803</v>
      </c>
      <c r="C35" s="11">
        <f t="shared" si="0"/>
        <v>1.0921044552150896E-3</v>
      </c>
      <c r="E35" s="44">
        <v>24</v>
      </c>
      <c r="F35" s="134" t="n">
        <v>3395.0</v>
      </c>
      <c r="G35" s="11">
        <f t="shared" si="1"/>
        <v>4.373582951530678E-3</v>
      </c>
    </row>
    <row r="36" spans="1:7" x14ac:dyDescent="0.45">
      <c r="A36">
        <v>25</v>
      </c>
      <c r="B36" s="8" t="n">
        <v>899.760716736</v>
      </c>
      <c r="C36" s="11">
        <f t="shared" si="0"/>
        <v>1.4203812406766341E-3</v>
      </c>
      <c r="E36" s="45">
        <v>25</v>
      </c>
      <c r="F36" s="135" t="n">
        <v>3844.0</v>
      </c>
      <c r="G36" s="11">
        <f t="shared" si="1"/>
        <v>4.1063084378260258E-3</v>
      </c>
    </row>
    <row r="37" spans="1:7" x14ac:dyDescent="0.45">
      <c r="A37">
        <v>26</v>
      </c>
      <c r="B37" s="8" t="n">
        <v>994.02148134</v>
      </c>
      <c r="C37" s="11">
        <f t="shared" si="0"/>
        <v>1.5691832713554657E-3</v>
      </c>
      <c r="E37" s="46">
        <v>26</v>
      </c>
      <c r="F37" s="136" t="n">
        <v>2391.0</v>
      </c>
      <c r="G37" s="11">
        <f t="shared" si="1"/>
        <v>5.5292415022649994E-3</v>
      </c>
    </row>
    <row r="38" spans="1:7" x14ac:dyDescent="0.45">
      <c r="A38">
        <v>27</v>
      </c>
      <c r="B38" s="8" t="n">
        <v>2067.125837326</v>
      </c>
      <c r="C38" s="11">
        <f t="shared" si="0"/>
        <v>3.263208436246186E-3</v>
      </c>
      <c r="E38" s="47">
        <v>27</v>
      </c>
      <c r="F38" s="137" t="n">
        <v>1754.0</v>
      </c>
      <c r="G38" s="11">
        <f t="shared" si="1"/>
        <v>2.7744916848772738E-3</v>
      </c>
    </row>
    <row r="39" spans="1:7" x14ac:dyDescent="0.45">
      <c r="A39">
        <v>28</v>
      </c>
      <c r="B39" s="8" t="n">
        <v>290.667683824</v>
      </c>
      <c r="C39" s="11">
        <f t="shared" si="0"/>
        <v>4.5885413498850743E-4</v>
      </c>
      <c r="E39" s="48">
        <v>28</v>
      </c>
      <c r="F39" s="138" t="n">
        <v>1552.0</v>
      </c>
      <c r="G39" s="11">
        <f t="shared" si="1"/>
        <v>2.5588497476837476E-3</v>
      </c>
    </row>
    <row r="40" spans="1:7" x14ac:dyDescent="0.45">
      <c r="A40">
        <v>29</v>
      </c>
      <c r="B40" s="8" t="n">
        <v>711.387405665</v>
      </c>
      <c r="C40" s="11">
        <f t="shared" si="0"/>
        <v>1.1230111595955123E-3</v>
      </c>
      <c r="E40" s="49">
        <v>29</v>
      </c>
      <c r="F40" s="139" t="n">
        <v>1830.0</v>
      </c>
      <c r="G40" s="11">
        <f t="shared" si="1"/>
        <v>2.3401706001072134E-3</v>
      </c>
    </row>
    <row r="41" spans="1:7" x14ac:dyDescent="0.45">
      <c r="A41">
        <v>30</v>
      </c>
      <c r="B41" s="8" t="n">
        <v>1402.4810608782</v>
      </c>
      <c r="C41" s="11">
        <f t="shared" si="0"/>
        <v>2.2139861767938823E-3</v>
      </c>
      <c r="E41" s="50">
        <v>30</v>
      </c>
      <c r="F41" s="140" t="n">
        <v>1118.0</v>
      </c>
      <c r="G41" s="11">
        <f t="shared" si="1"/>
        <v>2.3553566520222507E-3</v>
      </c>
    </row>
    <row r="42" spans="1:7" x14ac:dyDescent="0.45">
      <c r="A42">
        <v>31</v>
      </c>
      <c r="B42" s="8" t="n">
        <v>1540.58640738</v>
      </c>
      <c r="C42" s="11">
        <f t="shared" si="0"/>
        <v>2.4320021890064485E-3</v>
      </c>
      <c r="E42" s="51">
        <v>31</v>
      </c>
      <c r="F42" s="141" t="n">
        <v>1074.0</v>
      </c>
      <c r="G42" s="11">
        <f t="shared" si="1"/>
        <v>1.5261982174612262E-3</v>
      </c>
    </row>
    <row r="43" spans="1:7" x14ac:dyDescent="0.45">
      <c r="A43">
        <v>32</v>
      </c>
      <c r="B43" s="8" t="n">
        <v>0.0</v>
      </c>
      <c r="C43" s="11">
        <f t="shared" si="0"/>
        <v>0</v>
      </c>
      <c r="E43" s="52">
        <v>32</v>
      </c>
      <c r="F43" s="142" t="n">
        <v>830.0</v>
      </c>
      <c r="G43" s="11">
        <f t="shared" si="1"/>
        <v>1.3439655944807814E-3</v>
      </c>
    </row>
    <row r="44" spans="1:7" x14ac:dyDescent="0.45">
      <c r="A44">
        <v>33</v>
      </c>
      <c r="B44" s="8" t="n">
        <v>403.086772515</v>
      </c>
      <c r="C44" s="11">
        <f t="shared" si="0"/>
        <v>6.3632127897531314E-4</v>
      </c>
      <c r="E44" s="53">
        <v>33</v>
      </c>
      <c r="F44" s="143" t="n">
        <v>802.0</v>
      </c>
      <c r="G44" s="11">
        <f t="shared" si="1"/>
        <v>9.1723753566823947E-4</v>
      </c>
    </row>
    <row r="45" spans="1:7" x14ac:dyDescent="0.45">
      <c r="A45">
        <v>34</v>
      </c>
      <c r="B45" s="8" t="n">
        <v>735.005061211</v>
      </c>
      <c r="C45" s="11">
        <f t="shared" si="0"/>
        <v>1.1602944886654829E-3</v>
      </c>
      <c r="E45" s="54">
        <v>34</v>
      </c>
      <c r="F45" s="144" t="n">
        <v>484.0</v>
      </c>
      <c r="G45" s="11">
        <f t="shared" si="1"/>
        <v>1.0508747925205657E-3</v>
      </c>
    </row>
    <row r="46" spans="1:7" x14ac:dyDescent="0.45">
      <c r="A46">
        <v>35</v>
      </c>
      <c r="B46" s="8" t="n">
        <v>879.0616143070001</v>
      </c>
      <c r="C46" s="11">
        <f t="shared" si="0"/>
        <v>1.3877052011006343E-3</v>
      </c>
      <c r="E46" s="55">
        <v>35</v>
      </c>
      <c r="F46" s="145" t="n">
        <v>501.0</v>
      </c>
      <c r="G46" s="11">
        <f t="shared" si="1"/>
        <v>6.9248396732569072E-4</v>
      </c>
    </row>
    <row r="47" spans="1:7" x14ac:dyDescent="0.45">
      <c r="A47">
        <v>36</v>
      </c>
      <c r="B47" s="8" t="n">
        <v>152.330625679</v>
      </c>
      <c r="C47" s="11">
        <f t="shared" si="0"/>
        <v>2.4047233788988665E-4</v>
      </c>
      <c r="E47" s="56">
        <v>36</v>
      </c>
      <c r="F47" s="146" t="n">
        <v>683.0</v>
      </c>
      <c r="G47" s="11">
        <f t="shared" si="1"/>
        <v>1.1025073690316917E-3</v>
      </c>
    </row>
    <row r="48" spans="1:7" x14ac:dyDescent="0.45">
      <c r="A48">
        <v>37</v>
      </c>
      <c r="B48" s="8" t="n">
        <v>0.0</v>
      </c>
      <c r="C48" s="11">
        <f t="shared" si="0"/>
        <v>0</v>
      </c>
      <c r="E48" s="57">
        <v>37</v>
      </c>
      <c r="F48" s="147" t="n">
        <v>403.0</v>
      </c>
      <c r="G48" s="11">
        <f t="shared" si="1"/>
        <v>6.65149073878624E-4</v>
      </c>
    </row>
    <row r="49" spans="1:7" x14ac:dyDescent="0.45">
      <c r="A49">
        <v>38</v>
      </c>
      <c r="B49" s="8" t="n">
        <v>4.59375</v>
      </c>
      <c r="C49" s="11">
        <f t="shared" si="0"/>
        <v>7.2517906183192046E-6</v>
      </c>
      <c r="E49" s="58">
        <v>38</v>
      </c>
      <c r="F49" s="148" t="n">
        <v>437.0</v>
      </c>
      <c r="G49" s="11">
        <f t="shared" si="1"/>
        <v>7.6082120094335751E-4</v>
      </c>
    </row>
    <row r="50" spans="1:7" x14ac:dyDescent="0.45">
      <c r="A50">
        <v>39</v>
      </c>
      <c r="B50" s="8" t="n">
        <v>80.5029056468</v>
      </c>
      <c r="C50" s="11">
        <f t="shared" si="0"/>
        <v>1.2708358441728445E-4</v>
      </c>
      <c r="E50" s="59">
        <v>39</v>
      </c>
      <c r="F50" s="149" t="n">
        <v>319.0</v>
      </c>
      <c r="G50" s="11">
        <f t="shared" si="1"/>
        <v>4.9962110800471987E-4</v>
      </c>
    </row>
    <row r="51" spans="1:7" x14ac:dyDescent="0.45">
      <c r="A51">
        <v>40</v>
      </c>
      <c r="B51" s="8" t="n">
        <v>6381.798029925</v>
      </c>
      <c r="C51" s="11">
        <f t="shared" si="0"/>
        <v>1.0074440942893736E-2</v>
      </c>
      <c r="E51" s="60">
        <v>40</v>
      </c>
      <c r="F51" s="150" t="n">
        <v>216.0</v>
      </c>
      <c r="G51" s="11">
        <f t="shared" si="1"/>
        <v>4.2824666400404556E-4</v>
      </c>
    </row>
    <row r="52" spans="1:7" x14ac:dyDescent="0.45">
      <c r="A52">
        <v>41</v>
      </c>
      <c r="B52" s="8" t="n">
        <v>1219.07842926</v>
      </c>
      <c r="C52" s="11">
        <f t="shared" si="0"/>
        <v>1.9244629151135737E-3</v>
      </c>
      <c r="E52" s="61">
        <v>41</v>
      </c>
      <c r="F52" s="151" t="n">
        <v>242.0</v>
      </c>
      <c r="G52" s="11">
        <f t="shared" si="1"/>
        <v>3.1890709021577859E-4</v>
      </c>
    </row>
    <row r="53" spans="1:7" x14ac:dyDescent="0.45">
      <c r="A53">
        <v>42</v>
      </c>
      <c r="B53" s="8" t="n">
        <v>0.0</v>
      </c>
      <c r="C53" s="11">
        <f t="shared" si="0"/>
        <v>0</v>
      </c>
      <c r="E53" s="62">
        <v>42</v>
      </c>
      <c r="F53" s="152" t="n">
        <v>197.0</v>
      </c>
      <c r="G53" s="11">
        <f t="shared" si="1"/>
        <v>3.3713035251382308E-4</v>
      </c>
    </row>
    <row r="54" spans="1:7" x14ac:dyDescent="0.45">
      <c r="A54">
        <v>43</v>
      </c>
      <c r="B54" s="8" t="n">
        <v>0.0</v>
      </c>
      <c r="C54" s="11">
        <f t="shared" si="0"/>
        <v>0</v>
      </c>
      <c r="E54" s="63">
        <v>43</v>
      </c>
      <c r="F54" s="153" t="n">
        <v>136.0</v>
      </c>
      <c r="G54" s="11">
        <f t="shared" si="1"/>
        <v>1.4730470357585964E-4</v>
      </c>
    </row>
    <row r="55" spans="1:7" x14ac:dyDescent="0.45">
      <c r="A55">
        <v>44</v>
      </c>
      <c r="B55" s="8" t="n">
        <v>77.4485081528</v>
      </c>
      <c r="C55" s="11">
        <f t="shared" si="0"/>
        <v>1.2226184812523397E-4</v>
      </c>
      <c r="E55" s="64">
        <v>44</v>
      </c>
      <c r="F55" s="154" t="n">
        <v>117.0</v>
      </c>
      <c r="G55" s="11">
        <f t="shared" si="1"/>
        <v>2.0045588527848942E-4</v>
      </c>
    </row>
    <row r="56" spans="1:7" x14ac:dyDescent="0.45">
      <c r="A56">
        <v>45</v>
      </c>
      <c r="B56" s="8" t="n">
        <v>0.0</v>
      </c>
      <c r="C56" s="11">
        <f t="shared" si="0"/>
        <v>0</v>
      </c>
      <c r="E56" s="65">
        <v>45</v>
      </c>
      <c r="F56" s="155" t="n">
        <v>177.0</v>
      </c>
      <c r="G56" s="11">
        <f t="shared" si="1"/>
        <v>1.7160238663991898E-4</v>
      </c>
    </row>
    <row r="57" spans="1:7" x14ac:dyDescent="0.45">
      <c r="A57">
        <v>46</v>
      </c>
      <c r="B57" s="8" t="n">
        <v>0.0</v>
      </c>
      <c r="C57" s="11">
        <f t="shared" si="0"/>
        <v>0</v>
      </c>
      <c r="E57" s="66">
        <v>46</v>
      </c>
      <c r="F57" s="156" t="n">
        <v>80.0</v>
      </c>
      <c r="G57" s="11">
        <f t="shared" si="1"/>
        <v>1.9741867489548199E-4</v>
      </c>
    </row>
    <row r="58" spans="1:7" x14ac:dyDescent="0.45">
      <c r="A58">
        <v>47</v>
      </c>
      <c r="B58" s="8" t="n">
        <v>0.0</v>
      </c>
      <c r="C58" s="11">
        <f t="shared" si="0"/>
        <v>0</v>
      </c>
      <c r="E58" s="67">
        <v>47</v>
      </c>
      <c r="F58" s="157" t="n">
        <v>104.0</v>
      </c>
      <c r="G58" s="11">
        <f t="shared" si="1"/>
        <v>1.0326515302225212E-4</v>
      </c>
    </row>
    <row r="59" spans="1:7" x14ac:dyDescent="0.45">
      <c r="A59">
        <v>48</v>
      </c>
      <c r="B59" s="8" t="n">
        <v>213.886510635</v>
      </c>
      <c r="C59" s="11">
        <f t="shared" si="0"/>
        <v>3.3764575590920792E-4</v>
      </c>
      <c r="E59" s="68">
        <v>48</v>
      </c>
      <c r="F59" s="158" t="n">
        <v>52.0</v>
      </c>
      <c r="G59" s="11">
        <f t="shared" si="1"/>
        <v>7.8967469958192795E-5</v>
      </c>
    </row>
    <row r="60" spans="1:7" x14ac:dyDescent="0.45">
      <c r="A60">
        <v>49</v>
      </c>
      <c r="B60" s="8" t="n">
        <v>0.0</v>
      </c>
      <c r="C60" s="11">
        <f t="shared" si="0"/>
        <v>0</v>
      </c>
      <c r="E60" s="69">
        <v>49</v>
      </c>
      <c r="F60" s="159" t="n">
        <v>43.0</v>
      </c>
      <c r="G60" s="11">
        <f t="shared" si="1"/>
        <v>9.7190732256237291E-5</v>
      </c>
    </row>
    <row r="61" spans="1:7" x14ac:dyDescent="0.45">
      <c r="A61">
        <v>50</v>
      </c>
      <c r="B61" s="8" t="n">
        <v>454.367233631</v>
      </c>
      <c r="C61" s="11">
        <f t="shared" si="0"/>
        <v>7.172736962431425E-4</v>
      </c>
      <c r="E61" s="70">
        <v>50</v>
      </c>
      <c r="F61" s="160" t="n">
        <v>61.0</v>
      </c>
      <c r="G61" s="11">
        <f t="shared" si="1"/>
        <v>8.656049591571134E-5</v>
      </c>
    </row>
    <row r="62" spans="1:7" x14ac:dyDescent="0.45">
      <c r="A62">
        <v>51</v>
      </c>
      <c r="B62" s="8" t="n">
        <v>94.7244864348</v>
      </c>
      <c r="C62" s="11">
        <f t="shared" si="0"/>
        <v>1.4953407173942584E-4</v>
      </c>
      <c r="E62" s="71">
        <v>51</v>
      </c>
      <c r="F62" s="161" t="n">
        <v>51.0</v>
      </c>
      <c r="G62" s="11">
        <f t="shared" si="1"/>
        <v>5.3151181702629769E-5</v>
      </c>
    </row>
    <row r="63" spans="1:7" x14ac:dyDescent="0.45">
      <c r="A63">
        <v>52</v>
      </c>
      <c r="B63" s="8" t="n">
        <v>0.0</v>
      </c>
      <c r="C63" s="11">
        <f t="shared" si="0"/>
        <v>0</v>
      </c>
      <c r="E63" s="72">
        <v>52</v>
      </c>
      <c r="F63" s="162" t="n">
        <v>25.0</v>
      </c>
      <c r="G63" s="11">
        <f t="shared" si="1"/>
        <v>3.7965129787592694E-5</v>
      </c>
    </row>
    <row r="64" spans="1:7" x14ac:dyDescent="0.45">
      <c r="A64">
        <v>53</v>
      </c>
      <c r="B64" s="8" t="n">
        <v>0.0</v>
      </c>
      <c r="C64" s="11">
        <f t="shared" si="0"/>
        <v>0</v>
      </c>
      <c r="E64" s="73">
        <v>53</v>
      </c>
      <c r="F64" s="163" t="n">
        <v>21.0</v>
      </c>
      <c r="G64" s="11">
        <f t="shared" si="1"/>
        <v>2.1260472681051909E-5</v>
      </c>
    </row>
    <row r="65" spans="1:7" x14ac:dyDescent="0.45">
      <c r="A65">
        <v>54</v>
      </c>
      <c r="B65" s="8" t="n">
        <v>0.0</v>
      </c>
      <c r="C65" s="11">
        <f t="shared" si="0"/>
        <v>0</v>
      </c>
      <c r="E65" s="74">
        <v>54</v>
      </c>
      <c r="F65" s="164" t="n">
        <v>22.0</v>
      </c>
      <c r="G65" s="11">
        <f t="shared" si="1"/>
        <v>4.7076760936614935E-5</v>
      </c>
    </row>
    <row r="66" spans="1:7" x14ac:dyDescent="0.45">
      <c r="A66">
        <v>55</v>
      </c>
      <c r="B66" s="8" t="n">
        <v>0.0</v>
      </c>
      <c r="C66" s="11">
        <f t="shared" si="0"/>
        <v>0</v>
      </c>
      <c r="E66" s="75">
        <v>55</v>
      </c>
      <c r="F66" s="165" t="n">
        <v>22.0</v>
      </c>
      <c r="G66" s="11">
        <f t="shared" si="1"/>
        <v>3.7965129787592694E-5</v>
      </c>
    </row>
    <row r="67" spans="1:7" x14ac:dyDescent="0.45">
      <c r="A67">
        <v>56</v>
      </c>
      <c r="B67" s="8" t="n">
        <v>767.701778901</v>
      </c>
      <c r="C67" s="11">
        <f t="shared" si="0"/>
        <v>1.2119102166859835E-3</v>
      </c>
      <c r="E67" s="76">
        <v>56</v>
      </c>
      <c r="F67" s="166" t="n">
        <v>12.0</v>
      </c>
      <c r="G67" s="11">
        <f t="shared" si="1"/>
        <v>2.1260472681051909E-5</v>
      </c>
    </row>
    <row r="68" spans="1:7" x14ac:dyDescent="0.45">
      <c r="A68">
        <v>57</v>
      </c>
      <c r="B68" s="8" t="n">
        <v>303.939138892</v>
      </c>
      <c r="C68" s="11">
        <f t="shared" si="0"/>
        <v>4.7980473381377381E-4</v>
      </c>
      <c r="E68" s="77">
        <v>57</v>
      </c>
      <c r="F68" s="167" t="n">
        <v>3.0</v>
      </c>
      <c r="G68" s="11">
        <f t="shared" si="1"/>
        <v>1.5186051915037077E-5</v>
      </c>
    </row>
    <row r="69" spans="1:7" x14ac:dyDescent="0.45">
      <c r="A69">
        <v>58</v>
      </c>
      <c r="B69" s="8" t="n">
        <v>0.0</v>
      </c>
      <c r="C69" s="11">
        <f t="shared" si="0"/>
        <v>0</v>
      </c>
      <c r="E69" s="78">
        <v>58</v>
      </c>
      <c r="F69" s="168" t="n">
        <v>15.0</v>
      </c>
      <c r="G69" s="11">
        <f t="shared" si="1"/>
        <v>1.8223262298044492E-5</v>
      </c>
    </row>
    <row r="70" spans="1:7" x14ac:dyDescent="0.45">
      <c r="A70">
        <v>59</v>
      </c>
      <c r="B70" s="8" t="n">
        <v>0.0</v>
      </c>
      <c r="C70" s="11">
        <f t="shared" si="0"/>
        <v>0</v>
      </c>
      <c r="E70" s="79">
        <v>59</v>
      </c>
      <c r="F70" s="169" t="n">
        <v>12.0</v>
      </c>
      <c r="G70" s="11">
        <f t="shared" si="1"/>
        <v>7.5930259575185383E-6</v>
      </c>
    </row>
    <row r="71" spans="1:7" x14ac:dyDescent="0.45">
      <c r="A71">
        <v>60</v>
      </c>
      <c r="B71" s="8" t="n">
        <v>0.0</v>
      </c>
      <c r="C71" s="11">
        <f t="shared" si="0"/>
        <v>0</v>
      </c>
      <c r="E71" s="80">
        <v>60</v>
      </c>
      <c r="F71" s="170" t="n">
        <v>4.0</v>
      </c>
      <c r="G71" s="11">
        <f t="shared" si="1"/>
        <v>4.555815574511123E-6</v>
      </c>
    </row>
    <row r="72" spans="1:7" x14ac:dyDescent="0.45">
      <c r="A72">
        <v>61</v>
      </c>
      <c r="B72" s="8" t="n">
        <v>0.0</v>
      </c>
      <c r="C72" s="11">
        <f t="shared" si="0"/>
        <v>0</v>
      </c>
      <c r="E72" s="81">
        <v>61</v>
      </c>
      <c r="F72" s="171" t="n">
        <v>4.0</v>
      </c>
      <c r="G72" s="11">
        <f t="shared" si="1"/>
        <v>7.5930259575185383E-6</v>
      </c>
    </row>
    <row r="73" spans="1:7" x14ac:dyDescent="0.45">
      <c r="A73">
        <v>62</v>
      </c>
      <c r="B73" s="8" t="n">
        <v>0.0</v>
      </c>
      <c r="C73" s="11">
        <f t="shared" si="0"/>
        <v>0</v>
      </c>
      <c r="E73" s="82">
        <v>62</v>
      </c>
      <c r="F73" s="172" t="n">
        <v>2.0</v>
      </c>
      <c r="G73" s="11">
        <f t="shared" si="1"/>
        <v>4.555815574511123E-6</v>
      </c>
    </row>
    <row r="74" spans="1:7" x14ac:dyDescent="0.45">
      <c r="A74">
        <v>63</v>
      </c>
      <c r="B74" s="8" t="n">
        <v>0.0</v>
      </c>
      <c r="C74" s="11">
        <f t="shared" si="0"/>
        <v>0</v>
      </c>
      <c r="E74" s="83">
        <v>63</v>
      </c>
      <c r="F74" s="173" t="n">
        <v>3.0</v>
      </c>
      <c r="G74" s="11">
        <f t="shared" si="1"/>
        <v>3.0372103830074153E-6</v>
      </c>
    </row>
    <row r="75" spans="1:7" x14ac:dyDescent="0.45">
      <c r="A75">
        <v>64</v>
      </c>
      <c r="B75" s="8" t="n">
        <v>0.0</v>
      </c>
      <c r="C75" s="11">
        <f t="shared" si="0"/>
        <v>0</v>
      </c>
      <c r="E75" s="84">
        <v>64</v>
      </c>
      <c r="F75" s="174" t="n">
        <v>1.0</v>
      </c>
      <c r="G75" s="11">
        <f t="shared" si="1"/>
        <v>3.0372103830074153E-6</v>
      </c>
    </row>
    <row r="76" spans="1:7" x14ac:dyDescent="0.45">
      <c r="A76">
        <v>65</v>
      </c>
      <c r="B76" s="8" t="n">
        <v>0.0</v>
      </c>
      <c r="C76" s="11">
        <f t="shared" si="0"/>
        <v>0</v>
      </c>
      <c r="E76" s="85">
        <v>65</v>
      </c>
      <c r="F76" s="175" t="n">
        <v>0.0</v>
      </c>
      <c r="G76" s="11">
        <f t="shared" si="1"/>
        <v>3.0372103830074153E-6</v>
      </c>
    </row>
    <row r="77" spans="1:7" x14ac:dyDescent="0.45">
      <c r="A77">
        <v>66</v>
      </c>
      <c r="B77" s="8" t="n">
        <v>0.0</v>
      </c>
      <c r="C77" s="11">
        <f t="shared" ref="C77:C102" si="2">B77/B$102</f>
        <v>0</v>
      </c>
      <c r="E77" s="86">
        <v>66</v>
      </c>
      <c r="F77" s="176" t="n">
        <v>2.0</v>
      </c>
      <c r="G77" s="11">
        <f t="shared" ref="G77:G102" si="3">F77/F$102</f>
        <v>4.555815574511123E-6</v>
      </c>
    </row>
    <row r="78" spans="1:7" x14ac:dyDescent="0.45">
      <c r="A78">
        <v>67</v>
      </c>
      <c r="B78" s="8" t="n">
        <v>0.0</v>
      </c>
      <c r="C78" s="11">
        <f t="shared" si="2"/>
        <v>0</v>
      </c>
      <c r="E78" s="87">
        <v>67</v>
      </c>
      <c r="F78" s="177" t="n">
        <v>1.0</v>
      </c>
      <c r="G78" s="11">
        <f t="shared" si="3"/>
        <v>0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88">
        <v>68</v>
      </c>
      <c r="F79" s="178" t="n">
        <v>2.0</v>
      </c>
      <c r="G79" s="11">
        <f t="shared" si="3"/>
        <v>1.5186051915037077E-6</v>
      </c>
    </row>
    <row r="80" spans="1:7" x14ac:dyDescent="0.45">
      <c r="A80">
        <v>69</v>
      </c>
      <c r="B80" s="8" t="n">
        <v>376.597523036</v>
      </c>
      <c r="C80" s="11">
        <f t="shared" si="2"/>
        <v>5.945047911694618E-4</v>
      </c>
      <c r="E80" s="89">
        <v>69</v>
      </c>
      <c r="F80" s="179" t="n">
        <v>0.0</v>
      </c>
      <c r="G80" s="11">
        <f t="shared" si="3"/>
        <v>0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90">
        <v>70</v>
      </c>
      <c r="F81" s="180" t="n">
        <v>1.0</v>
      </c>
      <c r="G81" s="11">
        <f t="shared" si="3"/>
        <v>0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91">
        <v>71</v>
      </c>
      <c r="F82" s="181" t="n">
        <v>0.0</v>
      </c>
      <c r="G82" s="11">
        <f t="shared" si="3"/>
        <v>0</v>
      </c>
    </row>
    <row r="83" spans="1:7" x14ac:dyDescent="0.45">
      <c r="A83">
        <v>72</v>
      </c>
      <c r="B83" s="8" t="n">
        <v>0.0</v>
      </c>
      <c r="C83" s="11">
        <f t="shared" si="2"/>
        <v>0</v>
      </c>
      <c r="E83" s="92">
        <v>72</v>
      </c>
      <c r="F83" s="182" t="n">
        <v>0.0</v>
      </c>
      <c r="G83" s="11">
        <f t="shared" si="3"/>
        <v>1.5186051915037077E-6</v>
      </c>
    </row>
    <row r="84" spans="1:7" x14ac:dyDescent="0.45">
      <c r="A84">
        <v>73</v>
      </c>
      <c r="B84" s="8" t="n">
        <v>0.0</v>
      </c>
      <c r="C84" s="11">
        <f t="shared" si="2"/>
        <v>0</v>
      </c>
      <c r="E84" s="93">
        <v>73</v>
      </c>
      <c r="F84" s="183" t="n">
        <v>0.0</v>
      </c>
      <c r="G84" s="11">
        <f t="shared" si="3"/>
        <v>0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94">
        <v>74</v>
      </c>
      <c r="F85" s="184" t="n">
        <v>3.0</v>
      </c>
      <c r="G85" s="11">
        <f t="shared" si="3"/>
        <v>3.0372103830074153E-6</v>
      </c>
    </row>
    <row r="86" spans="1:7" x14ac:dyDescent="0.45">
      <c r="A86">
        <v>75</v>
      </c>
      <c r="B86" s="8" t="n">
        <v>0.0</v>
      </c>
      <c r="C86" s="11">
        <f t="shared" si="2"/>
        <v>0</v>
      </c>
      <c r="E86" s="95">
        <v>75</v>
      </c>
      <c r="F86" s="185" t="n">
        <v>0.0</v>
      </c>
      <c r="G86" s="11">
        <f t="shared" si="3"/>
        <v>0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96">
        <v>76</v>
      </c>
      <c r="F87" s="186" t="n">
        <v>1.0</v>
      </c>
      <c r="G87" s="11">
        <f t="shared" si="3"/>
        <v>0</v>
      </c>
    </row>
    <row r="88" spans="1:7" x14ac:dyDescent="0.45">
      <c r="A88">
        <v>77</v>
      </c>
      <c r="B88" s="8" t="n">
        <v>0.0</v>
      </c>
      <c r="C88" s="11">
        <f t="shared" si="2"/>
        <v>0</v>
      </c>
      <c r="E88" s="97">
        <v>77</v>
      </c>
      <c r="F88" s="187" t="n">
        <v>0.0</v>
      </c>
      <c r="G88" s="11">
        <f t="shared" si="3"/>
        <v>0</v>
      </c>
    </row>
    <row r="89" spans="1:7" x14ac:dyDescent="0.45">
      <c r="A89">
        <v>78</v>
      </c>
      <c r="B89" s="8" t="n">
        <v>0.0</v>
      </c>
      <c r="C89" s="11">
        <f t="shared" si="2"/>
        <v>0</v>
      </c>
      <c r="E89" s="98">
        <v>78</v>
      </c>
      <c r="F89" s="188" t="n">
        <v>0.0</v>
      </c>
      <c r="G89" s="11">
        <f t="shared" si="3"/>
        <v>0</v>
      </c>
    </row>
    <row r="90" spans="1:7" x14ac:dyDescent="0.45">
      <c r="A90">
        <v>79</v>
      </c>
      <c r="B90" s="8" t="n">
        <v>0.0</v>
      </c>
      <c r="C90" s="11">
        <f t="shared" si="2"/>
        <v>0</v>
      </c>
      <c r="E90" s="99">
        <v>79</v>
      </c>
      <c r="F90" s="189" t="n">
        <v>0.0</v>
      </c>
      <c r="G90" s="11">
        <f t="shared" si="3"/>
        <v>0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100">
        <v>80</v>
      </c>
      <c r="F91" s="190" t="n">
        <v>0.0</v>
      </c>
      <c r="G91" s="11">
        <f t="shared" si="3"/>
        <v>0</v>
      </c>
    </row>
    <row r="92" spans="1:7" x14ac:dyDescent="0.45">
      <c r="A92">
        <v>81</v>
      </c>
      <c r="B92" s="8" t="n">
        <v>0.0</v>
      </c>
      <c r="C92" s="11">
        <f t="shared" si="2"/>
        <v>0</v>
      </c>
      <c r="E92" s="101">
        <v>81</v>
      </c>
      <c r="F92" s="191" t="n">
        <v>0.0</v>
      </c>
      <c r="G92" s="11">
        <f t="shared" si="3"/>
        <v>0</v>
      </c>
    </row>
    <row r="93" spans="1:7" x14ac:dyDescent="0.45">
      <c r="A93">
        <v>82</v>
      </c>
      <c r="B93" s="8" t="n">
        <v>0.0</v>
      </c>
      <c r="C93" s="11">
        <f t="shared" si="2"/>
        <v>0</v>
      </c>
      <c r="E93" s="102">
        <v>82</v>
      </c>
      <c r="F93" s="192" t="n">
        <v>2.0</v>
      </c>
      <c r="G93" s="11">
        <f t="shared" si="3"/>
        <v>0</v>
      </c>
    </row>
    <row r="94" spans="1:7" x14ac:dyDescent="0.45">
      <c r="A94">
        <v>83</v>
      </c>
      <c r="B94" s="8" t="n">
        <v>0.0</v>
      </c>
      <c r="C94" s="11">
        <f t="shared" si="2"/>
        <v>0</v>
      </c>
      <c r="E94" s="103">
        <v>83</v>
      </c>
      <c r="F94" s="193" t="n">
        <v>0.0</v>
      </c>
      <c r="G94" s="11">
        <f t="shared" si="3"/>
        <v>0</v>
      </c>
    </row>
    <row r="95" spans="1:7" x14ac:dyDescent="0.45">
      <c r="A95">
        <v>84</v>
      </c>
      <c r="B95" s="8" t="n">
        <v>0.0</v>
      </c>
      <c r="C95" s="11">
        <f t="shared" si="2"/>
        <v>0</v>
      </c>
      <c r="E95" s="104">
        <v>84</v>
      </c>
      <c r="F95" s="194" t="n">
        <v>0.0</v>
      </c>
      <c r="G95" s="11">
        <f t="shared" si="3"/>
        <v>0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105">
        <v>85</v>
      </c>
      <c r="F96" s="195" t="n">
        <v>1.0</v>
      </c>
      <c r="G96" s="11">
        <f t="shared" si="3"/>
        <v>0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106">
        <v>86</v>
      </c>
      <c r="F97" s="196" t="n">
        <v>0.0</v>
      </c>
      <c r="G97" s="11">
        <f t="shared" si="3"/>
        <v>0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107">
        <v>87</v>
      </c>
      <c r="F98" s="197" t="n">
        <v>0.0</v>
      </c>
      <c r="G98" s="11">
        <f t="shared" si="3"/>
        <v>0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108">
        <v>88</v>
      </c>
      <c r="F99" s="198" t="n">
        <v>0.0</v>
      </c>
      <c r="G99" s="11">
        <f t="shared" si="3"/>
        <v>0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109">
        <v>89</v>
      </c>
      <c r="F100" s="199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45">
      <c r="B102" s="8">
        <f>SUM(B11:B101)</f>
        <v>633464.23549453274</v>
      </c>
      <c r="C102" s="11">
        <f t="shared" si="2"/>
        <v>1</v>
      </c>
      <c r="F102" s="8">
        <f>SUM(F11:F101)</f>
        <v>658499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M30" sqref="M30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243</v>
      </c>
    </row>
    <row r="3" spans="1:12" x14ac:dyDescent="0.45">
      <c r="A3" t="s">
        <v>245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4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12845.0</v>
      </c>
      <c r="G11" s="11">
        <f>F11/F$102</f>
        <v>1.9700865149377599E-2</v>
      </c>
      <c r="K11" s="8" t="n">
        <v>25.779057995554705</v>
      </c>
      <c r="L11" s="8" t="n">
        <v>20.462422796756645</v>
      </c>
    </row>
    <row r="12" spans="1:12" x14ac:dyDescent="0.45">
      <c r="A12">
        <v>1</v>
      </c>
      <c r="B12" s="8" t="n">
        <v>0.0</v>
      </c>
      <c r="C12" s="11">
        <f>B12/B$102</f>
        <v>0</v>
      </c>
      <c r="E12" s="201">
        <v>1</v>
      </c>
      <c r="F12" s="291" t="n">
        <v>19676.0</v>
      </c>
      <c r="G12" s="11">
        <f>F12/F$102</f>
        <v>2.9719103597727559E-2</v>
      </c>
      <c r="K12" s="8"/>
      <c r="L12" s="381"/>
    </row>
    <row r="13" spans="1:12" x14ac:dyDescent="0.45">
      <c r="A13">
        <v>2</v>
      </c>
      <c r="B13" s="8" t="n">
        <v>0.0</v>
      </c>
      <c r="C13" s="11">
        <f t="shared" ref="C13:C76" si="0">B13/B$102</f>
        <v>0</v>
      </c>
      <c r="E13" s="202">
        <v>2</v>
      </c>
      <c r="F13" s="292" t="n">
        <v>22289.0</v>
      </c>
      <c r="G13" s="11">
        <f t="shared" ref="G13:G76" si="1">F13/F$102</f>
        <v>3.3980309765086966E-2</v>
      </c>
    </row>
    <row r="14" spans="1:12" x14ac:dyDescent="0.45">
      <c r="A14">
        <v>3</v>
      </c>
      <c r="B14" s="8" t="n">
        <v>527.2528458895</v>
      </c>
      <c r="C14" s="11">
        <f t="shared" si="0"/>
        <v>8.3233246069193542E-4</v>
      </c>
      <c r="E14" s="203">
        <v>3</v>
      </c>
      <c r="F14" s="293" t="n">
        <v>21372.0</v>
      </c>
      <c r="G14" s="11">
        <f t="shared" si="1"/>
        <v>3.2399441760731604E-2</v>
      </c>
    </row>
    <row r="15" spans="1:12" x14ac:dyDescent="0.45">
      <c r="A15">
        <v>4</v>
      </c>
      <c r="B15" s="8" t="n">
        <v>886.6298903696</v>
      </c>
      <c r="C15" s="11">
        <f t="shared" si="0"/>
        <v>1.3996526412851488E-3</v>
      </c>
      <c r="E15" s="204">
        <v>4</v>
      </c>
      <c r="F15" s="294" t="n">
        <v>19104.0</v>
      </c>
      <c r="G15" s="11">
        <f t="shared" si="1"/>
        <v>2.9012952183678335E-2</v>
      </c>
    </row>
    <row r="16" spans="1:12" x14ac:dyDescent="0.45">
      <c r="A16">
        <v>5</v>
      </c>
      <c r="B16" s="8" t="n">
        <v>8559.2940978894</v>
      </c>
      <c r="C16" s="11">
        <f t="shared" si="0"/>
        <v>1.3511882152600666E-2</v>
      </c>
      <c r="E16" s="205">
        <v>5</v>
      </c>
      <c r="F16" s="295" t="n">
        <v>17419.0</v>
      </c>
      <c r="G16" s="11">
        <f t="shared" si="1"/>
        <v>2.5796546388073483E-2</v>
      </c>
    </row>
    <row r="17" spans="1:7" x14ac:dyDescent="0.45">
      <c r="A17">
        <v>6</v>
      </c>
      <c r="B17" s="8" t="n">
        <v>3972.8711322144</v>
      </c>
      <c r="C17" s="11">
        <f t="shared" si="0"/>
        <v>6.2716581451719372E-3</v>
      </c>
      <c r="E17" s="206">
        <v>6</v>
      </c>
      <c r="F17" s="296" t="n">
        <v>15291.0</v>
      </c>
      <c r="G17" s="11">
        <f t="shared" si="1"/>
        <v>2.3169359406772068E-2</v>
      </c>
    </row>
    <row r="18" spans="1:7" x14ac:dyDescent="0.45">
      <c r="A18">
        <v>7</v>
      </c>
      <c r="B18" s="8" t="n">
        <v>4162.4228317919</v>
      </c>
      <c r="C18" s="11">
        <f t="shared" si="0"/>
        <v>6.5708884551980758E-3</v>
      </c>
      <c r="E18" s="207">
        <v>7</v>
      </c>
      <c r="F18" s="297" t="n">
        <v>13816.0</v>
      </c>
      <c r="G18" s="11">
        <f t="shared" si="1"/>
        <v>2.068036549789749E-2</v>
      </c>
    </row>
    <row r="19" spans="1:7" x14ac:dyDescent="0.45">
      <c r="A19">
        <v>8</v>
      </c>
      <c r="B19" s="8" t="n">
        <v>4172.8143879638</v>
      </c>
      <c r="C19" s="11">
        <f t="shared" si="0"/>
        <v>6.587292784897586E-3</v>
      </c>
      <c r="E19" s="208">
        <v>8</v>
      </c>
      <c r="F19" s="298" t="n">
        <v>12019.0</v>
      </c>
      <c r="G19" s="11">
        <f t="shared" si="1"/>
        <v>1.8391827474301403E-2</v>
      </c>
    </row>
    <row r="20" spans="1:7" x14ac:dyDescent="0.45">
      <c r="A20">
        <v>9</v>
      </c>
      <c r="B20" s="8" t="n">
        <v>4344.9776559826005</v>
      </c>
      <c r="C20" s="11">
        <f t="shared" si="0"/>
        <v>6.8590733501956349E-3</v>
      </c>
      <c r="E20" s="209">
        <v>9</v>
      </c>
      <c r="F20" s="299" t="n">
        <v>10793.0</v>
      </c>
      <c r="G20" s="11">
        <f t="shared" si="1"/>
        <v>1.621111041930208E-2</v>
      </c>
    </row>
    <row r="21" spans="1:7" x14ac:dyDescent="0.45">
      <c r="A21">
        <v>10</v>
      </c>
      <c r="B21" s="8" t="n">
        <v>0.0</v>
      </c>
      <c r="C21" s="11">
        <f t="shared" si="0"/>
        <v>0</v>
      </c>
      <c r="E21" s="210">
        <v>10</v>
      </c>
      <c r="F21" s="300" t="n">
        <v>9551.0</v>
      </c>
      <c r="G21" s="11">
        <f t="shared" si="1"/>
        <v>1.4399414425838156E-2</v>
      </c>
    </row>
    <row r="22" spans="1:7" x14ac:dyDescent="0.45">
      <c r="A22">
        <v>11</v>
      </c>
      <c r="B22" s="8" t="n">
        <v>6468.315849845</v>
      </c>
      <c r="C22" s="11">
        <f t="shared" si="0"/>
        <v>1.021101979781908E-2</v>
      </c>
      <c r="E22" s="211">
        <v>11</v>
      </c>
      <c r="F22" s="301" t="n">
        <v>8333.0</v>
      </c>
      <c r="G22" s="11">
        <f t="shared" si="1"/>
        <v>1.2889920865483471E-2</v>
      </c>
    </row>
    <row r="23" spans="1:7" x14ac:dyDescent="0.45">
      <c r="A23">
        <v>12</v>
      </c>
      <c r="B23" s="8" t="n">
        <v>12661.563359578</v>
      </c>
      <c r="C23" s="11">
        <f t="shared" si="0"/>
        <v>1.998781091357648E-2</v>
      </c>
      <c r="E23" s="212">
        <v>12</v>
      </c>
      <c r="F23" s="302" t="n">
        <v>7668.0</v>
      </c>
      <c r="G23" s="11">
        <f t="shared" si="1"/>
        <v>1.1599106452705319E-2</v>
      </c>
    </row>
    <row r="24" spans="1:7" x14ac:dyDescent="0.45">
      <c r="A24">
        <v>13</v>
      </c>
      <c r="B24" s="8" t="n">
        <v>26356.3620599618</v>
      </c>
      <c r="C24" s="11">
        <f t="shared" si="0"/>
        <v>4.1606708923963051E-2</v>
      </c>
      <c r="E24" s="213">
        <v>13</v>
      </c>
      <c r="F24" s="303" t="n">
        <v>6592.0</v>
      </c>
      <c r="G24" s="11">
        <f t="shared" si="1"/>
        <v>9.7874104592413965E-3</v>
      </c>
    </row>
    <row r="25" spans="1:7" x14ac:dyDescent="0.45">
      <c r="A25">
        <v>14</v>
      </c>
      <c r="B25" s="8" t="n">
        <v>13935.515382141</v>
      </c>
      <c r="C25" s="11">
        <f t="shared" si="0"/>
        <v>2.199889844019659E-2</v>
      </c>
      <c r="E25" s="214">
        <v>14</v>
      </c>
      <c r="F25" s="304" t="n">
        <v>6204.0</v>
      </c>
      <c r="G25" s="11">
        <f t="shared" si="1"/>
        <v>9.7843732488583877E-3</v>
      </c>
    </row>
    <row r="26" spans="1:7" x14ac:dyDescent="0.45">
      <c r="A26">
        <v>15</v>
      </c>
      <c r="B26" s="8" t="n">
        <v>5808.9379166526</v>
      </c>
      <c r="C26" s="11">
        <f t="shared" si="0"/>
        <v>9.1701118881915723E-3</v>
      </c>
      <c r="E26" s="215">
        <v>15</v>
      </c>
      <c r="F26" s="305" t="n">
        <v>5566.0</v>
      </c>
      <c r="G26" s="11">
        <f t="shared" si="1"/>
        <v>8.2612122417801692E-3</v>
      </c>
    </row>
    <row r="27" spans="1:7" x14ac:dyDescent="0.45">
      <c r="A27">
        <v>16</v>
      </c>
      <c r="B27" s="8" t="n">
        <v>23645.11903811</v>
      </c>
      <c r="C27" s="11">
        <f t="shared" si="0"/>
        <v>3.7326683517737567E-2</v>
      </c>
      <c r="E27" s="216">
        <v>16</v>
      </c>
      <c r="F27" s="306" t="n">
        <v>5117.0</v>
      </c>
      <c r="G27" s="11">
        <f t="shared" si="1"/>
        <v>7.8648562867977018E-3</v>
      </c>
    </row>
    <row r="28" spans="1:7" x14ac:dyDescent="0.45">
      <c r="A28">
        <v>17</v>
      </c>
      <c r="B28" s="8" t="n">
        <v>13469.971124835</v>
      </c>
      <c r="C28" s="11">
        <f t="shared" si="0"/>
        <v>2.1263980458690407E-2</v>
      </c>
      <c r="E28" s="217">
        <v>17</v>
      </c>
      <c r="F28" s="307" t="n">
        <v>4797.0</v>
      </c>
      <c r="G28" s="11">
        <f t="shared" si="1"/>
        <v>7.4912794096877898E-3</v>
      </c>
    </row>
    <row r="29" spans="1:7" x14ac:dyDescent="0.45">
      <c r="A29">
        <v>18</v>
      </c>
      <c r="B29" s="8" t="n">
        <v>45572.8232468518</v>
      </c>
      <c r="C29" s="11">
        <f t="shared" si="0"/>
        <v>7.1942219770740543E-2</v>
      </c>
      <c r="E29" s="218">
        <v>18</v>
      </c>
      <c r="F29" s="308" t="n">
        <v>75386.0</v>
      </c>
      <c r="G29" s="11">
        <f t="shared" si="1"/>
        <v>0.11479592224133978</v>
      </c>
    </row>
    <row r="30" spans="1:7" x14ac:dyDescent="0.45">
      <c r="A30">
        <v>19</v>
      </c>
      <c r="B30" s="8" t="n">
        <v>28574.7029328765</v>
      </c>
      <c r="C30" s="11">
        <f t="shared" si="0"/>
        <v>4.5108628604058142E-2</v>
      </c>
      <c r="E30" s="219">
        <v>19</v>
      </c>
      <c r="F30" s="309" t="n">
        <v>24601.0</v>
      </c>
      <c r="G30" s="11">
        <f t="shared" si="1"/>
        <v>3.6950701519668214E-2</v>
      </c>
    </row>
    <row r="31" spans="1:7" x14ac:dyDescent="0.45">
      <c r="A31">
        <v>20</v>
      </c>
      <c r="B31" s="8" t="n">
        <v>39533.4019072637</v>
      </c>
      <c r="C31" s="11">
        <f t="shared" si="0"/>
        <v>6.2408261890903406E-2</v>
      </c>
      <c r="E31" s="220">
        <v>20</v>
      </c>
      <c r="F31" s="310" t="n">
        <v>28732.0</v>
      </c>
      <c r="G31" s="11">
        <f t="shared" si="1"/>
        <v>4.2059289383886686E-2</v>
      </c>
    </row>
    <row r="32" spans="1:7" x14ac:dyDescent="0.45">
      <c r="A32">
        <v>21</v>
      </c>
      <c r="B32" s="8" t="n">
        <v>37709.8270370349</v>
      </c>
      <c r="C32" s="11">
        <f t="shared" si="0"/>
        <v>5.9529528147071485E-2</v>
      </c>
      <c r="E32" s="221">
        <v>21</v>
      </c>
      <c r="F32" s="311" t="n">
        <v>31217.0</v>
      </c>
      <c r="G32" s="11">
        <f t="shared" si="1"/>
        <v>4.6961346942060653E-2</v>
      </c>
    </row>
    <row r="33" spans="1:7" x14ac:dyDescent="0.45">
      <c r="A33">
        <v>22</v>
      </c>
      <c r="B33" s="8" t="n">
        <v>35486.283218125</v>
      </c>
      <c r="C33" s="11">
        <f t="shared" si="0"/>
        <v>5.601939498671394E-2</v>
      </c>
      <c r="E33" s="222">
        <v>22</v>
      </c>
      <c r="F33" s="312" t="n">
        <v>30490.0</v>
      </c>
      <c r="G33" s="11">
        <f t="shared" si="1"/>
        <v>4.6426797914651353E-2</v>
      </c>
    </row>
    <row r="34" spans="1:7" x14ac:dyDescent="0.45">
      <c r="A34">
        <v>23</v>
      </c>
      <c r="B34" s="8" t="n">
        <v>28011.525098737002</v>
      </c>
      <c r="C34" s="11">
        <f t="shared" si="0"/>
        <v>4.4219584199365218E-2</v>
      </c>
      <c r="E34" s="223">
        <v>23</v>
      </c>
      <c r="F34" s="313" t="n">
        <v>21950.0</v>
      </c>
      <c r="G34" s="11">
        <f t="shared" si="1"/>
        <v>3.4662163496072131E-2</v>
      </c>
    </row>
    <row r="35" spans="1:7" x14ac:dyDescent="0.45">
      <c r="A35">
        <v>24</v>
      </c>
      <c r="B35" s="8" t="n">
        <v>37561.2640949851</v>
      </c>
      <c r="C35" s="11">
        <f t="shared" si="0"/>
        <v>5.9295003554007721E-2</v>
      </c>
      <c r="E35" s="224">
        <v>24</v>
      </c>
      <c r="F35" s="314" t="n">
        <v>22497.0</v>
      </c>
      <c r="G35" s="11">
        <f t="shared" si="1"/>
        <v>2.9362231377724188E-2</v>
      </c>
    </row>
    <row r="36" spans="1:7" x14ac:dyDescent="0.45">
      <c r="A36">
        <v>25</v>
      </c>
      <c r="B36" s="8" t="n">
        <v>9821.8478468889</v>
      </c>
      <c r="C36" s="11">
        <f t="shared" si="0"/>
        <v>1.5504976124218259E-2</v>
      </c>
      <c r="E36" s="225">
        <v>25</v>
      </c>
      <c r="F36" s="315" t="n">
        <v>19288.0</v>
      </c>
      <c r="G36" s="11">
        <f t="shared" si="1"/>
        <v>3.3568767758189455E-2</v>
      </c>
    </row>
    <row r="37" spans="1:7" x14ac:dyDescent="0.45">
      <c r="A37">
        <v>26</v>
      </c>
      <c r="B37" s="8" t="n">
        <v>45763.924449882</v>
      </c>
      <c r="C37" s="11">
        <f t="shared" si="0"/>
        <v>7.2243896159591453E-2</v>
      </c>
      <c r="E37" s="226">
        <v>26</v>
      </c>
      <c r="F37" s="316" t="n">
        <v>16629.0</v>
      </c>
      <c r="G37" s="11">
        <f t="shared" si="1"/>
        <v>2.2856526737322306E-2</v>
      </c>
    </row>
    <row r="38" spans="1:7" x14ac:dyDescent="0.45">
      <c r="A38">
        <v>27</v>
      </c>
      <c r="B38" s="8" t="n">
        <v>7975.120440748</v>
      </c>
      <c r="C38" s="11">
        <f t="shared" si="0"/>
        <v>1.2589693298978412E-2</v>
      </c>
      <c r="E38" s="227">
        <v>27</v>
      </c>
      <c r="F38" s="317" t="n">
        <v>11713.0</v>
      </c>
      <c r="G38" s="11">
        <f t="shared" si="1"/>
        <v>1.9438146451247459E-2</v>
      </c>
    </row>
    <row r="39" spans="1:7" x14ac:dyDescent="0.45">
      <c r="A39">
        <v>28</v>
      </c>
      <c r="B39" s="8" t="n">
        <v>12207.0573637756</v>
      </c>
      <c r="C39" s="11">
        <f t="shared" si="0"/>
        <v>1.9270318164443492E-2</v>
      </c>
      <c r="E39" s="228">
        <v>28</v>
      </c>
      <c r="F39" s="318" t="n">
        <v>12808.0</v>
      </c>
      <c r="G39" s="11">
        <f t="shared" si="1"/>
        <v>1.9921062902145636E-2</v>
      </c>
    </row>
    <row r="40" spans="1:7" x14ac:dyDescent="0.45">
      <c r="A40">
        <v>29</v>
      </c>
      <c r="B40" s="8" t="n">
        <v>15524.0097012084</v>
      </c>
      <c r="C40" s="11">
        <f t="shared" si="0"/>
        <v>2.4506529068825996E-2</v>
      </c>
      <c r="E40" s="229">
        <v>29</v>
      </c>
      <c r="F40" s="319" t="n">
        <v>14742.0</v>
      </c>
      <c r="G40" s="11">
        <f t="shared" si="1"/>
        <v>1.7858797052083604E-2</v>
      </c>
    </row>
    <row r="41" spans="1:7" x14ac:dyDescent="0.45">
      <c r="A41">
        <v>30</v>
      </c>
      <c r="B41" s="8" t="n">
        <v>5887.0221298197</v>
      </c>
      <c r="C41" s="11">
        <f t="shared" si="0"/>
        <v>9.2933772736574806E-3</v>
      </c>
      <c r="E41" s="230">
        <v>30</v>
      </c>
      <c r="F41" s="320" t="n">
        <v>14687.0</v>
      </c>
      <c r="G41" s="11">
        <f t="shared" si="1"/>
        <v>2.6498141986548197E-2</v>
      </c>
    </row>
    <row r="42" spans="1:7" x14ac:dyDescent="0.45">
      <c r="A42">
        <v>31</v>
      </c>
      <c r="B42" s="8" t="n">
        <v>11222.4034608689</v>
      </c>
      <c r="C42" s="11">
        <f t="shared" si="0"/>
        <v>1.7715922749936778E-2</v>
      </c>
      <c r="E42" s="231">
        <v>31</v>
      </c>
      <c r="F42" s="321" t="n">
        <v>9663.0</v>
      </c>
      <c r="G42" s="11">
        <f t="shared" si="1"/>
        <v>1.5848163778532692E-2</v>
      </c>
    </row>
    <row r="43" spans="1:7" x14ac:dyDescent="0.45">
      <c r="A43">
        <v>32</v>
      </c>
      <c r="B43" s="8" t="n">
        <v>4760.8209065597</v>
      </c>
      <c r="C43" s="11">
        <f t="shared" si="0"/>
        <v>7.5155322744353903E-3</v>
      </c>
      <c r="E43" s="232">
        <v>32</v>
      </c>
      <c r="F43" s="322" t="n">
        <v>10676.0</v>
      </c>
      <c r="G43" s="11">
        <f t="shared" si="1"/>
        <v>1.5801087017596079E-2</v>
      </c>
    </row>
    <row r="44" spans="1:7" x14ac:dyDescent="0.45">
      <c r="A44">
        <v>33</v>
      </c>
      <c r="B44" s="8" t="n">
        <v>11659.941001532801</v>
      </c>
      <c r="C44" s="11">
        <f t="shared" si="0"/>
        <v>1.8406628737974644E-2</v>
      </c>
      <c r="E44" s="233">
        <v>33</v>
      </c>
      <c r="F44" s="323" t="n">
        <v>11643.0</v>
      </c>
      <c r="G44" s="11">
        <f t="shared" si="1"/>
        <v>1.84723135494511E-2</v>
      </c>
    </row>
    <row r="45" spans="1:7" x14ac:dyDescent="0.45">
      <c r="A45">
        <v>34</v>
      </c>
      <c r="B45" s="8" t="n">
        <v>8295.3601253017</v>
      </c>
      <c r="C45" s="11">
        <f t="shared" si="0"/>
        <v>1.3095230417903043E-2</v>
      </c>
      <c r="E45" s="234">
        <v>34</v>
      </c>
      <c r="F45" s="324" t="n">
        <v>7445.0</v>
      </c>
      <c r="G45" s="11">
        <f t="shared" si="1"/>
        <v>1.2000018223262299E-2</v>
      </c>
    </row>
    <row r="46" spans="1:7" x14ac:dyDescent="0.45">
      <c r="A46">
        <v>35</v>
      </c>
      <c r="B46" s="8" t="n">
        <v>8421.5320857126</v>
      </c>
      <c r="C46" s="11">
        <f t="shared" si="0"/>
        <v>1.329440813519343E-2</v>
      </c>
      <c r="E46" s="235">
        <v>35</v>
      </c>
      <c r="F46" s="325" t="n">
        <v>6855.0</v>
      </c>
      <c r="G46" s="11">
        <f t="shared" si="1"/>
        <v>9.9817919237538705E-3</v>
      </c>
    </row>
    <row r="47" spans="1:7" x14ac:dyDescent="0.45">
      <c r="A47">
        <v>36</v>
      </c>
      <c r="B47" s="8" t="n">
        <v>1286.25466707</v>
      </c>
      <c r="C47" s="11">
        <f t="shared" si="0"/>
        <v>2.0305087406644945E-3</v>
      </c>
      <c r="E47" s="236">
        <v>36</v>
      </c>
      <c r="F47" s="326" t="n">
        <v>6074.0</v>
      </c>
      <c r="G47" s="11">
        <f t="shared" si="1"/>
        <v>9.0235520479150302E-3</v>
      </c>
    </row>
    <row r="48" spans="1:7" x14ac:dyDescent="0.45">
      <c r="A48">
        <v>37</v>
      </c>
      <c r="B48" s="8" t="n">
        <v>11688.1619787457</v>
      </c>
      <c r="C48" s="11">
        <f t="shared" si="0"/>
        <v>1.8451178967698139E-2</v>
      </c>
      <c r="E48" s="237">
        <v>37</v>
      </c>
      <c r="F48" s="327" t="n">
        <v>6475.0</v>
      </c>
      <c r="G48" s="11">
        <f t="shared" si="1"/>
        <v>8.7076821680822595E-3</v>
      </c>
    </row>
    <row r="49" spans="1:7" x14ac:dyDescent="0.45">
      <c r="A49">
        <v>38</v>
      </c>
      <c r="B49" s="8" t="n">
        <v>9089.8752767496</v>
      </c>
      <c r="C49" s="11">
        <f t="shared" si="0"/>
        <v>1.4349468789904642E-2</v>
      </c>
      <c r="E49" s="238">
        <v>38</v>
      </c>
      <c r="F49" s="328" t="n">
        <v>4985.0</v>
      </c>
      <c r="G49" s="11">
        <f t="shared" si="1"/>
        <v>1.1737299525132156E-2</v>
      </c>
    </row>
    <row r="50" spans="1:7" x14ac:dyDescent="0.45">
      <c r="A50">
        <v>39</v>
      </c>
      <c r="B50" s="8" t="n">
        <v>4978.0318499464</v>
      </c>
      <c r="C50" s="11">
        <f t="shared" si="0"/>
        <v>7.8584260499886815E-3</v>
      </c>
      <c r="E50" s="239">
        <v>39</v>
      </c>
      <c r="F50" s="329" t="n">
        <v>8309.0</v>
      </c>
      <c r="G50" s="11">
        <f t="shared" si="1"/>
        <v>7.3804212307080194E-3</v>
      </c>
    </row>
    <row r="51" spans="1:7" x14ac:dyDescent="0.45">
      <c r="A51">
        <v>40</v>
      </c>
      <c r="B51" s="8" t="n">
        <v>8490.257518155</v>
      </c>
      <c r="C51" s="11">
        <f t="shared" si="0"/>
        <v>1.3402899552058893E-2</v>
      </c>
      <c r="E51" s="240">
        <v>40</v>
      </c>
      <c r="F51" s="330" t="n">
        <v>4232.0</v>
      </c>
      <c r="G51" s="11">
        <f t="shared" si="1"/>
        <v>7.2801932880687745E-3</v>
      </c>
    </row>
    <row r="52" spans="1:7" x14ac:dyDescent="0.45">
      <c r="A52">
        <v>41</v>
      </c>
      <c r="B52" s="8" t="n">
        <v>11066.512236333</v>
      </c>
      <c r="C52" s="11">
        <f t="shared" si="0"/>
        <v>1.7469829575609108E-2</v>
      </c>
      <c r="E52" s="241">
        <v>41</v>
      </c>
      <c r="F52" s="331" t="n">
        <v>3873.0</v>
      </c>
      <c r="G52" s="11">
        <f t="shared" si="1"/>
        <v>6.7031233152973655E-3</v>
      </c>
    </row>
    <row r="53" spans="1:7" x14ac:dyDescent="0.45">
      <c r="A53">
        <v>42</v>
      </c>
      <c r="B53" s="8" t="n">
        <v>526.7772426363</v>
      </c>
      <c r="C53" s="11">
        <f t="shared" si="0"/>
        <v>8.3158166336739711E-4</v>
      </c>
      <c r="E53" s="242">
        <v>42</v>
      </c>
      <c r="F53" s="332" t="n">
        <v>3300.0</v>
      </c>
      <c r="G53" s="11">
        <f t="shared" si="1"/>
        <v>5.4305321648172589E-3</v>
      </c>
    </row>
    <row r="54" spans="1:7" x14ac:dyDescent="0.45">
      <c r="A54">
        <v>43</v>
      </c>
      <c r="B54" s="8" t="n">
        <v>547.579521264</v>
      </c>
      <c r="C54" s="11">
        <f t="shared" si="0"/>
        <v>8.6442057906633966E-4</v>
      </c>
      <c r="E54" s="243">
        <v>43</v>
      </c>
      <c r="F54" s="333" t="n">
        <v>3317.0</v>
      </c>
      <c r="G54" s="11">
        <f t="shared" si="1"/>
        <v>4.809422641492242E-3</v>
      </c>
    </row>
    <row r="55" spans="1:7" x14ac:dyDescent="0.45">
      <c r="A55">
        <v>44</v>
      </c>
      <c r="B55" s="8" t="n">
        <v>1217.9259863759999</v>
      </c>
      <c r="C55" s="11">
        <f t="shared" si="0"/>
        <v>1.9226436444753504E-3</v>
      </c>
      <c r="E55" s="244">
        <v>44</v>
      </c>
      <c r="F55" s="334" t="n">
        <v>2464.0</v>
      </c>
      <c r="G55" s="11">
        <f t="shared" si="1"/>
        <v>4.7517156442151015E-3</v>
      </c>
    </row>
    <row r="56" spans="1:7" x14ac:dyDescent="0.45">
      <c r="A56">
        <v>45</v>
      </c>
      <c r="B56" s="8" t="n">
        <v>31799.0221145027</v>
      </c>
      <c r="C56" s="11">
        <f t="shared" si="0"/>
        <v>5.019860685533075E-2</v>
      </c>
      <c r="E56" s="245">
        <v>45</v>
      </c>
      <c r="F56" s="335" t="n">
        <v>2404.0</v>
      </c>
      <c r="G56" s="11">
        <f t="shared" si="1"/>
        <v>3.8785176591004692E-3</v>
      </c>
    </row>
    <row r="57" spans="1:7" x14ac:dyDescent="0.45">
      <c r="A57">
        <v>46</v>
      </c>
      <c r="B57" s="8" t="n">
        <v>2851.903035022</v>
      </c>
      <c r="C57" s="11">
        <f t="shared" si="0"/>
        <v>4.5020742691109904E-3</v>
      </c>
      <c r="E57" s="246">
        <v>46</v>
      </c>
      <c r="F57" s="336" t="n">
        <v>2154.0</v>
      </c>
      <c r="G57" s="11">
        <f t="shared" si="1"/>
        <v>3.9711525757821957E-3</v>
      </c>
    </row>
    <row r="58" spans="1:7" x14ac:dyDescent="0.45">
      <c r="A58">
        <v>47</v>
      </c>
      <c r="B58" s="8" t="n">
        <v>0.0</v>
      </c>
      <c r="C58" s="11">
        <f t="shared" si="0"/>
        <v>0</v>
      </c>
      <c r="E58" s="247">
        <v>47</v>
      </c>
      <c r="F58" s="337" t="n">
        <v>2671.0</v>
      </c>
      <c r="G58" s="11">
        <f t="shared" si="1"/>
        <v>4.144273567613618E-3</v>
      </c>
    </row>
    <row r="59" spans="1:7" x14ac:dyDescent="0.45">
      <c r="A59">
        <v>48</v>
      </c>
      <c r="B59" s="8" t="n">
        <v>52.3478374182</v>
      </c>
      <c r="C59" s="11">
        <f t="shared" si="0"/>
        <v>8.263740000622625E-5</v>
      </c>
      <c r="E59" s="248">
        <v>48</v>
      </c>
      <c r="F59" s="338" t="n">
        <v>1971.0</v>
      </c>
      <c r="G59" s="11">
        <f t="shared" si="1"/>
        <v>2.9233149936446373E-3</v>
      </c>
    </row>
    <row r="60" spans="1:7" x14ac:dyDescent="0.45">
      <c r="A60">
        <v>49</v>
      </c>
      <c r="B60" s="8" t="n">
        <v>214.103131579</v>
      </c>
      <c r="C60" s="11">
        <f t="shared" si="0"/>
        <v>3.3798771829928815E-4</v>
      </c>
      <c r="E60" s="249">
        <v>49</v>
      </c>
      <c r="F60" s="339" t="n">
        <v>2429.0</v>
      </c>
      <c r="G60" s="11">
        <f t="shared" si="1"/>
        <v>3.2467778994349269E-3</v>
      </c>
    </row>
    <row r="61" spans="1:7" x14ac:dyDescent="0.45">
      <c r="A61">
        <v>50</v>
      </c>
      <c r="B61" s="8" t="n">
        <v>1767.383302078</v>
      </c>
      <c r="C61" s="11">
        <f t="shared" si="0"/>
        <v>2.7900285494385328E-3</v>
      </c>
      <c r="E61" s="250">
        <v>50</v>
      </c>
      <c r="F61" s="340" t="n">
        <v>2043.0</v>
      </c>
      <c r="G61" s="11">
        <f t="shared" si="1"/>
        <v>2.2900566287875914E-3</v>
      </c>
    </row>
    <row r="62" spans="1:7" x14ac:dyDescent="0.45">
      <c r="A62">
        <v>51</v>
      </c>
      <c r="B62" s="8" t="n">
        <v>280.077627348</v>
      </c>
      <c r="C62" s="11">
        <f t="shared" si="0"/>
        <v>4.4213644852317372E-4</v>
      </c>
      <c r="E62" s="251">
        <v>51</v>
      </c>
      <c r="F62" s="341" t="n">
        <v>1335.0</v>
      </c>
      <c r="G62" s="11">
        <f t="shared" si="1"/>
        <v>1.8526983336345233E-3</v>
      </c>
    </row>
    <row r="63" spans="1:7" x14ac:dyDescent="0.45">
      <c r="A63">
        <v>52</v>
      </c>
      <c r="B63" s="8" t="n">
        <v>0.0</v>
      </c>
      <c r="C63" s="11">
        <f t="shared" si="0"/>
        <v>0</v>
      </c>
      <c r="E63" s="252">
        <v>52</v>
      </c>
      <c r="F63" s="342" t="n">
        <v>1610.0</v>
      </c>
      <c r="G63" s="11">
        <f t="shared" si="1"/>
        <v>2.2627217353405242E-3</v>
      </c>
    </row>
    <row r="64" spans="1:7" x14ac:dyDescent="0.45">
      <c r="A64">
        <v>53</v>
      </c>
      <c r="B64" s="8" t="n">
        <v>0.0</v>
      </c>
      <c r="C64" s="11">
        <f t="shared" si="0"/>
        <v>0</v>
      </c>
      <c r="E64" s="253">
        <v>53</v>
      </c>
      <c r="F64" s="343" t="n">
        <v>1026.0</v>
      </c>
      <c r="G64" s="11">
        <f t="shared" si="1"/>
        <v>1.8223262298044491E-3</v>
      </c>
    </row>
    <row r="65" spans="1:7" x14ac:dyDescent="0.45">
      <c r="A65">
        <v>54</v>
      </c>
      <c r="B65" s="8" t="n">
        <v>326.758764277</v>
      </c>
      <c r="C65" s="11">
        <f t="shared" si="0"/>
        <v>5.1582827564354301E-4</v>
      </c>
      <c r="E65" s="254">
        <v>54</v>
      </c>
      <c r="F65" s="344" t="n">
        <v>893.0</v>
      </c>
      <c r="G65" s="11">
        <f t="shared" si="1"/>
        <v>1.6249075549089672E-3</v>
      </c>
    </row>
    <row r="66" spans="1:7" x14ac:dyDescent="0.45">
      <c r="A66">
        <v>55</v>
      </c>
      <c r="B66" s="8" t="n">
        <v>0.0</v>
      </c>
      <c r="C66" s="11">
        <f t="shared" si="0"/>
        <v>0</v>
      </c>
      <c r="E66" s="255">
        <v>55</v>
      </c>
      <c r="F66" s="345" t="n">
        <v>737.0</v>
      </c>
      <c r="G66" s="11">
        <f t="shared" si="1"/>
        <v>1.3971167761834111E-3</v>
      </c>
    </row>
    <row r="67" spans="1:7" x14ac:dyDescent="0.45">
      <c r="A67">
        <v>56</v>
      </c>
      <c r="B67" s="8" t="n">
        <v>232.8335313258</v>
      </c>
      <c r="C67" s="11">
        <f t="shared" si="0"/>
        <v>3.6755592230717116E-4</v>
      </c>
      <c r="E67" s="256">
        <v>56</v>
      </c>
      <c r="F67" s="346" t="n">
        <v>779.0</v>
      </c>
      <c r="G67" s="11">
        <f t="shared" si="1"/>
        <v>1.5201237966952113E-3</v>
      </c>
    </row>
    <row r="68" spans="1:7" x14ac:dyDescent="0.45">
      <c r="A68">
        <v>57</v>
      </c>
      <c r="B68" s="8" t="n">
        <v>1954.083490471</v>
      </c>
      <c r="C68" s="11">
        <f t="shared" si="0"/>
        <v>3.0847574037790575E-3</v>
      </c>
      <c r="E68" s="257">
        <v>57</v>
      </c>
      <c r="F68" s="347" t="n">
        <v>674.0</v>
      </c>
      <c r="G68" s="11">
        <f t="shared" si="1"/>
        <v>1.1009887638401882E-3</v>
      </c>
    </row>
    <row r="69" spans="1:7" x14ac:dyDescent="0.45">
      <c r="A69">
        <v>58</v>
      </c>
      <c r="B69" s="8" t="n">
        <v>2200.592978766</v>
      </c>
      <c r="C69" s="11">
        <f t="shared" si="0"/>
        <v>3.4739024801424536E-3</v>
      </c>
      <c r="E69" s="258">
        <v>58</v>
      </c>
      <c r="F69" s="348" t="n">
        <v>888.0</v>
      </c>
      <c r="G69" s="11">
        <f t="shared" si="1"/>
        <v>8.291584345610244E-4</v>
      </c>
    </row>
    <row r="70" spans="1:7" x14ac:dyDescent="0.45">
      <c r="A70">
        <v>59</v>
      </c>
      <c r="B70" s="8" t="n">
        <v>97.2587813793</v>
      </c>
      <c r="C70" s="11">
        <f t="shared" si="0"/>
        <v>1.5353476317944305E-4</v>
      </c>
      <c r="E70" s="259">
        <v>59</v>
      </c>
      <c r="F70" s="349" t="n">
        <v>515.0</v>
      </c>
      <c r="G70" s="11">
        <f t="shared" si="1"/>
        <v>8.0182354111395769E-4</v>
      </c>
    </row>
    <row r="71" spans="1:7" x14ac:dyDescent="0.45">
      <c r="A71">
        <v>60</v>
      </c>
      <c r="B71" s="8" t="n">
        <v>1985.7672183407</v>
      </c>
      <c r="C71" s="11">
        <f t="shared" si="0"/>
        <v>3.1347740047083352E-3</v>
      </c>
      <c r="E71" s="260">
        <v>60</v>
      </c>
      <c r="F71" s="350" t="n">
        <v>619.0</v>
      </c>
      <c r="G71" s="11">
        <f t="shared" si="1"/>
        <v>7.4867235941132788E-4</v>
      </c>
    </row>
    <row r="72" spans="1:7" x14ac:dyDescent="0.45">
      <c r="A72">
        <v>61</v>
      </c>
      <c r="B72" s="8" t="n">
        <v>711.387405665</v>
      </c>
      <c r="C72" s="11">
        <f t="shared" si="0"/>
        <v>1.1230111595955125E-3</v>
      </c>
      <c r="E72" s="261">
        <v>61</v>
      </c>
      <c r="F72" s="351" t="n">
        <v>436.0</v>
      </c>
      <c r="G72" s="11">
        <f t="shared" si="1"/>
        <v>5.4062344817531994E-4</v>
      </c>
    </row>
    <row r="73" spans="1:7" x14ac:dyDescent="0.45">
      <c r="A73">
        <v>62</v>
      </c>
      <c r="B73" s="8" t="n">
        <v>0.0</v>
      </c>
      <c r="C73" s="11">
        <f t="shared" si="0"/>
        <v>0</v>
      </c>
      <c r="E73" s="262">
        <v>62</v>
      </c>
      <c r="F73" s="352" t="n">
        <v>362.0</v>
      </c>
      <c r="G73" s="11">
        <f t="shared" si="1"/>
        <v>5.542908948988533E-4</v>
      </c>
    </row>
    <row r="74" spans="1:7" x14ac:dyDescent="0.45">
      <c r="A74">
        <v>63</v>
      </c>
      <c r="B74" s="8" t="n">
        <v>110.470897351</v>
      </c>
      <c r="C74" s="11">
        <f t="shared" si="0"/>
        <v>1.7439168805600782E-4</v>
      </c>
      <c r="E74" s="263">
        <v>63</v>
      </c>
      <c r="F74" s="353" t="n">
        <v>279.0</v>
      </c>
      <c r="G74" s="11">
        <f t="shared" si="1"/>
        <v>4.2672805881254183E-4</v>
      </c>
    </row>
    <row r="75" spans="1:7" x14ac:dyDescent="0.45">
      <c r="A75">
        <v>64</v>
      </c>
      <c r="B75" s="8" t="n">
        <v>111.109208251</v>
      </c>
      <c r="C75" s="11">
        <f t="shared" si="0"/>
        <v>1.7539933910279765E-4</v>
      </c>
      <c r="E75" s="264">
        <v>64</v>
      </c>
      <c r="F75" s="354" t="n">
        <v>310.0</v>
      </c>
      <c r="G75" s="11">
        <f t="shared" si="1"/>
        <v>4.5102574187660119E-4</v>
      </c>
    </row>
    <row r="76" spans="1:7" x14ac:dyDescent="0.45">
      <c r="A76">
        <v>65</v>
      </c>
      <c r="B76" s="8" t="n">
        <v>77.4485081528</v>
      </c>
      <c r="C76" s="11">
        <f t="shared" si="0"/>
        <v>1.22261848125234E-4</v>
      </c>
      <c r="E76" s="265">
        <v>65</v>
      </c>
      <c r="F76" s="355" t="n">
        <v>262.0</v>
      </c>
      <c r="G76" s="11">
        <f t="shared" si="1"/>
        <v>3.720582719184084E-4</v>
      </c>
    </row>
    <row r="77" spans="1:7" x14ac:dyDescent="0.45">
      <c r="A77">
        <v>66</v>
      </c>
      <c r="B77" s="8" t="n">
        <v>4.59375</v>
      </c>
      <c r="C77" s="11">
        <f t="shared" ref="C77:C102" si="2">B77/B$102</f>
        <v>7.2517906183192063E-6</v>
      </c>
      <c r="E77" s="266">
        <v>66</v>
      </c>
      <c r="F77" s="356" t="n">
        <v>202.0</v>
      </c>
      <c r="G77" s="11">
        <f t="shared" ref="G77:G102" si="3">F77/F$102</f>
        <v>3.5839082519487499E-4</v>
      </c>
    </row>
    <row r="78" spans="1:7" x14ac:dyDescent="0.45">
      <c r="A78">
        <v>67</v>
      </c>
      <c r="B78" s="8" t="n">
        <v>5478.798556153</v>
      </c>
      <c r="C78" s="11">
        <f t="shared" si="2"/>
        <v>8.6489469320644666E-3</v>
      </c>
      <c r="E78" s="267">
        <v>67</v>
      </c>
      <c r="F78" s="357" t="n">
        <v>221.0</v>
      </c>
      <c r="G78" s="11">
        <f t="shared" si="3"/>
        <v>3.2194430059878605E-4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268">
        <v>68</v>
      </c>
      <c r="F79" s="358" t="n">
        <v>170.0</v>
      </c>
      <c r="G79" s="11">
        <f t="shared" si="3"/>
        <v>4.2824666400404556E-4</v>
      </c>
    </row>
    <row r="80" spans="1:7" x14ac:dyDescent="0.45">
      <c r="A80">
        <v>69</v>
      </c>
      <c r="B80" s="8" t="n">
        <v>1506.324996334</v>
      </c>
      <c r="C80" s="11">
        <f t="shared" si="2"/>
        <v>2.3779164030595075E-3</v>
      </c>
      <c r="E80" s="269">
        <v>69</v>
      </c>
      <c r="F80" s="359" t="n">
        <v>130.0</v>
      </c>
      <c r="G80" s="11">
        <f t="shared" si="3"/>
        <v>1.8223262298044493E-4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270">
        <v>70</v>
      </c>
      <c r="F81" s="360" t="n">
        <v>104.0</v>
      </c>
      <c r="G81" s="11">
        <f t="shared" si="3"/>
        <v>1.5641633472488189E-4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271">
        <v>71</v>
      </c>
      <c r="F82" s="361" t="n">
        <v>101.0</v>
      </c>
      <c r="G82" s="11">
        <f t="shared" si="3"/>
        <v>1.8830704374645974E-4</v>
      </c>
    </row>
    <row r="83" spans="1:7" x14ac:dyDescent="0.45">
      <c r="A83">
        <v>72</v>
      </c>
      <c r="B83" s="8" t="n">
        <v>618.016967959</v>
      </c>
      <c r="C83" s="11">
        <f t="shared" si="2"/>
        <v>9.756146177321704E-4</v>
      </c>
      <c r="E83" s="272">
        <v>72</v>
      </c>
      <c r="F83" s="362" t="n">
        <v>90.0</v>
      </c>
      <c r="G83" s="11">
        <f t="shared" si="3"/>
        <v>1.6400936068240043E-4</v>
      </c>
    </row>
    <row r="84" spans="1:7" x14ac:dyDescent="0.45">
      <c r="A84">
        <v>73</v>
      </c>
      <c r="B84" s="8" t="n">
        <v>767.701778901</v>
      </c>
      <c r="C84" s="11">
        <f t="shared" si="2"/>
        <v>1.2119102166859837E-3</v>
      </c>
      <c r="E84" s="273">
        <v>73</v>
      </c>
      <c r="F84" s="363" t="n">
        <v>104.0</v>
      </c>
      <c r="G84" s="11">
        <f t="shared" si="3"/>
        <v>1.6704657106540784E-4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274">
        <v>74</v>
      </c>
      <c r="F85" s="364" t="n">
        <v>66.0</v>
      </c>
      <c r="G85" s="11">
        <f t="shared" si="3"/>
        <v>1.2908144127781514E-4</v>
      </c>
    </row>
    <row r="86" spans="1:7" x14ac:dyDescent="0.45">
      <c r="A86">
        <v>75</v>
      </c>
      <c r="B86" s="8" t="n">
        <v>0.0</v>
      </c>
      <c r="C86" s="11">
        <f t="shared" si="2"/>
        <v>0</v>
      </c>
      <c r="E86" s="275">
        <v>75</v>
      </c>
      <c r="F86" s="365" t="n">
        <v>80.0</v>
      </c>
      <c r="G86" s="11">
        <f t="shared" si="3"/>
        <v>7.4411654383681671E-5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276">
        <v>76</v>
      </c>
      <c r="F87" s="366" t="n">
        <v>48.0</v>
      </c>
      <c r="G87" s="11">
        <f t="shared" si="3"/>
        <v>6.2262812851652017E-5</v>
      </c>
    </row>
    <row r="88" spans="1:7" x14ac:dyDescent="0.45">
      <c r="A88">
        <v>77</v>
      </c>
      <c r="B88" s="8" t="n">
        <v>103.884081167</v>
      </c>
      <c r="C88" s="11">
        <f t="shared" si="2"/>
        <v>1.6399360113187735E-4</v>
      </c>
      <c r="E88" s="277">
        <v>77</v>
      </c>
      <c r="F88" s="367" t="n">
        <v>97.0</v>
      </c>
      <c r="G88" s="11">
        <f t="shared" si="3"/>
        <v>7.2893049192177968E-5</v>
      </c>
    </row>
    <row r="89" spans="1:7" x14ac:dyDescent="0.45">
      <c r="A89">
        <v>78</v>
      </c>
      <c r="B89" s="8" t="n">
        <v>552.1879851022</v>
      </c>
      <c r="C89" s="11">
        <f t="shared" si="2"/>
        <v>8.7169559725991169E-4</v>
      </c>
      <c r="E89" s="278">
        <v>78</v>
      </c>
      <c r="F89" s="368" t="n">
        <v>67.0</v>
      </c>
      <c r="G89" s="11">
        <f t="shared" si="3"/>
        <v>6.6818628426163141E-5</v>
      </c>
    </row>
    <row r="90" spans="1:7" x14ac:dyDescent="0.45">
      <c r="A90">
        <v>79</v>
      </c>
      <c r="B90" s="8" t="n">
        <v>3617.977487135</v>
      </c>
      <c r="C90" s="11">
        <f t="shared" si="2"/>
        <v>5.7114155534140273E-3</v>
      </c>
      <c r="E90" s="279">
        <v>79</v>
      </c>
      <c r="F90" s="369" t="n">
        <v>42.0</v>
      </c>
      <c r="G90" s="11">
        <f t="shared" si="3"/>
        <v>6.5300023234659424E-5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280">
        <v>80</v>
      </c>
      <c r="F91" s="370" t="n">
        <v>38.0</v>
      </c>
      <c r="G91" s="11">
        <f t="shared" si="3"/>
        <v>4.8595366128118645E-5</v>
      </c>
    </row>
    <row r="92" spans="1:7" x14ac:dyDescent="0.45">
      <c r="A92">
        <v>81</v>
      </c>
      <c r="B92" s="8" t="n">
        <v>761.4660318990001</v>
      </c>
      <c r="C92" s="11">
        <f t="shared" si="2"/>
        <v>1.2020663349755476E-3</v>
      </c>
      <c r="E92" s="281">
        <v>81</v>
      </c>
      <c r="F92" s="371" t="n">
        <v>22.0</v>
      </c>
      <c r="G92" s="11">
        <f t="shared" si="3"/>
        <v>5.3151181702629769E-5</v>
      </c>
    </row>
    <row r="93" spans="1:7" x14ac:dyDescent="0.45">
      <c r="A93">
        <v>82</v>
      </c>
      <c r="B93" s="8" t="n">
        <v>0.0</v>
      </c>
      <c r="C93" s="11">
        <f t="shared" si="2"/>
        <v>0</v>
      </c>
      <c r="E93" s="282">
        <v>82</v>
      </c>
      <c r="F93" s="372" t="n">
        <v>23.0</v>
      </c>
      <c r="G93" s="11">
        <f t="shared" si="3"/>
        <v>4.5558155745111232E-5</v>
      </c>
    </row>
    <row r="94" spans="1:7" x14ac:dyDescent="0.45">
      <c r="A94">
        <v>83</v>
      </c>
      <c r="B94" s="8" t="n">
        <v>0.0</v>
      </c>
      <c r="C94" s="11">
        <f t="shared" si="2"/>
        <v>0</v>
      </c>
      <c r="E94" s="283">
        <v>83</v>
      </c>
      <c r="F94" s="373" t="n">
        <v>18.0</v>
      </c>
      <c r="G94" s="11">
        <f t="shared" si="3"/>
        <v>2.8853498638570447E-5</v>
      </c>
    </row>
    <row r="95" spans="1:7" x14ac:dyDescent="0.45">
      <c r="A95">
        <v>84</v>
      </c>
      <c r="B95" s="8" t="n">
        <v>470.638625</v>
      </c>
      <c r="C95" s="11">
        <f t="shared" si="2"/>
        <v>7.4296005777276756E-4</v>
      </c>
      <c r="E95" s="284">
        <v>84</v>
      </c>
      <c r="F95" s="374" t="n">
        <v>13.0</v>
      </c>
      <c r="G95" s="11">
        <f t="shared" si="3"/>
        <v>2.8853498638570447E-5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285">
        <v>85</v>
      </c>
      <c r="F96" s="375" t="n">
        <v>15.0</v>
      </c>
      <c r="G96" s="11">
        <f t="shared" si="3"/>
        <v>2.1260472681051909E-5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286">
        <v>86</v>
      </c>
      <c r="F97" s="376" t="n">
        <v>16.0</v>
      </c>
      <c r="G97" s="11">
        <f t="shared" si="3"/>
        <v>1.366744672353337E-5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287">
        <v>87</v>
      </c>
      <c r="F98" s="377" t="n">
        <v>17.0</v>
      </c>
      <c r="G98" s="11">
        <f t="shared" si="3"/>
        <v>1.9741867489548199E-5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288">
        <v>88</v>
      </c>
      <c r="F99" s="378" t="n">
        <v>12.0</v>
      </c>
      <c r="G99" s="11">
        <f t="shared" si="3"/>
        <v>1.5186051915037077E-5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289">
        <v>89</v>
      </c>
      <c r="F100" s="379" t="n">
        <v>13.0</v>
      </c>
      <c r="G100" s="11">
        <f t="shared" si="3"/>
        <v>1.6704657106540785E-5</v>
      </c>
    </row>
    <row r="101" spans="1:7" ht="14.65" thickBot="1" x14ac:dyDescent="0.5">
      <c r="A101" s="1">
        <v>90</v>
      </c>
      <c r="B101" s="9" t="n">
        <v>2957.8065042821</v>
      </c>
      <c r="C101" s="11">
        <f t="shared" si="2"/>
        <v>4.6692557188694334E-3</v>
      </c>
      <c r="E101" s="382">
        <v>90</v>
      </c>
      <c r="F101" s="382" t="n">
        <v>56.0</v>
      </c>
      <c r="G101" s="11">
        <f t="shared" si="3"/>
        <v>8.5041890724207636E-5</v>
      </c>
    </row>
    <row r="102" spans="1:7" x14ac:dyDescent="0.45">
      <c r="B102" s="8">
        <f>SUM(B11:B101)</f>
        <v>633464.23549453262</v>
      </c>
      <c r="C102" s="11">
        <f t="shared" si="2"/>
        <v>1</v>
      </c>
      <c r="F102" s="8">
        <f>SUM(F11:F101)</f>
        <v>658499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" workbookViewId="0">
      <selection activeCell="AC29" sqref="AC29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73046875" collapsed="true"/>
    <col min="15" max="15" bestFit="true" customWidth="true" width="12.59765625" collapsed="true"/>
    <col min="16" max="16" bestFit="true" customWidth="true" width="10.73046875" collapsed="true"/>
    <col min="17" max="17" bestFit="true" customWidth="true" width="11.59765625" collapsed="true"/>
    <col min="18" max="18" bestFit="true" customWidth="true" width="10.73046875" collapsed="true"/>
    <col min="19" max="19" bestFit="true" customWidth="true" width="11.59765625" collapsed="true"/>
    <col min="20" max="20" bestFit="true" customWidth="true" width="9.265625" collapsed="true"/>
    <col min="21" max="21" bestFit="true" customWidth="true" width="11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37</v>
      </c>
    </row>
    <row r="3" spans="1:21" x14ac:dyDescent="0.45">
      <c r="A3" t="s">
        <v>14</v>
      </c>
    </row>
    <row r="5" spans="1:21" ht="14.65" thickBot="1" x14ac:dyDescent="0.5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383" t="s">
        <v>248</v>
      </c>
      <c r="B7" s="12" t="n">
        <v>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0</v>
      </c>
      <c r="K7" s="12"/>
      <c r="L7" t="str">
        <f>$A$7</f>
        <v>Bellevue</v>
      </c>
      <c r="M7" s="430" t="n">
        <v>0.0</v>
      </c>
      <c r="N7" s="430" t="n">
        <v>0.0</v>
      </c>
      <c r="O7" s="430" t="n">
        <v>0.0</v>
      </c>
      <c r="P7" s="430" t="n">
        <v>0.0</v>
      </c>
      <c r="Q7" s="430" t="n">
        <v>0.0</v>
      </c>
      <c r="R7" s="430" t="n">
        <v>0.0</v>
      </c>
      <c r="S7" s="430" t="n">
        <v>0.0</v>
      </c>
      <c r="T7" s="430"/>
      <c r="U7" s="431">
        <f>SUM(M7:T7)</f>
        <v>0</v>
      </c>
    </row>
    <row r="8" spans="1:21" x14ac:dyDescent="0.45">
      <c r="A8" t="s">
        <v>249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t="shared" ref="J8:J14" si="0">SUM(B8:I8)</f>
        <v>0</v>
      </c>
      <c r="K8" s="12"/>
      <c r="L8" t="str">
        <f>$A$8</f>
        <v>Bellevue Downtown</v>
      </c>
      <c r="M8" s="430" t="n">
        <v>0.0</v>
      </c>
      <c r="N8" s="430" t="n">
        <v>0.0</v>
      </c>
      <c r="O8" s="430" t="n">
        <v>0.0</v>
      </c>
      <c r="P8" s="430" t="n">
        <v>0.0</v>
      </c>
      <c r="Q8" s="430" t="n">
        <v>0.0</v>
      </c>
      <c r="R8" s="430" t="n">
        <v>0.0</v>
      </c>
      <c r="S8" s="430" t="n">
        <v>0.0</v>
      </c>
      <c r="T8" s="430"/>
      <c r="U8" s="431">
        <f t="shared" ref="U8:U14" si="1">SUM(M8:T8)</f>
        <v>0</v>
      </c>
    </row>
    <row r="9" spans="1:21" x14ac:dyDescent="0.45">
      <c r="A9" t="s">
        <v>250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t="shared" si="0"/>
        <v>0</v>
      </c>
      <c r="K9" s="13"/>
      <c r="L9" t="str">
        <f>$A$9</f>
        <v>Kirkland</v>
      </c>
      <c r="M9" s="430" t="n">
        <v>0.0</v>
      </c>
      <c r="N9" s="430" t="n">
        <v>0.0</v>
      </c>
      <c r="O9" s="430" t="n">
        <v>0.0</v>
      </c>
      <c r="P9" s="430" t="n">
        <v>0.0</v>
      </c>
      <c r="Q9" s="430" t="n">
        <v>0.0</v>
      </c>
      <c r="R9" s="430" t="n">
        <v>0.0</v>
      </c>
      <c r="S9" s="430" t="n">
        <v>0.0</v>
      </c>
      <c r="T9" s="430"/>
      <c r="U9" s="431">
        <f t="shared" si="1"/>
        <v>0</v>
      </c>
    </row>
    <row r="10" spans="1:21" x14ac:dyDescent="0.45">
      <c r="A10" t="s">
        <v>251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t="shared" si="0"/>
        <v>0</v>
      </c>
      <c r="K10" s="13"/>
      <c r="L10" t="str">
        <f>$A$10</f>
        <v>Redmond</v>
      </c>
      <c r="M10" s="430" t="n">
        <v>0.0</v>
      </c>
      <c r="N10" s="430" t="n">
        <v>0.0</v>
      </c>
      <c r="O10" s="430" t="n">
        <v>0.0</v>
      </c>
      <c r="P10" s="430" t="n">
        <v>0.0</v>
      </c>
      <c r="Q10" s="430" t="n">
        <v>0.0</v>
      </c>
      <c r="R10" s="430" t="n">
        <v>0.0</v>
      </c>
      <c r="S10" s="430" t="n">
        <v>0.0</v>
      </c>
      <c r="T10" s="430"/>
      <c r="U10" s="431">
        <f t="shared" si="1"/>
        <v>0</v>
      </c>
    </row>
    <row r="11" spans="1:21" x14ac:dyDescent="0.45">
      <c r="A11" t="s">
        <v>247</v>
      </c>
      <c r="B11" s="12" t="n">
        <v>1692.676880788</v>
      </c>
      <c r="C11" s="12" t="n">
        <v>63.528726944</v>
      </c>
      <c r="D11" s="12" t="n">
        <v>160.016879313</v>
      </c>
      <c r="E11" s="12" t="n">
        <v>9.4775</v>
      </c>
      <c r="F11" s="12" t="n">
        <v>88217.5662422081</v>
      </c>
      <c r="G11" s="12" t="n">
        <v>13915.1218176164</v>
      </c>
      <c r="H11" s="12" t="n">
        <v>6127.6922476265</v>
      </c>
      <c r="I11" s="12"/>
      <c r="J11" s="12">
        <f t="shared" si="0"/>
        <v>110186.08029449599</v>
      </c>
      <c r="K11" s="13"/>
      <c r="L11" t="str">
        <f>$A$11</f>
        <v>Seattle</v>
      </c>
      <c r="M11" s="430" t="n">
        <v>1400.0</v>
      </c>
      <c r="N11" s="430" t="n">
        <v>920.0</v>
      </c>
      <c r="O11" s="430" t="n">
        <v>1060.0</v>
      </c>
      <c r="P11" s="430" t="n">
        <v>352.0</v>
      </c>
      <c r="Q11" s="430" t="n">
        <v>98201.0</v>
      </c>
      <c r="R11" s="430" t="n">
        <v>11509.0</v>
      </c>
      <c r="S11" s="430" t="n">
        <v>11116.0</v>
      </c>
      <c r="T11" s="430"/>
      <c r="U11" s="431">
        <f t="shared" si="1"/>
        <v>123955</v>
      </c>
    </row>
    <row r="12" spans="1:21" x14ac:dyDescent="0.45">
      <c r="A12" t="s">
        <v>252</v>
      </c>
      <c r="B12" s="12" t="n">
        <v>57.5148662035</v>
      </c>
      <c r="C12" s="12" t="n">
        <v>0.0</v>
      </c>
      <c r="D12" s="12" t="n">
        <v>0.0</v>
      </c>
      <c r="E12" s="12" t="n">
        <v>0.0</v>
      </c>
      <c r="F12" s="12" t="n">
        <v>4316.5827853598</v>
      </c>
      <c r="G12" s="12" t="n">
        <v>5541.7068748445</v>
      </c>
      <c r="H12" s="12" t="n">
        <v>771.7855595547001</v>
      </c>
      <c r="I12" s="12"/>
      <c r="J12" s="12">
        <f t="shared" si="0"/>
        <v>10687.5900859625</v>
      </c>
      <c r="K12" s="13"/>
      <c r="L12" t="str">
        <f>$A$12</f>
        <v>Seattle Downtown</v>
      </c>
      <c r="M12" s="430" t="n">
        <v>132.0</v>
      </c>
      <c r="N12" s="430" t="n">
        <v>78.0</v>
      </c>
      <c r="O12" s="430" t="n">
        <v>35.0</v>
      </c>
      <c r="P12" s="430" t="n">
        <v>22.0</v>
      </c>
      <c r="Q12" s="430" t="n">
        <v>3658.0</v>
      </c>
      <c r="R12" s="430" t="n">
        <v>11813.0</v>
      </c>
      <c r="S12" s="430" t="n">
        <v>448.0</v>
      </c>
      <c r="T12" s="430"/>
      <c r="U12" s="431">
        <f t="shared" si="1"/>
        <v>16416</v>
      </c>
    </row>
    <row r="13" spans="1:21" x14ac:dyDescent="0.45">
      <c r="A13" t="s">
        <v>253</v>
      </c>
      <c r="B13" s="12" t="n">
        <v>8122.870363239</v>
      </c>
      <c r="C13" s="12" t="n">
        <v>3138.15946386</v>
      </c>
      <c r="D13" s="12" t="n">
        <v>10022.891088588</v>
      </c>
      <c r="E13" s="12" t="n">
        <v>2645.91822705</v>
      </c>
      <c r="F13" s="12" t="n">
        <v>15413.2145940696</v>
      </c>
      <c r="G13" s="12" t="n">
        <v>10252.1123914386</v>
      </c>
      <c r="H13" s="12" t="n">
        <v>467326.12922187</v>
      </c>
      <c r="I13" s="12"/>
      <c r="J13" s="12">
        <f t="shared" si="0"/>
        <v>516921.29535011516</v>
      </c>
      <c r="K13" s="13"/>
      <c r="L13" t="str">
        <f>$A$13</f>
        <v>Rest</v>
      </c>
      <c r="M13" s="430" t="n">
        <v>7422.0</v>
      </c>
      <c r="N13" s="430" t="n">
        <v>3676.0</v>
      </c>
      <c r="O13" s="430" t="n">
        <v>4537.0</v>
      </c>
      <c r="P13" s="430" t="n">
        <v>3719.0</v>
      </c>
      <c r="Q13" s="430" t="n">
        <v>28348.0</v>
      </c>
      <c r="R13" s="430" t="n">
        <v>5429.0</v>
      </c>
      <c r="S13" s="430" t="n">
        <v>464790.0</v>
      </c>
      <c r="T13" s="430"/>
      <c r="U13" s="431">
        <f t="shared" si="1"/>
        <v>518128</v>
      </c>
    </row>
    <row r="14" spans="1:21" x14ac:dyDescent="0.4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t="shared" si="1"/>
        <v>0</v>
      </c>
    </row>
    <row r="15" spans="1:21" ht="14.65" thickBot="1" x14ac:dyDescent="0.5">
      <c r="A15" s="1" t="s">
        <v>4</v>
      </c>
      <c r="B15" s="16">
        <f t="shared" ref="B15:J15" si="2">SUM(B7:B14)</f>
        <v>9873.0621102304995</v>
      </c>
      <c r="C15" s="16">
        <f t="shared" si="2"/>
        <v>3201.688190804</v>
      </c>
      <c r="D15" s="16">
        <f t="shared" si="2"/>
        <v>10182.907967900999</v>
      </c>
      <c r="E15" s="16">
        <f t="shared" si="2"/>
        <v>2655.39572705</v>
      </c>
      <c r="F15" s="16">
        <f t="shared" si="2"/>
        <v>107947.36362163749</v>
      </c>
      <c r="G15" s="16">
        <f t="shared" si="2"/>
        <v>29708.941083899499</v>
      </c>
      <c r="H15" s="16">
        <f t="shared" si="2"/>
        <v>474225.60702905117</v>
      </c>
      <c r="I15" s="16">
        <f t="shared" si="2"/>
        <v>0</v>
      </c>
      <c r="J15" s="16">
        <f t="shared" si="2"/>
        <v>637794.96573057363</v>
      </c>
      <c r="K15" s="12"/>
      <c r="L15" s="16" t="s">
        <v>4</v>
      </c>
      <c r="M15" s="433">
        <f t="shared" ref="M15:U15" si="3">SUM(M7:M14)</f>
        <v>9033</v>
      </c>
      <c r="N15" s="433">
        <f t="shared" si="3"/>
        <v>4696</v>
      </c>
      <c r="O15" s="433">
        <f t="shared" si="3"/>
        <v>5593</v>
      </c>
      <c r="P15" s="433">
        <f t="shared" si="3"/>
        <v>4160</v>
      </c>
      <c r="Q15" s="433">
        <f t="shared" si="3"/>
        <v>129867</v>
      </c>
      <c r="R15" s="433">
        <f t="shared" si="3"/>
        <v>28668</v>
      </c>
      <c r="S15" s="433">
        <f t="shared" si="3"/>
        <v>476482</v>
      </c>
      <c r="T15" s="433">
        <f t="shared" si="3"/>
        <v>0</v>
      </c>
      <c r="U15" s="433">
        <f t="shared" si="3"/>
        <v>658499</v>
      </c>
    </row>
    <row r="18" spans="1:32" ht="14.65" thickBot="1" x14ac:dyDescent="0.5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2" t="e">
        <f t="shared" ref="B20:G20" si="4">($U7/$J7)*B7</f>
        <v>#DIV/0!</v>
      </c>
      <c r="C20" s="12" t="e">
        <f t="shared" si="4"/>
        <v>#DIV/0!</v>
      </c>
      <c r="D20" s="12" t="e">
        <f t="shared" si="4"/>
        <v>#DIV/0!</v>
      </c>
      <c r="E20" s="12" t="e">
        <f t="shared" si="4"/>
        <v>#DIV/0!</v>
      </c>
      <c r="F20" s="12" t="e">
        <f t="shared" si="4"/>
        <v>#DIV/0!</v>
      </c>
      <c r="G20" s="12" t="e">
        <f t="shared" si="4"/>
        <v>#DIV/0!</v>
      </c>
      <c r="H20" s="12" t="e">
        <f t="shared" ref="H20" si="5">($U7/$J7)*H7</f>
        <v>#DIV/0!</v>
      </c>
      <c r="I20" s="12"/>
      <c r="J20" s="12" t="e">
        <f>SUM(B20:I20)</f>
        <v>#DIV/0!</v>
      </c>
      <c r="K20" s="12"/>
      <c r="L20" t="str">
        <f>$A$7</f>
        <v>Bellevue</v>
      </c>
      <c r="M20" s="12">
        <f>M7</f>
        <v>0</v>
      </c>
      <c r="N20" s="12">
        <f t="shared" ref="N20:U20" si="6">N7</f>
        <v>0</v>
      </c>
      <c r="O20" s="12">
        <f t="shared" si="6"/>
        <v>0</v>
      </c>
      <c r="P20" s="12">
        <f t="shared" si="6"/>
        <v>0</v>
      </c>
      <c r="Q20" s="12">
        <f t="shared" si="6"/>
        <v>0</v>
      </c>
      <c r="R20" s="12">
        <f t="shared" si="6"/>
        <v>0</v>
      </c>
      <c r="S20" s="12">
        <f t="shared" si="6"/>
        <v>0</v>
      </c>
      <c r="T20" s="12"/>
      <c r="U20" s="12">
        <f t="shared" si="6"/>
        <v>0</v>
      </c>
    </row>
    <row r="21" spans="1:32" x14ac:dyDescent="0.45">
      <c r="A21" t="str">
        <f>$A$8</f>
        <v>Bellevue Downtown</v>
      </c>
      <c r="B21" s="12" t="e">
        <f t="shared" ref="B21:G26" si="7">($U8/$J8)*B8</f>
        <v>#DIV/0!</v>
      </c>
      <c r="C21" s="12" t="e">
        <f t="shared" si="7"/>
        <v>#DIV/0!</v>
      </c>
      <c r="D21" s="12" t="e">
        <f t="shared" si="7"/>
        <v>#DIV/0!</v>
      </c>
      <c r="E21" s="12" t="e">
        <f t="shared" si="7"/>
        <v>#DIV/0!</v>
      </c>
      <c r="F21" s="12" t="e">
        <f t="shared" si="7"/>
        <v>#DIV/0!</v>
      </c>
      <c r="G21" s="12" t="e">
        <f t="shared" si="7"/>
        <v>#DIV/0!</v>
      </c>
      <c r="H21" s="12" t="e">
        <f t="shared" ref="H21" si="8">($U8/$J8)*H8</f>
        <v>#DIV/0!</v>
      </c>
      <c r="I21" s="12"/>
      <c r="J21" s="12" t="e">
        <f t="shared" ref="J21:J27" si="9">SUM(B21:I21)</f>
        <v>#DIV/0!</v>
      </c>
      <c r="K21" s="12"/>
      <c r="L21" t="str">
        <f>$A$8</f>
        <v>Bellevue Downtown</v>
      </c>
      <c r="M21" s="12">
        <f t="shared" ref="M21:U21" si="10">M8</f>
        <v>0</v>
      </c>
      <c r="N21" s="12">
        <f t="shared" si="10"/>
        <v>0</v>
      </c>
      <c r="O21" s="12">
        <f t="shared" si="10"/>
        <v>0</v>
      </c>
      <c r="P21" s="12">
        <f t="shared" si="10"/>
        <v>0</v>
      </c>
      <c r="Q21" s="12">
        <f t="shared" si="10"/>
        <v>0</v>
      </c>
      <c r="R21" s="12">
        <f t="shared" si="10"/>
        <v>0</v>
      </c>
      <c r="S21" s="12">
        <f t="shared" si="10"/>
        <v>0</v>
      </c>
      <c r="T21" s="12"/>
      <c r="U21" s="12">
        <f t="shared" si="10"/>
        <v>0</v>
      </c>
    </row>
    <row r="22" spans="1:32" x14ac:dyDescent="0.45">
      <c r="A22" t="str">
        <f>$A$9</f>
        <v>Kirkland</v>
      </c>
      <c r="B22" s="12" t="e">
        <f t="shared" si="7"/>
        <v>#DIV/0!</v>
      </c>
      <c r="C22" s="12" t="e">
        <f t="shared" si="7"/>
        <v>#DIV/0!</v>
      </c>
      <c r="D22" s="12" t="e">
        <f t="shared" si="7"/>
        <v>#DIV/0!</v>
      </c>
      <c r="E22" s="12" t="e">
        <f t="shared" si="7"/>
        <v>#DIV/0!</v>
      </c>
      <c r="F22" s="12" t="e">
        <f t="shared" si="7"/>
        <v>#DIV/0!</v>
      </c>
      <c r="G22" s="12" t="e">
        <f t="shared" si="7"/>
        <v>#DIV/0!</v>
      </c>
      <c r="H22" s="12" t="e">
        <f t="shared" ref="H22" si="11">($U9/$J9)*H9</f>
        <v>#DIV/0!</v>
      </c>
      <c r="I22" s="12"/>
      <c r="J22" s="12" t="e">
        <f t="shared" si="9"/>
        <v>#DIV/0!</v>
      </c>
      <c r="K22" s="13"/>
      <c r="L22" t="str">
        <f>$A$9</f>
        <v>Kirkland</v>
      </c>
      <c r="M22" s="12">
        <f t="shared" ref="M22:U22" si="12">M9</f>
        <v>0</v>
      </c>
      <c r="N22" s="12">
        <f t="shared" si="12"/>
        <v>0</v>
      </c>
      <c r="O22" s="12">
        <f t="shared" si="12"/>
        <v>0</v>
      </c>
      <c r="P22" s="12">
        <f t="shared" si="12"/>
        <v>0</v>
      </c>
      <c r="Q22" s="12">
        <f t="shared" si="12"/>
        <v>0</v>
      </c>
      <c r="R22" s="12">
        <f t="shared" si="12"/>
        <v>0</v>
      </c>
      <c r="S22" s="12">
        <f t="shared" si="12"/>
        <v>0</v>
      </c>
      <c r="T22" s="12"/>
      <c r="U22" s="12">
        <f t="shared" si="12"/>
        <v>0</v>
      </c>
    </row>
    <row r="23" spans="1:32" x14ac:dyDescent="0.45">
      <c r="A23" t="str">
        <f>$A$10</f>
        <v>Redmond</v>
      </c>
      <c r="B23" s="12" t="e">
        <f t="shared" si="7"/>
        <v>#DIV/0!</v>
      </c>
      <c r="C23" s="12" t="e">
        <f t="shared" si="7"/>
        <v>#DIV/0!</v>
      </c>
      <c r="D23" s="12" t="e">
        <f t="shared" si="7"/>
        <v>#DIV/0!</v>
      </c>
      <c r="E23" s="12" t="e">
        <f t="shared" si="7"/>
        <v>#DIV/0!</v>
      </c>
      <c r="F23" s="12" t="e">
        <f t="shared" si="7"/>
        <v>#DIV/0!</v>
      </c>
      <c r="G23" s="12" t="e">
        <f t="shared" si="7"/>
        <v>#DIV/0!</v>
      </c>
      <c r="H23" s="12" t="e">
        <f t="shared" ref="H23" si="13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t="shared" ref="M23:S23" si="14">M10</f>
        <v>0</v>
      </c>
      <c r="N23" s="12">
        <f t="shared" si="14"/>
        <v>0</v>
      </c>
      <c r="O23" s="12">
        <f t="shared" si="14"/>
        <v>0</v>
      </c>
      <c r="P23" s="12">
        <f t="shared" si="14"/>
        <v>0</v>
      </c>
      <c r="Q23" s="12">
        <f t="shared" si="14"/>
        <v>0</v>
      </c>
      <c r="R23" s="12">
        <f t="shared" si="14"/>
        <v>0</v>
      </c>
      <c r="S23" s="12">
        <f t="shared" si="14"/>
        <v>0</v>
      </c>
      <c r="T23" s="12"/>
      <c r="U23" s="12">
        <f t="shared" ref="U23" si="15">U10</f>
        <v>0</v>
      </c>
    </row>
    <row r="24" spans="1:32" x14ac:dyDescent="0.45">
      <c r="A24" t="str">
        <f>$A$11</f>
        <v>Seattle</v>
      </c>
      <c r="B24" s="12">
        <f t="shared" si="7"/>
        <v>1904.1948147833084</v>
      </c>
      <c r="C24" s="12">
        <f t="shared" si="7"/>
        <v>71.467315356864333</v>
      </c>
      <c r="D24" s="12">
        <f t="shared" si="7"/>
        <v>180.01268601469351</v>
      </c>
      <c r="E24" s="12">
        <f t="shared" si="7"/>
        <v>10.661814172535571</v>
      </c>
      <c r="F24" s="12">
        <f t="shared" si="7"/>
        <v>99241.287051202322</v>
      </c>
      <c r="G24" s="12">
        <f t="shared" si="7"/>
        <v>15653.963915338591</v>
      </c>
      <c r="H24" s="12">
        <f t="shared" ref="H24" si="16">($U11/$J11)*H11</f>
        <v>6893.4124031316878</v>
      </c>
      <c r="I24" s="12"/>
      <c r="J24" s="12">
        <f t="shared" si="9"/>
        <v>123955.00000000001</v>
      </c>
      <c r="K24" s="13"/>
      <c r="L24" t="str">
        <f>$A$11</f>
        <v>Seattle</v>
      </c>
      <c r="M24" s="12">
        <f t="shared" ref="M24:S24" si="17">M11</f>
        <v>1417</v>
      </c>
      <c r="N24" s="12">
        <f t="shared" si="17"/>
        <v>938</v>
      </c>
      <c r="O24" s="12">
        <f t="shared" si="17"/>
        <v>1063</v>
      </c>
      <c r="P24" s="12">
        <f t="shared" si="17"/>
        <v>385</v>
      </c>
      <c r="Q24" s="12">
        <f t="shared" si="17"/>
        <v>97603</v>
      </c>
      <c r="R24" s="12">
        <f t="shared" si="17"/>
        <v>11408</v>
      </c>
      <c r="S24" s="12">
        <f t="shared" si="17"/>
        <v>11141</v>
      </c>
      <c r="T24" s="12"/>
      <c r="U24" s="12">
        <f t="shared" ref="U24" si="18">U11</f>
        <v>123955</v>
      </c>
    </row>
    <row r="25" spans="1:32" x14ac:dyDescent="0.45">
      <c r="A25" t="str">
        <f>$A$12</f>
        <v>Seattle Downtown</v>
      </c>
      <c r="B25" s="12">
        <f t="shared" si="7"/>
        <v>88.34208984462812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6630.2152715922484</v>
      </c>
      <c r="G25" s="12">
        <f t="shared" si="7"/>
        <v>8511.9900113809908</v>
      </c>
      <c r="H25" s="12">
        <f t="shared" ref="H25" si="19">($U12/$J12)*H12</f>
        <v>1185.4526271821321</v>
      </c>
      <c r="I25" s="12"/>
      <c r="J25" s="12">
        <f t="shared" si="9"/>
        <v>16416</v>
      </c>
      <c r="K25" s="13"/>
      <c r="L25" t="str">
        <f>$A$12</f>
        <v>Seattle Downtown</v>
      </c>
      <c r="M25" s="12">
        <f t="shared" ref="M25:S26" si="20">M12</f>
        <v>115</v>
      </c>
      <c r="N25" s="12">
        <f t="shared" si="20"/>
        <v>69</v>
      </c>
      <c r="O25" s="12">
        <f t="shared" si="20"/>
        <v>34</v>
      </c>
      <c r="P25" s="12">
        <f t="shared" si="20"/>
        <v>23</v>
      </c>
      <c r="Q25" s="12">
        <f t="shared" si="20"/>
        <v>3791</v>
      </c>
      <c r="R25" s="12">
        <f t="shared" si="20"/>
        <v>11980</v>
      </c>
      <c r="S25" s="12">
        <f t="shared" si="20"/>
        <v>404</v>
      </c>
      <c r="T25" s="12"/>
      <c r="U25" s="12">
        <f t="shared" ref="U25:U26" si="21">U12</f>
        <v>16416</v>
      </c>
    </row>
    <row r="26" spans="1:32" x14ac:dyDescent="0.45">
      <c r="A26" t="str">
        <f>$A$13</f>
        <v>Rest</v>
      </c>
      <c r="B26" s="12">
        <f t="shared" si="7"/>
        <v>8141.8324480397305</v>
      </c>
      <c r="C26" s="12">
        <f t="shared" si="7"/>
        <v>3145.4852050341087</v>
      </c>
      <c r="D26" s="12">
        <f t="shared" si="7"/>
        <v>10046.288594921525</v>
      </c>
      <c r="E26" s="12">
        <f t="shared" si="7"/>
        <v>2652.0948768737103</v>
      </c>
      <c r="F26" s="12">
        <f t="shared" si="7"/>
        <v>15449.195308904997</v>
      </c>
      <c r="G26" s="12">
        <f t="shared" si="7"/>
        <v>10276.044993568123</v>
      </c>
      <c r="H26" s="12">
        <f t="shared" ref="H26" si="22">($U13/$J13)*H13</f>
        <v>468417.05857265787</v>
      </c>
      <c r="I26" s="12"/>
      <c r="J26" s="12">
        <f t="shared" si="9"/>
        <v>518128.00000000006</v>
      </c>
      <c r="K26" s="13"/>
      <c r="L26" t="str">
        <f>$A$13</f>
        <v>Rest</v>
      </c>
      <c r="M26" s="12">
        <f t="shared" si="20"/>
        <v>7501</v>
      </c>
      <c r="N26" s="12">
        <f t="shared" si="20"/>
        <v>3689</v>
      </c>
      <c r="O26" s="12">
        <f t="shared" si="20"/>
        <v>4496</v>
      </c>
      <c r="P26" s="12">
        <f t="shared" si="20"/>
        <v>3752</v>
      </c>
      <c r="Q26" s="12">
        <f t="shared" si="20"/>
        <v>28473</v>
      </c>
      <c r="R26" s="12">
        <f t="shared" si="20"/>
        <v>5280</v>
      </c>
      <c r="S26" s="12">
        <f t="shared" si="20"/>
        <v>464937</v>
      </c>
      <c r="T26" s="12"/>
      <c r="U26" s="12">
        <f t="shared" si="21"/>
        <v>518128</v>
      </c>
    </row>
    <row r="27" spans="1:32" x14ac:dyDescent="0.4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4.65" thickBot="1" x14ac:dyDescent="0.5">
      <c r="A28" s="1" t="s">
        <v>4</v>
      </c>
      <c r="B28" s="16" t="e">
        <f t="shared" ref="B28:J28" si="23">SUM(B20:B27)</f>
        <v>#DIV/0!</v>
      </c>
      <c r="C28" s="16" t="e">
        <f t="shared" si="23"/>
        <v>#DIV/0!</v>
      </c>
      <c r="D28" s="16" t="e">
        <f t="shared" si="23"/>
        <v>#DIV/0!</v>
      </c>
      <c r="E28" s="16" t="e">
        <f t="shared" si="23"/>
        <v>#DIV/0!</v>
      </c>
      <c r="F28" s="16" t="e">
        <f t="shared" si="23"/>
        <v>#DIV/0!</v>
      </c>
      <c r="G28" s="16" t="e">
        <f t="shared" si="23"/>
        <v>#DIV/0!</v>
      </c>
      <c r="H28" s="16" t="e">
        <f t="shared" si="23"/>
        <v>#DIV/0!</v>
      </c>
      <c r="I28" s="16">
        <f t="shared" si="23"/>
        <v>0</v>
      </c>
      <c r="J28" s="16" t="e">
        <f t="shared" si="23"/>
        <v>#DIV/0!</v>
      </c>
      <c r="K28" s="12"/>
      <c r="L28" s="16" t="s">
        <v>4</v>
      </c>
      <c r="M28" s="16">
        <f t="shared" ref="M28:U28" si="24">M15</f>
        <v>9033</v>
      </c>
      <c r="N28" s="16">
        <f t="shared" si="24"/>
        <v>4696</v>
      </c>
      <c r="O28" s="16">
        <f t="shared" si="24"/>
        <v>5593</v>
      </c>
      <c r="P28" s="16">
        <f t="shared" si="24"/>
        <v>4160</v>
      </c>
      <c r="Q28" s="16">
        <f t="shared" si="24"/>
        <v>129867</v>
      </c>
      <c r="R28" s="16">
        <f t="shared" si="24"/>
        <v>28668</v>
      </c>
      <c r="S28" s="16">
        <f t="shared" si="24"/>
        <v>476482</v>
      </c>
      <c r="T28" s="16"/>
      <c r="U28" s="16">
        <f t="shared" si="24"/>
        <v>658499</v>
      </c>
    </row>
    <row r="31" spans="1:32" ht="14.65" thickBot="1" x14ac:dyDescent="0.5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7" t="e">
        <f t="shared" ref="B33:G33" si="25">B20/$J$28</f>
        <v>#DIV/0!</v>
      </c>
      <c r="C33" s="17" t="e">
        <f t="shared" si="25"/>
        <v>#DIV/0!</v>
      </c>
      <c r="D33" s="17" t="e">
        <f t="shared" si="25"/>
        <v>#DIV/0!</v>
      </c>
      <c r="E33" s="17" t="e">
        <f t="shared" si="25"/>
        <v>#DIV/0!</v>
      </c>
      <c r="F33" s="17" t="e">
        <f t="shared" si="25"/>
        <v>#DIV/0!</v>
      </c>
      <c r="G33" s="17" t="e">
        <f t="shared" si="25"/>
        <v>#DIV/0!</v>
      </c>
      <c r="H33" s="17" t="e">
        <f t="shared" ref="H33" si="26">H20/$J$28</f>
        <v>#DIV/0!</v>
      </c>
      <c r="I33" s="12"/>
      <c r="J33" s="17" t="e">
        <f t="shared" ref="J33:J39" si="27">J20/$J$28</f>
        <v>#DIV/0!</v>
      </c>
      <c r="K33" s="12"/>
      <c r="L33" t="str">
        <f>$A$7</f>
        <v>Bellevue</v>
      </c>
      <c r="M33" s="17">
        <f t="shared" ref="M33:R33" si="28">M20/$U$28</f>
        <v>0</v>
      </c>
      <c r="N33" s="17">
        <f t="shared" si="28"/>
        <v>0</v>
      </c>
      <c r="O33" s="17">
        <f t="shared" si="28"/>
        <v>0</v>
      </c>
      <c r="P33" s="17">
        <f t="shared" si="28"/>
        <v>0</v>
      </c>
      <c r="Q33" s="17">
        <f t="shared" si="28"/>
        <v>0</v>
      </c>
      <c r="R33" s="17">
        <f t="shared" si="28"/>
        <v>0</v>
      </c>
      <c r="S33" s="17">
        <f t="shared" ref="S33" si="29">S20/$U$28</f>
        <v>0</v>
      </c>
      <c r="T33" s="17"/>
      <c r="U33" s="17">
        <f>U20/$U$28</f>
        <v>0</v>
      </c>
      <c r="W33" t="str">
        <f>$A$7</f>
        <v>Bellevue</v>
      </c>
      <c r="X33" s="17" t="e">
        <f>M33-B33</f>
        <v>#DIV/0!</v>
      </c>
      <c r="Y33" s="17" t="e">
        <f t="shared" ref="Y33:Y35" si="30">N33-C33</f>
        <v>#DIV/0!</v>
      </c>
      <c r="Z33" s="17" t="e">
        <f t="shared" ref="Z33:Z35" si="31">O33-D33</f>
        <v>#DIV/0!</v>
      </c>
      <c r="AA33" s="17" t="e">
        <f t="shared" ref="AA33" si="32">P33-E33</f>
        <v>#DIV/0!</v>
      </c>
      <c r="AB33" s="17" t="e">
        <f t="shared" ref="AB33" si="33">Q33-F33</f>
        <v>#DIV/0!</v>
      </c>
      <c r="AC33" s="17" t="e">
        <f t="shared" ref="AC33:AD33" si="34">R33-G33</f>
        <v>#DIV/0!</v>
      </c>
      <c r="AD33" s="17" t="e">
        <f t="shared" si="34"/>
        <v>#DIV/0!</v>
      </c>
      <c r="AE33" s="17"/>
      <c r="AF33" s="17" t="e">
        <f t="shared" ref="AF33:AF39" si="35">U33-J33</f>
        <v>#DIV/0!</v>
      </c>
    </row>
    <row r="34" spans="1:32" x14ac:dyDescent="0.45">
      <c r="A34" t="str">
        <f>$A$8</f>
        <v>Bellevue Downtown</v>
      </c>
      <c r="B34" s="17" t="e">
        <f t="shared" ref="B34:G39" si="36">B21/$J$28</f>
        <v>#DIV/0!</v>
      </c>
      <c r="C34" s="17" t="e">
        <f t="shared" si="36"/>
        <v>#DIV/0!</v>
      </c>
      <c r="D34" s="17" t="e">
        <f t="shared" si="36"/>
        <v>#DIV/0!</v>
      </c>
      <c r="E34" s="17" t="e">
        <f t="shared" si="36"/>
        <v>#DIV/0!</v>
      </c>
      <c r="F34" s="17" t="e">
        <f t="shared" si="36"/>
        <v>#DIV/0!</v>
      </c>
      <c r="G34" s="17" t="e">
        <f t="shared" si="36"/>
        <v>#DIV/0!</v>
      </c>
      <c r="H34" s="17" t="e">
        <f t="shared" ref="H34" si="37">H21/$J$28</f>
        <v>#DIV/0!</v>
      </c>
      <c r="I34" s="12"/>
      <c r="J34" s="17" t="e">
        <f t="shared" si="27"/>
        <v>#DIV/0!</v>
      </c>
      <c r="K34" s="12"/>
      <c r="L34" t="str">
        <f>$A$8</f>
        <v>Bellevue Downtown</v>
      </c>
      <c r="M34" s="17">
        <f t="shared" ref="M34:R36" si="38">M21/$U$28</f>
        <v>0</v>
      </c>
      <c r="N34" s="17">
        <f t="shared" si="38"/>
        <v>0</v>
      </c>
      <c r="O34" s="17">
        <f t="shared" si="38"/>
        <v>0</v>
      </c>
      <c r="P34" s="17">
        <f t="shared" si="38"/>
        <v>0</v>
      </c>
      <c r="Q34" s="17">
        <f t="shared" si="38"/>
        <v>0</v>
      </c>
      <c r="R34" s="17">
        <f t="shared" si="38"/>
        <v>0</v>
      </c>
      <c r="S34" s="17">
        <f t="shared" ref="S34" si="39">S21/$U$28</f>
        <v>0</v>
      </c>
      <c r="T34" s="17"/>
      <c r="U34" s="17">
        <f>U21/$U$28</f>
        <v>0</v>
      </c>
      <c r="W34" t="str">
        <f>$A$8</f>
        <v>Bellevue Downtown</v>
      </c>
      <c r="X34" s="17" t="e">
        <f t="shared" ref="X34:X35" si="40">M34-B34</f>
        <v>#DIV/0!</v>
      </c>
      <c r="Y34" s="17" t="e">
        <f t="shared" si="30"/>
        <v>#DIV/0!</v>
      </c>
      <c r="Z34" s="17" t="e">
        <f t="shared" si="31"/>
        <v>#DIV/0!</v>
      </c>
      <c r="AA34" s="17" t="e">
        <f t="shared" ref="AA34:AA38" si="41">P34-E34</f>
        <v>#DIV/0!</v>
      </c>
      <c r="AB34" s="17" t="e">
        <f t="shared" ref="AB34:AB38" si="42">Q34-F34</f>
        <v>#DIV/0!</v>
      </c>
      <c r="AC34" s="17" t="e">
        <f t="shared" ref="AC34:AD38" si="43">R34-G34</f>
        <v>#DIV/0!</v>
      </c>
      <c r="AD34" s="17" t="e">
        <f t="shared" si="43"/>
        <v>#DIV/0!</v>
      </c>
      <c r="AE34" s="17"/>
      <c r="AF34" s="17" t="e">
        <f t="shared" si="35"/>
        <v>#DIV/0!</v>
      </c>
    </row>
    <row r="35" spans="1:32" x14ac:dyDescent="0.45">
      <c r="A35" t="str">
        <f>$A$9</f>
        <v>Kirkland</v>
      </c>
      <c r="B35" s="17" t="e">
        <f t="shared" si="36"/>
        <v>#DIV/0!</v>
      </c>
      <c r="C35" s="17" t="e">
        <f t="shared" si="36"/>
        <v>#DIV/0!</v>
      </c>
      <c r="D35" s="17" t="e">
        <f t="shared" si="36"/>
        <v>#DIV/0!</v>
      </c>
      <c r="E35" s="17" t="e">
        <f t="shared" si="36"/>
        <v>#DIV/0!</v>
      </c>
      <c r="F35" s="17" t="e">
        <f t="shared" si="36"/>
        <v>#DIV/0!</v>
      </c>
      <c r="G35" s="17" t="e">
        <f t="shared" si="36"/>
        <v>#DIV/0!</v>
      </c>
      <c r="H35" s="17" t="e">
        <f t="shared" ref="H35" si="44">H22/$J$28</f>
        <v>#DIV/0!</v>
      </c>
      <c r="I35" s="12"/>
      <c r="J35" s="17" t="e">
        <f t="shared" si="27"/>
        <v>#DIV/0!</v>
      </c>
      <c r="K35" s="13"/>
      <c r="L35" t="str">
        <f>$A$9</f>
        <v>Kirkland</v>
      </c>
      <c r="M35" s="17">
        <f t="shared" si="38"/>
        <v>0</v>
      </c>
      <c r="N35" s="17">
        <f t="shared" si="38"/>
        <v>0</v>
      </c>
      <c r="O35" s="17">
        <f t="shared" si="38"/>
        <v>0</v>
      </c>
      <c r="P35" s="17">
        <f t="shared" si="38"/>
        <v>0</v>
      </c>
      <c r="Q35" s="17">
        <f t="shared" si="38"/>
        <v>0</v>
      </c>
      <c r="R35" s="17">
        <f t="shared" si="38"/>
        <v>0</v>
      </c>
      <c r="S35" s="17">
        <f t="shared" ref="S35" si="45">S22/$U$28</f>
        <v>0</v>
      </c>
      <c r="T35" s="17"/>
      <c r="U35" s="17">
        <f>U22/$U$28</f>
        <v>0</v>
      </c>
      <c r="W35" t="str">
        <f>$A$9</f>
        <v>Kirkland</v>
      </c>
      <c r="X35" s="17" t="e">
        <f t="shared" si="40"/>
        <v>#DIV/0!</v>
      </c>
      <c r="Y35" s="17" t="e">
        <f t="shared" si="30"/>
        <v>#DIV/0!</v>
      </c>
      <c r="Z35" s="17" t="e">
        <f t="shared" si="31"/>
        <v>#DIV/0!</v>
      </c>
      <c r="AA35" s="17" t="e">
        <f t="shared" si="41"/>
        <v>#DIV/0!</v>
      </c>
      <c r="AB35" s="17" t="e">
        <f t="shared" si="42"/>
        <v>#DIV/0!</v>
      </c>
      <c r="AC35" s="17" t="e">
        <f t="shared" si="43"/>
        <v>#DIV/0!</v>
      </c>
      <c r="AD35" s="17" t="e">
        <f t="shared" si="43"/>
        <v>#DIV/0!</v>
      </c>
      <c r="AE35" s="17"/>
      <c r="AF35" s="17" t="e">
        <f t="shared" si="35"/>
        <v>#DIV/0!</v>
      </c>
    </row>
    <row r="36" spans="1:32" x14ac:dyDescent="0.45">
      <c r="A36" t="str">
        <f>$A$10</f>
        <v>Redmond</v>
      </c>
      <c r="B36" s="17" t="e">
        <f t="shared" si="36"/>
        <v>#DIV/0!</v>
      </c>
      <c r="C36" s="17" t="e">
        <f t="shared" si="36"/>
        <v>#DIV/0!</v>
      </c>
      <c r="D36" s="17" t="e">
        <f t="shared" si="36"/>
        <v>#DIV/0!</v>
      </c>
      <c r="E36" s="17" t="e">
        <f t="shared" si="36"/>
        <v>#DIV/0!</v>
      </c>
      <c r="F36" s="17" t="e">
        <f t="shared" si="36"/>
        <v>#DIV/0!</v>
      </c>
      <c r="G36" s="17" t="e">
        <f t="shared" si="36"/>
        <v>#DIV/0!</v>
      </c>
      <c r="H36" s="17" t="e">
        <f t="shared" ref="H36" si="46">H23/$J$28</f>
        <v>#DIV/0!</v>
      </c>
      <c r="I36" s="12"/>
      <c r="J36" s="17" t="e">
        <f t="shared" si="27"/>
        <v>#DIV/0!</v>
      </c>
      <c r="K36" s="13"/>
      <c r="L36" t="str">
        <f>$A$10</f>
        <v>Redmond</v>
      </c>
      <c r="M36" s="17">
        <f t="shared" si="38"/>
        <v>0</v>
      </c>
      <c r="N36" s="17">
        <f t="shared" si="38"/>
        <v>0</v>
      </c>
      <c r="O36" s="17">
        <f t="shared" si="38"/>
        <v>0</v>
      </c>
      <c r="P36" s="17">
        <f t="shared" si="38"/>
        <v>0</v>
      </c>
      <c r="Q36" s="17">
        <f t="shared" si="38"/>
        <v>0</v>
      </c>
      <c r="R36" s="17">
        <f t="shared" si="38"/>
        <v>0</v>
      </c>
      <c r="S36" s="17">
        <f t="shared" ref="S36" si="47">S23/$U$28</f>
        <v>0</v>
      </c>
      <c r="T36" s="17"/>
      <c r="U36" s="17">
        <f t="shared" ref="U36" si="48">U23/$U$28</f>
        <v>0</v>
      </c>
      <c r="W36" t="str">
        <f>$A$10</f>
        <v>Redmond</v>
      </c>
      <c r="X36" s="17" t="e">
        <f t="shared" ref="X36:X38" si="49">M36-B36</f>
        <v>#DIV/0!</v>
      </c>
      <c r="Y36" s="17" t="e">
        <f t="shared" ref="Y36:Y38" si="50">N36-C36</f>
        <v>#DIV/0!</v>
      </c>
      <c r="Z36" s="17" t="e">
        <f t="shared" ref="Z36:Z38" si="51">O36-D36</f>
        <v>#DIV/0!</v>
      </c>
      <c r="AA36" s="17" t="e">
        <f t="shared" si="41"/>
        <v>#DIV/0!</v>
      </c>
      <c r="AB36" s="17" t="e">
        <f t="shared" si="42"/>
        <v>#DIV/0!</v>
      </c>
      <c r="AC36" s="17" t="e">
        <f t="shared" si="43"/>
        <v>#DIV/0!</v>
      </c>
      <c r="AD36" s="17" t="e">
        <f t="shared" si="43"/>
        <v>#DIV/0!</v>
      </c>
      <c r="AE36" s="17"/>
      <c r="AF36" s="17" t="e">
        <f t="shared" si="35"/>
        <v>#DIV/0!</v>
      </c>
    </row>
    <row r="37" spans="1:32" x14ac:dyDescent="0.45">
      <c r="A37" t="str">
        <f>$A$11</f>
        <v>Seattle</v>
      </c>
      <c r="B37" s="17" t="e">
        <f t="shared" si="36"/>
        <v>#DIV/0!</v>
      </c>
      <c r="C37" s="17" t="e">
        <f t="shared" si="36"/>
        <v>#DIV/0!</v>
      </c>
      <c r="D37" s="17" t="e">
        <f t="shared" si="36"/>
        <v>#DIV/0!</v>
      </c>
      <c r="E37" s="17" t="e">
        <f t="shared" si="36"/>
        <v>#DIV/0!</v>
      </c>
      <c r="F37" s="17" t="e">
        <f t="shared" si="36"/>
        <v>#DIV/0!</v>
      </c>
      <c r="G37" s="17" t="e">
        <f t="shared" si="36"/>
        <v>#DIV/0!</v>
      </c>
      <c r="H37" s="17" t="e">
        <f t="shared" ref="H37" si="52">H24/$J$28</f>
        <v>#DIV/0!</v>
      </c>
      <c r="I37" s="12"/>
      <c r="J37" s="17" t="e">
        <f t="shared" si="27"/>
        <v>#DIV/0!</v>
      </c>
      <c r="K37" s="13"/>
      <c r="L37" t="str">
        <f>$A$11</f>
        <v>Seattle</v>
      </c>
      <c r="M37" s="17">
        <f t="shared" ref="M37:N39" si="53">M24/$U$28</f>
        <v>2.1518635563607539E-3</v>
      </c>
      <c r="N37" s="17">
        <f t="shared" si="53"/>
        <v>1.4244516696304778E-3</v>
      </c>
      <c r="O37" s="17">
        <f t="shared" ref="O37:R37" si="54">O24/$U$28</f>
        <v>1.6142773185684413E-3</v>
      </c>
      <c r="P37" s="17">
        <f t="shared" si="54"/>
        <v>5.8466299872892747E-4</v>
      </c>
      <c r="Q37" s="17">
        <f t="shared" si="54"/>
        <v>0.14822042250633638</v>
      </c>
      <c r="R37" s="17">
        <f t="shared" si="54"/>
        <v>1.7324248024674298E-2</v>
      </c>
      <c r="S37" s="17">
        <f t="shared" ref="S37" si="55">S24/$U$28</f>
        <v>1.6918780438542808E-2</v>
      </c>
      <c r="T37" s="17"/>
      <c r="U37" s="17">
        <f t="shared" ref="U37" si="56">U24/$U$28</f>
        <v>0.18823870651284208</v>
      </c>
      <c r="W37" t="str">
        <f>$A$11</f>
        <v>Seattle</v>
      </c>
      <c r="X37" s="17" t="e">
        <f t="shared" si="49"/>
        <v>#DIV/0!</v>
      </c>
      <c r="Y37" s="17" t="e">
        <f t="shared" si="50"/>
        <v>#DIV/0!</v>
      </c>
      <c r="Z37" s="17" t="e">
        <f t="shared" si="51"/>
        <v>#DIV/0!</v>
      </c>
      <c r="AA37" s="17" t="e">
        <f t="shared" si="41"/>
        <v>#DIV/0!</v>
      </c>
      <c r="AB37" s="17" t="e">
        <f t="shared" si="42"/>
        <v>#DIV/0!</v>
      </c>
      <c r="AC37" s="17" t="e">
        <f t="shared" si="43"/>
        <v>#DIV/0!</v>
      </c>
      <c r="AD37" s="17" t="e">
        <f t="shared" si="43"/>
        <v>#DIV/0!</v>
      </c>
      <c r="AE37" s="17"/>
      <c r="AF37" s="17" t="e">
        <f t="shared" si="35"/>
        <v>#DIV/0!</v>
      </c>
    </row>
    <row r="38" spans="1:32" x14ac:dyDescent="0.45">
      <c r="A38" t="str">
        <f>$A$12</f>
        <v>Seattle Downtown</v>
      </c>
      <c r="B38" s="17" t="e">
        <f t="shared" si="36"/>
        <v>#DIV/0!</v>
      </c>
      <c r="C38" s="17" t="e">
        <f t="shared" si="36"/>
        <v>#DIV/0!</v>
      </c>
      <c r="D38" s="17" t="e">
        <f t="shared" si="36"/>
        <v>#DIV/0!</v>
      </c>
      <c r="E38" s="17" t="e">
        <f t="shared" si="36"/>
        <v>#DIV/0!</v>
      </c>
      <c r="F38" s="17" t="e">
        <f t="shared" si="36"/>
        <v>#DIV/0!</v>
      </c>
      <c r="G38" s="17" t="e">
        <f t="shared" si="36"/>
        <v>#DIV/0!</v>
      </c>
      <c r="H38" s="17" t="e">
        <f t="shared" ref="H38" si="57">H25/$J$28</f>
        <v>#DIV/0!</v>
      </c>
      <c r="I38" s="12"/>
      <c r="J38" s="17" t="e">
        <f t="shared" si="27"/>
        <v>#DIV/0!</v>
      </c>
      <c r="K38" s="13"/>
      <c r="L38" t="str">
        <f>$A$12</f>
        <v>Seattle Downtown</v>
      </c>
      <c r="M38" s="17">
        <f t="shared" si="53"/>
        <v>1.7463959702292638E-4</v>
      </c>
      <c r="N38" s="17">
        <f t="shared" si="53"/>
        <v>1.0478375821375583E-4</v>
      </c>
      <c r="O38" s="17">
        <f t="shared" ref="O38:R39" si="58">O25/$U$28</f>
        <v>5.1632576511126059E-5</v>
      </c>
      <c r="P38" s="17">
        <f t="shared" si="58"/>
        <v>3.4927919404585274E-5</v>
      </c>
      <c r="Q38" s="17">
        <f t="shared" si="58"/>
        <v>5.7570322809905559E-3</v>
      </c>
      <c r="R38" s="17">
        <f t="shared" si="58"/>
        <v>1.8192890194214419E-2</v>
      </c>
      <c r="S38" s="17">
        <f t="shared" ref="S38" si="59">S25/$U$28</f>
        <v>6.1351649736749792E-4</v>
      </c>
      <c r="T38" s="17"/>
      <c r="U38" s="17">
        <f t="shared" ref="U38:U39" si="60">U25/$U$28</f>
        <v>2.4929422823724866E-2</v>
      </c>
      <c r="W38" t="str">
        <f>$A$12</f>
        <v>Seattle Downtown</v>
      </c>
      <c r="X38" s="17" t="e">
        <f t="shared" si="49"/>
        <v>#DIV/0!</v>
      </c>
      <c r="Y38" s="17" t="e">
        <f t="shared" si="50"/>
        <v>#DIV/0!</v>
      </c>
      <c r="Z38" s="17" t="e">
        <f t="shared" si="51"/>
        <v>#DIV/0!</v>
      </c>
      <c r="AA38" s="17" t="e">
        <f t="shared" si="41"/>
        <v>#DIV/0!</v>
      </c>
      <c r="AB38" s="17" t="e">
        <f t="shared" si="42"/>
        <v>#DIV/0!</v>
      </c>
      <c r="AC38" s="17" t="e">
        <f t="shared" si="43"/>
        <v>#DIV/0!</v>
      </c>
      <c r="AD38" s="17" t="e">
        <f t="shared" si="43"/>
        <v>#DIV/0!</v>
      </c>
      <c r="AE38" s="17"/>
      <c r="AF38" s="17" t="e">
        <f t="shared" si="35"/>
        <v>#DIV/0!</v>
      </c>
    </row>
    <row r="39" spans="1:32" x14ac:dyDescent="0.45">
      <c r="A39" t="str">
        <f>$A$13</f>
        <v>Rest</v>
      </c>
      <c r="B39" s="17" t="e">
        <f t="shared" si="36"/>
        <v>#DIV/0!</v>
      </c>
      <c r="C39" s="17" t="e">
        <f t="shared" si="36"/>
        <v>#DIV/0!</v>
      </c>
      <c r="D39" s="17" t="e">
        <f t="shared" si="36"/>
        <v>#DIV/0!</v>
      </c>
      <c r="E39" s="17" t="e">
        <f t="shared" si="36"/>
        <v>#DIV/0!</v>
      </c>
      <c r="F39" s="17" t="e">
        <f t="shared" si="36"/>
        <v>#DIV/0!</v>
      </c>
      <c r="G39" s="17" t="e">
        <f t="shared" si="36"/>
        <v>#DIV/0!</v>
      </c>
      <c r="H39" s="17" t="e">
        <f t="shared" ref="H39" si="61">H26/$J$28</f>
        <v>#DIV/0!</v>
      </c>
      <c r="I39" s="12"/>
      <c r="J39" s="17" t="e">
        <f t="shared" si="27"/>
        <v>#DIV/0!</v>
      </c>
      <c r="K39" s="13"/>
      <c r="L39" t="str">
        <f>$A$13</f>
        <v>Rest</v>
      </c>
      <c r="M39" s="17">
        <f t="shared" si="53"/>
        <v>1.1391057541469312E-2</v>
      </c>
      <c r="N39" s="17">
        <f t="shared" si="53"/>
        <v>5.6021345514571776E-3</v>
      </c>
      <c r="O39" s="17">
        <f t="shared" si="58"/>
        <v>6.8276489410006693E-3</v>
      </c>
      <c r="P39" s="17">
        <f t="shared" si="58"/>
        <v>5.6978066785219111E-3</v>
      </c>
      <c r="Q39" s="17">
        <f t="shared" si="58"/>
        <v>4.3239245617685065E-2</v>
      </c>
      <c r="R39" s="17">
        <f t="shared" si="58"/>
        <v>8.0182354111395758E-3</v>
      </c>
      <c r="S39" s="17">
        <f t="shared" ref="S39" si="62">S26/$U$28</f>
        <v>0.70605574192215936</v>
      </c>
      <c r="T39" s="17"/>
      <c r="U39" s="17">
        <f t="shared" si="60"/>
        <v>0.78683187066343308</v>
      </c>
      <c r="W39" t="str">
        <f>$A$13</f>
        <v>Rest</v>
      </c>
      <c r="X39" s="17" t="e">
        <f t="shared" ref="X39" si="63">M39-B39</f>
        <v>#DIV/0!</v>
      </c>
      <c r="Y39" s="17" t="e">
        <f t="shared" ref="Y39" si="64">N39-C39</f>
        <v>#DIV/0!</v>
      </c>
      <c r="Z39" s="17" t="e">
        <f t="shared" ref="Z39" si="65">O39-D39</f>
        <v>#DIV/0!</v>
      </c>
      <c r="AA39" s="17" t="e">
        <f t="shared" ref="AA39" si="66">P39-E39</f>
        <v>#DIV/0!</v>
      </c>
      <c r="AB39" s="17" t="e">
        <f t="shared" ref="AB39" si="67">Q39-F39</f>
        <v>#DIV/0!</v>
      </c>
      <c r="AC39" s="17" t="e">
        <f t="shared" ref="AC39:AD39" si="68">R39-G39</f>
        <v>#DIV/0!</v>
      </c>
      <c r="AD39" s="17" t="e">
        <f t="shared" si="68"/>
        <v>#DIV/0!</v>
      </c>
      <c r="AE39" s="17"/>
      <c r="AF39" s="17" t="e">
        <f t="shared" si="35"/>
        <v>#DIV/0!</v>
      </c>
    </row>
    <row r="40" spans="1:32" x14ac:dyDescent="0.4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4.65" thickBot="1" x14ac:dyDescent="0.5">
      <c r="A41" s="1" t="s">
        <v>4</v>
      </c>
      <c r="B41" s="19" t="e">
        <f t="shared" ref="B41:H41" si="69">B28/$J$28</f>
        <v>#DIV/0!</v>
      </c>
      <c r="C41" s="19" t="e">
        <f t="shared" si="69"/>
        <v>#DIV/0!</v>
      </c>
      <c r="D41" s="19" t="e">
        <f t="shared" si="69"/>
        <v>#DIV/0!</v>
      </c>
      <c r="E41" s="19" t="e">
        <f t="shared" si="69"/>
        <v>#DIV/0!</v>
      </c>
      <c r="F41" s="19" t="e">
        <f t="shared" si="69"/>
        <v>#DIV/0!</v>
      </c>
      <c r="G41" s="19" t="e">
        <f t="shared" si="69"/>
        <v>#DIV/0!</v>
      </c>
      <c r="H41" s="19" t="e">
        <f t="shared" si="69"/>
        <v>#DIV/0!</v>
      </c>
      <c r="I41" s="19" t="e">
        <f>I28/$J$28</f>
        <v>#DIV/0!</v>
      </c>
      <c r="J41" s="19" t="e">
        <f>J28/$J$28</f>
        <v>#DIV/0!</v>
      </c>
      <c r="K41" s="12"/>
      <c r="L41" s="16" t="s">
        <v>4</v>
      </c>
      <c r="M41" s="19">
        <f>M28/$U$28</f>
        <v>1.3717560694852991E-2</v>
      </c>
      <c r="N41" s="19">
        <f>N28/$U$28</f>
        <v>7.131369979301411E-3</v>
      </c>
      <c r="O41" s="19">
        <f>O28/$U$28</f>
        <v>8.4935588360802363E-3</v>
      </c>
      <c r="P41" s="19">
        <f>P28/$U$28</f>
        <v>6.3173975966554236E-3</v>
      </c>
      <c r="Q41" s="19">
        <f t="shared" ref="Q41:S41" si="70">Q28/$U$28</f>
        <v>0.19721670040501199</v>
      </c>
      <c r="R41" s="19">
        <f t="shared" si="70"/>
        <v>4.3535373630028289E-2</v>
      </c>
      <c r="S41" s="19">
        <f t="shared" si="70"/>
        <v>0.72358803885806966</v>
      </c>
      <c r="T41" s="19">
        <f>T28/$U$28</f>
        <v>0</v>
      </c>
      <c r="U41" s="19">
        <f>U28/$U$28</f>
        <v>1</v>
      </c>
      <c r="W41" s="16" t="s">
        <v>4</v>
      </c>
      <c r="X41" s="19" t="e">
        <f t="shared" ref="X41:AF41" si="71">M41-B41</f>
        <v>#DIV/0!</v>
      </c>
      <c r="Y41" s="19" t="e">
        <f t="shared" si="71"/>
        <v>#DIV/0!</v>
      </c>
      <c r="Z41" s="19" t="e">
        <f t="shared" si="71"/>
        <v>#DIV/0!</v>
      </c>
      <c r="AA41" s="19" t="e">
        <f t="shared" si="71"/>
        <v>#DIV/0!</v>
      </c>
      <c r="AB41" s="19" t="e">
        <f t="shared" si="71"/>
        <v>#DIV/0!</v>
      </c>
      <c r="AC41" s="19" t="e">
        <f t="shared" si="71"/>
        <v>#DIV/0!</v>
      </c>
      <c r="AD41" s="19" t="e">
        <f t="shared" si="71"/>
        <v>#DIV/0!</v>
      </c>
      <c r="AE41" s="19" t="e">
        <f t="shared" si="71"/>
        <v>#DIV/0!</v>
      </c>
      <c r="AF41" s="19" t="e">
        <f t="shared" si="71"/>
        <v>#DIV/0!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G13" sqref="G13"/>
    </sheetView>
  </sheetViews>
  <sheetFormatPr defaultRowHeight="14.25" x14ac:dyDescent="0.45"/>
  <sheetData>
    <row r="1" spans="1:3" x14ac:dyDescent="0.45">
      <c r="A1" s="10" t="s">
        <v>20</v>
      </c>
    </row>
    <row r="2" spans="1:3" x14ac:dyDescent="0.45">
      <c r="A2">
        <v>1</v>
      </c>
      <c r="B2" t="s">
        <v>246</v>
      </c>
    </row>
    <row r="3" spans="1:3" x14ac:dyDescent="0.45">
      <c r="B3" t="s">
        <v>21</v>
      </c>
      <c r="C3" t="s">
        <v>22</v>
      </c>
    </row>
    <row r="4" spans="1:3" x14ac:dyDescent="0.45">
      <c r="B4" t="s">
        <v>23</v>
      </c>
      <c r="C4" t="s">
        <v>24</v>
      </c>
    </row>
    <row r="5" spans="1:3" x14ac:dyDescent="0.45">
      <c r="B5" t="s">
        <v>25</v>
      </c>
      <c r="C5" t="s">
        <v>26</v>
      </c>
    </row>
    <row r="6" spans="1:3" x14ac:dyDescent="0.45">
      <c r="B6" t="s">
        <v>27</v>
      </c>
      <c r="C6" t="s">
        <v>28</v>
      </c>
    </row>
    <row r="8" spans="1:3" x14ac:dyDescent="0.45">
      <c r="A8">
        <v>2</v>
      </c>
      <c r="B8" t="s">
        <v>29</v>
      </c>
    </row>
    <row r="10" spans="1:3" x14ac:dyDescent="0.45">
      <c r="A10">
        <v>3</v>
      </c>
      <c r="B10" t="s">
        <v>30</v>
      </c>
    </row>
    <row r="12" spans="1:3" x14ac:dyDescent="0.45">
      <c r="A12">
        <v>4</v>
      </c>
      <c r="B12" t="s">
        <v>31</v>
      </c>
    </row>
    <row r="14" spans="1:3" x14ac:dyDescent="0.45">
      <c r="A14">
        <v>5</v>
      </c>
      <c r="B14" t="s">
        <v>32</v>
      </c>
    </row>
    <row r="15" spans="1:3" x14ac:dyDescent="0.45">
      <c r="B15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17" workbookViewId="0">
      <selection activeCell="B39" sqref="B39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386" t="s">
        <v>42</v>
      </c>
    </row>
    <row r="2" spans="1:4" x14ac:dyDescent="0.45">
      <c r="A2" t="s">
        <v>259</v>
      </c>
      <c r="B2" t="s">
        <v>260</v>
      </c>
      <c r="C2" t="s">
        <v>91</v>
      </c>
      <c r="D2" t="s">
        <v>261</v>
      </c>
    </row>
    <row r="3" spans="1:4" x14ac:dyDescent="0.45">
      <c r="A3">
        <v>1</v>
      </c>
      <c r="B3" t="s">
        <v>45</v>
      </c>
      <c r="C3" t="s">
        <v>262</v>
      </c>
      <c r="D3" t="s">
        <v>46</v>
      </c>
    </row>
    <row r="4" spans="1:4" x14ac:dyDescent="0.45">
      <c r="A4">
        <v>2</v>
      </c>
      <c r="B4" t="s">
        <v>48</v>
      </c>
      <c r="C4" t="s">
        <v>262</v>
      </c>
      <c r="D4" t="s">
        <v>49</v>
      </c>
    </row>
    <row r="5" spans="1:4" x14ac:dyDescent="0.45">
      <c r="A5">
        <v>3</v>
      </c>
      <c r="B5" t="s">
        <v>51</v>
      </c>
      <c r="C5" t="s">
        <v>262</v>
      </c>
      <c r="D5" t="s">
        <v>52</v>
      </c>
    </row>
    <row r="6" spans="1:4" x14ac:dyDescent="0.45">
      <c r="A6">
        <v>4</v>
      </c>
      <c r="B6" t="s">
        <v>54</v>
      </c>
      <c r="C6" t="s">
        <v>262</v>
      </c>
      <c r="D6" t="s">
        <v>55</v>
      </c>
    </row>
    <row r="7" spans="1:4" x14ac:dyDescent="0.45">
      <c r="A7">
        <v>5</v>
      </c>
      <c r="B7" t="s">
        <v>57</v>
      </c>
      <c r="C7" t="s">
        <v>262</v>
      </c>
      <c r="D7" t="s">
        <v>58</v>
      </c>
    </row>
    <row r="8" spans="1:4" x14ac:dyDescent="0.45">
      <c r="A8">
        <v>6</v>
      </c>
      <c r="B8" t="s">
        <v>59</v>
      </c>
      <c r="C8" t="s">
        <v>262</v>
      </c>
      <c r="D8" t="s">
        <v>60</v>
      </c>
    </row>
    <row r="9" spans="1:4" x14ac:dyDescent="0.45">
      <c r="A9">
        <v>7</v>
      </c>
      <c r="B9" t="s">
        <v>61</v>
      </c>
      <c r="C9" t="s">
        <v>262</v>
      </c>
      <c r="D9" t="s">
        <v>62</v>
      </c>
    </row>
    <row r="10" spans="1:4" x14ac:dyDescent="0.45">
      <c r="A10">
        <v>8</v>
      </c>
      <c r="B10" t="s">
        <v>64</v>
      </c>
      <c r="C10" t="s">
        <v>262</v>
      </c>
      <c r="D10" t="s">
        <v>65</v>
      </c>
    </row>
    <row r="11" spans="1:4" x14ac:dyDescent="0.45">
      <c r="A11">
        <v>9</v>
      </c>
      <c r="B11" t="s">
        <v>66</v>
      </c>
      <c r="C11" t="s">
        <v>262</v>
      </c>
      <c r="D11" t="s">
        <v>67</v>
      </c>
    </row>
    <row r="12" spans="1:4" x14ac:dyDescent="0.45">
      <c r="A12">
        <v>10</v>
      </c>
      <c r="B12" t="s">
        <v>68</v>
      </c>
      <c r="C12" t="s">
        <v>262</v>
      </c>
      <c r="D12" t="s">
        <v>69</v>
      </c>
    </row>
    <row r="13" spans="1:4" x14ac:dyDescent="0.45">
      <c r="A13">
        <v>11</v>
      </c>
      <c r="B13" t="s">
        <v>70</v>
      </c>
      <c r="C13" t="s">
        <v>262</v>
      </c>
      <c r="D13" t="s">
        <v>71</v>
      </c>
    </row>
    <row r="14" spans="1:4" x14ac:dyDescent="0.45">
      <c r="A14">
        <v>12</v>
      </c>
      <c r="B14" t="s">
        <v>72</v>
      </c>
      <c r="C14" t="s">
        <v>262</v>
      </c>
      <c r="D14" t="s">
        <v>73</v>
      </c>
    </row>
    <row r="15" spans="1:4" x14ac:dyDescent="0.45">
      <c r="A15">
        <v>13</v>
      </c>
      <c r="B15" t="s">
        <v>74</v>
      </c>
      <c r="C15" t="s">
        <v>262</v>
      </c>
      <c r="D15" t="s">
        <v>75</v>
      </c>
    </row>
    <row r="16" spans="1:4" x14ac:dyDescent="0.45">
      <c r="A16">
        <v>14</v>
      </c>
      <c r="B16" t="s">
        <v>76</v>
      </c>
      <c r="C16" t="s">
        <v>262</v>
      </c>
      <c r="D16" t="s">
        <v>77</v>
      </c>
    </row>
    <row r="17" spans="1:4" x14ac:dyDescent="0.45">
      <c r="A17">
        <v>15</v>
      </c>
      <c r="B17" t="s">
        <v>78</v>
      </c>
      <c r="C17" t="s">
        <v>262</v>
      </c>
      <c r="D17" t="s">
        <v>79</v>
      </c>
    </row>
    <row r="18" spans="1:4" x14ac:dyDescent="0.45">
      <c r="A18">
        <v>16</v>
      </c>
      <c r="B18" t="s">
        <v>80</v>
      </c>
      <c r="C18" t="s">
        <v>262</v>
      </c>
      <c r="D18" t="s">
        <v>81</v>
      </c>
    </row>
    <row r="19" spans="1:4" x14ac:dyDescent="0.45">
      <c r="A19">
        <v>17</v>
      </c>
      <c r="B19" t="s">
        <v>83</v>
      </c>
      <c r="C19" t="s">
        <v>262</v>
      </c>
      <c r="D19" t="s">
        <v>84</v>
      </c>
    </row>
    <row r="20" spans="1:4" x14ac:dyDescent="0.45">
      <c r="A20">
        <v>18</v>
      </c>
      <c r="B20" t="s">
        <v>86</v>
      </c>
      <c r="C20" t="s">
        <v>262</v>
      </c>
      <c r="D20" t="s">
        <v>87</v>
      </c>
    </row>
    <row r="21" spans="1:4" x14ac:dyDescent="0.45">
      <c r="A21">
        <v>19</v>
      </c>
      <c r="B21" t="s">
        <v>89</v>
      </c>
      <c r="C21" t="s">
        <v>262</v>
      </c>
      <c r="D21" t="s">
        <v>90</v>
      </c>
    </row>
    <row r="22" spans="1:4" x14ac:dyDescent="0.45">
      <c r="A22">
        <v>20</v>
      </c>
      <c r="B22" t="s">
        <v>92</v>
      </c>
      <c r="C22" t="s">
        <v>88</v>
      </c>
      <c r="D22" t="s">
        <v>93</v>
      </c>
    </row>
    <row r="23" spans="1:4" x14ac:dyDescent="0.45">
      <c r="A23">
        <v>21</v>
      </c>
      <c r="B23" t="s">
        <v>94</v>
      </c>
      <c r="C23" t="s">
        <v>88</v>
      </c>
      <c r="D23" t="s">
        <v>95</v>
      </c>
    </row>
    <row r="24" spans="1:4" x14ac:dyDescent="0.45">
      <c r="A24">
        <v>22</v>
      </c>
      <c r="B24" t="s">
        <v>96</v>
      </c>
      <c r="C24" t="s">
        <v>88</v>
      </c>
      <c r="D24" t="s">
        <v>97</v>
      </c>
    </row>
    <row r="25" spans="1:4" x14ac:dyDescent="0.45">
      <c r="A25">
        <v>23</v>
      </c>
      <c r="B25" t="s">
        <v>98</v>
      </c>
      <c r="C25" t="s">
        <v>88</v>
      </c>
      <c r="D25" t="s">
        <v>99</v>
      </c>
    </row>
    <row r="26" spans="1:4" x14ac:dyDescent="0.45">
      <c r="A26">
        <v>24</v>
      </c>
      <c r="B26" t="s">
        <v>100</v>
      </c>
      <c r="C26" t="s">
        <v>88</v>
      </c>
      <c r="D26" t="s">
        <v>101</v>
      </c>
    </row>
    <row r="27" spans="1:4" x14ac:dyDescent="0.45">
      <c r="A27">
        <v>25</v>
      </c>
      <c r="B27" t="s">
        <v>103</v>
      </c>
      <c r="C27" t="s">
        <v>88</v>
      </c>
      <c r="D27" t="s">
        <v>104</v>
      </c>
    </row>
    <row r="28" spans="1:4" x14ac:dyDescent="0.45">
      <c r="A28">
        <v>26</v>
      </c>
      <c r="B28" t="s">
        <v>105</v>
      </c>
      <c r="C28" t="s">
        <v>102</v>
      </c>
      <c r="D28" t="s">
        <v>93</v>
      </c>
    </row>
    <row r="29" spans="1:4" x14ac:dyDescent="0.45">
      <c r="A29">
        <v>27</v>
      </c>
      <c r="B29" t="s">
        <v>106</v>
      </c>
      <c r="C29" t="s">
        <v>102</v>
      </c>
      <c r="D29" t="s">
        <v>95</v>
      </c>
    </row>
    <row r="30" spans="1:4" x14ac:dyDescent="0.45">
      <c r="A30">
        <v>28</v>
      </c>
      <c r="B30" t="s">
        <v>108</v>
      </c>
      <c r="C30" t="s">
        <v>102</v>
      </c>
      <c r="D30" t="s">
        <v>97</v>
      </c>
    </row>
    <row r="31" spans="1:4" x14ac:dyDescent="0.45">
      <c r="A31">
        <v>29</v>
      </c>
      <c r="B31" t="s">
        <v>109</v>
      </c>
      <c r="C31" t="s">
        <v>102</v>
      </c>
      <c r="D31" t="s">
        <v>99</v>
      </c>
    </row>
    <row r="32" spans="1:4" x14ac:dyDescent="0.45">
      <c r="A32">
        <v>30</v>
      </c>
      <c r="B32" t="s">
        <v>110</v>
      </c>
      <c r="C32" t="s">
        <v>102</v>
      </c>
      <c r="D32" t="s">
        <v>111</v>
      </c>
    </row>
    <row r="33" spans="1:4" x14ac:dyDescent="0.45">
      <c r="A33">
        <v>31</v>
      </c>
      <c r="B33" t="s">
        <v>112</v>
      </c>
      <c r="C33" t="s">
        <v>102</v>
      </c>
      <c r="D33" t="s">
        <v>113</v>
      </c>
    </row>
    <row r="34" spans="1:4" x14ac:dyDescent="0.45">
      <c r="A34">
        <v>32</v>
      </c>
      <c r="B34" t="s">
        <v>114</v>
      </c>
      <c r="C34" t="s">
        <v>102</v>
      </c>
      <c r="D34" t="s">
        <v>115</v>
      </c>
    </row>
    <row r="35" spans="1:4" x14ac:dyDescent="0.45">
      <c r="A35">
        <v>33</v>
      </c>
      <c r="B35" t="s">
        <v>116</v>
      </c>
      <c r="C35" t="s">
        <v>102</v>
      </c>
      <c r="D35" t="s">
        <v>117</v>
      </c>
    </row>
    <row r="36" spans="1:4" x14ac:dyDescent="0.45">
      <c r="A36">
        <v>34</v>
      </c>
      <c r="B36" t="s">
        <v>118</v>
      </c>
      <c r="C36" t="s">
        <v>102</v>
      </c>
      <c r="D36" t="s">
        <v>119</v>
      </c>
    </row>
    <row r="37" spans="1:4" x14ac:dyDescent="0.45">
      <c r="A37">
        <v>35</v>
      </c>
      <c r="B37" t="s">
        <v>121</v>
      </c>
      <c r="C37" t="s">
        <v>102</v>
      </c>
      <c r="D37" t="s">
        <v>122</v>
      </c>
    </row>
    <row r="38" spans="1:4" x14ac:dyDescent="0.45">
      <c r="A38">
        <v>36</v>
      </c>
      <c r="B38" t="s">
        <v>123</v>
      </c>
      <c r="C38" t="s">
        <v>120</v>
      </c>
      <c r="D38" t="s">
        <v>93</v>
      </c>
    </row>
    <row r="39" spans="1:4" x14ac:dyDescent="0.45">
      <c r="A39">
        <v>37</v>
      </c>
      <c r="B39" t="s">
        <v>124</v>
      </c>
      <c r="C39" t="s">
        <v>120</v>
      </c>
      <c r="D39" t="s">
        <v>95</v>
      </c>
    </row>
    <row r="40" spans="1:4" x14ac:dyDescent="0.45">
      <c r="A40">
        <v>38</v>
      </c>
      <c r="B40" t="s">
        <v>126</v>
      </c>
      <c r="C40" t="s">
        <v>120</v>
      </c>
      <c r="D40" t="s">
        <v>97</v>
      </c>
    </row>
    <row r="41" spans="1:4" x14ac:dyDescent="0.45">
      <c r="A41">
        <v>39</v>
      </c>
      <c r="B41" t="s">
        <v>127</v>
      </c>
      <c r="C41" t="s">
        <v>120</v>
      </c>
      <c r="D41" t="s">
        <v>99</v>
      </c>
    </row>
    <row r="42" spans="1:4" x14ac:dyDescent="0.45">
      <c r="A42">
        <v>40</v>
      </c>
      <c r="B42" t="s">
        <v>128</v>
      </c>
      <c r="C42" t="s">
        <v>120</v>
      </c>
      <c r="D42" t="s">
        <v>111</v>
      </c>
    </row>
    <row r="43" spans="1:4" x14ac:dyDescent="0.45">
      <c r="A43">
        <v>41</v>
      </c>
      <c r="B43" t="s">
        <v>129</v>
      </c>
      <c r="C43" t="s">
        <v>120</v>
      </c>
      <c r="D43" t="s">
        <v>113</v>
      </c>
    </row>
    <row r="44" spans="1:4" x14ac:dyDescent="0.45">
      <c r="A44">
        <v>42</v>
      </c>
      <c r="B44" t="s">
        <v>131</v>
      </c>
      <c r="C44" t="s">
        <v>120</v>
      </c>
      <c r="D44" t="s">
        <v>132</v>
      </c>
    </row>
    <row r="45" spans="1:4" x14ac:dyDescent="0.45">
      <c r="A45">
        <v>43</v>
      </c>
      <c r="B45" t="s">
        <v>133</v>
      </c>
      <c r="C45" t="s">
        <v>130</v>
      </c>
      <c r="D45" t="s">
        <v>93</v>
      </c>
    </row>
    <row r="46" spans="1:4" x14ac:dyDescent="0.45">
      <c r="A46">
        <v>44</v>
      </c>
      <c r="B46" t="s">
        <v>134</v>
      </c>
      <c r="C46" t="s">
        <v>130</v>
      </c>
      <c r="D46" t="s">
        <v>135</v>
      </c>
    </row>
    <row r="47" spans="1:4" x14ac:dyDescent="0.45">
      <c r="A47">
        <v>45</v>
      </c>
      <c r="B47" t="s">
        <v>136</v>
      </c>
      <c r="C47" t="s">
        <v>130</v>
      </c>
      <c r="D47" t="s">
        <v>137</v>
      </c>
    </row>
    <row r="48" spans="1:4" x14ac:dyDescent="0.45">
      <c r="A48">
        <v>46</v>
      </c>
      <c r="B48" t="s">
        <v>138</v>
      </c>
      <c r="C48" t="s">
        <v>130</v>
      </c>
      <c r="D48" t="s">
        <v>139</v>
      </c>
    </row>
    <row r="49" spans="1:4" x14ac:dyDescent="0.45">
      <c r="A49">
        <v>47</v>
      </c>
      <c r="B49" t="s">
        <v>140</v>
      </c>
      <c r="C49" t="s">
        <v>130</v>
      </c>
      <c r="D49" t="s">
        <v>141</v>
      </c>
    </row>
    <row r="50" spans="1:4" x14ac:dyDescent="0.45">
      <c r="A50">
        <v>48</v>
      </c>
      <c r="B50" t="s">
        <v>143</v>
      </c>
      <c r="C50" t="s">
        <v>130</v>
      </c>
      <c r="D50" t="s">
        <v>144</v>
      </c>
    </row>
    <row r="51" spans="1:4" x14ac:dyDescent="0.45">
      <c r="A51">
        <v>49</v>
      </c>
      <c r="B51" t="s">
        <v>145</v>
      </c>
      <c r="C51" t="s">
        <v>142</v>
      </c>
      <c r="D51" t="s">
        <v>93</v>
      </c>
    </row>
    <row r="52" spans="1:4" x14ac:dyDescent="0.45">
      <c r="A52">
        <v>50</v>
      </c>
      <c r="B52" t="s">
        <v>146</v>
      </c>
      <c r="C52" t="s">
        <v>142</v>
      </c>
      <c r="D52" t="s">
        <v>95</v>
      </c>
    </row>
    <row r="53" spans="1:4" x14ac:dyDescent="0.45">
      <c r="A53">
        <v>51</v>
      </c>
      <c r="B53" t="s">
        <v>147</v>
      </c>
      <c r="C53" t="s">
        <v>142</v>
      </c>
      <c r="D53" t="s">
        <v>97</v>
      </c>
    </row>
    <row r="54" spans="1:4" x14ac:dyDescent="0.45">
      <c r="A54">
        <v>52</v>
      </c>
      <c r="B54" t="s">
        <v>148</v>
      </c>
      <c r="C54" t="s">
        <v>142</v>
      </c>
      <c r="D54" t="s">
        <v>99</v>
      </c>
    </row>
    <row r="55" spans="1:4" x14ac:dyDescent="0.45">
      <c r="A55">
        <v>53</v>
      </c>
      <c r="B55" t="s">
        <v>149</v>
      </c>
      <c r="C55" t="s">
        <v>142</v>
      </c>
      <c r="D55" t="s">
        <v>111</v>
      </c>
    </row>
    <row r="56" spans="1:4" x14ac:dyDescent="0.45">
      <c r="A56">
        <v>54</v>
      </c>
      <c r="B56" t="s">
        <v>150</v>
      </c>
      <c r="C56" t="s">
        <v>142</v>
      </c>
      <c r="D56" t="s">
        <v>151</v>
      </c>
    </row>
    <row r="57" spans="1:4" x14ac:dyDescent="0.45">
      <c r="A57">
        <v>55</v>
      </c>
      <c r="B57" t="s">
        <v>152</v>
      </c>
      <c r="C57" t="s">
        <v>142</v>
      </c>
      <c r="D57" t="s">
        <v>115</v>
      </c>
    </row>
    <row r="58" spans="1:4" x14ac:dyDescent="0.45">
      <c r="A58">
        <v>56</v>
      </c>
      <c r="B58" t="s">
        <v>153</v>
      </c>
      <c r="C58" t="s">
        <v>142</v>
      </c>
      <c r="D58" t="s">
        <v>119</v>
      </c>
    </row>
    <row r="59" spans="1:4" x14ac:dyDescent="0.45">
      <c r="A59">
        <v>57</v>
      </c>
      <c r="B59" t="s">
        <v>154</v>
      </c>
      <c r="C59" t="s">
        <v>142</v>
      </c>
      <c r="D59" t="s">
        <v>122</v>
      </c>
    </row>
    <row r="60" spans="1:4" x14ac:dyDescent="0.45">
      <c r="A60">
        <v>118</v>
      </c>
      <c r="B60" t="s">
        <v>263</v>
      </c>
    </row>
    <row r="61" spans="1:4" x14ac:dyDescent="0.45">
      <c r="A61">
        <v>70</v>
      </c>
      <c r="B61" t="s">
        <v>155</v>
      </c>
      <c r="C61" t="s">
        <v>88</v>
      </c>
    </row>
    <row r="62" spans="1:4" x14ac:dyDescent="0.45">
      <c r="A62">
        <v>71</v>
      </c>
      <c r="B62" t="s">
        <v>156</v>
      </c>
      <c r="C62" t="s">
        <v>88</v>
      </c>
      <c r="D62" t="s">
        <v>157</v>
      </c>
    </row>
    <row r="63" spans="1:4" x14ac:dyDescent="0.45">
      <c r="A63">
        <v>72</v>
      </c>
      <c r="B63" t="s">
        <v>158</v>
      </c>
      <c r="C63" t="s">
        <v>88</v>
      </c>
      <c r="D63" t="s">
        <v>159</v>
      </c>
    </row>
    <row r="64" spans="1:4" x14ac:dyDescent="0.45">
      <c r="A64">
        <v>73</v>
      </c>
      <c r="B64" t="s">
        <v>160</v>
      </c>
      <c r="C64" t="s">
        <v>88</v>
      </c>
      <c r="D64" t="s">
        <v>161</v>
      </c>
    </row>
    <row r="65" spans="1:4" x14ac:dyDescent="0.45">
      <c r="A65">
        <v>74</v>
      </c>
      <c r="B65" t="s">
        <v>162</v>
      </c>
      <c r="C65" t="s">
        <v>88</v>
      </c>
      <c r="D65" t="s">
        <v>163</v>
      </c>
    </row>
    <row r="66" spans="1:4" x14ac:dyDescent="0.45">
      <c r="A66">
        <v>75</v>
      </c>
      <c r="B66" t="s">
        <v>164</v>
      </c>
      <c r="C66" t="s">
        <v>88</v>
      </c>
      <c r="D66" t="s">
        <v>165</v>
      </c>
    </row>
    <row r="67" spans="1:4" x14ac:dyDescent="0.45">
      <c r="A67">
        <v>76</v>
      </c>
      <c r="B67" t="s">
        <v>166</v>
      </c>
      <c r="C67" t="s">
        <v>88</v>
      </c>
      <c r="D67" t="s">
        <v>167</v>
      </c>
    </row>
    <row r="68" spans="1:4" x14ac:dyDescent="0.45">
      <c r="A68">
        <v>77</v>
      </c>
      <c r="B68" t="s">
        <v>168</v>
      </c>
      <c r="C68" t="s">
        <v>88</v>
      </c>
      <c r="D68" t="s">
        <v>169</v>
      </c>
    </row>
    <row r="69" spans="1:4" x14ac:dyDescent="0.45">
      <c r="A69">
        <v>78</v>
      </c>
      <c r="B69" t="s">
        <v>170</v>
      </c>
      <c r="C69" t="s">
        <v>88</v>
      </c>
      <c r="D69" t="s">
        <v>171</v>
      </c>
    </row>
    <row r="70" spans="1:4" x14ac:dyDescent="0.45">
      <c r="A70">
        <v>79</v>
      </c>
      <c r="B70" t="s">
        <v>172</v>
      </c>
      <c r="C70" t="s">
        <v>88</v>
      </c>
      <c r="D70" t="s">
        <v>173</v>
      </c>
    </row>
    <row r="71" spans="1:4" x14ac:dyDescent="0.45">
      <c r="A71">
        <v>80</v>
      </c>
      <c r="B71" t="s">
        <v>174</v>
      </c>
      <c r="C71" t="s">
        <v>88</v>
      </c>
      <c r="D71" t="s">
        <v>175</v>
      </c>
    </row>
    <row r="72" spans="1:4" x14ac:dyDescent="0.45">
      <c r="A72">
        <v>81</v>
      </c>
      <c r="B72" t="s">
        <v>176</v>
      </c>
      <c r="C72" t="s">
        <v>88</v>
      </c>
      <c r="D72" t="s">
        <v>177</v>
      </c>
    </row>
    <row r="73" spans="1:4" x14ac:dyDescent="0.45">
      <c r="A73">
        <v>82</v>
      </c>
      <c r="B73" t="s">
        <v>178</v>
      </c>
      <c r="C73" t="s">
        <v>88</v>
      </c>
      <c r="D73" t="s">
        <v>177</v>
      </c>
    </row>
    <row r="74" spans="1:4" x14ac:dyDescent="0.45">
      <c r="A74">
        <v>83</v>
      </c>
      <c r="B74" t="s">
        <v>179</v>
      </c>
      <c r="C74" t="s">
        <v>88</v>
      </c>
      <c r="D74" t="s">
        <v>180</v>
      </c>
    </row>
    <row r="75" spans="1:4" x14ac:dyDescent="0.45">
      <c r="A75">
        <v>84</v>
      </c>
      <c r="B75" t="s">
        <v>181</v>
      </c>
      <c r="C75" t="s">
        <v>88</v>
      </c>
      <c r="D75" t="s">
        <v>182</v>
      </c>
    </row>
    <row r="76" spans="1:4" x14ac:dyDescent="0.45">
      <c r="A76">
        <v>85</v>
      </c>
      <c r="B76" t="s">
        <v>183</v>
      </c>
      <c r="C76" t="s">
        <v>88</v>
      </c>
      <c r="D76" t="s">
        <v>184</v>
      </c>
    </row>
    <row r="77" spans="1:4" x14ac:dyDescent="0.45">
      <c r="A77">
        <v>86</v>
      </c>
      <c r="B77" t="s">
        <v>185</v>
      </c>
      <c r="C77" t="s">
        <v>88</v>
      </c>
      <c r="D77" t="s">
        <v>186</v>
      </c>
    </row>
    <row r="78" spans="1:4" x14ac:dyDescent="0.45">
      <c r="A78">
        <v>87</v>
      </c>
      <c r="B78" t="s">
        <v>187</v>
      </c>
      <c r="C78" t="s">
        <v>88</v>
      </c>
      <c r="D78" t="s">
        <v>188</v>
      </c>
    </row>
    <row r="79" spans="1:4" x14ac:dyDescent="0.45">
      <c r="A79">
        <v>88</v>
      </c>
      <c r="B79" t="s">
        <v>189</v>
      </c>
      <c r="C79" t="s">
        <v>88</v>
      </c>
      <c r="D79" t="s">
        <v>190</v>
      </c>
    </row>
    <row r="80" spans="1:4" x14ac:dyDescent="0.45">
      <c r="A80">
        <v>89</v>
      </c>
      <c r="B80" t="s">
        <v>191</v>
      </c>
      <c r="C80" t="s">
        <v>102</v>
      </c>
      <c r="D80" t="s">
        <v>192</v>
      </c>
    </row>
    <row r="81" spans="1:4" x14ac:dyDescent="0.45">
      <c r="A81">
        <v>90</v>
      </c>
      <c r="B81" t="s">
        <v>193</v>
      </c>
      <c r="C81" t="s">
        <v>102</v>
      </c>
      <c r="D81" t="s">
        <v>194</v>
      </c>
    </row>
    <row r="82" spans="1:4" x14ac:dyDescent="0.45">
      <c r="A82">
        <v>91</v>
      </c>
      <c r="B82" t="s">
        <v>195</v>
      </c>
      <c r="C82" t="s">
        <v>102</v>
      </c>
      <c r="D82" t="s">
        <v>196</v>
      </c>
    </row>
    <row r="83" spans="1:4" x14ac:dyDescent="0.45">
      <c r="A83">
        <v>92</v>
      </c>
      <c r="B83" t="s">
        <v>197</v>
      </c>
      <c r="C83" t="s">
        <v>102</v>
      </c>
      <c r="D83" t="s">
        <v>198</v>
      </c>
    </row>
    <row r="84" spans="1:4" x14ac:dyDescent="0.45">
      <c r="A84">
        <v>93</v>
      </c>
      <c r="B84" t="s">
        <v>199</v>
      </c>
      <c r="C84" t="s">
        <v>102</v>
      </c>
      <c r="D84" t="s">
        <v>200</v>
      </c>
    </row>
    <row r="85" spans="1:4" x14ac:dyDescent="0.45">
      <c r="A85">
        <v>94</v>
      </c>
      <c r="B85" t="s">
        <v>201</v>
      </c>
      <c r="C85" t="s">
        <v>102</v>
      </c>
      <c r="D85" t="s">
        <v>202</v>
      </c>
    </row>
    <row r="86" spans="1:4" x14ac:dyDescent="0.45">
      <c r="A86">
        <v>95</v>
      </c>
      <c r="B86" t="s">
        <v>203</v>
      </c>
      <c r="C86" t="s">
        <v>102</v>
      </c>
      <c r="D86" t="s">
        <v>204</v>
      </c>
    </row>
    <row r="87" spans="1:4" x14ac:dyDescent="0.45">
      <c r="A87">
        <v>96</v>
      </c>
      <c r="B87" t="s">
        <v>205</v>
      </c>
      <c r="C87" t="s">
        <v>102</v>
      </c>
      <c r="D87" t="s">
        <v>206</v>
      </c>
    </row>
    <row r="88" spans="1:4" x14ac:dyDescent="0.45">
      <c r="A88">
        <v>97</v>
      </c>
      <c r="B88" t="s">
        <v>207</v>
      </c>
      <c r="C88" t="s">
        <v>102</v>
      </c>
      <c r="D88" t="s">
        <v>208</v>
      </c>
    </row>
    <row r="89" spans="1:4" x14ac:dyDescent="0.45">
      <c r="A89">
        <v>98</v>
      </c>
      <c r="B89" t="s">
        <v>209</v>
      </c>
      <c r="C89" t="s">
        <v>120</v>
      </c>
      <c r="D89" t="s">
        <v>194</v>
      </c>
    </row>
    <row r="90" spans="1:4" x14ac:dyDescent="0.45">
      <c r="A90">
        <v>99</v>
      </c>
      <c r="B90" t="s">
        <v>210</v>
      </c>
      <c r="C90" t="s">
        <v>120</v>
      </c>
      <c r="D90" t="s">
        <v>196</v>
      </c>
    </row>
    <row r="91" spans="1:4" x14ac:dyDescent="0.45">
      <c r="A91">
        <v>100</v>
      </c>
      <c r="B91" t="s">
        <v>211</v>
      </c>
      <c r="C91" t="s">
        <v>120</v>
      </c>
      <c r="D91" t="s">
        <v>198</v>
      </c>
    </row>
    <row r="92" spans="1:4" x14ac:dyDescent="0.45">
      <c r="A92">
        <v>101</v>
      </c>
      <c r="B92" t="s">
        <v>212</v>
      </c>
      <c r="C92" t="s">
        <v>120</v>
      </c>
      <c r="D92" t="s">
        <v>200</v>
      </c>
    </row>
    <row r="93" spans="1:4" x14ac:dyDescent="0.45">
      <c r="A93">
        <v>102</v>
      </c>
      <c r="B93" t="s">
        <v>213</v>
      </c>
      <c r="C93" t="s">
        <v>130</v>
      </c>
      <c r="D93" t="s">
        <v>194</v>
      </c>
    </row>
    <row r="94" spans="1:4" x14ac:dyDescent="0.45">
      <c r="A94">
        <v>103</v>
      </c>
      <c r="B94" t="s">
        <v>214</v>
      </c>
      <c r="C94" t="s">
        <v>130</v>
      </c>
      <c r="D94" t="s">
        <v>196</v>
      </c>
    </row>
    <row r="95" spans="1:4" x14ac:dyDescent="0.45">
      <c r="A95">
        <v>104</v>
      </c>
      <c r="B95" t="s">
        <v>215</v>
      </c>
      <c r="C95" t="s">
        <v>130</v>
      </c>
      <c r="D95" t="s">
        <v>198</v>
      </c>
    </row>
    <row r="96" spans="1:4" x14ac:dyDescent="0.45">
      <c r="A96">
        <v>105</v>
      </c>
      <c r="B96" t="s">
        <v>216</v>
      </c>
      <c r="C96" t="s">
        <v>130</v>
      </c>
      <c r="D96" t="s">
        <v>200</v>
      </c>
    </row>
    <row r="97" spans="1:4" x14ac:dyDescent="0.45">
      <c r="A97">
        <v>106</v>
      </c>
      <c r="B97" t="s">
        <v>217</v>
      </c>
      <c r="C97" t="s">
        <v>142</v>
      </c>
      <c r="D97" t="s">
        <v>194</v>
      </c>
    </row>
    <row r="98" spans="1:4" x14ac:dyDescent="0.45">
      <c r="A98">
        <v>107</v>
      </c>
      <c r="B98" t="s">
        <v>218</v>
      </c>
      <c r="C98" t="s">
        <v>142</v>
      </c>
      <c r="D98" t="s">
        <v>219</v>
      </c>
    </row>
    <row r="99" spans="1:4" x14ac:dyDescent="0.45">
      <c r="A99">
        <v>108</v>
      </c>
      <c r="B99" t="s">
        <v>220</v>
      </c>
      <c r="C99" t="s">
        <v>142</v>
      </c>
      <c r="D99" t="s">
        <v>196</v>
      </c>
    </row>
    <row r="100" spans="1:4" x14ac:dyDescent="0.45">
      <c r="A100">
        <v>109</v>
      </c>
      <c r="B100" t="s">
        <v>221</v>
      </c>
      <c r="C100" t="s">
        <v>142</v>
      </c>
      <c r="D100" t="s">
        <v>198</v>
      </c>
    </row>
    <row r="101" spans="1:4" x14ac:dyDescent="0.45">
      <c r="A101">
        <v>110</v>
      </c>
      <c r="B101" t="s">
        <v>222</v>
      </c>
      <c r="C101" t="s">
        <v>142</v>
      </c>
      <c r="D101" t="s">
        <v>200</v>
      </c>
    </row>
    <row r="102" spans="1:4" x14ac:dyDescent="0.45">
      <c r="A102">
        <v>111</v>
      </c>
      <c r="B102" t="s">
        <v>223</v>
      </c>
      <c r="C102" t="s">
        <v>142</v>
      </c>
      <c r="D102" t="s">
        <v>206</v>
      </c>
    </row>
    <row r="103" spans="1:4" x14ac:dyDescent="0.45">
      <c r="A103">
        <v>112</v>
      </c>
      <c r="B103" t="s">
        <v>224</v>
      </c>
      <c r="C103" t="s">
        <v>142</v>
      </c>
      <c r="D103" t="s">
        <v>225</v>
      </c>
    </row>
    <row r="104" spans="1:4" x14ac:dyDescent="0.45">
      <c r="A104">
        <v>113</v>
      </c>
      <c r="B104" t="s">
        <v>226</v>
      </c>
      <c r="C104" t="s">
        <v>142</v>
      </c>
      <c r="D104" t="s">
        <v>208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P18" sqref="P18"/>
    </sheetView>
  </sheetViews>
  <sheetFormatPr defaultRowHeight="14.25" x14ac:dyDescent="0.45"/>
  <sheetData>
    <row r="1" spans="1:11" x14ac:dyDescent="0.4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4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4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4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4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45">
      <c r="A8" t="s">
        <v>232</v>
      </c>
      <c r="B8" t="s">
        <v>233</v>
      </c>
      <c r="C8" t="s">
        <v>234</v>
      </c>
      <c r="D8" t="s">
        <v>265</v>
      </c>
    </row>
    <row r="9" spans="1:11" x14ac:dyDescent="0.4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0.46135416666666668</v>
      </c>
      <c r="G9" t="s">
        <v>239</v>
      </c>
      <c r="H9">
        <v>31</v>
      </c>
      <c r="I9" t="s">
        <v>266</v>
      </c>
      <c r="J9">
        <v>16</v>
      </c>
    </row>
    <row r="10" spans="1:11" x14ac:dyDescent="0.45">
      <c r="A10" t="s">
        <v>240</v>
      </c>
    </row>
    <row r="11" spans="1:11" x14ac:dyDescent="0.4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4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45">
      <c r="B13">
        <v>3</v>
      </c>
      <c r="C13" t="s">
        <v>51</v>
      </c>
      <c r="D13" t="s">
        <v>241</v>
      </c>
      <c r="E13" s="425">
        <v>-0.2117</v>
      </c>
      <c r="F13">
        <v>0</v>
      </c>
    </row>
    <row r="14" spans="1:11" x14ac:dyDescent="0.45">
      <c r="B14">
        <v>4</v>
      </c>
      <c r="C14" t="s">
        <v>54</v>
      </c>
      <c r="D14" t="s">
        <v>242</v>
      </c>
      <c r="E14" s="425">
        <v>0.27120783067900001</v>
      </c>
      <c r="F14">
        <v>0.28080475059900001</v>
      </c>
    </row>
    <row r="15" spans="1:11" x14ac:dyDescent="0.4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59</v>
      </c>
      <c r="D16" t="s">
        <v>242</v>
      </c>
      <c r="E16" s="425">
        <v>-8.2865473150899996E-2</v>
      </c>
      <c r="F16">
        <v>0.12955742148800001</v>
      </c>
    </row>
    <row r="17" spans="2:6" x14ac:dyDescent="0.4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64</v>
      </c>
      <c r="D18" t="s">
        <v>241</v>
      </c>
      <c r="E18" s="425">
        <v>6.9400000000000003E-2</v>
      </c>
      <c r="F18">
        <v>0</v>
      </c>
    </row>
    <row r="19" spans="2:6" x14ac:dyDescent="0.45">
      <c r="B19">
        <v>9</v>
      </c>
      <c r="C19" t="s">
        <v>66</v>
      </c>
      <c r="D19" t="s">
        <v>242</v>
      </c>
      <c r="E19" s="425">
        <v>-9.5820044919499997E-2</v>
      </c>
      <c r="F19">
        <v>0.17082561533000001</v>
      </c>
    </row>
    <row r="20" spans="2:6" x14ac:dyDescent="0.4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4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4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4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45">
      <c r="B30">
        <v>20</v>
      </c>
      <c r="C30" t="s">
        <v>92</v>
      </c>
      <c r="D30" t="s">
        <v>242</v>
      </c>
      <c r="E30">
        <v>0.63771148688699997</v>
      </c>
      <c r="F30" s="425">
        <v>6.0015015733300002E-2</v>
      </c>
    </row>
    <row r="31" spans="2:6" x14ac:dyDescent="0.4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100</v>
      </c>
      <c r="D34" t="s">
        <v>242</v>
      </c>
      <c r="E34">
        <v>0.10429329553199999</v>
      </c>
      <c r="F34" s="425">
        <v>1.6423300294899999E-2</v>
      </c>
    </row>
    <row r="35" spans="2:6" x14ac:dyDescent="0.45">
      <c r="B35">
        <v>25</v>
      </c>
      <c r="C35" t="s">
        <v>103</v>
      </c>
      <c r="D35" t="s">
        <v>241</v>
      </c>
      <c r="E35">
        <v>0</v>
      </c>
      <c r="F35" s="425">
        <v>0</v>
      </c>
    </row>
    <row r="36" spans="2:6" x14ac:dyDescent="0.45">
      <c r="B36">
        <v>26</v>
      </c>
      <c r="C36" t="s">
        <v>105</v>
      </c>
      <c r="D36" t="s">
        <v>242</v>
      </c>
      <c r="E36">
        <v>0.417326479157</v>
      </c>
      <c r="F36" s="425">
        <v>9.4301876730200004E-2</v>
      </c>
    </row>
    <row r="37" spans="2:6" x14ac:dyDescent="0.4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4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110</v>
      </c>
      <c r="D40" t="s">
        <v>242</v>
      </c>
      <c r="E40">
        <v>-0.91046169190000004</v>
      </c>
      <c r="F40" s="425">
        <v>9.2244527309799998E-2</v>
      </c>
    </row>
    <row r="41" spans="2:6" x14ac:dyDescent="0.45">
      <c r="B41">
        <v>31</v>
      </c>
      <c r="C41" t="s">
        <v>112</v>
      </c>
      <c r="D41" t="s">
        <v>242</v>
      </c>
      <c r="E41" s="425">
        <v>5.7553461640599997E-2</v>
      </c>
      <c r="F41" s="425">
        <v>1.69631861578E-2</v>
      </c>
    </row>
    <row r="42" spans="2:6" x14ac:dyDescent="0.45">
      <c r="B42">
        <v>32</v>
      </c>
      <c r="C42" t="s">
        <v>114</v>
      </c>
      <c r="D42" t="s">
        <v>242</v>
      </c>
      <c r="E42">
        <v>0.237798002151</v>
      </c>
      <c r="F42" s="425">
        <v>2.05709725741E-2</v>
      </c>
    </row>
    <row r="43" spans="2:6" x14ac:dyDescent="0.45">
      <c r="B43">
        <v>33</v>
      </c>
      <c r="C43" t="s">
        <v>116</v>
      </c>
      <c r="D43" t="s">
        <v>241</v>
      </c>
      <c r="E43">
        <v>0</v>
      </c>
      <c r="F43" s="425">
        <v>0</v>
      </c>
    </row>
    <row r="44" spans="2:6" x14ac:dyDescent="0.45">
      <c r="B44">
        <v>34</v>
      </c>
      <c r="C44" t="s">
        <v>118</v>
      </c>
      <c r="D44" t="s">
        <v>241</v>
      </c>
      <c r="E44">
        <v>0</v>
      </c>
      <c r="F44" s="425">
        <v>0</v>
      </c>
    </row>
    <row r="45" spans="2:6" x14ac:dyDescent="0.45">
      <c r="B45">
        <v>35</v>
      </c>
      <c r="C45" t="s">
        <v>121</v>
      </c>
      <c r="D45" t="s">
        <v>241</v>
      </c>
      <c r="E45">
        <v>0</v>
      </c>
      <c r="F45" s="425">
        <v>0</v>
      </c>
    </row>
    <row r="46" spans="2:6" x14ac:dyDescent="0.45">
      <c r="B46">
        <v>36</v>
      </c>
      <c r="C46" t="s">
        <v>123</v>
      </c>
      <c r="D46" t="s">
        <v>242</v>
      </c>
      <c r="E46" s="425">
        <v>0.61259135262599995</v>
      </c>
      <c r="F46" s="425">
        <v>9.8788050589500007E-2</v>
      </c>
    </row>
    <row r="47" spans="2:6" x14ac:dyDescent="0.4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129</v>
      </c>
      <c r="D51" t="s">
        <v>242</v>
      </c>
      <c r="E51">
        <v>-0.22141031751900001</v>
      </c>
      <c r="F51" s="425">
        <v>1.8224220405400001E-2</v>
      </c>
    </row>
    <row r="52" spans="2:6" x14ac:dyDescent="0.45">
      <c r="B52">
        <v>42</v>
      </c>
      <c r="C52" t="s">
        <v>131</v>
      </c>
      <c r="D52" t="s">
        <v>242</v>
      </c>
      <c r="E52">
        <v>0.64228876129599999</v>
      </c>
      <c r="F52" s="425">
        <v>2.3327425635499999E-2</v>
      </c>
    </row>
    <row r="53" spans="2:6" x14ac:dyDescent="0.45">
      <c r="B53">
        <v>43</v>
      </c>
      <c r="C53" t="s">
        <v>133</v>
      </c>
      <c r="D53" t="s">
        <v>242</v>
      </c>
      <c r="E53">
        <v>0.74588429254199995</v>
      </c>
      <c r="F53" s="425">
        <v>9.8514285453599998E-2</v>
      </c>
    </row>
    <row r="54" spans="2:6" x14ac:dyDescent="0.4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143</v>
      </c>
      <c r="D58" t="s">
        <v>242</v>
      </c>
      <c r="E58">
        <v>0.65760260093900003</v>
      </c>
      <c r="F58" s="425">
        <v>2.9500746847800002E-2</v>
      </c>
    </row>
    <row r="59" spans="2:6" x14ac:dyDescent="0.45">
      <c r="B59">
        <v>49</v>
      </c>
      <c r="C59" t="s">
        <v>145</v>
      </c>
      <c r="D59" t="s">
        <v>242</v>
      </c>
      <c r="E59">
        <v>0.201576719663</v>
      </c>
      <c r="F59" s="425">
        <v>0.11309559824400001</v>
      </c>
    </row>
    <row r="60" spans="2:6" x14ac:dyDescent="0.4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150</v>
      </c>
      <c r="D64" t="s">
        <v>242</v>
      </c>
      <c r="E64">
        <v>0.20818008309700001</v>
      </c>
      <c r="F64" s="425">
        <v>4.2700310294800002E-2</v>
      </c>
    </row>
    <row r="65" spans="2:6" x14ac:dyDescent="0.45">
      <c r="B65">
        <v>55</v>
      </c>
      <c r="C65" t="s">
        <v>152</v>
      </c>
      <c r="D65" t="s">
        <v>242</v>
      </c>
      <c r="E65">
        <v>0.42522231451499998</v>
      </c>
      <c r="F65" s="425">
        <v>4.5274903018000003E-2</v>
      </c>
    </row>
    <row r="66" spans="2:6" x14ac:dyDescent="0.45">
      <c r="B66">
        <v>56</v>
      </c>
      <c r="C66" t="s">
        <v>153</v>
      </c>
      <c r="D66" t="s">
        <v>242</v>
      </c>
      <c r="E66">
        <v>-0.743588483327</v>
      </c>
      <c r="F66" s="425">
        <v>4.4293261467400001E-2</v>
      </c>
    </row>
    <row r="67" spans="2:6" x14ac:dyDescent="0.45">
      <c r="B67">
        <v>57</v>
      </c>
      <c r="C67" t="s">
        <v>154</v>
      </c>
      <c r="D67" t="s">
        <v>241</v>
      </c>
      <c r="E67" s="425">
        <v>6.2100000000000002E-2</v>
      </c>
      <c r="F67" s="425">
        <v>0</v>
      </c>
    </row>
    <row r="68" spans="2:6" x14ac:dyDescent="0.45">
      <c r="B68">
        <v>118</v>
      </c>
      <c r="C68" t="s">
        <v>263</v>
      </c>
      <c r="D68" t="s">
        <v>241</v>
      </c>
      <c r="E68" s="425">
        <v>-3</v>
      </c>
      <c r="F68" s="425">
        <v>0</v>
      </c>
    </row>
    <row r="69" spans="2:6" x14ac:dyDescent="0.45">
      <c r="B69">
        <v>70</v>
      </c>
      <c r="C69" t="s">
        <v>155</v>
      </c>
      <c r="D69" t="s">
        <v>242</v>
      </c>
      <c r="E69">
        <v>0.29394695214400002</v>
      </c>
      <c r="F69" s="425">
        <v>8.1089668188599993E-3</v>
      </c>
    </row>
    <row r="70" spans="2:6" x14ac:dyDescent="0.4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4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4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4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4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4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4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4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4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4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4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425">
        <v>-5981.59020986</v>
      </c>
      <c r="D114" s="425">
        <v>-29805.783655800002</v>
      </c>
      <c r="E114" s="425">
        <v>-17292.021287899999</v>
      </c>
    </row>
    <row r="115" spans="1:11" x14ac:dyDescent="0.45">
      <c r="B115">
        <v>17</v>
      </c>
      <c r="C115" t="s">
        <v>267</v>
      </c>
      <c r="D115" t="s">
        <v>239</v>
      </c>
      <c r="E115">
        <v>31</v>
      </c>
      <c r="F115" t="s">
        <v>266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Q28" sqref="Q28"/>
    </sheetView>
  </sheetViews>
  <sheetFormatPr defaultColWidth="9.1328125" defaultRowHeight="14.25" x14ac:dyDescent="0.45"/>
  <cols>
    <col min="1" max="2" style="385" width="9.1328125" collapsed="true"/>
    <col min="3" max="3" bestFit="true" customWidth="true" style="385" width="12.73046875" collapsed="true"/>
    <col min="4" max="4" customWidth="true" style="384" width="18.86328125" collapsed="true"/>
    <col min="5" max="5" customWidth="true" style="385" width="6.73046875" collapsed="true"/>
    <col min="6" max="6" customWidth="true" style="385" width="12.73046875" collapsed="true"/>
    <col min="7" max="8" customWidth="true" style="384" width="18.86328125" collapsed="true"/>
    <col min="9" max="9" customWidth="true" style="384" width="6.59765625" collapsed="true"/>
    <col min="10" max="10" customWidth="true" style="384" width="10.1328125" collapsed="true"/>
    <col min="11" max="11" customWidth="true" style="384" width="9.86328125" collapsed="true"/>
    <col min="12" max="14" style="385" width="9.1328125" collapsed="true"/>
    <col min="15" max="15" customWidth="true" style="385" width="13.0" collapsed="true"/>
    <col min="16" max="16" customWidth="true" style="387" width="19.59765625" collapsed="true"/>
    <col min="17" max="17" customWidth="true" style="423" width="19.59765625" collapsed="true"/>
    <col min="18" max="16384" style="385" width="9.1328125" collapsed="true"/>
  </cols>
  <sheetData>
    <row r="1" spans="3:23" x14ac:dyDescent="0.45">
      <c r="C1" s="10" t="s">
        <v>40</v>
      </c>
      <c r="F1" s="10" t="s">
        <v>41</v>
      </c>
      <c r="N1" s="386" t="s">
        <v>268</v>
      </c>
      <c r="S1" s="386"/>
      <c r="T1" s="386" t="s">
        <v>268</v>
      </c>
      <c r="U1" s="410"/>
      <c r="V1" s="410"/>
      <c r="W1" s="410"/>
    </row>
    <row r="2" spans="3:23" ht="14.65" thickBot="1" x14ac:dyDescent="0.5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269</v>
      </c>
      <c r="Q2" s="462" t="s">
        <v>270</v>
      </c>
      <c r="T2" s="410"/>
      <c r="U2" s="386" t="s">
        <v>271</v>
      </c>
      <c r="V2"/>
      <c r="W2" s="410"/>
    </row>
    <row r="3" spans="3:23" x14ac:dyDescent="0.4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Beta00001</v>
      </c>
      <c r="P3" s="387">
        <f>OtherTourDestination!E11</f>
        <v>1</v>
      </c>
      <c r="Q3" s="426">
        <f>_xlfn.IFNA(VLOOKUP(N3,$B$43:$D$46,3,FALSE),P3)</f>
        <v>1</v>
      </c>
      <c r="T3">
        <v>1</v>
      </c>
      <c r="U3" s="383" t="s">
        <v>272</v>
      </c>
      <c r="V3"/>
      <c r="W3" s="410"/>
    </row>
    <row r="4" spans="3:23" x14ac:dyDescent="0.45">
      <c r="C4" s="391" t="s">
        <v>47</v>
      </c>
      <c r="D4" s="392">
        <f>TLFD!B11</f>
        <v>9973.1768341485003</v>
      </c>
      <c r="F4" s="391" t="s">
        <v>47</v>
      </c>
      <c r="G4" s="392">
        <f>TLFD!F11</f>
        <v>93444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Beta00002</v>
      </c>
      <c r="P4" s="387">
        <f>OtherTourDestination!E12</f>
        <v>11.7146172749</v>
      </c>
      <c r="Q4" s="426">
        <f>_xlfn.IFNA(VLOOKUP(N4,$B$43:$D$46,3,FALSE),P4)</f>
        <v>11.7146172749</v>
      </c>
      <c r="T4">
        <v>2</v>
      </c>
      <c r="U4" s="383" t="s">
        <v>273</v>
      </c>
      <c r="V4"/>
      <c r="W4" s="410"/>
    </row>
    <row r="5" spans="3:23" x14ac:dyDescent="0.45">
      <c r="C5" s="394" t="s">
        <v>50</v>
      </c>
      <c r="D5" s="395">
        <f>TLFD!B12+TLFD!B13+(TLFD!B14/2)</f>
        <v>87577.9958138738</v>
      </c>
      <c r="F5" s="394" t="s">
        <v>50</v>
      </c>
      <c r="G5" s="395">
        <f>TLFD!F12+TLFD!F13+(TLFD!F14/2)</f>
        <v>110872.5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Beta00003</v>
      </c>
      <c r="P5" s="387">
        <f>OtherTourDestination!E13</f>
        <v>-0.2117</v>
      </c>
      <c r="Q5" s="426">
        <f t="shared" ref="Q5:Q68" si="0">_xlfn.IFNA(VLOOKUP(N5,$B$43:$D$46,3,FALSE),P5)</f>
        <v>-0.2117</v>
      </c>
      <c r="T5">
        <v>3</v>
      </c>
      <c r="U5" s="410" t="s">
        <v>274</v>
      </c>
      <c r="V5" s="410"/>
      <c r="W5" s="410"/>
    </row>
    <row r="6" spans="3:23" x14ac:dyDescent="0.45">
      <c r="C6" s="394" t="s">
        <v>53</v>
      </c>
      <c r="D6" s="395">
        <f>(TLFD!B14/2)+SUM(TLFD!B15:B20)</f>
        <v>389536.76642350428</v>
      </c>
      <c r="F6" s="394" t="s">
        <v>53</v>
      </c>
      <c r="G6" s="395">
        <f>(TLFD!F14/2)+SUM(TLFD!F15:F20)</f>
        <v>320235.5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Beta00004</v>
      </c>
      <c r="P6" s="387">
        <f>OtherTourDestination!E14</f>
        <v>0.27120783067900001</v>
      </c>
      <c r="Q6" s="426">
        <f t="shared" si="0"/>
        <v>0.27120783067900001</v>
      </c>
      <c r="T6">
        <v>4</v>
      </c>
      <c r="U6" s="410" t="s">
        <v>275</v>
      </c>
      <c r="V6" s="410"/>
      <c r="W6" s="410"/>
    </row>
    <row r="7" spans="3:23" x14ac:dyDescent="0.45">
      <c r="C7" s="397" t="s">
        <v>56</v>
      </c>
      <c r="D7" s="398">
        <f>SUM(TLFD!B21:B101)</f>
        <v>146376.2964230061</v>
      </c>
      <c r="F7" s="397" t="s">
        <v>56</v>
      </c>
      <c r="G7" s="398">
        <f>SUM(TLFD!F21:F101)</f>
        <v>133947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Beta00005</v>
      </c>
      <c r="P7" s="387">
        <f>OtherTourDestination!E15</f>
        <v>-0.34490013167299999</v>
      </c>
      <c r="Q7" s="426">
        <f t="shared" si="0"/>
        <v>-0.34490013167299999</v>
      </c>
      <c r="T7" s="410">
        <v>5</v>
      </c>
      <c r="U7" s="410" t="s">
        <v>276</v>
      </c>
      <c r="V7" s="410"/>
      <c r="W7" s="410"/>
    </row>
    <row r="8" spans="3:23" ht="14.65" thickBot="1" x14ac:dyDescent="0.5">
      <c r="C8" s="400" t="s">
        <v>4</v>
      </c>
      <c r="D8" s="401">
        <f>SUM(D4:D7)</f>
        <v>633464.23549453262</v>
      </c>
      <c r="E8" s="402"/>
      <c r="F8" s="400" t="s">
        <v>4</v>
      </c>
      <c r="G8" s="401">
        <f>SUM(G4:G7)</f>
        <v>658499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Beta00006</v>
      </c>
      <c r="P8" s="387">
        <f>OtherTourDestination!E16</f>
        <v>-8.2865473150899996E-2</v>
      </c>
      <c r="Q8" s="426">
        <f t="shared" si="0"/>
        <v>-8.2865473150899996E-2</v>
      </c>
      <c r="T8" s="410"/>
      <c r="U8" s="410"/>
      <c r="V8" s="410"/>
      <c r="W8" s="410"/>
    </row>
    <row r="9" spans="3:23" x14ac:dyDescent="0.4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Beta00007</v>
      </c>
      <c r="P9" s="387">
        <f>OtherTourDestination!E17</f>
        <v>-3.9895313632499998</v>
      </c>
      <c r="Q9" s="426">
        <f t="shared" si="0"/>
        <v>-3.9895313632499998</v>
      </c>
      <c r="T9" s="410"/>
      <c r="U9" s="463" t="s">
        <v>277</v>
      </c>
      <c r="V9" s="410"/>
      <c r="W9" s="410"/>
    </row>
    <row r="10" spans="3:23" ht="14.65" thickBot="1" x14ac:dyDescent="0.5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Beta00008</v>
      </c>
      <c r="P10" s="387">
        <f>OtherTourDestination!E18</f>
        <v>6.9400000000000003E-2</v>
      </c>
      <c r="Q10" s="426">
        <f t="shared" si="0"/>
        <v>6.9400000000000003E-2</v>
      </c>
      <c r="T10" s="410">
        <v>1</v>
      </c>
      <c r="U10" s="383" t="s">
        <v>272</v>
      </c>
      <c r="V10" s="410"/>
      <c r="W10" s="410"/>
    </row>
    <row r="11" spans="3:23" x14ac:dyDescent="0.4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Beta00009</v>
      </c>
      <c r="P11" s="387">
        <f>OtherTourDestination!E19</f>
        <v>-9.5820044919499997E-2</v>
      </c>
      <c r="Q11" s="426">
        <f t="shared" si="0"/>
        <v>-9.5820044919499997E-2</v>
      </c>
      <c r="T11" s="410">
        <v>2</v>
      </c>
      <c r="U11" s="410" t="s">
        <v>278</v>
      </c>
      <c r="V11" s="410"/>
      <c r="W11" s="410"/>
    </row>
    <row r="12" spans="3:23" x14ac:dyDescent="0.45">
      <c r="C12" s="391" t="s">
        <v>47</v>
      </c>
      <c r="D12" s="405">
        <f>D4/D$8</f>
        <v>1.5743867254577749E-2</v>
      </c>
      <c r="F12" s="391" t="s">
        <v>47</v>
      </c>
      <c r="G12" s="405">
        <f>G4/G$8</f>
        <v>0.14190454351487247</v>
      </c>
      <c r="H12" s="405"/>
      <c r="I12" s="441">
        <f>D12/G12</f>
        <v>0.11094688629844819</v>
      </c>
      <c r="J12" s="442">
        <f>LN(I12)</f>
        <v>-2.198703694004112</v>
      </c>
      <c r="K12" s="442">
        <f>K8*J12</f>
        <v>-2.198703694004112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Beta00010</v>
      </c>
      <c r="P12" s="387">
        <f>OtherTourDestination!E20</f>
        <v>0.517563261484</v>
      </c>
      <c r="Q12" s="426">
        <f t="shared" si="0"/>
        <v>0.517563261484</v>
      </c>
      <c r="T12" s="410">
        <v>3</v>
      </c>
      <c r="U12" s="410" t="s">
        <v>279</v>
      </c>
      <c r="V12" s="410"/>
      <c r="W12" s="410"/>
    </row>
    <row r="13" spans="3:23" x14ac:dyDescent="0.45">
      <c r="C13" s="394" t="s">
        <v>50</v>
      </c>
      <c r="D13" s="406">
        <f t="shared" ref="D13:D16" si="1">D5/D$8</f>
        <v>0.13825247094731946</v>
      </c>
      <c r="F13" s="394" t="s">
        <v>50</v>
      </c>
      <c r="G13" s="406">
        <f t="shared" ref="G13:G16" si="2">G5/G$8</f>
        <v>0.16837155409499482</v>
      </c>
      <c r="H13" s="406"/>
      <c r="I13" s="441">
        <f t="shared" ref="I13:I15" si="3">D13/G13</f>
        <v>0.82111537005424173</v>
      </c>
      <c r="J13" s="442">
        <f t="shared" ref="J13:J15" si="4">LN(I13)</f>
        <v>-0.19709165558466518</v>
      </c>
      <c r="K13" s="442">
        <f>K8*(J13-J12)</f>
        <v>2.0016120384194469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Beta00011</v>
      </c>
      <c r="P13" s="387">
        <f>OtherTourDestination!E21</f>
        <v>-0.80352358260699996</v>
      </c>
      <c r="Q13" s="426">
        <f t="shared" si="0"/>
        <v>-0.80352358260699996</v>
      </c>
      <c r="T13" s="410">
        <v>4</v>
      </c>
      <c r="U13" s="410" t="s">
        <v>280</v>
      </c>
      <c r="V13" s="410"/>
      <c r="W13" s="410"/>
    </row>
    <row r="14" spans="3:23" x14ac:dyDescent="0.45">
      <c r="C14" s="394" t="s">
        <v>53</v>
      </c>
      <c r="D14" s="406">
        <f t="shared" si="1"/>
        <v>0.61493095363055639</v>
      </c>
      <c r="F14" s="394" t="s">
        <v>53</v>
      </c>
      <c r="G14" s="406">
        <f t="shared" si="2"/>
        <v>0.4863112928037856</v>
      </c>
      <c r="H14" s="406"/>
      <c r="I14" s="441">
        <f t="shared" si="3"/>
        <v>1.2644801030328234</v>
      </c>
      <c r="J14" s="442">
        <f t="shared" si="4"/>
        <v>0.23466105195689183</v>
      </c>
      <c r="K14" s="442">
        <f>K8*(J14-J13-J12)</f>
        <v>2.6304564015456693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Beta00012</v>
      </c>
      <c r="P14" s="387">
        <f>OtherTourDestination!E22</f>
        <v>-0.80534348065299999</v>
      </c>
      <c r="Q14" s="426">
        <f t="shared" si="0"/>
        <v>-0.80534348065299999</v>
      </c>
      <c r="T14" s="410">
        <v>5</v>
      </c>
      <c r="U14" s="383" t="s">
        <v>281</v>
      </c>
      <c r="V14" s="410"/>
      <c r="W14" s="410"/>
    </row>
    <row r="15" spans="3:23" ht="14.65" thickBot="1" x14ac:dyDescent="0.5">
      <c r="C15" s="397" t="s">
        <v>56</v>
      </c>
      <c r="D15" s="406">
        <f t="shared" si="1"/>
        <v>0.23107270816754652</v>
      </c>
      <c r="F15" s="397" t="s">
        <v>56</v>
      </c>
      <c r="G15" s="406">
        <f t="shared" si="2"/>
        <v>0.20341260958634713</v>
      </c>
      <c r="H15" s="406"/>
      <c r="I15" s="443">
        <f t="shared" si="3"/>
        <v>1.1359802552921769</v>
      </c>
      <c r="J15" s="444">
        <f t="shared" si="4"/>
        <v>0.12749593924313612</v>
      </c>
      <c r="K15" s="444">
        <f>K8*(J15-J14-J13-J12)</f>
        <v>2.2886302368750213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Beta00013</v>
      </c>
      <c r="P15" s="387">
        <f>OtherTourDestination!E23</f>
        <v>-0.51977799879300002</v>
      </c>
      <c r="Q15" s="426">
        <f t="shared" si="0"/>
        <v>-0.51977799879300002</v>
      </c>
      <c r="T15" s="410">
        <v>6</v>
      </c>
      <c r="U15" s="410" t="s">
        <v>282</v>
      </c>
      <c r="V15" s="410"/>
      <c r="W15" s="410"/>
    </row>
    <row r="16" spans="3:23" ht="14.65" thickBot="1" x14ac:dyDescent="0.5">
      <c r="C16" s="400" t="s">
        <v>4</v>
      </c>
      <c r="D16" s="408">
        <f t="shared" si="1"/>
        <v>1</v>
      </c>
      <c r="E16" s="402"/>
      <c r="F16" s="400" t="s">
        <v>4</v>
      </c>
      <c r="G16" s="408">
        <f t="shared" si="2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Beta00014</v>
      </c>
      <c r="P16" s="387">
        <f>OtherTourDestination!E24</f>
        <v>-0.27562686954600002</v>
      </c>
      <c r="Q16" s="426">
        <f t="shared" si="0"/>
        <v>-0.27562686954600002</v>
      </c>
      <c r="T16" s="410">
        <v>7</v>
      </c>
      <c r="U16" s="410" t="s">
        <v>275</v>
      </c>
      <c r="V16" s="410"/>
      <c r="W16" s="410"/>
    </row>
    <row r="17" spans="2:23" x14ac:dyDescent="0.4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Beta00015</v>
      </c>
      <c r="P17" s="387">
        <f>OtherTourDestination!E25</f>
        <v>-0.55245424085299999</v>
      </c>
      <c r="Q17" s="426">
        <f t="shared" si="0"/>
        <v>-0.55245424085299999</v>
      </c>
      <c r="T17" s="410">
        <v>8</v>
      </c>
      <c r="U17" s="410" t="s">
        <v>283</v>
      </c>
      <c r="V17" s="410"/>
      <c r="W17" s="410"/>
    </row>
    <row r="18" spans="2:23" x14ac:dyDescent="0.4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Beta00016</v>
      </c>
      <c r="P18" s="387">
        <f>OtherTourDestination!E26</f>
        <v>-0.493022087256</v>
      </c>
      <c r="Q18" s="426">
        <f t="shared" si="0"/>
        <v>-0.493022087256</v>
      </c>
    </row>
    <row r="19" spans="2:23" x14ac:dyDescent="0.4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Beta00017</v>
      </c>
      <c r="P19" s="387">
        <f>OtherTourDestination!E27</f>
        <v>0</v>
      </c>
      <c r="Q19" s="426">
        <f t="shared" si="0"/>
        <v>0</v>
      </c>
    </row>
    <row r="20" spans="2:23" x14ac:dyDescent="0.4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Beta00018</v>
      </c>
      <c r="P20" s="387">
        <f>OtherTourDestination!E28</f>
        <v>0</v>
      </c>
      <c r="Q20" s="426">
        <f t="shared" si="0"/>
        <v>0</v>
      </c>
    </row>
    <row r="21" spans="2:23" ht="14.65" thickBot="1" x14ac:dyDescent="0.5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Beta00019</v>
      </c>
      <c r="P21" s="387">
        <f>OtherTourDestination!E29</f>
        <v>0</v>
      </c>
      <c r="Q21" s="426">
        <f t="shared" si="0"/>
        <v>0</v>
      </c>
    </row>
    <row r="22" spans="2:23" x14ac:dyDescent="0.4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Beta00020</v>
      </c>
      <c r="P22" s="387">
        <f>OtherTourDestination!E30</f>
        <v>0.63771148688699997</v>
      </c>
      <c r="Q22" s="426">
        <f t="shared" si="0"/>
        <v>0.63771148688699997</v>
      </c>
    </row>
    <row r="23" spans="2:23" x14ac:dyDescent="0.45">
      <c r="B23" s="448">
        <v>27</v>
      </c>
      <c r="C23" s="391" t="s">
        <v>47</v>
      </c>
      <c r="D23" s="465">
        <f>VLOOKUP($B23,$N:$P,3,FALSE)</f>
        <v>-14.8384910501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Beta00021</v>
      </c>
      <c r="P23" s="387">
        <f>OtherTourDestination!E31</f>
        <v>-12.0946718381</v>
      </c>
      <c r="Q23" s="426">
        <f t="shared" si="0"/>
        <v>-12.0946718381</v>
      </c>
    </row>
    <row r="24" spans="2:23" x14ac:dyDescent="0.45">
      <c r="B24" s="448">
        <v>28</v>
      </c>
      <c r="C24" s="394" t="s">
        <v>50</v>
      </c>
      <c r="D24" s="465">
        <f t="shared" ref="D24:D26" si="5">VLOOKUP($B24,$N:$P,3,FALSE)</f>
        <v>-5.1880432348000003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Beta00022</v>
      </c>
      <c r="P24" s="387">
        <f>OtherTourDestination!E32</f>
        <v>-4.03623745316</v>
      </c>
      <c r="Q24" s="426">
        <f t="shared" si="0"/>
        <v>-4.03623745316</v>
      </c>
    </row>
    <row r="25" spans="2:23" x14ac:dyDescent="0.45">
      <c r="B25" s="448">
        <v>29</v>
      </c>
      <c r="C25" s="394" t="s">
        <v>53</v>
      </c>
      <c r="D25" s="465">
        <f t="shared" si="5"/>
        <v>-2.6156308707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Beta00023</v>
      </c>
      <c r="P25" s="387">
        <f>OtherTourDestination!E33</f>
        <v>-2.16371815818</v>
      </c>
      <c r="Q25" s="426">
        <f t="shared" si="0"/>
        <v>-2.16371815818</v>
      </c>
    </row>
    <row r="26" spans="2:23" ht="14.65" thickBot="1" x14ac:dyDescent="0.5">
      <c r="B26" s="449">
        <v>30</v>
      </c>
      <c r="C26" s="414" t="s">
        <v>56</v>
      </c>
      <c r="D26" s="466">
        <f t="shared" si="5"/>
        <v>-0.91046169190000004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Beta00024</v>
      </c>
      <c r="P26" s="387">
        <f>OtherTourDestination!E34</f>
        <v>0.10429329553199999</v>
      </c>
      <c r="Q26" s="426">
        <f t="shared" si="0"/>
        <v>0.10429329553199999</v>
      </c>
    </row>
    <row r="27" spans="2:23" x14ac:dyDescent="0.4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Beta00025</v>
      </c>
      <c r="P27" s="387">
        <f>OtherTourDestination!E35</f>
        <v>0</v>
      </c>
      <c r="Q27" s="426">
        <f t="shared" si="0"/>
        <v>0</v>
      </c>
    </row>
    <row r="28" spans="2:23" x14ac:dyDescent="0.4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Beta00026</v>
      </c>
      <c r="P28" s="387">
        <f>OtherTourDestination!E36</f>
        <v>0.417326479157</v>
      </c>
      <c r="Q28" s="426">
        <f t="shared" si="0"/>
        <v>0.417326479157</v>
      </c>
    </row>
    <row r="29" spans="2:23" x14ac:dyDescent="0.4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Beta00027</v>
      </c>
      <c r="P29" s="428">
        <f>OtherTourDestination!E37</f>
        <v>-14.8384910501</v>
      </c>
      <c r="Q29" s="429">
        <f t="shared" si="0"/>
        <v>-17.037194744104113</v>
      </c>
      <c r="R29" s="385" t="str">
        <f>VLOOKUP(N29,Coeff_Descr!$A$2:$E$104,4,FALSE)</f>
        <v>distanceFromOrigin4</v>
      </c>
    </row>
    <row r="30" spans="2:23" x14ac:dyDescent="0.4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Beta00028</v>
      </c>
      <c r="P30" s="428">
        <f>OtherTourDestination!E38</f>
        <v>-5.1880432348000003</v>
      </c>
      <c r="Q30" s="429">
        <f t="shared" si="0"/>
        <v>-3.1864311963805534</v>
      </c>
      <c r="R30" s="385" t="str">
        <f>VLOOKUP(N30,Coeff_Descr!$A$2:$E$104,4,FALSE)</f>
        <v>distanceFromOrigin8</v>
      </c>
    </row>
    <row r="31" spans="2:23" ht="14.65" thickBot="1" x14ac:dyDescent="0.5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Beta00029</v>
      </c>
      <c r="P31" s="428">
        <f>OtherTourDestination!E39</f>
        <v>-2.6156308707</v>
      </c>
      <c r="Q31" s="429">
        <f t="shared" si="0"/>
        <v>1.4825530845669288E-2</v>
      </c>
      <c r="R31" s="385" t="str">
        <f>VLOOKUP(N31,Coeff_Descr!$A$2:$E$104,4,FALSE)</f>
        <v>distanceFromOrigin9</v>
      </c>
    </row>
    <row r="32" spans="2:23" x14ac:dyDescent="0.4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Beta00030</v>
      </c>
      <c r="P32" s="428">
        <f>OtherTourDestination!E40</f>
        <v>-0.91046169190000004</v>
      </c>
      <c r="Q32" s="429">
        <f t="shared" si="0"/>
        <v>1.3781685449750212</v>
      </c>
      <c r="R32" s="385" t="str">
        <f>VLOOKUP(N32,Coeff_Descr!$A$2:$E$104,4,FALSE)</f>
        <v>distanceFromOrigin3</v>
      </c>
    </row>
    <row r="33" spans="2:17" x14ac:dyDescent="0.45">
      <c r="B33" s="448">
        <f>B23</f>
        <v>27</v>
      </c>
      <c r="C33" s="391" t="s">
        <v>47</v>
      </c>
      <c r="D33" s="467">
        <f>K12</f>
        <v>-2.198703694004112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Beta00031</v>
      </c>
      <c r="P33" s="387">
        <f>OtherTourDestination!E41</f>
        <v>5.7553461640599997E-2</v>
      </c>
      <c r="Q33" s="426">
        <f t="shared" si="0"/>
        <v>5.7553461640599997E-2</v>
      </c>
    </row>
    <row r="34" spans="2:17" x14ac:dyDescent="0.45">
      <c r="B34" s="448">
        <f t="shared" ref="B34:B36" si="6">B24</f>
        <v>28</v>
      </c>
      <c r="C34" s="394" t="s">
        <v>50</v>
      </c>
      <c r="D34" s="468">
        <f t="shared" ref="D34:D36" si="7">K13</f>
        <v>2.0016120384194469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Beta00032</v>
      </c>
      <c r="P34" s="387">
        <f>OtherTourDestination!E42</f>
        <v>0.237798002151</v>
      </c>
      <c r="Q34" s="426">
        <f t="shared" si="0"/>
        <v>0.237798002151</v>
      </c>
    </row>
    <row r="35" spans="2:17" x14ac:dyDescent="0.45">
      <c r="B35" s="448">
        <f t="shared" si="6"/>
        <v>29</v>
      </c>
      <c r="C35" s="394" t="s">
        <v>53</v>
      </c>
      <c r="D35" s="468">
        <f t="shared" si="7"/>
        <v>2.6304564015456693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Beta00033</v>
      </c>
      <c r="P35" s="387">
        <f>OtherTourDestination!E43</f>
        <v>0</v>
      </c>
      <c r="Q35" s="426">
        <f t="shared" si="0"/>
        <v>0</v>
      </c>
    </row>
    <row r="36" spans="2:17" ht="14.65" thickBot="1" x14ac:dyDescent="0.5">
      <c r="B36" s="450">
        <f t="shared" si="6"/>
        <v>30</v>
      </c>
      <c r="C36" s="414" t="s">
        <v>56</v>
      </c>
      <c r="D36" s="415">
        <f t="shared" si="7"/>
        <v>2.2886302368750213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Beta00034</v>
      </c>
      <c r="P36" s="387">
        <f>OtherTourDestination!E44</f>
        <v>0</v>
      </c>
      <c r="Q36" s="426">
        <f t="shared" si="0"/>
        <v>0</v>
      </c>
    </row>
    <row r="37" spans="2:17" ht="14.65" thickTop="1" x14ac:dyDescent="0.4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Beta00035</v>
      </c>
      <c r="P37" s="387">
        <f>OtherTourDestination!E45</f>
        <v>0</v>
      </c>
      <c r="Q37" s="426">
        <f t="shared" si="0"/>
        <v>0</v>
      </c>
    </row>
    <row r="38" spans="2:17" x14ac:dyDescent="0.4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Beta00036</v>
      </c>
      <c r="P38" s="387">
        <f>OtherTourDestination!E46</f>
        <v>0.61259135262599995</v>
      </c>
      <c r="Q38" s="426">
        <f t="shared" si="0"/>
        <v>0.61259135262599995</v>
      </c>
    </row>
    <row r="39" spans="2:17" x14ac:dyDescent="0.4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Beta00037</v>
      </c>
      <c r="P39" s="464">
        <f>OtherTourDestination!E47</f>
        <v>-20.810228388700001</v>
      </c>
      <c r="Q39" s="426">
        <f t="shared" si="0"/>
        <v>-20.810228388700001</v>
      </c>
    </row>
    <row r="40" spans="2:17" x14ac:dyDescent="0.4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Beta00038</v>
      </c>
      <c r="P40" s="464">
        <f>OtherTourDestination!E48</f>
        <v>-7.1836373472300004</v>
      </c>
      <c r="Q40" s="426">
        <f t="shared" si="0"/>
        <v>-7.1836373472300004</v>
      </c>
    </row>
    <row r="41" spans="2:17" ht="14.65" thickBot="1" x14ac:dyDescent="0.5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Beta00039</v>
      </c>
      <c r="P41" s="464">
        <f>OtherTourDestination!E49</f>
        <v>-3.6600975390500001</v>
      </c>
      <c r="Q41" s="426">
        <f t="shared" si="0"/>
        <v>-3.6600975390500001</v>
      </c>
    </row>
    <row r="42" spans="2:17" x14ac:dyDescent="0.4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Beta00040</v>
      </c>
      <c r="P42" s="464">
        <f>OtherTourDestination!E50</f>
        <v>-1.3605457273599999</v>
      </c>
      <c r="Q42" s="426">
        <f t="shared" si="0"/>
        <v>-1.3605457273599999</v>
      </c>
    </row>
    <row r="43" spans="2:17" x14ac:dyDescent="0.45">
      <c r="B43" s="448">
        <f>B33</f>
        <v>27</v>
      </c>
      <c r="C43" s="391" t="s">
        <v>47</v>
      </c>
      <c r="D43" s="469">
        <f>D23+D33</f>
        <v>-17.037194744104113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Beta00041</v>
      </c>
      <c r="P43" s="387">
        <f>OtherTourDestination!E51</f>
        <v>-0.22141031751900001</v>
      </c>
      <c r="Q43" s="426">
        <f t="shared" si="0"/>
        <v>-0.22141031751900001</v>
      </c>
    </row>
    <row r="44" spans="2:17" x14ac:dyDescent="0.45">
      <c r="B44" s="448">
        <f t="shared" ref="B44:B46" si="8">B34</f>
        <v>28</v>
      </c>
      <c r="C44" s="394" t="s">
        <v>50</v>
      </c>
      <c r="D44" s="469">
        <f t="shared" ref="D44:D46" si="9">D24+D34</f>
        <v>-3.1864311963805534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Beta00042</v>
      </c>
      <c r="P44" s="387">
        <f>OtherTourDestination!E52</f>
        <v>0.64228876129599999</v>
      </c>
      <c r="Q44" s="426">
        <f t="shared" si="0"/>
        <v>0.64228876129599999</v>
      </c>
    </row>
    <row r="45" spans="2:17" x14ac:dyDescent="0.45">
      <c r="B45" s="448">
        <f t="shared" si="8"/>
        <v>29</v>
      </c>
      <c r="C45" s="394" t="s">
        <v>53</v>
      </c>
      <c r="D45" s="469">
        <f t="shared" si="9"/>
        <v>1.4825530845669288E-2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Beta00043</v>
      </c>
      <c r="P45" s="387">
        <f>OtherTourDestination!E53</f>
        <v>0.74588429254199995</v>
      </c>
      <c r="Q45" s="426">
        <f t="shared" si="0"/>
        <v>0.74588429254199995</v>
      </c>
    </row>
    <row r="46" spans="2:17" ht="14.65" thickBot="1" x14ac:dyDescent="0.5">
      <c r="B46" s="450">
        <f t="shared" si="8"/>
        <v>30</v>
      </c>
      <c r="C46" s="414" t="s">
        <v>56</v>
      </c>
      <c r="D46" s="470">
        <f t="shared" si="9"/>
        <v>1.3781685449750212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Beta00044</v>
      </c>
      <c r="P46" s="387">
        <f>OtherTourDestination!E54</f>
        <v>-32.156094092099998</v>
      </c>
      <c r="Q46" s="426">
        <f t="shared" si="0"/>
        <v>-32.156094092099998</v>
      </c>
    </row>
    <row r="47" spans="2:17" ht="14.65" thickTop="1" x14ac:dyDescent="0.4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Beta00045</v>
      </c>
      <c r="P47" s="387">
        <f>OtherTourDestination!E55</f>
        <v>-7.5551873767200002</v>
      </c>
      <c r="Q47" s="426">
        <f t="shared" si="0"/>
        <v>-7.5551873767200002</v>
      </c>
    </row>
    <row r="48" spans="2:17" x14ac:dyDescent="0.4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Beta00046</v>
      </c>
      <c r="P48" s="387">
        <f>OtherTourDestination!E56</f>
        <v>-3.4784098231399998</v>
      </c>
      <c r="Q48" s="426">
        <f t="shared" si="0"/>
        <v>-3.4784098231399998</v>
      </c>
    </row>
    <row r="49" spans="13:17" x14ac:dyDescent="0.4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Beta00047</v>
      </c>
      <c r="P49" s="387">
        <f>OtherTourDestination!E57</f>
        <v>-0.79171784712299997</v>
      </c>
      <c r="Q49" s="426">
        <f t="shared" si="0"/>
        <v>-0.79171784712299997</v>
      </c>
    </row>
    <row r="50" spans="13:17" x14ac:dyDescent="0.4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Beta00048</v>
      </c>
      <c r="P50" s="387">
        <f>OtherTourDestination!E58</f>
        <v>0.65760260093900003</v>
      </c>
      <c r="Q50" s="426">
        <f t="shared" si="0"/>
        <v>0.65760260093900003</v>
      </c>
    </row>
    <row r="51" spans="13:17" x14ac:dyDescent="0.4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Beta00049</v>
      </c>
      <c r="P51" s="387">
        <f>OtherTourDestination!E59</f>
        <v>0.201576719663</v>
      </c>
      <c r="Q51" s="426">
        <f t="shared" si="0"/>
        <v>0.201576719663</v>
      </c>
    </row>
    <row r="52" spans="13:17" x14ac:dyDescent="0.4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Beta00050</v>
      </c>
      <c r="P52" s="464">
        <f>OtherTourDestination!E60</f>
        <v>-28.552058518999999</v>
      </c>
      <c r="Q52" s="426">
        <f t="shared" si="0"/>
        <v>-28.552058518999999</v>
      </c>
    </row>
    <row r="53" spans="13:17" x14ac:dyDescent="0.4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Beta00051</v>
      </c>
      <c r="P53" s="464">
        <f>OtherTourDestination!E61</f>
        <v>-7.25833529236</v>
      </c>
      <c r="Q53" s="426">
        <f t="shared" si="0"/>
        <v>-7.25833529236</v>
      </c>
    </row>
    <row r="54" spans="13:17" x14ac:dyDescent="0.4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Beta00052</v>
      </c>
      <c r="P54" s="464">
        <f>OtherTourDestination!E62</f>
        <v>-2.64524710889</v>
      </c>
      <c r="Q54" s="426">
        <f t="shared" si="0"/>
        <v>-2.64524710889</v>
      </c>
    </row>
    <row r="55" spans="13:17" x14ac:dyDescent="0.4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Beta00053</v>
      </c>
      <c r="P55" s="464">
        <f>OtherTourDestination!E63</f>
        <v>-0.76461618005800003</v>
      </c>
      <c r="Q55" s="426">
        <f t="shared" si="0"/>
        <v>-0.76461618005800003</v>
      </c>
    </row>
    <row r="56" spans="13:17" x14ac:dyDescent="0.4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Beta00054</v>
      </c>
      <c r="P56" s="387">
        <f>OtherTourDestination!E64</f>
        <v>0.20818008309700001</v>
      </c>
      <c r="Q56" s="426">
        <f t="shared" si="0"/>
        <v>0.20818008309700001</v>
      </c>
    </row>
    <row r="57" spans="13:17" x14ac:dyDescent="0.4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Beta00055</v>
      </c>
      <c r="P57" s="387">
        <f>OtherTourDestination!E65</f>
        <v>0.42522231451499998</v>
      </c>
      <c r="Q57" s="426">
        <f t="shared" si="0"/>
        <v>0.42522231451499998</v>
      </c>
    </row>
    <row r="58" spans="13:17" x14ac:dyDescent="0.4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Beta00056</v>
      </c>
      <c r="P58" s="387">
        <f>OtherTourDestination!E66</f>
        <v>-0.743588483327</v>
      </c>
      <c r="Q58" s="426">
        <f t="shared" si="0"/>
        <v>-0.743588483327</v>
      </c>
    </row>
    <row r="59" spans="13:17" x14ac:dyDescent="0.4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Beta00057</v>
      </c>
      <c r="P59" s="387">
        <f>OtherTourDestination!E67</f>
        <v>6.2100000000000002E-2</v>
      </c>
      <c r="Q59" s="426">
        <f t="shared" si="0"/>
        <v>6.2100000000000002E-2</v>
      </c>
    </row>
    <row r="60" spans="13:17" x14ac:dyDescent="0.45">
      <c r="M60" s="385">
        <f>VLOOKUP(N60,Coeff_Descr!$A:$D,3,FALSE)</f>
        <v>0</v>
      </c>
      <c r="N60" s="385">
        <f>OtherTourDestination!B68</f>
        <v>118</v>
      </c>
      <c r="O60" s="385" t="str">
        <f>OtherTourDestination!C68</f>
        <v>Beta00118</v>
      </c>
      <c r="P60" s="387">
        <f>OtherTourDestination!E68</f>
        <v>-3</v>
      </c>
      <c r="Q60" s="426">
        <f t="shared" si="0"/>
        <v>-3</v>
      </c>
    </row>
    <row r="61" spans="13:17" x14ac:dyDescent="0.45">
      <c r="M61" s="385" t="str">
        <f>VLOOKUP(N61,Coeff_Descr!$A:$D,3,FALSE)</f>
        <v>ESCORT</v>
      </c>
      <c r="N61" s="385">
        <f>OtherTourDestination!B69</f>
        <v>70</v>
      </c>
      <c r="O61" s="385" t="str">
        <f>OtherTourDestination!C69</f>
        <v>LSM_0070</v>
      </c>
      <c r="P61" s="387">
        <f>OtherTourDestination!E69</f>
        <v>0.29394695214400002</v>
      </c>
      <c r="Q61" s="426">
        <f t="shared" si="0"/>
        <v>0.29394695214400002</v>
      </c>
    </row>
    <row r="62" spans="13:17" x14ac:dyDescent="0.45">
      <c r="M62" s="385" t="str">
        <f>VLOOKUP(N62,Coeff_Descr!$A:$D,3,FALSE)</f>
        <v>ESCORT</v>
      </c>
      <c r="N62" s="385">
        <f>OtherTourDestination!B70</f>
        <v>71</v>
      </c>
      <c r="O62" s="385" t="str">
        <f>OtherTourDestination!C70</f>
        <v>Gamma071</v>
      </c>
      <c r="P62" s="387">
        <f>OtherTourDestination!E70</f>
        <v>0</v>
      </c>
      <c r="Q62" s="426">
        <f t="shared" si="0"/>
        <v>0</v>
      </c>
    </row>
    <row r="63" spans="13:17" x14ac:dyDescent="0.45">
      <c r="M63" s="385" t="str">
        <f>VLOOKUP(N63,Coeff_Descr!$A:$D,3,FALSE)</f>
        <v>ESCORT</v>
      </c>
      <c r="N63" s="385">
        <f>OtherTourDestination!B71</f>
        <v>72</v>
      </c>
      <c r="O63" s="385" t="str">
        <f>OtherTourDestination!C71</f>
        <v>Gamma072</v>
      </c>
      <c r="P63" s="387">
        <f>OtherTourDestination!E71</f>
        <v>-6.2798471793299999</v>
      </c>
      <c r="Q63" s="426">
        <f t="shared" si="0"/>
        <v>-6.2798471793299999</v>
      </c>
    </row>
    <row r="64" spans="13:17" x14ac:dyDescent="0.45">
      <c r="M64" s="385" t="str">
        <f>VLOOKUP(N64,Coeff_Descr!$A:$D,3,FALSE)</f>
        <v>ESCORT</v>
      </c>
      <c r="N64" s="385">
        <f>OtherTourDestination!B72</f>
        <v>73</v>
      </c>
      <c r="O64" s="385" t="str">
        <f>OtherTourDestination!C72</f>
        <v>Gamma073</v>
      </c>
      <c r="P64" s="387">
        <f>OtherTourDestination!E72</f>
        <v>3.2962256518299999</v>
      </c>
      <c r="Q64" s="426">
        <f t="shared" si="0"/>
        <v>3.2962256518299999</v>
      </c>
    </row>
    <row r="65" spans="13:17" x14ac:dyDescent="0.45">
      <c r="M65" s="385" t="str">
        <f>VLOOKUP(N65,Coeff_Descr!$A:$D,3,FALSE)</f>
        <v>ESCORT</v>
      </c>
      <c r="N65" s="385">
        <f>OtherTourDestination!B73</f>
        <v>74</v>
      </c>
      <c r="O65" s="385" t="str">
        <f>OtherTourDestination!C73</f>
        <v>Gamma074</v>
      </c>
      <c r="P65" s="387">
        <f>OtherTourDestination!E73</f>
        <v>-5.4150639062700003</v>
      </c>
      <c r="Q65" s="426">
        <f t="shared" si="0"/>
        <v>-5.4150639062700003</v>
      </c>
    </row>
    <row r="66" spans="13:17" x14ac:dyDescent="0.45">
      <c r="M66" s="385" t="str">
        <f>VLOOKUP(N66,Coeff_Descr!$A:$D,3,FALSE)</f>
        <v>ESCORT</v>
      </c>
      <c r="N66" s="385">
        <f>OtherTourDestination!B74</f>
        <v>75</v>
      </c>
      <c r="O66" s="385" t="str">
        <f>OtherTourDestination!C74</f>
        <v>Gamma075</v>
      </c>
      <c r="P66" s="387">
        <f>OtherTourDestination!E74</f>
        <v>-5.94820877094</v>
      </c>
      <c r="Q66" s="426">
        <f t="shared" si="0"/>
        <v>-5.94820877094</v>
      </c>
    </row>
    <row r="67" spans="13:17" x14ac:dyDescent="0.45">
      <c r="M67" s="385" t="str">
        <f>VLOOKUP(N67,Coeff_Descr!$A:$D,3,FALSE)</f>
        <v>ESCORT</v>
      </c>
      <c r="N67" s="385">
        <f>OtherTourDestination!B75</f>
        <v>76</v>
      </c>
      <c r="O67" s="385" t="str">
        <f>OtherTourDestination!C75</f>
        <v>Gamma076</v>
      </c>
      <c r="P67" s="387">
        <f>OtherTourDestination!E75</f>
        <v>-4.8479831726300002</v>
      </c>
      <c r="Q67" s="426">
        <f t="shared" si="0"/>
        <v>-4.8479831726300002</v>
      </c>
    </row>
    <row r="68" spans="13:17" x14ac:dyDescent="0.45">
      <c r="M68" s="385" t="str">
        <f>VLOOKUP(N68,Coeff_Descr!$A:$D,3,FALSE)</f>
        <v>ESCORT</v>
      </c>
      <c r="N68" s="385">
        <f>OtherTourDestination!B76</f>
        <v>77</v>
      </c>
      <c r="O68" s="385" t="str">
        <f>OtherTourDestination!C76</f>
        <v>Gamma077</v>
      </c>
      <c r="P68" s="387">
        <f>OtherTourDestination!E76</f>
        <v>-5.4883496585599998</v>
      </c>
      <c r="Q68" s="426">
        <f t="shared" si="0"/>
        <v>-5.4883496585599998</v>
      </c>
    </row>
    <row r="69" spans="13:17" x14ac:dyDescent="0.45">
      <c r="M69" s="385" t="str">
        <f>VLOOKUP(N69,Coeff_Descr!$A:$D,3,FALSE)</f>
        <v>ESCORT</v>
      </c>
      <c r="N69" s="385">
        <f>OtherTourDestination!B77</f>
        <v>78</v>
      </c>
      <c r="O69" s="385" t="str">
        <f>OtherTourDestination!C77</f>
        <v>Gamma078</v>
      </c>
      <c r="P69" s="387">
        <f>OtherTourDestination!E77</f>
        <v>-6.9308352438999998</v>
      </c>
      <c r="Q69" s="426">
        <f t="shared" ref="Q69:Q104" si="10">_xlfn.IFNA(VLOOKUP(N69,$B$43:$D$46,3,FALSE),P69)</f>
        <v>-6.9308352438999998</v>
      </c>
    </row>
    <row r="70" spans="13:17" x14ac:dyDescent="0.45">
      <c r="M70" s="385" t="str">
        <f>VLOOKUP(N70,Coeff_Descr!$A:$D,3,FALSE)</f>
        <v>ESCORT</v>
      </c>
      <c r="N70" s="385">
        <f>OtherTourDestination!B78</f>
        <v>79</v>
      </c>
      <c r="O70" s="385" t="str">
        <f>OtherTourDestination!C78</f>
        <v>Gamma079</v>
      </c>
      <c r="P70" s="387">
        <f>OtherTourDestination!E78</f>
        <v>-22.404820174200001</v>
      </c>
      <c r="Q70" s="426">
        <f t="shared" si="10"/>
        <v>-22.404820174200001</v>
      </c>
    </row>
    <row r="71" spans="13:17" x14ac:dyDescent="0.45">
      <c r="M71" s="385" t="str">
        <f>VLOOKUP(N71,Coeff_Descr!$A:$D,3,FALSE)</f>
        <v>ESCORT</v>
      </c>
      <c r="N71" s="385">
        <f>OtherTourDestination!B79</f>
        <v>80</v>
      </c>
      <c r="O71" s="385" t="str">
        <f>OtherTourDestination!C79</f>
        <v>Gamma080</v>
      </c>
      <c r="P71" s="387">
        <f>OtherTourDestination!E79</f>
        <v>-2.8929233973800002</v>
      </c>
      <c r="Q71" s="426">
        <f t="shared" si="10"/>
        <v>-2.8929233973800002</v>
      </c>
    </row>
    <row r="72" spans="13:17" x14ac:dyDescent="0.45">
      <c r="M72" s="385" t="str">
        <f>VLOOKUP(N72,Coeff_Descr!$A:$D,3,FALSE)</f>
        <v>ESCORT</v>
      </c>
      <c r="N72" s="385">
        <f>OtherTourDestination!B80</f>
        <v>81</v>
      </c>
      <c r="O72" s="385" t="str">
        <f>OtherTourDestination!C80</f>
        <v>Gamma081</v>
      </c>
      <c r="P72" s="387">
        <f>OtherTourDestination!E80</f>
        <v>-2.5610724948299999</v>
      </c>
      <c r="Q72" s="426">
        <f t="shared" si="10"/>
        <v>-2.5610724948299999</v>
      </c>
    </row>
    <row r="73" spans="13:17" x14ac:dyDescent="0.45">
      <c r="M73" s="385" t="str">
        <f>VLOOKUP(N73,Coeff_Descr!$A:$D,3,FALSE)</f>
        <v>ESCORT</v>
      </c>
      <c r="N73" s="385">
        <f>OtherTourDestination!B81</f>
        <v>82</v>
      </c>
      <c r="O73" s="385" t="str">
        <f>OtherTourDestination!C81</f>
        <v>Gamma082</v>
      </c>
      <c r="P73" s="387">
        <f>OtherTourDestination!E81</f>
        <v>-6.7871010869299999</v>
      </c>
      <c r="Q73" s="426">
        <f t="shared" si="10"/>
        <v>-6.7871010869299999</v>
      </c>
    </row>
    <row r="74" spans="13:17" x14ac:dyDescent="0.45">
      <c r="M74" s="385" t="str">
        <f>VLOOKUP(N74,Coeff_Descr!$A:$D,3,FALSE)</f>
        <v>ESCORT</v>
      </c>
      <c r="N74" s="385">
        <f>OtherTourDestination!B82</f>
        <v>83</v>
      </c>
      <c r="O74" s="385" t="str">
        <f>OtherTourDestination!C82</f>
        <v>Gamma083</v>
      </c>
      <c r="P74" s="387">
        <f>OtherTourDestination!E82</f>
        <v>-7.1983706387300002</v>
      </c>
      <c r="Q74" s="426">
        <f t="shared" si="10"/>
        <v>-7.1983706387300002</v>
      </c>
    </row>
    <row r="75" spans="13:17" x14ac:dyDescent="0.45">
      <c r="M75" s="385" t="str">
        <f>VLOOKUP(N75,Coeff_Descr!$A:$D,3,FALSE)</f>
        <v>ESCORT</v>
      </c>
      <c r="N75" s="385">
        <f>OtherTourDestination!B83</f>
        <v>84</v>
      </c>
      <c r="O75" s="385" t="str">
        <f>OtherTourDestination!C83</f>
        <v>Gamma084</v>
      </c>
      <c r="P75" s="387">
        <f>OtherTourDestination!E83</f>
        <v>-6.5584328775399996</v>
      </c>
      <c r="Q75" s="426">
        <f t="shared" si="10"/>
        <v>-6.5584328775399996</v>
      </c>
    </row>
    <row r="76" spans="13:17" x14ac:dyDescent="0.45">
      <c r="M76" s="385" t="str">
        <f>VLOOKUP(N76,Coeff_Descr!$A:$D,3,FALSE)</f>
        <v>ESCORT</v>
      </c>
      <c r="N76" s="385">
        <f>OtherTourDestination!B84</f>
        <v>85</v>
      </c>
      <c r="O76" s="385" t="str">
        <f>OtherTourDestination!C84</f>
        <v>Gamma085</v>
      </c>
      <c r="P76" s="387">
        <f>OtherTourDestination!E84</f>
        <v>-7.3832576457999997</v>
      </c>
      <c r="Q76" s="426">
        <f t="shared" si="10"/>
        <v>-7.3832576457999997</v>
      </c>
    </row>
    <row r="77" spans="13:17" x14ac:dyDescent="0.45">
      <c r="M77" s="385" t="str">
        <f>VLOOKUP(N77,Coeff_Descr!$A:$D,3,FALSE)</f>
        <v>ESCORT</v>
      </c>
      <c r="N77" s="385">
        <f>OtherTourDestination!B85</f>
        <v>86</v>
      </c>
      <c r="O77" s="385" t="str">
        <f>OtherTourDestination!C85</f>
        <v>Gamma086</v>
      </c>
      <c r="P77" s="387">
        <f>OtherTourDestination!E85</f>
        <v>-8.5452246906399996</v>
      </c>
      <c r="Q77" s="426">
        <f t="shared" si="10"/>
        <v>-8.5452246906399996</v>
      </c>
    </row>
    <row r="78" spans="13:17" x14ac:dyDescent="0.45">
      <c r="M78" s="385" t="str">
        <f>VLOOKUP(N78,Coeff_Descr!$A:$D,3,FALSE)</f>
        <v>ESCORT</v>
      </c>
      <c r="N78" s="385">
        <f>OtherTourDestination!B86</f>
        <v>87</v>
      </c>
      <c r="O78" s="385" t="str">
        <f>OtherTourDestination!C86</f>
        <v>Gamma087</v>
      </c>
      <c r="P78" s="387">
        <f>OtherTourDestination!E86</f>
        <v>-24.633851965200002</v>
      </c>
      <c r="Q78" s="426">
        <f t="shared" si="10"/>
        <v>-24.633851965200002</v>
      </c>
    </row>
    <row r="79" spans="13:17" x14ac:dyDescent="0.45">
      <c r="M79" s="385" t="str">
        <f>VLOOKUP(N79,Coeff_Descr!$A:$D,3,FALSE)</f>
        <v>ESCORT</v>
      </c>
      <c r="N79" s="385">
        <f>OtherTourDestination!B87</f>
        <v>88</v>
      </c>
      <c r="O79" s="385" t="str">
        <f>OtherTourDestination!C87</f>
        <v>Gamma088</v>
      </c>
      <c r="P79" s="387">
        <f>OtherTourDestination!E87</f>
        <v>0</v>
      </c>
      <c r="Q79" s="426">
        <f t="shared" si="10"/>
        <v>0</v>
      </c>
    </row>
    <row r="80" spans="13:17" x14ac:dyDescent="0.45">
      <c r="M80" s="385" t="str">
        <f>VLOOKUP(N80,Coeff_Descr!$A:$D,3,FALSE)</f>
        <v>PERSBUS/MED</v>
      </c>
      <c r="N80" s="385">
        <f>OtherTourDestination!B88</f>
        <v>89</v>
      </c>
      <c r="O80" s="385" t="str">
        <f>OtherTourDestination!C88</f>
        <v>Gamma089</v>
      </c>
      <c r="P80" s="387">
        <f>OtherTourDestination!E88</f>
        <v>-0.55009338373399996</v>
      </c>
      <c r="Q80" s="426">
        <f t="shared" si="10"/>
        <v>-0.55009338373399996</v>
      </c>
    </row>
    <row r="81" spans="13:17" x14ac:dyDescent="0.45">
      <c r="M81" s="385" t="str">
        <f>VLOOKUP(N81,Coeff_Descr!$A:$D,3,FALSE)</f>
        <v>PERSBUS/MED</v>
      </c>
      <c r="N81" s="385">
        <f>OtherTourDestination!B89</f>
        <v>90</v>
      </c>
      <c r="O81" s="385" t="str">
        <f>OtherTourDestination!C89</f>
        <v>Gamma090</v>
      </c>
      <c r="P81" s="387">
        <f>OtherTourDestination!E89</f>
        <v>-9.9117567037699992</v>
      </c>
      <c r="Q81" s="426">
        <f t="shared" si="10"/>
        <v>-9.9117567037699992</v>
      </c>
    </row>
    <row r="82" spans="13:17" x14ac:dyDescent="0.45">
      <c r="M82" s="385" t="str">
        <f>VLOOKUP(N82,Coeff_Descr!$A:$D,3,FALSE)</f>
        <v>PERSBUS/MED</v>
      </c>
      <c r="N82" s="385">
        <f>OtherTourDestination!B90</f>
        <v>91</v>
      </c>
      <c r="O82" s="385" t="str">
        <f>OtherTourDestination!C90</f>
        <v>Gamma091</v>
      </c>
      <c r="P82" s="387">
        <f>OtherTourDestination!E90</f>
        <v>-9.3194311560499994</v>
      </c>
      <c r="Q82" s="426">
        <f t="shared" si="10"/>
        <v>-9.3194311560499994</v>
      </c>
    </row>
    <row r="83" spans="13:17" x14ac:dyDescent="0.45">
      <c r="M83" s="385" t="str">
        <f>VLOOKUP(N83,Coeff_Descr!$A:$D,3,FALSE)</f>
        <v>PERSBUS/MED</v>
      </c>
      <c r="N83" s="385">
        <f>OtherTourDestination!B91</f>
        <v>92</v>
      </c>
      <c r="O83" s="385" t="str">
        <f>OtherTourDestination!C91</f>
        <v>Gamma092</v>
      </c>
      <c r="P83" s="387">
        <f>OtherTourDestination!E91</f>
        <v>-0.20086270196799999</v>
      </c>
      <c r="Q83" s="426">
        <f t="shared" si="10"/>
        <v>-0.20086270196799999</v>
      </c>
    </row>
    <row r="84" spans="13:17" x14ac:dyDescent="0.45">
      <c r="M84" s="385" t="str">
        <f>VLOOKUP(N84,Coeff_Descr!$A:$D,3,FALSE)</f>
        <v>PERSBUS/MED</v>
      </c>
      <c r="N84" s="385">
        <f>OtherTourDestination!B92</f>
        <v>93</v>
      </c>
      <c r="O84" s="385" t="str">
        <f>OtherTourDestination!C92</f>
        <v>Gamma093</v>
      </c>
      <c r="P84" s="387">
        <f>OtherTourDestination!E92</f>
        <v>-2.1843835309699999</v>
      </c>
      <c r="Q84" s="426">
        <f t="shared" si="10"/>
        <v>-2.1843835309699999</v>
      </c>
    </row>
    <row r="85" spans="13:17" x14ac:dyDescent="0.45">
      <c r="M85" s="385" t="str">
        <f>VLOOKUP(N85,Coeff_Descr!$A:$D,3,FALSE)</f>
        <v>PERSBUS/MED</v>
      </c>
      <c r="N85" s="385">
        <f>OtherTourDestination!B93</f>
        <v>94</v>
      </c>
      <c r="O85" s="385" t="str">
        <f>OtherTourDestination!C93</f>
        <v>Gamma094</v>
      </c>
      <c r="P85" s="387">
        <f>OtherTourDestination!E93</f>
        <v>0</v>
      </c>
      <c r="Q85" s="426">
        <f t="shared" si="10"/>
        <v>0</v>
      </c>
    </row>
    <row r="86" spans="13:17" x14ac:dyDescent="0.45">
      <c r="M86" s="385" t="str">
        <f>VLOOKUP(N86,Coeff_Descr!$A:$D,3,FALSE)</f>
        <v>PERSBUS/MED</v>
      </c>
      <c r="N86" s="385">
        <f>OtherTourDestination!B94</f>
        <v>95</v>
      </c>
      <c r="O86" s="385" t="str">
        <f>OtherTourDestination!C94</f>
        <v>Gamma095</v>
      </c>
      <c r="P86" s="387">
        <f>OtherTourDestination!E94</f>
        <v>-9.9476357147400005</v>
      </c>
      <c r="Q86" s="426">
        <f t="shared" si="10"/>
        <v>-9.9476357147400005</v>
      </c>
    </row>
    <row r="87" spans="13:17" x14ac:dyDescent="0.45">
      <c r="M87" s="385" t="str">
        <f>VLOOKUP(N87,Coeff_Descr!$A:$D,3,FALSE)</f>
        <v>PERSBUS/MED</v>
      </c>
      <c r="N87" s="385">
        <f>OtherTourDestination!B95</f>
        <v>96</v>
      </c>
      <c r="O87" s="385" t="str">
        <f>OtherTourDestination!C95</f>
        <v>Gamma096</v>
      </c>
      <c r="P87" s="387">
        <f>OtherTourDestination!E95</f>
        <v>-12.800107987600001</v>
      </c>
      <c r="Q87" s="426">
        <f t="shared" si="10"/>
        <v>-12.800107987600001</v>
      </c>
    </row>
    <row r="88" spans="13:17" x14ac:dyDescent="0.45">
      <c r="M88" s="385" t="str">
        <f>VLOOKUP(N88,Coeff_Descr!$A:$D,3,FALSE)</f>
        <v>PERSBUS/MED</v>
      </c>
      <c r="N88" s="385">
        <f>OtherTourDestination!B96</f>
        <v>97</v>
      </c>
      <c r="O88" s="385" t="str">
        <f>OtherTourDestination!C96</f>
        <v>Gamma097</v>
      </c>
      <c r="P88" s="387">
        <f>OtherTourDestination!E96</f>
        <v>-30</v>
      </c>
      <c r="Q88" s="426">
        <f t="shared" si="10"/>
        <v>-30</v>
      </c>
    </row>
    <row r="89" spans="13:17" x14ac:dyDescent="0.45">
      <c r="M89" s="385" t="str">
        <f>VLOOKUP(N89,Coeff_Descr!$A:$D,3,FALSE)</f>
        <v>SHOP</v>
      </c>
      <c r="N89" s="385">
        <f>OtherTourDestination!B97</f>
        <v>98</v>
      </c>
      <c r="O89" s="385" t="str">
        <f>OtherTourDestination!C97</f>
        <v>Gamma098</v>
      </c>
      <c r="P89" s="387">
        <f>OtherTourDestination!E97</f>
        <v>-21.699928591700001</v>
      </c>
      <c r="Q89" s="426">
        <f t="shared" si="10"/>
        <v>-21.699928591700001</v>
      </c>
    </row>
    <row r="90" spans="13:17" x14ac:dyDescent="0.45">
      <c r="M90" s="385" t="str">
        <f>VLOOKUP(N90,Coeff_Descr!$A:$D,3,FALSE)</f>
        <v>SHOP</v>
      </c>
      <c r="N90" s="385">
        <f>OtherTourDestination!B98</f>
        <v>99</v>
      </c>
      <c r="O90" s="385" t="str">
        <f>OtherTourDestination!C98</f>
        <v>Gamma099</v>
      </c>
      <c r="P90" s="387">
        <f>OtherTourDestination!E98</f>
        <v>-17.700475093400001</v>
      </c>
      <c r="Q90" s="426">
        <f t="shared" si="10"/>
        <v>-17.700475093400001</v>
      </c>
    </row>
    <row r="91" spans="13:17" x14ac:dyDescent="0.45">
      <c r="M91" s="385" t="str">
        <f>VLOOKUP(N91,Coeff_Descr!$A:$D,3,FALSE)</f>
        <v>SHOP</v>
      </c>
      <c r="N91" s="385">
        <f>OtherTourDestination!B99</f>
        <v>100</v>
      </c>
      <c r="O91" s="385" t="str">
        <f>OtherTourDestination!C99</f>
        <v>Gamma100</v>
      </c>
      <c r="P91" s="387">
        <f>OtherTourDestination!E99</f>
        <v>-0.7</v>
      </c>
      <c r="Q91" s="426">
        <f t="shared" si="10"/>
        <v>-0.7</v>
      </c>
    </row>
    <row r="92" spans="13:17" x14ac:dyDescent="0.45">
      <c r="M92" s="385" t="str">
        <f>VLOOKUP(N92,Coeff_Descr!$A:$D,3,FALSE)</f>
        <v>SHOP</v>
      </c>
      <c r="N92" s="385">
        <f>OtherTourDestination!B100</f>
        <v>101</v>
      </c>
      <c r="O92" s="385" t="str">
        <f>OtherTourDestination!C100</f>
        <v>Gamma101</v>
      </c>
      <c r="P92" s="387">
        <f>OtherTourDestination!E100</f>
        <v>-17.8758745875</v>
      </c>
      <c r="Q92" s="426">
        <f t="shared" si="10"/>
        <v>-17.8758745875</v>
      </c>
    </row>
    <row r="93" spans="13:17" x14ac:dyDescent="0.45">
      <c r="M93" s="385" t="str">
        <f>VLOOKUP(N93,Coeff_Descr!$A:$D,3,FALSE)</f>
        <v>MEAL</v>
      </c>
      <c r="N93" s="385">
        <f>OtherTourDestination!B101</f>
        <v>102</v>
      </c>
      <c r="O93" s="385" t="str">
        <f>OtherTourDestination!C101</f>
        <v>Gamma102</v>
      </c>
      <c r="P93" s="387">
        <f>OtherTourDestination!E101</f>
        <v>0</v>
      </c>
      <c r="Q93" s="426">
        <f t="shared" si="10"/>
        <v>0</v>
      </c>
    </row>
    <row r="94" spans="13:17" x14ac:dyDescent="0.45">
      <c r="M94" s="385" t="str">
        <f>VLOOKUP(N94,Coeff_Descr!$A:$D,3,FALSE)</f>
        <v>MEAL</v>
      </c>
      <c r="N94" s="385">
        <f>OtherTourDestination!B102</f>
        <v>103</v>
      </c>
      <c r="O94" s="385" t="str">
        <f>OtherTourDestination!C102</f>
        <v>Gamma103</v>
      </c>
      <c r="P94" s="387">
        <f>OtherTourDestination!E102</f>
        <v>5</v>
      </c>
      <c r="Q94" s="426">
        <f t="shared" si="10"/>
        <v>5</v>
      </c>
    </row>
    <row r="95" spans="13:17" x14ac:dyDescent="0.45">
      <c r="M95" s="385" t="str">
        <f>VLOOKUP(N95,Coeff_Descr!$A:$D,3,FALSE)</f>
        <v>MEAL</v>
      </c>
      <c r="N95" s="385">
        <f>OtherTourDestination!B103</f>
        <v>104</v>
      </c>
      <c r="O95" s="385" t="str">
        <f>OtherTourDestination!C103</f>
        <v>Gamma104</v>
      </c>
      <c r="P95" s="387">
        <f>OtherTourDestination!E103</f>
        <v>-30</v>
      </c>
      <c r="Q95" s="426">
        <f t="shared" si="10"/>
        <v>-30</v>
      </c>
    </row>
    <row r="96" spans="13:17" x14ac:dyDescent="0.45">
      <c r="M96" s="385" t="str">
        <f>VLOOKUP(N96,Coeff_Descr!$A:$D,3,FALSE)</f>
        <v>MEAL</v>
      </c>
      <c r="N96" s="385">
        <f>OtherTourDestination!B104</f>
        <v>105</v>
      </c>
      <c r="O96" s="385" t="str">
        <f>OtherTourDestination!C104</f>
        <v>Gamma105</v>
      </c>
      <c r="P96" s="387">
        <f>OtherTourDestination!E104</f>
        <v>-24.158093970700001</v>
      </c>
      <c r="Q96" s="426">
        <f t="shared" si="10"/>
        <v>-24.158093970700001</v>
      </c>
    </row>
    <row r="97" spans="13:17" x14ac:dyDescent="0.45">
      <c r="M97" s="385" t="str">
        <f>VLOOKUP(N97,Coeff_Descr!$A:$D,3,FALSE)</f>
        <v>SOCREC</v>
      </c>
      <c r="N97" s="385">
        <f>OtherTourDestination!B105</f>
        <v>106</v>
      </c>
      <c r="O97" s="385" t="str">
        <f>OtherTourDestination!C105</f>
        <v>Gamma106</v>
      </c>
      <c r="P97" s="387">
        <f>OtherTourDestination!E105</f>
        <v>-9.5803170794600003</v>
      </c>
      <c r="Q97" s="426">
        <f t="shared" si="10"/>
        <v>-9.5803170794600003</v>
      </c>
    </row>
    <row r="98" spans="13:17" x14ac:dyDescent="0.45">
      <c r="M98" s="385" t="str">
        <f>VLOOKUP(N98,Coeff_Descr!$A:$D,3,FALSE)</f>
        <v>SOCREC</v>
      </c>
      <c r="N98" s="385">
        <f>OtherTourDestination!B106</f>
        <v>107</v>
      </c>
      <c r="O98" s="385" t="str">
        <f>OtherTourDestination!C106</f>
        <v>Gamma107</v>
      </c>
      <c r="P98" s="387">
        <f>OtherTourDestination!E106</f>
        <v>0</v>
      </c>
      <c r="Q98" s="426">
        <f t="shared" si="10"/>
        <v>0</v>
      </c>
    </row>
    <row r="99" spans="13:17" x14ac:dyDescent="0.45">
      <c r="M99" s="385" t="str">
        <f>VLOOKUP(N99,Coeff_Descr!$A:$D,3,FALSE)</f>
        <v>SOCREC</v>
      </c>
      <c r="N99" s="385">
        <f>OtherTourDestination!B107</f>
        <v>108</v>
      </c>
      <c r="O99" s="385" t="str">
        <f>OtherTourDestination!C107</f>
        <v>Gamma108</v>
      </c>
      <c r="P99" s="387">
        <f>OtherTourDestination!E107</f>
        <v>-15.671349338700001</v>
      </c>
      <c r="Q99" s="426">
        <f t="shared" si="10"/>
        <v>-15.671349338700001</v>
      </c>
    </row>
    <row r="100" spans="13:17" x14ac:dyDescent="0.45">
      <c r="M100" s="385" t="str">
        <f>VLOOKUP(N100,Coeff_Descr!$A:$D,3,FALSE)</f>
        <v>SOCREC</v>
      </c>
      <c r="N100" s="385">
        <f>OtherTourDestination!B108</f>
        <v>109</v>
      </c>
      <c r="O100" s="385" t="str">
        <f>OtherTourDestination!C108</f>
        <v>Gamma109</v>
      </c>
      <c r="P100" s="387">
        <f>OtherTourDestination!E108</f>
        <v>-18.208541213899998</v>
      </c>
      <c r="Q100" s="426">
        <f t="shared" si="10"/>
        <v>-18.208541213899998</v>
      </c>
    </row>
    <row r="101" spans="13:17" x14ac:dyDescent="0.45">
      <c r="M101" s="385" t="str">
        <f>VLOOKUP(N101,Coeff_Descr!$A:$D,3,FALSE)</f>
        <v>SOCREC</v>
      </c>
      <c r="N101" s="385">
        <f>OtherTourDestination!B109</f>
        <v>110</v>
      </c>
      <c r="O101" s="385" t="str">
        <f>OtherTourDestination!C109</f>
        <v>Gamma110</v>
      </c>
      <c r="P101" s="387">
        <f>OtherTourDestination!E109</f>
        <v>-11.2471450075</v>
      </c>
      <c r="Q101" s="426">
        <f t="shared" si="10"/>
        <v>-11.2471450075</v>
      </c>
    </row>
    <row r="102" spans="13:17" x14ac:dyDescent="0.45">
      <c r="M102" s="385" t="str">
        <f>VLOOKUP(N102,Coeff_Descr!$A:$D,3,FALSE)</f>
        <v>SOCREC</v>
      </c>
      <c r="N102" s="385">
        <f>OtherTourDestination!B110</f>
        <v>111</v>
      </c>
      <c r="O102" s="385" t="str">
        <f>OtherTourDestination!C110</f>
        <v>Gamma111</v>
      </c>
      <c r="P102" s="387">
        <f>OtherTourDestination!E110</f>
        <v>-10.0807778908</v>
      </c>
      <c r="Q102" s="426">
        <f t="shared" si="10"/>
        <v>-10.0807778908</v>
      </c>
    </row>
    <row r="103" spans="13:17" x14ac:dyDescent="0.45">
      <c r="M103" s="385" t="str">
        <f>VLOOKUP(N103,Coeff_Descr!$A:$D,3,FALSE)</f>
        <v>SOCREC</v>
      </c>
      <c r="N103" s="385">
        <f>OtherTourDestination!B111</f>
        <v>112</v>
      </c>
      <c r="O103" s="385" t="str">
        <f>OtherTourDestination!C111</f>
        <v>Gamma112</v>
      </c>
      <c r="P103" s="387">
        <f>OtherTourDestination!E111</f>
        <v>-5.6623999999999999</v>
      </c>
      <c r="Q103" s="426">
        <f t="shared" si="10"/>
        <v>-5.6623999999999999</v>
      </c>
    </row>
    <row r="104" spans="13:17" x14ac:dyDescent="0.45">
      <c r="M104" s="385" t="str">
        <f>VLOOKUP(N104,Coeff_Descr!$A:$D,3,FALSE)</f>
        <v>SOCREC</v>
      </c>
      <c r="N104" s="385">
        <f>OtherTourDestination!B112</f>
        <v>113</v>
      </c>
      <c r="O104" s="385" t="str">
        <f>OtherTourDestination!C112</f>
        <v>Gamma113</v>
      </c>
      <c r="P104" s="387">
        <f>OtherTourDestination!E112</f>
        <v>-12.0597581892</v>
      </c>
      <c r="Q104" s="426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2022-01-21T23:37:29Z</dcterms:modified>
</cp:coreProperties>
</file>